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สินค้าBB" state="visible" r:id="rId4"/>
    <sheet sheetId="2" name="Checklist-Tech" state="visible" r:id="rId5"/>
    <sheet sheetId="3" name="PD-Master" state="visible" r:id="rId6"/>
    <sheet sheetId="4" name="recheck" state="visible" r:id="rId7"/>
    <sheet sheetId="5" name="สินค้าL" state="visible" r:id="rId8"/>
    <sheet sheetId="6" name="สินค้าV" state="visible" r:id="rId9"/>
    <sheet sheetId="7" name="data" state="visible" r:id="rId10"/>
    <sheet sheetId="8" name="dataนน" state="visible" r:id="rId11"/>
    <sheet sheetId="9" name="data-ค่าฝา" state="visible" r:id="rId12"/>
    <sheet sheetId="10" name="ค่าฝา" state="visible" r:id="rId13"/>
  </sheets>
  <calcPr calcId="171027"/>
</workbook>
</file>

<file path=xl/comments3.xml><?xml version="1.0" encoding="utf-8"?>
<comments xmlns="http://schemas.openxmlformats.org/spreadsheetml/2006/main">
  <authors>
    <author>Author</author>
  </authors>
  <commentList>
    <comment ref="M2" authorId="0">
      <text/>
    </comment>
    <comment ref="O2" authorId="0">
      <text/>
    </comment>
    <comment ref="Q2" authorId="0">
      <text/>
    </comment>
  </commentList>
</comments>
</file>

<file path=xl/sharedStrings.xml><?xml version="1.0" encoding="utf-8"?>
<sst xmlns="http://schemas.openxmlformats.org/spreadsheetml/2006/main" count="15684" uniqueCount="6402">
  <si>
    <t>ระดับราคา</t>
  </si>
  <si>
    <t>20%-50%</t>
  </si>
  <si>
    <t>รหัสสินค้า</t>
  </si>
  <si>
    <t>ราคาส่ง</t>
  </si>
  <si>
    <t>ค่าลับคม</t>
  </si>
  <si>
    <t>ราคา+10%</t>
  </si>
  <si>
    <t>ราคา+15%</t>
  </si>
  <si>
    <t>ราคาปลีกออนไลน์</t>
  </si>
  <si>
    <t>BB-516</t>
  </si>
  <si>
    <t>BB-511</t>
  </si>
  <si>
    <t>BB-503</t>
  </si>
  <si>
    <t>BB-507</t>
  </si>
  <si>
    <t>BB-509</t>
  </si>
  <si>
    <t>BB-702</t>
  </si>
  <si>
    <t>BB-517</t>
  </si>
  <si>
    <t>BB-510</t>
  </si>
  <si>
    <t>BB-512</t>
  </si>
  <si>
    <t>BB-513</t>
  </si>
  <si>
    <t>BB-703</t>
  </si>
  <si>
    <t>BB-704</t>
  </si>
  <si>
    <t>BB-514</t>
  </si>
  <si>
    <t>BB-515</t>
  </si>
  <si>
    <t>BB-111</t>
  </si>
  <si>
    <t>BB-112</t>
  </si>
  <si>
    <t>BB-108</t>
  </si>
  <si>
    <t>BB-110</t>
  </si>
  <si>
    <t>BB-100</t>
  </si>
  <si>
    <t>BB-103</t>
  </si>
  <si>
    <t>BB-103/A</t>
  </si>
  <si>
    <t>BB-104</t>
  </si>
  <si>
    <t>ZM-BB-111/4</t>
  </si>
  <si>
    <t>VAL-64</t>
  </si>
  <si>
    <t>VAL-65</t>
  </si>
  <si>
    <t>VAL-66</t>
  </si>
  <si>
    <t>VAL-67</t>
  </si>
  <si>
    <t>VAL-73</t>
  </si>
  <si>
    <t>VAL-74</t>
  </si>
  <si>
    <t>ZP-A16015</t>
  </si>
  <si>
    <t>VAL-1516</t>
  </si>
  <si>
    <t>VAL-K099</t>
  </si>
  <si>
    <t>VAL-K024</t>
  </si>
  <si>
    <t>VAL-1513</t>
  </si>
  <si>
    <t>VAL-1510/W-1</t>
  </si>
  <si>
    <t>VAL-1510/W</t>
  </si>
  <si>
    <t>VAL-1510/B-1</t>
  </si>
  <si>
    <t>VAL-1510/B</t>
  </si>
  <si>
    <t>VAL-1511</t>
  </si>
  <si>
    <t>VAL-1511/B</t>
  </si>
  <si>
    <t>VAL-52</t>
  </si>
  <si>
    <t>VAL-52A</t>
  </si>
  <si>
    <t>VAL-53A</t>
  </si>
  <si>
    <t>VLY-2004</t>
  </si>
  <si>
    <t>VAL-G14</t>
  </si>
  <si>
    <t>PKY-2230</t>
  </si>
  <si>
    <t>VAL-M01</t>
  </si>
  <si>
    <t>PH-A18002/A</t>
  </si>
  <si>
    <t>PH-A18002/C</t>
  </si>
  <si>
    <t>PH-A18002/G</t>
  </si>
  <si>
    <t>BB-45</t>
  </si>
  <si>
    <t>VAL-126</t>
  </si>
  <si>
    <t>CFC-75339</t>
  </si>
  <si>
    <t>CFC-70739</t>
  </si>
  <si>
    <t>PROD-001</t>
  </si>
  <si>
    <t>PROD-004</t>
  </si>
  <si>
    <t>Note</t>
  </si>
  <si>
    <t>priority</t>
  </si>
  <si>
    <t>สถานะ</t>
  </si>
  <si>
    <t>ประเภทสินค้า</t>
  </si>
  <si>
    <t>ชื่อ</t>
  </si>
  <si>
    <t>ปริมาณสินค้า</t>
  </si>
  <si>
    <t>ปริมาณต่อหัว  (1ขวดได้กี่หัว / ถ้าสี1หัวใช้กี่หลอด)</t>
  </si>
  <si>
    <t>เทคนิคเพิ่มเติมในการขาย</t>
  </si>
  <si>
    <t>ทรงผม</t>
  </si>
  <si>
    <t>S</t>
  </si>
  <si>
    <t>M</t>
  </si>
  <si>
    <t>L</t>
  </si>
  <si>
    <t>สินค้าใหม่</t>
  </si>
  <si>
    <t>ทรีทเมนท์</t>
  </si>
  <si>
    <t>MRP-C12-1</t>
  </si>
  <si>
    <t>MaxRepeat C12 Anti-Breakage Strengthening Magic Keratin Shampoo No.1 แชมพูเบอร์ 1 ขนาด 400 ml</t>
  </si>
  <si>
    <t>400ml.</t>
  </si>
  <si>
    <t>4 pump , 5 ml / 80 times</t>
  </si>
  <si>
    <t>6 pump , 7.5 ml / 53 times</t>
  </si>
  <si>
    <t>8 ml / 10 times  / 40 times</t>
  </si>
  <si>
    <t>MRP-C12-2</t>
  </si>
  <si>
    <t>MaxRepeat C12 Anti-Breakage Strengthening Magic Keratin Serum No.2 เซรั่มเบอร์ 2 ขนาด 230 ml</t>
  </si>
  <si>
    <t>230ml.</t>
  </si>
  <si>
    <t>10 ml / 23 times</t>
  </si>
  <si>
    <t>15 ml / 15 times</t>
  </si>
  <si>
    <t>MRP-C12-3</t>
  </si>
  <si>
    <t>MaxRepeat C12 Anti-Breakage Magic Keratin Serum No.3 เซรั่มเบอร์ 3 ขนาด 230 ml</t>
  </si>
  <si>
    <t>MRP-C12-4</t>
  </si>
  <si>
    <t>MaxRepeat C12 Anti-Breakage Fortifying Magic Keratin Fortifying Mask No.4 มาสก์เบอร์ 4 ขนาด 400 ml</t>
  </si>
  <si>
    <t>MRP-C12S-2</t>
  </si>
  <si>
    <t>MaxRepeat C12 Anti-Breakage Magic Keratin System Set No.2 &amp; No.3 เซตกล่อง เบอร์ 1 และ เบอร์ 2</t>
  </si>
  <si>
    <t>25mlx10</t>
  </si>
  <si>
    <t xml:space="preserve">10 ml. / 2 times </t>
  </si>
  <si>
    <t>BB-201</t>
  </si>
  <si>
    <t>BARBER BRAIN ANAGAIN HAIR SHAMPOO 250ml บาร์เบอร์เบรน อนาเกน แฮร์ แชมพู</t>
  </si>
  <si>
    <t>250ml.</t>
  </si>
  <si>
    <t>2 pump , 4 ml / 75 times</t>
  </si>
  <si>
    <t>4 pump , 8 ml / 60 times</t>
  </si>
  <si>
    <t>6 pump , 10 ml / 25 times</t>
  </si>
  <si>
    <t>BB-202</t>
  </si>
  <si>
    <t>BARBER BRAIN ANAGAIN HAIR CONDITION 250mlบาร์เบอร์เบรน อนาเกน แฮร์ คอนดิชั่นเนอร์</t>
  </si>
  <si>
    <t>5 pump , 7.5 ml / 33 times</t>
  </si>
  <si>
    <t>BB-203</t>
  </si>
  <si>
    <t>BARBER BRAIN ANAGAIN HAIR TONIC 120ml บาร์เบอร์เบรน อนาเกน แฮร์ โทนิค</t>
  </si>
  <si>
    <t>120ml.</t>
  </si>
  <si>
    <t>10 pump , 1 ml / 120 times</t>
  </si>
  <si>
    <t>BB-204</t>
  </si>
  <si>
    <t>BARBER BRAIN NO GREY HAIR SHAMPOO 250ml บาร์เบอร์เบรน โน เกร แฮร์ แชมพู</t>
  </si>
  <si>
    <t>BB-205</t>
  </si>
  <si>
    <t>BARBER BRAIN NO GREY HAIR CONDITION 250ml บาร์เบอร์เบรน โน เกร แฮร์ คอนดิชั่นเนอร์</t>
  </si>
  <si>
    <t>BB-206</t>
  </si>
  <si>
    <t>BARBER BRAIN  NO GREY HAIR TONIC 120ml บาร์เบอร์เบรน โน เกร  แฮร์ โทนิค</t>
  </si>
  <si>
    <t>เคมีภัณฑ์-ผงฟอก</t>
  </si>
  <si>
    <t>ANG-067</t>
  </si>
  <si>
    <t>L’ANGEL Hair Bleaching Powder Gentle Blonde 60gx12 ผงฟอกสีผม</t>
  </si>
  <si>
    <t>60gx12</t>
  </si>
  <si>
    <t>4 x 60 = 240 g. / 1 time</t>
  </si>
  <si>
    <t>6 x 60 = 360 g.  / 1 time</t>
  </si>
  <si>
    <t>8 x 60 = 480 g.  / 1 time</t>
  </si>
  <si>
    <t>ANG-066</t>
  </si>
  <si>
    <t>L'ANGEL HAIR BLEACHING POWDER ผลิตภัณฑ์ฟอกสีผม ANG-066</t>
  </si>
  <si>
    <t>500g</t>
  </si>
  <si>
    <t>250 g / 1 times</t>
  </si>
  <si>
    <t>350 g / 1 times</t>
  </si>
  <si>
    <t>450 g / 1 times</t>
  </si>
  <si>
    <t>ANG-069</t>
  </si>
  <si>
    <t>L'ANGEL LUXURY ANGELIC 9 LEVELS แอลแองเจล ผงฟอกสีผม 400g ANG-069</t>
  </si>
  <si>
    <t xml:space="preserve">400g </t>
  </si>
  <si>
    <t>เคมีภัณฑ์-สีผม</t>
  </si>
  <si>
    <t>Infinity</t>
  </si>
  <si>
    <t>L'ANGEL Infinity Hair Colors PRO</t>
  </si>
  <si>
    <t>100mlx2</t>
  </si>
  <si>
    <t>100-150 ml.</t>
  </si>
  <si>
    <t>250-300 ml.</t>
  </si>
  <si>
    <t>300-400 ml.</t>
  </si>
  <si>
    <t>Monetti</t>
  </si>
  <si>
    <t>สีย้อมผมถาวร</t>
  </si>
  <si>
    <t>80ml.</t>
  </si>
  <si>
    <t>100-160 ml.</t>
  </si>
  <si>
    <t>240-320 ml.</t>
  </si>
  <si>
    <t>320-400 ml.</t>
  </si>
  <si>
    <t>เคมีภัณฑ์-น้ำยาดัด</t>
  </si>
  <si>
    <t>ชุดน้ำยาดัดเย็นสูตรเนื้อเจล Energy Perm ปริมาณ 150ml. (01น้ำยาดัด , 02น้ำยาโกรก)</t>
  </si>
  <si>
    <t>150ml.x2</t>
  </si>
  <si>
    <t>Down Prem</t>
  </si>
  <si>
    <t>25 g. / 6 times</t>
  </si>
  <si>
    <t>Up Prem</t>
  </si>
  <si>
    <t>10 g. / 15 times</t>
  </si>
  <si>
    <t>American Perm</t>
  </si>
  <si>
    <t>70 g. / 2 times</t>
  </si>
  <si>
    <t>100g. / 1 times</t>
  </si>
  <si>
    <t>Volome Perm</t>
  </si>
  <si>
    <t>100 g. / 1 times</t>
  </si>
  <si>
    <t>Foil Perm</t>
  </si>
  <si>
    <t>50 g. / 3 times</t>
  </si>
  <si>
    <t>75 g. / 2 times</t>
  </si>
  <si>
    <t>Titanium Perm</t>
  </si>
  <si>
    <t>Wire Perm</t>
  </si>
  <si>
    <t>Pin Prem</t>
  </si>
  <si>
    <t>ผงผสมน้ำยาดัดเย็น Down Perm ปริมาณ 100g (</t>
  </si>
  <si>
    <t>100g</t>
  </si>
  <si>
    <t xml:space="preserve"> </t>
  </si>
  <si>
    <t>BB-703 No.1 : BB-704 (2:1) (Powder ใช้เท่าเดิม ปริมาณ No.1 ขึ้นอยู่กับสูตร)</t>
  </si>
  <si>
    <t>20 : 10 g. / 10 times</t>
  </si>
  <si>
    <t>BB-703 No.1 : BB-704 (3:1) (Powder ใช้เท่าเดิม ปริมาณ No.1 ขึ้นอยู่กับสูตร)</t>
  </si>
  <si>
    <t>30 : 10 g. / 10 times</t>
  </si>
  <si>
    <t>เคมีภัณฑ์-เชื่อมแกน</t>
  </si>
  <si>
    <t>ANG-410</t>
  </si>
  <si>
    <t>L'ANGEL Bond Creator บอนด์ ครีเอเตอร์ โปรเฟสชั่นนอล ซาลอน คิต ปริมาณ 300x3มล. ANG-410</t>
  </si>
  <si>
    <t>300mlx3</t>
  </si>
  <si>
    <t>Bleaching (1:10)</t>
  </si>
  <si>
    <t>25 ml</t>
  </si>
  <si>
    <t>35 ml</t>
  </si>
  <si>
    <t>45 ml</t>
  </si>
  <si>
    <t>Hair Color 1:10)</t>
  </si>
  <si>
    <t>10-15 ml</t>
  </si>
  <si>
    <t>25-30 ml</t>
  </si>
  <si>
    <t>30-40 ml</t>
  </si>
  <si>
    <t xml:space="preserve">Treament (1:10) </t>
  </si>
  <si>
    <t>4 ml</t>
  </si>
  <si>
    <t>6 ml</t>
  </si>
  <si>
    <t>8 ml</t>
  </si>
  <si>
    <t>เคมีภัณฑ์-เคราติน</t>
  </si>
  <si>
    <t>ANG-613</t>
  </si>
  <si>
    <t>L'ANGEL SMART KERATIN แอลแองเจล สมาร์ท เคราติน แชมพู+ทรีทเมนต์ 258 ml.x2 รุ่น ANG-613</t>
  </si>
  <si>
    <t>258ml.x2</t>
  </si>
  <si>
    <t>40 g. / 6 times</t>
  </si>
  <si>
    <t>60 g. / 4 times</t>
  </si>
  <si>
    <t>80 g. / 3 times</t>
  </si>
  <si>
    <t>เคมีภัณฑ์-น้ำยายืด</t>
  </si>
  <si>
    <t>ANG-109</t>
  </si>
  <si>
    <t>L'ANGEL แอลแองเจล ชุดครีมยืดผมถาวร สูตรชาเขียว สำหรับผมไม่เคยทำเคมี ANG-109</t>
  </si>
  <si>
    <t>600ml</t>
  </si>
  <si>
    <t>100 g. / 6 times</t>
  </si>
  <si>
    <t>150 g. / 4 times</t>
  </si>
  <si>
    <t>200 g. / 3 times</t>
  </si>
  <si>
    <t>ANG-110</t>
  </si>
  <si>
    <t>L'ANGEL แอลแองเจล ชุดครีมยืดผมถาวร สูตรอโรม่า สำหรับผมที่ผ่านการทำเคมีมาก่อน ANG-110</t>
  </si>
  <si>
    <t>ANG-608</t>
  </si>
  <si>
    <t>L'ANGEL Perfect Keratin เพอร์เฟ็ค เคราติน แชมพู+ครีมนวด 258ml.x2 กล่องขาว ANG-608</t>
  </si>
  <si>
    <t>Shampoo</t>
  </si>
  <si>
    <t>10 g. / 25 times</t>
  </si>
  <si>
    <t>15 g. / 25 times</t>
  </si>
  <si>
    <t>20 g. / 13 times</t>
  </si>
  <si>
    <t>Conditioner</t>
  </si>
  <si>
    <t>30 g. / 8 times</t>
  </si>
  <si>
    <t>ANG-606</t>
  </si>
  <si>
    <t>L'ANGEL ARGANIC COLOR &amp; DAMAGED HAIR SHAMPOO แชมพูอาร์แกนิค ปริมาณ 268 มล.</t>
  </si>
  <si>
    <t>268ml.</t>
  </si>
  <si>
    <t>10 g. / 26 times</t>
  </si>
  <si>
    <t>15 g. / 17 times</t>
  </si>
  <si>
    <t>ANG-209</t>
  </si>
  <si>
    <t>L'ANGEL ARGANIC HAIR MASQUE แฮร์มาส์ก มาร์กบำรุงผม สูตรสำหรับผมทำสีและแห้งเสีย 500 ml. ANG-209</t>
  </si>
  <si>
    <t>500ml</t>
  </si>
  <si>
    <t>25 ml. / 20 times</t>
  </si>
  <si>
    <t>30 ml. / 16 times</t>
  </si>
  <si>
    <t>40 g. / 12 times</t>
  </si>
  <si>
    <t>ANG-303</t>
  </si>
  <si>
    <t>L'ANGEL Boost Up สูตรบำรุงหนังศีรษะ 10ml.x12 0.382g. รหัสสินค้า ANG-303</t>
  </si>
  <si>
    <t>10ml.x12</t>
  </si>
  <si>
    <t>10 ml. / 1 time</t>
  </si>
  <si>
    <t>10 g. / 1 time</t>
  </si>
  <si>
    <t>ANG-304</t>
  </si>
  <si>
    <t>L'ANGEL Boost Up สูตรควบคุมความมัน 10mlx12 0.385g. รหัสสินค้า ANG-304</t>
  </si>
  <si>
    <t>ANG-305</t>
  </si>
  <si>
    <t>L'ANGEL Boost Up สูตรป้องกันรังแค 10ml.x12 0.385g. รหัสสินค้า ANG-305</t>
  </si>
  <si>
    <t>แบรนด์</t>
  </si>
  <si>
    <t>ชื่อสินค้า (TH)</t>
  </si>
  <si>
    <t>จุดเด่นสินค้า</t>
  </si>
  <si>
    <t>1 ลังมีกี่ชิ้น</t>
  </si>
  <si>
    <t>Barcode</t>
  </si>
  <si>
    <t>อย</t>
  </si>
  <si>
    <t>มอก</t>
  </si>
  <si>
    <t>น้ำหนัก+นนกล่อง (กรัม)</t>
  </si>
  <si>
    <t>ขนาด กxยxส</t>
  </si>
  <si>
    <t>ค่าแพคกิ้ง</t>
  </si>
  <si>
    <t>ค่าฝา</t>
  </si>
  <si>
    <t>Barber Brain (บาร์เบอร์ เบรน)</t>
  </si>
  <si>
    <t>ปัตตาเลี่ยนขึ้นทรง,ปัตตาเลี่ยนเฟด(Fade),ไร้สาย</t>
  </si>
  <si>
    <t>ปัตตาเลี่ยนเฟด(Fade),ไร้สาย</t>
  </si>
  <si>
    <t>ปัตตาเลี่ยนขึ้นทรง,ไร้สาย</t>
  </si>
  <si>
    <t>Barber Brain Black Beast Barber Scissors 6.5"</t>
  </si>
  <si>
    <t>6.5"</t>
  </si>
  <si>
    <t>Barber Brain Black Beast  Thinning Scissor 6"</t>
  </si>
  <si>
    <t>6"</t>
  </si>
  <si>
    <t>70x80cm</t>
  </si>
  <si>
    <t>กันน้ำ 80% 145x160cm</t>
  </si>
  <si>
    <t>135x150cm</t>
  </si>
  <si>
    <t>120x160cm</t>
  </si>
  <si>
    <t>140x150cm</t>
  </si>
  <si>
    <t>120x140cm</t>
  </si>
  <si>
    <t>ANG-001</t>
  </si>
  <si>
    <t>L'Angel (แอลแองเจล)</t>
  </si>
  <si>
    <t>ANG-012</t>
  </si>
  <si>
    <t>ANG-018</t>
  </si>
  <si>
    <t>ANG-019</t>
  </si>
  <si>
    <t>ANG-070</t>
  </si>
  <si>
    <t>ANG-071</t>
  </si>
  <si>
    <t>ANG-081</t>
  </si>
  <si>
    <t>ANG-082</t>
  </si>
  <si>
    <t>ANG-084</t>
  </si>
  <si>
    <t>ANG-085</t>
  </si>
  <si>
    <t>ANG-086</t>
  </si>
  <si>
    <t>ANG-088</t>
  </si>
  <si>
    <t>ANG-089</t>
  </si>
  <si>
    <t>ANG-090</t>
  </si>
  <si>
    <t>ANG-091</t>
  </si>
  <si>
    <t>ANG-500</t>
  </si>
  <si>
    <t>4x8x18.5 ซม.</t>
  </si>
  <si>
    <t>ANG-501</t>
  </si>
  <si>
    <t>ANG-502</t>
  </si>
  <si>
    <t>ANG-503</t>
  </si>
  <si>
    <t>ANG-504</t>
  </si>
  <si>
    <t>ANG-505</t>
  </si>
  <si>
    <t>ANG-506</t>
  </si>
  <si>
    <t>ANG-507</t>
  </si>
  <si>
    <t>ANG-508</t>
  </si>
  <si>
    <t>ANG-509</t>
  </si>
  <si>
    <t>ANG-510</t>
  </si>
  <si>
    <t>ANG-511</t>
  </si>
  <si>
    <t>ANG-512</t>
  </si>
  <si>
    <t>ANG-513</t>
  </si>
  <si>
    <t>ANG-515</t>
  </si>
  <si>
    <t>ANG-516</t>
  </si>
  <si>
    <t>ANG-517</t>
  </si>
  <si>
    <t>ANG-518</t>
  </si>
  <si>
    <t>ANG-610</t>
  </si>
  <si>
    <t>ANG-301</t>
  </si>
  <si>
    <t>ANG-401</t>
  </si>
  <si>
    <t>10.5x12.5x14.5 ซม.</t>
  </si>
  <si>
    <t>J001-1</t>
  </si>
  <si>
    <t>B-012</t>
  </si>
  <si>
    <t>HF-017</t>
  </si>
  <si>
    <t>VALENTE (วาเลนเต้)</t>
  </si>
  <si>
    <t>25mm</t>
  </si>
  <si>
    <t>6x33x11.5 ซม.</t>
  </si>
  <si>
    <t>HF-013</t>
  </si>
  <si>
    <t>40mm</t>
  </si>
  <si>
    <t>HF-001</t>
  </si>
  <si>
    <t>HF-002</t>
  </si>
  <si>
    <t>HC-003/28</t>
  </si>
  <si>
    <t>28mm</t>
  </si>
  <si>
    <t>HC-003/38</t>
  </si>
  <si>
    <t>38mm</t>
  </si>
  <si>
    <t>HC-002/25</t>
  </si>
  <si>
    <t>HC-002/32</t>
  </si>
  <si>
    <t>32mm</t>
  </si>
  <si>
    <t>HC-019</t>
  </si>
  <si>
    <t>HC-020</t>
  </si>
  <si>
    <t>HD-003</t>
  </si>
  <si>
    <t>2,000w</t>
  </si>
  <si>
    <t>HD-002</t>
  </si>
  <si>
    <t>1,600w</t>
  </si>
  <si>
    <t>VAL-038</t>
  </si>
  <si>
    <t>ปากไดร์ขนาด  3.5 - 4.5 cm เล็กกว่านี้ใส่ไม่ได้ หลวม</t>
  </si>
  <si>
    <t>A-040</t>
  </si>
  <si>
    <t>ปากไดร์ขนาด 4 cm. เล็กกว่านี้ใส่ไม่ได้ หลวม</t>
  </si>
  <si>
    <t>A-041</t>
  </si>
  <si>
    <t>ตัวกระจายลม ไดร์เป่าผม สำหรับผมดัดหรือผมลอน</t>
  </si>
  <si>
    <t>ปากไดร์ขนาด 5.5 cm. เล็กกว่านี้ใส่ไม่ได้ หลวม</t>
  </si>
  <si>
    <t>ขนาดรวมกล่อง 15.5x15.5x13 ซม. ใส่ปากไดร์ 5.5 cm</t>
  </si>
  <si>
    <t>VAL-1919-01</t>
  </si>
  <si>
    <t>VAL-1919-06</t>
  </si>
  <si>
    <t>VAL-1919-02</t>
  </si>
  <si>
    <t>VAL-2208-01</t>
  </si>
  <si>
    <t>HT-002</t>
  </si>
  <si>
    <t>PKY-2233</t>
  </si>
  <si>
    <t>PKY-2235</t>
  </si>
  <si>
    <t>XJ-200</t>
  </si>
  <si>
    <t>XB-707</t>
  </si>
  <si>
    <t>SM-01</t>
  </si>
  <si>
    <t>T-21</t>
  </si>
  <si>
    <t>HL-910/A</t>
  </si>
  <si>
    <t>HL-922/A</t>
  </si>
  <si>
    <t>VAL-5/B</t>
  </si>
  <si>
    <t>5.5"</t>
  </si>
  <si>
    <t>VAL-9/A</t>
  </si>
  <si>
    <t>JH-802</t>
  </si>
  <si>
    <t>VAL-61</t>
  </si>
  <si>
    <t>VAL-62</t>
  </si>
  <si>
    <t>VAL-PA03-60</t>
  </si>
  <si>
    <t>VAL-PA03-630</t>
  </si>
  <si>
    <t>VAL-VT01-60</t>
  </si>
  <si>
    <t>VAL-VT03-630F</t>
  </si>
  <si>
    <t>VAL-GTG03-60</t>
  </si>
  <si>
    <t>VAL-JB-60</t>
  </si>
  <si>
    <t>VAL-WB-60</t>
  </si>
  <si>
    <t>VAL-WB-630</t>
  </si>
  <si>
    <t>VAL-370</t>
  </si>
  <si>
    <t>VAl-702-5</t>
  </si>
  <si>
    <t>5"</t>
  </si>
  <si>
    <t>VAL-68-69</t>
  </si>
  <si>
    <t>VAL-70-71</t>
  </si>
  <si>
    <t>VAL-72</t>
  </si>
  <si>
    <t>C-5</t>
  </si>
  <si>
    <t>CTP-200</t>
  </si>
  <si>
    <t>CAPE-1</t>
  </si>
  <si>
    <t>105x130cm 50pcs.</t>
  </si>
  <si>
    <t>H-001/2</t>
  </si>
  <si>
    <t>H-002/2</t>
  </si>
  <si>
    <t>VAL-502</t>
  </si>
  <si>
    <t xml:space="preserve"> ผ้าเสอร์ช กันน้ำได้ 80% </t>
  </si>
  <si>
    <t>SRF-064</t>
  </si>
  <si>
    <t>H-007</t>
  </si>
  <si>
    <t>VAL-1515/W</t>
  </si>
  <si>
    <t>K-011/2</t>
  </si>
  <si>
    <t>VAL-K080</t>
  </si>
  <si>
    <t>140x165cm</t>
  </si>
  <si>
    <t>VAL-1517</t>
  </si>
  <si>
    <t>128x150cm</t>
  </si>
  <si>
    <t>VAL-1510/W-2</t>
  </si>
  <si>
    <t>K-050-03</t>
  </si>
  <si>
    <t>130x140cm</t>
  </si>
  <si>
    <t>K-050-05</t>
  </si>
  <si>
    <t>K-050-10</t>
  </si>
  <si>
    <t>VAL-K074</t>
  </si>
  <si>
    <t>130x160cm</t>
  </si>
  <si>
    <t>VAL-LH21S</t>
  </si>
  <si>
    <t>140x160cm</t>
  </si>
  <si>
    <t>VAL-LH52S</t>
  </si>
  <si>
    <t>VAL-52B</t>
  </si>
  <si>
    <t>G-33</t>
  </si>
  <si>
    <t>VAL-684</t>
  </si>
  <si>
    <t>VAL-739</t>
  </si>
  <si>
    <t>VAL-9904</t>
  </si>
  <si>
    <t>HS-98439-04</t>
  </si>
  <si>
    <t>HS-98439-10</t>
  </si>
  <si>
    <t>K-028/1-10</t>
  </si>
  <si>
    <t>K-028/1-13</t>
  </si>
  <si>
    <t>P-118</t>
  </si>
  <si>
    <t>SR-1210</t>
  </si>
  <si>
    <t>VAL-217</t>
  </si>
  <si>
    <t>XR-001</t>
  </si>
  <si>
    <t>VAL-200</t>
  </si>
  <si>
    <t>CPS-001</t>
  </si>
  <si>
    <t>VAL-3300</t>
  </si>
  <si>
    <t>LST-418</t>
  </si>
  <si>
    <t>VAL-9804</t>
  </si>
  <si>
    <t>VAL-1000-02</t>
  </si>
  <si>
    <t>VAL-1000-03</t>
  </si>
  <si>
    <t>VAL-1000-04</t>
  </si>
  <si>
    <t>VAL-1000-05</t>
  </si>
  <si>
    <t>VAL-1000-09</t>
  </si>
  <si>
    <t>VAL-1000-10</t>
  </si>
  <si>
    <t>VAL-2534-11</t>
  </si>
  <si>
    <t>VAL-2534-20</t>
  </si>
  <si>
    <t>VAL-9006-01</t>
  </si>
  <si>
    <t>VAL-9006-14</t>
  </si>
  <si>
    <t>M-46</t>
  </si>
  <si>
    <t>VLY-2003</t>
  </si>
  <si>
    <t>SR-9973</t>
  </si>
  <si>
    <t>SR-9973-11</t>
  </si>
  <si>
    <t>VAL-700</t>
  </si>
  <si>
    <t>2.5x24x41</t>
  </si>
  <si>
    <t>VAL-800</t>
  </si>
  <si>
    <t>2.5x24x42</t>
  </si>
  <si>
    <t>VAL-0529</t>
  </si>
  <si>
    <t>PK-0530</t>
  </si>
  <si>
    <t>VLY-2001</t>
  </si>
  <si>
    <t>VLY-2002</t>
  </si>
  <si>
    <t>PKY-2232</t>
  </si>
  <si>
    <t>M-018-01</t>
  </si>
  <si>
    <t>M-018-02</t>
  </si>
  <si>
    <t>M-018-05</t>
  </si>
  <si>
    <t>M-018-09</t>
  </si>
  <si>
    <t>VAL-1401</t>
  </si>
  <si>
    <t>VAL-1407/A</t>
  </si>
  <si>
    <t>VAL-1412</t>
  </si>
  <si>
    <t>PKY-1402</t>
  </si>
  <si>
    <t>VAL-K237</t>
  </si>
  <si>
    <t>G-11</t>
  </si>
  <si>
    <t>LST-186</t>
  </si>
  <si>
    <t>XZ-1</t>
  </si>
  <si>
    <t>ZP-A16012</t>
  </si>
  <si>
    <t>BD-9002</t>
  </si>
  <si>
    <t>VAL-600</t>
  </si>
  <si>
    <t>HADL-11</t>
  </si>
  <si>
    <t>GX-002</t>
  </si>
  <si>
    <t>VAL-501/3</t>
  </si>
  <si>
    <t>PKY-1506</t>
  </si>
  <si>
    <t>SR-001</t>
  </si>
  <si>
    <t>SR-002</t>
  </si>
  <si>
    <t>PK-MARD-04</t>
  </si>
  <si>
    <t>HADL-6</t>
  </si>
  <si>
    <t>VAL-1708</t>
  </si>
  <si>
    <t>VAL-1200</t>
  </si>
  <si>
    <t>VAL-1201</t>
  </si>
  <si>
    <t>ND-02</t>
  </si>
  <si>
    <t>C-04</t>
  </si>
  <si>
    <t>HP/2</t>
  </si>
  <si>
    <t>VAL-400</t>
  </si>
  <si>
    <t>HS-00339</t>
  </si>
  <si>
    <t>BD-051</t>
  </si>
  <si>
    <t>VAL-8005</t>
  </si>
  <si>
    <t>H-004</t>
  </si>
  <si>
    <t xml:space="preserve">หัวหุ่นชาย ผมแท้ สีดำ ยาว 6” ทำเคมีได้ สามารถโดนความร้อน ฟอก ทำสีได้ </t>
  </si>
  <si>
    <t>16.5x16.5x28 ซม.</t>
  </si>
  <si>
    <t>H-005</t>
  </si>
  <si>
    <t>หัวหุ่นหญิง ผมแท้ สีดำ ยาว 15” ทำเคมีได้ สามารถโดนความร้อน ฟอก ทำสี ได้</t>
  </si>
  <si>
    <t>16.5x16.5x29 ซม.</t>
  </si>
  <si>
    <t>ZM-H004/005</t>
  </si>
  <si>
    <t>GLY-1302</t>
  </si>
  <si>
    <t>Z-027</t>
  </si>
  <si>
    <t>กระดาษพันแกนดัดเย็น (Cold Perm) ขนาด 6.4x11.3cm จำนวน 200 ชิ้น</t>
  </si>
  <si>
    <t>7x11.5x5.5 ซม.</t>
  </si>
  <si>
    <t>Z-028</t>
  </si>
  <si>
    <t>กระดาษพันแกนดัดเย็น (Cold Perm) ขนาด 2x7.5x14cm จำนวน 380 ชิ้น</t>
  </si>
  <si>
    <t>2x7.5x14 ซม.</t>
  </si>
  <si>
    <t>PKY-2282</t>
  </si>
  <si>
    <t>ขนาด 100 x 65mm จำนวน 1,000 ชิ้น</t>
  </si>
  <si>
    <t>6.8x10.2x4.5 ซม.</t>
  </si>
  <si>
    <t>Q-71</t>
  </si>
  <si>
    <t>ก33xย30 ซม.</t>
  </si>
  <si>
    <t>VAL-300</t>
  </si>
  <si>
    <t>ก33xย34 ซม.</t>
  </si>
  <si>
    <t>OY-983-S</t>
  </si>
  <si>
    <t>OY-983-M</t>
  </si>
  <si>
    <t>OY-983-L</t>
  </si>
  <si>
    <t>OY-993-S</t>
  </si>
  <si>
    <t>OY-993-M/1</t>
  </si>
  <si>
    <t>OY-993-L</t>
  </si>
  <si>
    <t>DY-001</t>
  </si>
  <si>
    <t>XG-380</t>
  </si>
  <si>
    <t>VAL-C819/S</t>
  </si>
  <si>
    <t>VAL-C819/B</t>
  </si>
  <si>
    <t>A-14004/1+A14004/2</t>
  </si>
  <si>
    <t>BOX-01/S-03</t>
  </si>
  <si>
    <t>BOX-01/L-03</t>
  </si>
  <si>
    <t>BOX-02/S-03</t>
  </si>
  <si>
    <t>BOX-02/L-03</t>
  </si>
  <si>
    <t>VAL-850B-8</t>
  </si>
  <si>
    <t>VAL-850B-10</t>
  </si>
  <si>
    <t>VAl-850D</t>
  </si>
  <si>
    <t>VAl-850D-10</t>
  </si>
  <si>
    <t>VAL-981</t>
  </si>
  <si>
    <t>VAL-982</t>
  </si>
  <si>
    <t>VAL-983</t>
  </si>
  <si>
    <t>VAL-984</t>
  </si>
  <si>
    <t>HP-005/1</t>
  </si>
  <si>
    <t>HP-006/1</t>
  </si>
  <si>
    <t>HP-007/1</t>
  </si>
  <si>
    <t>HP-008/1</t>
  </si>
  <si>
    <t>VAL-815X</t>
  </si>
  <si>
    <t>VAL-816X</t>
  </si>
  <si>
    <t>VAL-817X</t>
  </si>
  <si>
    <t>VAL-818X</t>
  </si>
  <si>
    <t>VAL-815Z</t>
  </si>
  <si>
    <t>VAL-816Z</t>
  </si>
  <si>
    <t>VAL-817Z</t>
  </si>
  <si>
    <t>VAL-818Z</t>
  </si>
  <si>
    <t>VAL-008/16</t>
  </si>
  <si>
    <t>VAL-008/18</t>
  </si>
  <si>
    <t>VAL-008/20</t>
  </si>
  <si>
    <t>VAL-008/24</t>
  </si>
  <si>
    <t>VAL-931</t>
  </si>
  <si>
    <t>VAL-932</t>
  </si>
  <si>
    <t>VAL-933</t>
  </si>
  <si>
    <t>VAL-934</t>
  </si>
  <si>
    <t>VAL-970</t>
  </si>
  <si>
    <t>VAL-971</t>
  </si>
  <si>
    <t>VAL-972</t>
  </si>
  <si>
    <t>VAL-973</t>
  </si>
  <si>
    <t>VAL-862-D</t>
  </si>
  <si>
    <t>VAL-863-D</t>
  </si>
  <si>
    <t>VAL-864-D</t>
  </si>
  <si>
    <t>VAL-971/B</t>
  </si>
  <si>
    <t>VAL-972/B</t>
  </si>
  <si>
    <t>VAL-973/B</t>
  </si>
  <si>
    <t>HP-011-1</t>
  </si>
  <si>
    <t>HP-012</t>
  </si>
  <si>
    <t>HP-013</t>
  </si>
  <si>
    <t>HP-014</t>
  </si>
  <si>
    <t>HP-009</t>
  </si>
  <si>
    <t>HP-010</t>
  </si>
  <si>
    <t>HP-011</t>
  </si>
  <si>
    <t>HP-A000</t>
  </si>
  <si>
    <t>HP-A001</t>
  </si>
  <si>
    <t>HP-A002</t>
  </si>
  <si>
    <t>HP-A003</t>
  </si>
  <si>
    <t>VAL-220/B</t>
  </si>
  <si>
    <t>VAL-221/B</t>
  </si>
  <si>
    <t>VAL-222/B</t>
  </si>
  <si>
    <t>VAL-223/B</t>
  </si>
  <si>
    <t>VAL-226/A</t>
  </si>
  <si>
    <t>VAL-226/B</t>
  </si>
  <si>
    <t>VAL-224/B</t>
  </si>
  <si>
    <t>POM-74539</t>
  </si>
  <si>
    <t>BD-050</t>
  </si>
  <si>
    <t>VAL-220/A</t>
  </si>
  <si>
    <t>VAL-221/A</t>
  </si>
  <si>
    <t>VAL-222/A</t>
  </si>
  <si>
    <t>VAL-223/A</t>
  </si>
  <si>
    <t>VAL-125</t>
  </si>
  <si>
    <t>B-19</t>
  </si>
  <si>
    <t>JM-701-10</t>
  </si>
  <si>
    <t>VAL-100</t>
  </si>
  <si>
    <t>VAL-339</t>
  </si>
  <si>
    <t>VAL-320</t>
  </si>
  <si>
    <t>B-14</t>
  </si>
  <si>
    <t>VAL-211/B</t>
  </si>
  <si>
    <t>VAL-212/B</t>
  </si>
  <si>
    <t>VAL-213/A</t>
  </si>
  <si>
    <t>VAL-213/B</t>
  </si>
  <si>
    <t>VAL-215/B</t>
  </si>
  <si>
    <t>ACS-006</t>
  </si>
  <si>
    <t>VAL-K345</t>
  </si>
  <si>
    <t>CB-610</t>
  </si>
  <si>
    <t>BD-093</t>
  </si>
  <si>
    <t>ZN-809</t>
  </si>
  <si>
    <t>VAL-123</t>
  </si>
  <si>
    <t>VAL-124</t>
  </si>
  <si>
    <t>VAL-025-1</t>
  </si>
  <si>
    <t>แปรงไดร์กลมแกนเซรามิก 25 mm.</t>
  </si>
  <si>
    <t>ก3xย29 ซม.</t>
  </si>
  <si>
    <t>VAL-025-2</t>
  </si>
  <si>
    <t>แปรงไดร์กลมแกนเซรามิก 35 mm.</t>
  </si>
  <si>
    <t>ก4xย30 ซม.</t>
  </si>
  <si>
    <t>VAL-025-3</t>
  </si>
  <si>
    <t>แปรงไดร์กลมแกนเซรามิก 50 mm.</t>
  </si>
  <si>
    <t>ก5xย30 ซม.</t>
  </si>
  <si>
    <t>VAL-025-4</t>
  </si>
  <si>
    <t>แปรงไดร์กลมแกนเซรามิก 55 mm.</t>
  </si>
  <si>
    <t>ก6xย29.5 ซม.</t>
  </si>
  <si>
    <t>LU-1702</t>
  </si>
  <si>
    <t>JX-1</t>
  </si>
  <si>
    <t>JM-001</t>
  </si>
  <si>
    <t>JM-002</t>
  </si>
  <si>
    <t>VAL-621/A</t>
  </si>
  <si>
    <t>VAL-620</t>
  </si>
  <si>
    <t>CH-1200</t>
  </si>
  <si>
    <t>XL-11301</t>
  </si>
  <si>
    <t>VAL-670</t>
  </si>
  <si>
    <t>PKY-1553</t>
  </si>
  <si>
    <t>VAL-589</t>
  </si>
  <si>
    <t>VAL-651</t>
  </si>
  <si>
    <t>VAL-651/1</t>
  </si>
  <si>
    <t>VAL-900</t>
  </si>
  <si>
    <t>VAL-302</t>
  </si>
  <si>
    <t>VAL-303</t>
  </si>
  <si>
    <t>VAL-304</t>
  </si>
  <si>
    <t>VAL-306</t>
  </si>
  <si>
    <t>VAL-11001</t>
  </si>
  <si>
    <t>VAL-11002</t>
  </si>
  <si>
    <t>VAL-11002-3</t>
  </si>
  <si>
    <t>VAL-11002-4</t>
  </si>
  <si>
    <t>VAL-11002-5</t>
  </si>
  <si>
    <t>VAL-11002-6</t>
  </si>
  <si>
    <t>PRO-1</t>
  </si>
  <si>
    <t>PRO-2</t>
  </si>
  <si>
    <t>PRO-3</t>
  </si>
  <si>
    <t>PRO-5</t>
  </si>
  <si>
    <t>VAL-11202-7</t>
  </si>
  <si>
    <t>PKY-2281</t>
  </si>
  <si>
    <t>PKY-2280</t>
  </si>
  <si>
    <t>XL-108/2</t>
  </si>
  <si>
    <t>XL-108/3</t>
  </si>
  <si>
    <t>XL-108/4</t>
  </si>
  <si>
    <t>A-015/4</t>
  </si>
  <si>
    <t>A-015/5</t>
  </si>
  <si>
    <t>A-015/6</t>
  </si>
  <si>
    <t>A-015/7</t>
  </si>
  <si>
    <t>A-015/8</t>
  </si>
  <si>
    <t>A-015/9</t>
  </si>
  <si>
    <t>A-015/10</t>
  </si>
  <si>
    <t>A-015/11</t>
  </si>
  <si>
    <t>A-015/12</t>
  </si>
  <si>
    <t>A-015/13</t>
  </si>
  <si>
    <t>LST-0704/C</t>
  </si>
  <si>
    <t>LST-0704/A</t>
  </si>
  <si>
    <t>LST-0704/B</t>
  </si>
  <si>
    <t>LST-132/1</t>
  </si>
  <si>
    <t>VAL-4029</t>
  </si>
  <si>
    <t>BD-101</t>
  </si>
  <si>
    <t>BD-102</t>
  </si>
  <si>
    <t>BD-103</t>
  </si>
  <si>
    <t>แก้ปัญหาผมบาง</t>
  </si>
  <si>
    <t>7x7x17.2</t>
  </si>
  <si>
    <t>5.2x5.2x13.7</t>
  </si>
  <si>
    <t>แก้ปัญหาผมหงอก กระตุ้นเซลล์เม็ดสี</t>
  </si>
  <si>
    <t>H-010</t>
  </si>
  <si>
    <t>หัวหุ่นผู้หญิง ผมสีดำยาว 18 นิ้ว</t>
  </si>
  <si>
    <t>หัวหุ่นผู้หญิง ผมสีดำยาว 18 นิ้ว สำหรับตัดเท่านั้น</t>
  </si>
  <si>
    <t>H-011</t>
  </si>
  <si>
    <t>หัวหุ่นผู้หญิง ผมสีทองยาว 22 นิ้ว</t>
  </si>
  <si>
    <t>หัวหุ่นผู้หญิง ผมสีทองยาว 22 นิ้ว สำหรับตัดเท่านั้น</t>
  </si>
  <si>
    <t>หวีแปรงกระดูก</t>
  </si>
  <si>
    <t>หวีแปรงกระดูกแบบมีขน</t>
  </si>
  <si>
    <t>BB-518/BL</t>
  </si>
  <si>
    <t>Barber brain building fiber black  25g. บาร์เบอร์เบรน แฮร์ บิลดิ้ง ไฟเบอร์ ดำ  25 กรัม</t>
  </si>
  <si>
    <t>BB-518/DB</t>
  </si>
  <si>
    <t>Barber brain building fiber dark brown 25g. บาร์เบอร์เบรน แฮร์ บิลดิ้ง ไฟเบอร์ น้ำตาลเข้ม  25 กรัม</t>
  </si>
  <si>
    <t>AC-BB-518/AP</t>
  </si>
  <si>
    <t>Barber brain building fiber Applicator pump บาร์เบอร์เบรน แฮร์ บิลดิ้ง แอพพลิเคเตอร์ พัมพ์</t>
  </si>
  <si>
    <t>แก้ปัญหาผมบาง หัวปั๊ม</t>
  </si>
  <si>
    <t>BB-518/BL-R</t>
  </si>
  <si>
    <t>Barber brain building fiber black refill pack 50g. บาร์เบอร์เบรน แฮร์ บิลดิ้ง ไฟเบอร์ ดำ ชนิดเติม  50 กรัม</t>
  </si>
  <si>
    <t>BB-518/DB-R</t>
  </si>
  <si>
    <t>Barber brain building fiber dark brown refill pack 50g. บาร์เบอร์เบรน แฮร์ บิลดิ้ง ไฟเบอร์ น้ำตาลเข้ม ชนิดเติม  50 กรัม</t>
  </si>
  <si>
    <t>BB-519/BL</t>
  </si>
  <si>
    <t>Barber brain hair touch up black  4g. บาร์เบอร์เบรน แฮร์ ทัช อัพ ดำ 4 กรัม</t>
  </si>
  <si>
    <t>2in1 ปิดผมหงอกเร่งด่วน และแก้ปัญหาผมบาง</t>
  </si>
  <si>
    <t>BB-519/BR</t>
  </si>
  <si>
    <t>Barber brain hair touch up dark brown 4g. บาร์เบอร์เบรน แฮร์ ทัช อัพ น้ำตาล   4 กรัม</t>
  </si>
  <si>
    <t>BB-517/1</t>
  </si>
  <si>
    <t>Barber brain dust powder refill pack 50g. บาร์เบอร์เบรน ดัสท์ พาวเดอร์ (แบบเติม) 50 กรัม</t>
  </si>
  <si>
    <t>ANG-412</t>
  </si>
  <si>
    <t>L’ANGEL Bond Creator Building Essence 150 ml แอลแองเจล บอนด์ ครีเอเตอร์ บิวดิ้ง เอสเซนส์ 150 มล</t>
  </si>
  <si>
    <t>เชื่อมแกนผม</t>
  </si>
  <si>
    <t>VAL-XD2-8</t>
  </si>
  <si>
    <t>Valente Texture comb วาเลนเต้ หวีเท็กเจอร์</t>
  </si>
  <si>
    <t>ANG-413</t>
  </si>
  <si>
    <t>ANG-414</t>
  </si>
  <si>
    <t>BB-113</t>
  </si>
  <si>
    <t>BB-209</t>
  </si>
  <si>
    <t>ANG-614</t>
  </si>
  <si>
    <t xml:space="preserve">L'Angel Gentel Smooth Keratin 258ml. x2 </t>
  </si>
  <si>
    <t>10-2-6900014550</t>
  </si>
  <si>
    <t>สูตรน้ำล้างออกง่าย พลังจัดทรงสูงพิเศษ ไม่ทำลายเส้นผม</t>
  </si>
  <si>
    <t/>
  </si>
  <si>
    <t>PROD-002</t>
  </si>
  <si>
    <t>เม็ดสีออร์แกนิคนำเข้าจากฝรั่งเศส ปิดผมขาวแนบสนิท</t>
  </si>
  <si>
    <t>PROD-003</t>
  </si>
  <si>
    <t>มอเตอร์ความทนทานสูง ปล่อยประจุลบ 2 ล้านหน่วย ถนอมเส้นผม</t>
  </si>
  <si>
    <t>เนื้อดินน้ำมันด้าน ลุคธรรมชาติ อยู่ทรงนาน 24 ชั่วโมง</t>
  </si>
  <si>
    <t>PROD-005</t>
  </si>
  <si>
    <t>เคราตินสกัดเข้มข้น ฟื้นบำรึผมแตกปลายเร่งด่วน</t>
  </si>
  <si>
    <t>ลำดับ</t>
  </si>
  <si>
    <t>รหัส</t>
  </si>
  <si>
    <t>ราคาออนไลน์</t>
  </si>
  <si>
    <t>Checklist Platform เปิดสินค้า</t>
  </si>
  <si>
    <t>Com merzy</t>
  </si>
  <si>
    <t>Shopee : Valente</t>
  </si>
  <si>
    <t>Shopee : BB</t>
  </si>
  <si>
    <t>Lazada : CMS</t>
  </si>
  <si>
    <t>Lazada : Valente</t>
  </si>
  <si>
    <t>Lazada : L'Angel</t>
  </si>
  <si>
    <t>Tiktok : CMS</t>
  </si>
  <si>
    <t>Tiktok : BB</t>
  </si>
  <si>
    <t>ZM-BB-111-4</t>
  </si>
  <si>
    <t>VAL-XE2-8</t>
  </si>
  <si>
    <t>Angelic</t>
  </si>
  <si>
    <t>icolor</t>
  </si>
  <si>
    <t>infinity</t>
  </si>
  <si>
    <t>สี</t>
  </si>
  <si>
    <t>ออฟชั่น</t>
  </si>
  <si>
    <t>ชื่อสินค้า</t>
  </si>
  <si>
    <t>รายละเอียดสินค้า</t>
  </si>
  <si>
    <t>หมวด</t>
  </si>
  <si>
    <t>หมวดย่อย</t>
  </si>
  <si>
    <t>ซัพพลายเออร์</t>
  </si>
  <si>
    <t>ต้นทุน</t>
  </si>
  <si>
    <t>ส่ง</t>
  </si>
  <si>
    <t>ตัวแทน</t>
  </si>
  <si>
    <t>ลดพิเศษ</t>
  </si>
  <si>
    <t>ปลีก</t>
  </si>
  <si>
    <t>หน้าเว็บ</t>
  </si>
  <si>
    <t>สต๊อก</t>
  </si>
  <si>
    <t>ลดราคา</t>
  </si>
  <si>
    <t>ร่วมโปร</t>
  </si>
  <si>
    <t>ขายตัวแทน</t>
  </si>
  <si>
    <t>ขายหน้าเว็บ</t>
  </si>
  <si>
    <t>SKU</t>
  </si>
  <si>
    <t>บาร์โคด</t>
  </si>
  <si>
    <t>GAD-001</t>
  </si>
  <si>
    <t>กู๊ด ออล เดย์</t>
  </si>
  <si>
    <t xml:space="preserve">&lt;p&gt;GOOD ALL DAY:GENTLEMAN POMADE&lt;/p&gt;
 &lt;p&gt;สีฟ้า กู๊ด ออล เดย์ เจนเทิลแมนโพเมด ปริมาณ 80 g.&lt;/p&gt;
 &lt;p&gt;&amp;nbsp; &amp;nbsp; &amp;nbsp; &amp;nbsp;โพเมดจัดเเต่งทรงผม สูตร water based ให้ผมอยู่ทรงนานตลอดทั้งวัน ล้างออกง่าย จัดเเต่งทรงผม&lt;/p&gt;
 &lt;p&gt;ได้หลายสไตล์ ทั้งแนววินเทจหรือปฟชั้น เพิ่มความมั่นใจหมดห่วงเรื่องทรงผมตลอดทั้งวัน&lt;/p&gt;
 &lt;p&gt;&amp;nbsp;&lt;/p&gt;
 &lt;p&gt;วิธีใช้. นำโพเมดมาถูบนฝ่ามือให้อ่อนตัวลงเเล้วใช้จัดเเต่งทรงผมตามต้องการ&lt;/p&gt;
 &lt;p&gt;warning: ควรใช้กับเส้นผมเท่านั้น&lt;/p&gt;
 &lt;p&gt;&lt;br /&gt;&lt;br /&gt;&lt;/p&gt;</t>
  </si>
  <si>
    <t>GOOD ALL DAY</t>
  </si>
  <si>
    <t>Grooming - ผลิตภัณพ์จัดแต่งทรงผมและหนวด</t>
  </si>
  <si>
    <t>Hair Styling (จัดแต่งทรงผมผู้ชาย)</t>
  </si>
  <si>
    <t>บริษัท พันธ์วาดี จำกัด</t>
  </si>
  <si>
    <t>GAD-002</t>
  </si>
  <si>
    <t>กู๊ด ออล เดย์ ไฟเบอร์ แว็กซ์</t>
  </si>
  <si>
    <t xml:space="preserve">&lt;p&gt;GOOD ALL DAY: Gentleman Fiber Wax สีเหลือง&lt;/p&gt;
 &lt;p&gt;กู๊ด ออล เดย์ เจนเทิลแมนไฟเบอร์ แว๊ก 80 g.&lt;/p&gt;
 &lt;p&gt;&amp;nbsp; &amp;nbsp; &amp;nbsp; แว๊กซ์จัดแต่งทรงผม สูตร FIBER ช่วยให้ผมอยู่ทรงยาวนานตลอดทั้งวัน ล้างออกง่าย&lt;/p&gt;
 &lt;p&gt;จัดแต่งทรงผมได้หลากหลายสไตล์ ทั้งแนววินเทจหรือปฟชั้น เพิ่มความมั่นใจหมดห่วงเรื่อง&lt;/p&gt;
 &lt;p&gt;ทรงผม ตลอดทั้งวัน&lt;/p&gt;
 &lt;p&gt;&amp;nbsp;&lt;/p&gt;
 &lt;p&gt;วิธีใช้: นำเเว็กซ์มาถูบนฝ่ามือให้อ่อนตัวลงแล้วใช้จัดเเต่งทรงผมตามต้องการ&lt;/p&gt;
 &lt;p&gt;warning: ควรใช้กับเส้นผมเท่านั้น&lt;/p&gt;</t>
  </si>
  <si>
    <t>GAD-003</t>
  </si>
  <si>
    <t>กู๊ด ออล เดย์ แบล็ค เคลย์</t>
  </si>
  <si>
    <t xml:space="preserve">&lt;p&gt;GOOD ALL DAY: Gentleman All Black Clay สีดำ&lt;/p&gt;
 &lt;p&gt;กู๊ด ออล เดย์ เจนเทิลแมนออลแบล็คเครย์ 80 ml.&lt;/p&gt;
 &lt;p&gt;&amp;nbsp; &amp;nbsp; &amp;nbsp; &amp;nbsp; &amp;nbsp;ดินน้ำมันแต่งผม เพิ่มแท๊กซ์เจอร์และให้ลุคทรงผมด้านไม่เงา ผมอยู่ทรงนานตลอดทั้งวัน&lt;/p&gt;
 &lt;p&gt;ล้างออกง่าย จัดแต่งทรงผมได้หลากหลายสไตล์ทั้งแนววืนเทจและแฟชั่น เพิ่มความมั่นใจหมด&lt;/p&gt;
 &lt;p&gt;ห่วงเรื่องผมตลอดทั้งวัน&lt;/p&gt;
 &lt;p&gt;&amp;nbsp;&lt;/p&gt;
 &lt;p&gt;วิธีใช้: นำเครย์มาถูบนฝ่ามือให้อ่อนตัวลงเเล้วใช้จัดเเต่งทรงผมตามต้องการ&lt;/p&gt;
 &lt;p&gt;warning: ควรใช้กับเส้นผมเท่านั้น&lt;/p&gt;</t>
  </si>
  <si>
    <t>บาร์เบอร์ เบรน เท็คเจอร์ &amp; วอลลุ่ม แฮร์ สเปรย์ BB-702</t>
  </si>
  <si>
    <t xml:space="preserve">&lt;p&gt;BARBER BRAIN Texture &amp;amp; Volume Hair Spray&amp;nbsp;&lt;/p&gt;
 &lt;p&gt;บาร์เบอร์ เบรน เท็กซ์เจอร์ &amp;amp; วอลลุ่ม แฮร์ สเปรย์&lt;/p&gt;
 &lt;p&gt;ปริมาณ&amp;nbsp;200 ml.&lt;/p&gt;
 &lt;p&gt;&amp;nbsp;&lt;/p&gt;
 &lt;p&gt;คุณสมบัติ:&lt;/p&gt;
 &lt;p&gt;&amp;nbsp; &amp;nbsp; &amp;nbsp; &amp;nbsp; &amp;nbsp;✔︎ เพิ่มเท็กซ์เจอร์และวอลลุ่มให้เส้นผม&lt;/p&gt;
 &lt;p&gt;&amp;nbsp; &amp;nbsp; &amp;nbsp; &amp;nbsp; &amp;nbsp;✔︎ ช่วยให้การไดร์ยกโคนผมง่ายขึ้น&lt;/p&gt;
 &lt;p&gt;&amp;nbsp; &amp;nbsp; &amp;nbsp; &amp;nbsp; &amp;nbsp;✔︎ ทรงผมเป็นธรรมชาติอย่างมีสไตล์&lt;/p&gt;</t>
  </si>
  <si>
    <t>Barber Brain</t>
  </si>
  <si>
    <t>ปัตตาเลี่ยนไร้สาย BB-108 แถมหวีรองซอย BB-106-06</t>
  </si>
  <si>
    <t xml:space="preserve">&lt;p class="p1"&gt;&amp;ldquo;Barber Brain Wireless Hair clipper the Black Beast series II&amp;rdquo;&lt;/p&gt;
 &lt;p class="p2"&gt;&lt;span class="s1"&gt;&amp;ldquo;&lt;/span&gt;บาร์เบอร์เบรน ปัตตาเลี่ยนไร้สาย เดอะ แบล็ค บีซท รุ่น&lt;span class="s1"&gt; 2&amp;rdquo;&lt;/span&gt;&lt;/p&gt;
 &lt;p class="p2"&gt;&amp;nbsp;&lt;/p&gt;
 &lt;p class="p1"&gt;คุณสมบัติ&lt;/p&gt;
 &lt;p class="p1"&gt;&lt;span class="s2"&gt;กำลังไฟ&lt;/span&gt;&amp;nbsp;220V 50Hz 6w&lt;/p&gt;
 &lt;p class="p2"&gt;ใบมีดฟันคู่&lt;span class="s1"&gt;&amp;nbsp;micro teeth blade&amp;nbsp;&lt;/span&gt;หรือที่ช่างผมเรียกว่าฟันเฟด&lt;/p&gt;
 &lt;p class="p2"&gt;ปรับระดับฟันได้ถึง&lt;span class="s1"&gt;&amp;nbsp;4&amp;nbsp;&lt;/span&gt;ขั้น&lt;/p&gt;
 &lt;p class="p2"&gt;ความเร็วรอบมอเตอร์ไฟฟ้า&lt;span class="s1"&gt;&amp;nbsp;6,000 RPM&lt;/span&gt;&lt;/p&gt;
 &lt;p class="p2"&gt;แบตลิเที่ยม&lt;span class="s1"&gt;&amp;nbsp;2,600 mAh&lt;/span&gt;&lt;/p&gt;
 &lt;p class="p2"&gt;&amp;nbsp;&lt;/p&gt;
 &lt;p class="p2"&gt;&amp;nbsp;&lt;/p&gt;</t>
  </si>
  <si>
    <t>Electrical Equipment - อุปกรณ์ไฟฟ้า</t>
  </si>
  <si>
    <t>ปัตตาเลี่ยนไร้สาย</t>
  </si>
  <si>
    <t>บาร์เบอร์ เบรน ผลิตภัณฑ์จัดแต่งทรงผม โพเมด สูตรเงา รุ่น BB-503</t>
  </si>
  <si>
    <t xml:space="preserve">&lt;p&gt;BARBER BRAIN Glue Gel เจลจัดแต่งทรงผม ขนาด 80g.&lt;/p&gt;
 &lt;p&gt;คุณสมบัติ:&lt;br /&gt;&amp;nbsp; &amp;nbsp; &amp;nbsp; &amp;nbsp; &amp;nbsp; &amp;nbsp; เจลจัดแต่งทรงผม สำหรับผู้ที่ชื่นชอบทรงผมลุคเนี๊ยบ เท่ๆ หรือทรงผมแนวย้อนยุควินเทจ&lt;br /&gt;โดยเฉพาะ ให้ทรงผมอยู่ทรงทั้งวันพร้อมให้ความเงาสูง ช่วยให้คุณจัดแต่งทรงผมได้หลากหลายสไตล์ &lt;br /&gt;ล้างทำความสะอาดง่ายไม่เหนียวเหนอะหนะ และไม่ทำให้เกิดขุย &lt;br /&gt;&amp;nbsp; &amp;nbsp; &amp;nbsp;✔︎ ใช้สำหรับจัดแต่งทรงผมชาย ได้หลายทางหรือแม้แต่หวีเรียบ &lt;br /&gt;&amp;nbsp; &amp;nbsp; &amp;nbsp;✔︎ อยู่ทรงทั้งวัน และปรับแต่งทรงผมได้ตลอดทั้งวัน &lt;br /&gt;&amp;nbsp; &amp;nbsp; &amp;nbsp;✔︎ หล่อ ดูดี มีชีวิตชีวา &lt;br /&gt;&amp;nbsp; &amp;nbsp; &amp;nbsp;✔︎ เนื้อเจลเป็นเนื้อแบบกลูเจลทำให้ง่ายต่อการเกลี่ยจัดแต่งทรงผมแลุอยู่ติดทนยาวนานยิ่งขึ้น&lt;/p&gt;
 &lt;p&gt;&lt;br /&gt; &lt;br /&gt;วิธีใช้: &lt;br /&gt; &amp;nbsp; &amp;nbsp; &amp;nbsp; &amp;nbsp; &amp;nbsp; &amp;nbsp;&amp;nbsp;สามารถทำได้ด้วยตนเอง เพียงแค่ควักเนื้อครีม ปริมาณ 1 ข้อนิ้ว แล้วทาลงบนบริเวณที่&lt;br /&gt;ต้องการจะจัดแต่งเส้นผมให้อยู่ทรง&lt;/p&gt;
 &lt;p&gt;&lt;br /&gt;Warning*สำหรับใช้กับเส้นผมเท่านั้น &lt;br /&gt;โปรดเก็บไว้ในที่ร่มและพ้นมือเด็ก ห้ามใช้กับเด็กที่มีอายุต่ำกว่า 3 ขวบ และระวังอย่าให้เข้าตา&lt;/p&gt;
 &lt;p&gt;..........................................................................&lt;/p&gt;
 &lt;p class="p1"&gt;&amp;nbsp;&lt;/p&gt;</t>
  </si>
  <si>
    <t>PK-0529</t>
  </si>
  <si>
    <t>01-BLACK</t>
  </si>
  <si>
    <t>กระจกเหลี่ยม</t>
  </si>
  <si>
    <t xml:space="preserve">&lt;p&gt;กระจกเหลี่ยม &lt;br /&gt;มีขนาดถึงปลายด้ามจับ 31*22.5 ซม. &lt;br /&gt;ขนาดไม่รวมด้ามจับ 20ซม. หนา 1ซม.&lt;/p&gt;
 &lt;p&gt;คุณสมบัติ: &lt;br /&gt;✔︎ กระจกเหลี่ยม บาร์เบอร์เบรน &lt;br /&gt;✔︎ ใช้สำหรับส่องให้ลูกค้าสามารถเห็นทรงผมด้านหลังหรือสามารถใช้ส่องเวลาตัดผมด้วยตนเอง &lt;br /&gt;✔︎ วัสดุดีมีคุณภาพ แข็งแรงทนทาน &lt;br /&gt;✔︎ กระจกไม่มัว ไม่หลอกตาแน่นอน&lt;br /&gt; ..........................................................................&lt;/p&gt;
 &lt;p&gt;&amp;nbsp;&lt;/p&gt;</t>
  </si>
  <si>
    <t>VALENTE</t>
  </si>
  <si>
    <t>Other Equipment - อุปกรณ์อื่นๆ</t>
  </si>
  <si>
    <t>กระจก</t>
  </si>
  <si>
    <t>PKY-1577</t>
  </si>
  <si>
    <t>กรรไกรตัดซอย 5.5นิ้ว</t>
  </si>
  <si>
    <t xml:space="preserve">&lt;p&gt;ในชุดมีทั้ง &lt;br /&gt;1. กรรไกรซอย+กรรไกรตัดผม ขนาด 5.5 นิ้ว&lt;br /&gt;2. ฟรีกระเป๋าใส่กรรไกร&lt;/p&gt;
 &lt;p&gt;คุณสมบัติ: &lt;br /&gt;✔︎ ชุดกรรไกรตัด+ซอย &lt;br /&gt;✔︎ น้ำหนักเบา จับถนัดมือ &lt;br /&gt;✔︎ มียางกันกระแทก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 &lt;br /&gt;✔︎ สัมผัสลื่น คม โลหะคุณภาพดี&lt;br /&gt;✔︎ ทำจากวัสดุชั้นดีแข็งแรงทนทาน&lt;/p&gt;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
 &lt;p&gt;..........................................................................&lt;/p&gt;
 &lt;p&gt;&amp;nbsp;&lt;/p&gt;</t>
  </si>
  <si>
    <t>Hair Scissors - กรรไกรตัดซอย</t>
  </si>
  <si>
    <t>สินค้าแบบเซต</t>
  </si>
  <si>
    <t>OY-601</t>
  </si>
  <si>
    <t>10-PINK</t>
  </si>
  <si>
    <t>หมอนรองมือ</t>
  </si>
  <si>
    <t xml:space="preserve">&lt;p&gt;หมอนรองมือ&lt;/p&gt;
 &lt;p&gt;คุณสมบัติ: &lt;br /&gt;✔︎ วัสดุทำจาก PVC หรือพลาสติกแปรรูป &lt;br /&gt;✔︎ ขนาด กว้าง 9.5 ซม. ยาว 29.5 ซม. สูง 6 ซม. &lt;br /&gt;✔︎ ใช้สำหรับรองมือขณะทำเล็บ &lt;br /&gt;✔︎ ป้องกันอาการเมื่อยข้อมือของลูกค้า &lt;br /&gt;✔︎ มี4สี สีชมพูเข้ม / ชมพูอ่อน / สีม่วง / สีส้ม&lt;/p&gt;
 &lt;p&gt;&lt;br /&gt;&lt;br /&gt;&lt;/p&gt;</t>
  </si>
  <si>
    <t>Manicure and Pedicure - สปามือและเท้า</t>
  </si>
  <si>
    <t>Nail Tools (อุปกรณ์ตกแต่ง)</t>
  </si>
  <si>
    <t>13-ORANGE</t>
  </si>
  <si>
    <t>17-LIGHT PINK</t>
  </si>
  <si>
    <t>แปรงปัดผม VALENTE HAIR BRUSH VAL-684/C</t>
  </si>
  <si>
    <t xml:space="preserve">&lt;p&gt;ใช้ปัดหนวด ปัดเส้นผม ขนาดแปรงจับถนัดมือ ขนทำมาจากขนไนลอน ใช้ง่าย&lt;/p&gt;
 &lt;p&gt;คุณสมบัติ: &lt;br /&gt;✔︎ ขนไนลอนชั้นดี ใช้ปัดเศษผม &lt;br /&gt;✔︎ ขนแปรงไม่แข็งมากและไม่อ่อนจนเกินไป &lt;br /&gt;✔︎ ทนทาน ขนไม่หลุดง่าย ไม่ระคายเคือง &lt;br /&gt;✔︎ ด้ามจับถนัดเหมาะมือ&lt;/p&gt;
 &lt;p&gt;วิธีใช้: &lt;br /&gt;ใช้หลังการตัดผม ปัดเศษผมเพื่อเก็บรายละเอียด และความสะอาด&lt;br /&gt;*เหมาะสำหรับร้านบาร์เบอร์และซาลอน*&lt;br /&gt; ..........................................................................&lt;/p&gt;</t>
  </si>
  <si>
    <t>Comb and Brush - หวีและแปรง</t>
  </si>
  <si>
    <t>แปรงปัดเศษผม</t>
  </si>
  <si>
    <t>วาเลนเต้ มีดโกนหนวดแบบพับ 0.030g. รหัสสินค้า VAL-217</t>
  </si>
  <si>
    <t xml:space="preserve">&lt;p&gt;คุณสมบัติ: &lt;br /&gt; ด้ามมีดโกน แบบพับได้ สีครีม,สีดำ &lt;br /&gt; ความยาวทั้งหมดประมาน 23.5 ซม. &lt;br /&gt; ใบมีดหักครึ่ง ใบมีดสองคม&lt;/p&gt;
 &lt;p&gt;✔︎ วัสดุทนทาน &lt;br /&gt;✔︎ น้ำหนักเบาใช้งานง่าย &lt;br /&gt;✔︎ เปลี่ยนใบมีดได้ &lt;br /&gt;✔︎ ด้ามมีดโกน กันจอน โกนหนวด ตัดผมหางเหล็ก&lt;/p&gt;
 &lt;p&gt;..........................................................................&lt;/p&gt;
 &lt;p&gt;&amp;nbsp;&lt;/p&gt;
 &lt;p&gt;&amp;nbsp;&lt;/p&gt;</t>
  </si>
  <si>
    <t>ด้ามมีดโกน</t>
  </si>
  <si>
    <t>14-CREAM</t>
  </si>
  <si>
    <t>SIZE: S</t>
  </si>
  <si>
    <t xml:space="preserve">&lt;p&gt;L'ANGEL LUXURY SMART KERATIN PROFESSIONAL 258 ml.x2&lt;/p&gt;
 &lt;p&gt;แอลแองเจล ลัคซ์ชูรีย์ สมาร์ท เคราติน โปรเฟสชั่นนอล&lt;/p&gt;
 &lt;p&gt;&amp;nbsp;&lt;/p&gt;
 &lt;ul&gt;
 &lt;li&gt;ANG 613 แอลแองเจล ลัคซ์ซูรีย์ สมาร์ท เคราติน โปรเฟสชั่นนอล&amp;nbsp;&lt;/li&gt;
 &lt;/ul&gt;
 &lt;p&gt;&amp;nbsp; &amp;nbsp; &amp;nbsp; &amp;nbsp; ✔︎ แชมพูและทรีทเมนต์เคราติน&lt;/p&gt;
 &lt;p&gt;&amp;nbsp; &amp;nbsp; &amp;nbsp; &amp;nbsp;&amp;nbsp;✔︎ ช่วยฟื้นฟูสภาพเส้นผมที่แห้งเสีย&lt;/p&gt;
 &lt;p&gt;&amp;nbsp; &amp;nbsp; &amp;nbsp; &amp;nbsp;&amp;nbsp;✔︎ ช่วยลดความหยิกและหยักศกของเส้นผม&lt;/p&gt;
 &lt;p&gt;&amp;nbsp; &amp;nbsp; &amp;nbsp; &amp;nbsp;&amp;nbsp;✔︎ ช่วยให้ผมเรียบตรง ลดการชี้ฟู เส้นผมนุ่ม เงางาม มีน้ำหนัก&lt;/p&gt;
 &lt;p&gt;&amp;nbsp; &amp;nbsp; &amp;nbsp; &amp;nbsp;&amp;nbsp;✔︎ ช่วยให้จัดแต่งทรงผมได้ง่ายยิ่งขึ้น และกลิ่นที่อ่อนโยน&lt;/p&gt;
 &lt;p&gt;&amp;nbsp; &amp;nbsp; &amp;nbsp; &amp;nbsp;&amp;nbsp;✔︎ ให้ผลลัพธ์ยาวนานประมาณ 3 เดือน&lt;/p&gt;</t>
  </si>
  <si>
    <t>LANGEL แอลแองเจล</t>
  </si>
  <si>
    <t>Chemical - เคมีภัณฑ์</t>
  </si>
  <si>
    <t>Keratin (เคราติน)</t>
  </si>
  <si>
    <t>L'ANGEL ARGANIC OIL SERUM แอลแองเจล เซรั่มเข้มข้นอาร์แกนิค สูตรฟื้นฟูผมแห้งเสีย 50 ml. ANG-301</t>
  </si>
  <si>
    <t xml:space="preserve">&lt;p&gt;L'ANGEL ARGANIC NURISHING OIL SERUM&lt;/p&gt;
 &lt;p&gt;แอลแองเจล เซรั่มเข้มข้นอาร์แกนิค 50 ml.&lt;/p&gt;
 &lt;p&gt;สารสะกัดจากอาร์แกนออย สูตรสำหรับผมทำสีและแห้งเสีย&lt;/p&gt;
 &lt;p&gt;เติมสารอาหารให้แก่เส้นผม ฟื้นฟูสภาพเส้นผมที่แห้งเสีย&lt;/p&gt;
 &lt;p&gt;และมีส่วนผสมของน้ำมันเมล็ดอาร์แกน&lt;/p&gt;
 &lt;p&gt;&amp;nbsp;&lt;/p&gt;
 &lt;p&gt;คุณสมบัติ:&lt;/p&gt;
 &lt;p&gt;&amp;nbsp; &amp;nbsp; &amp;nbsp; ✔︎ เพิ่มความเงางาม&lt;/p&gt;
 &lt;p&gt;&amp;nbsp; &amp;nbsp; &amp;nbsp; ✔︎ ลดการชี้ฟูของเส้นผม&lt;/p&gt;
 &lt;p&gt;&amp;nbsp; &amp;nbsp; &amp;nbsp; ✔︎ พร้อมบำรุงผม&lt;/p&gt;</t>
  </si>
  <si>
    <t>Hair Treatment - ผลิตภัณฑ์บำรุงเส้นผม</t>
  </si>
  <si>
    <t>Treatment (ทรีทเม้นท์บำรุง)</t>
  </si>
  <si>
    <t xml:space="preserve">&lt;p&gt;L'ANGEL ANGANIC COLOR &amp;amp; DAMAGED HAIR SHAMPOO ANG-606 ปริมาณ 268 มล.&lt;/p&gt;
 &lt;p&gt;&amp;nbsp; &amp;nbsp; &amp;nbsp; &amp;nbsp; &amp;nbsp; &amp;nbsp; แอลแองเจล แชมพูอาร์แกนิค ช่วยรักษาสีผมพร้อมฟื้นฟูสภาพเส้นผม และมีส่วนผสมของ&lt;/p&gt;
 &lt;p&gt;น้ำมันเมล็ดอาร์แกน ด้วยสารสะกัดจากน้ำมัน เมล็ดอาร์แกนบริสุทธิ์ ช่วยฟื้นฟูสภาพเส้นผมที่แห้งเสีย&lt;/p&gt;
 &lt;p&gt;และผมทำสีให้กลับมาชุ่มชื่น มีสุขภาพดี&lt;/p&gt;
 &lt;p&gt;คุณสมบัติ:&lt;/p&gt;
 &lt;p&gt;&amp;nbsp; &amp;nbsp; &amp;nbsp; &amp;nbsp; &amp;nbsp; &amp;nbsp; ✔︎ สารสะกัดจากอาร์แกนออย&lt;/p&gt;
 &lt;p&gt;&amp;nbsp; &amp;nbsp; &amp;nbsp; &amp;nbsp; &amp;nbsp; &amp;nbsp;&amp;nbsp;✔︎ สูตรสำหรับผมทำสีและแห้งเสีย&lt;/p&gt;
 &lt;p&gt;&amp;nbsp; &amp;nbsp; &amp;nbsp; &amp;nbsp; &amp;nbsp; &amp;nbsp;&amp;nbsp;✔︎ ช่วยรักษาสีผมพร้อมฟื้นฟูสภาพเส้นผม&lt;/p&gt;
 &lt;p&gt;&amp;nbsp; &amp;nbsp; &amp;nbsp; &amp;nbsp; &amp;nbsp; &amp;nbsp;&amp;nbsp;✔︎ ทำความสะอาดเส้นผมอย่างอ่อนโยน&lt;/p&gt;
 &lt;p&gt;วิธีใช้:&lt;/p&gt;
 &lt;p&gt;&amp;nbsp; &amp;nbsp; &amp;nbsp; &amp;nbsp; &amp;nbsp; &amp;nbsp;&amp;nbsp;ชโลมแชมพูลงบนเส้นผมขณะเปียก นวดจนเกิดฟอง แล้วล้างออกด้วยน้ำสะอาด&lt;/p&gt;</t>
  </si>
  <si>
    <t>Shampoo (ยาสระผม)</t>
  </si>
  <si>
    <t>ANG-208</t>
  </si>
  <si>
    <t>L'ANGEL ARGANIC COLOR &amp;amp; DAMAGED HAIR CONDITIONER ครีมนวดผมอาร์แกนิค คอนดิชันเนอร์บำรุงเส้นผมอย่างอ่อนโยน ANG-208</t>
  </si>
  <si>
    <t xml:space="preserve">&lt;p&gt;L'ANGEL COLOR &amp;amp; DAMAGED HAIR CONDITIONER&lt;/p&gt;
 &lt;p&gt;&amp;nbsp; &amp;nbsp; &amp;nbsp; &amp;nbsp; &amp;nbsp; แอลแองเจล คอนดิชันเนอร์บำรุงเส้นผมอย่างอ่อนโยน สูตรสำหรับผมทำสีและแห้งเสีย&lt;/p&gt;
 &lt;p&gt;ด้วยสารสะกัดจาก น้ำมันเมล็ดอาร์แกนบริสุทธิ์ ช่วยฟื้นฟูสภาพเส้นผมที่แห้งเสียเเละผมทำสี&lt;/p&gt;
 &lt;p&gt;ให้กลับมาชุ่มชื้น มีสุขภาพดี&lt;/p&gt;
 &lt;p&gt;&amp;nbsp;&lt;/p&gt;
 &lt;p&gt;คุณสมบัติ:&lt;/p&gt;
 &lt;p&gt;&amp;nbsp; &amp;nbsp; &amp;nbsp; &amp;nbsp; &amp;nbsp; &amp;nbsp;✔︎ ฟื้นฟูสภาพเส้นผมที่แห้งเส้น มีส่วนผสมของน้ำมันเมล็ดอาร์แกน&lt;/p&gt;
 &lt;p&gt;&amp;nbsp; &amp;nbsp; &amp;nbsp; &amp;nbsp; &amp;nbsp; &amp;nbsp;✔︎ คอนดิชันเนอร์บำรุงเส้นผมอย่างอ่อนโยน&lt;/p&gt;
 &lt;p&gt;&amp;nbsp; &amp;nbsp; &amp;nbsp; &amp;nbsp; &amp;nbsp; &amp;nbsp;✔︎ ช่วยฟื้นฟูสภาพเส้นผมที่ทำสีให้กลับมาชุ่มชื่น มึสุขภาพดี&lt;/p&gt;
 &lt;p&gt;วิธีใช้: หลังสระ ชโลมคอนดิชันเนอร์ลงบนผม นวดผมโดยเน้นที่ปลายผม ทิ้งไว้ประมาณ 5-10 นาที&lt;/p&gt;
 &lt;p&gt;แล้วล้างน้ำให้สะอาด Warning*อย่าให้เข้าตา*&lt;/p&gt;</t>
  </si>
  <si>
    <t>ANG-409</t>
  </si>
  <si>
    <t>L'ANGEL สเปรย์กันความร้อนอาร์แกนิค ป้องกันความร้อนจากอุปกรณ์ทำผมไฟฟ้า ANG-409</t>
  </si>
  <si>
    <t xml:space="preserve">&lt;p&gt;L'ANGEL ARGANIC HEAT PROTION SPREY&amp;nbsp;ปริมาณ 175 มล.&lt;/p&gt;
 &lt;p&gt;&amp;nbsp; &amp;nbsp; &amp;nbsp; &amp;nbsp; แอลแองเจล สเปรย์กันความร้อนอาร์แกนิค ป้องกันความร้อนจากอุปกรณ์ทำผมไฟฟ้า&lt;/p&gt;
 &lt;p&gt;และมีส่วนผสมของน้ำมันเมล็ดอาร์แกน&amp;nbsp;&lt;/p&gt;
 &lt;p&gt;&amp;nbsp;&lt;/p&gt;
 &lt;p&gt;คุณสมบัติ:&lt;/p&gt;
 &lt;p&gt;&amp;nbsp; &amp;nbsp; &amp;nbsp; &amp;nbsp; &amp;nbsp;✔︎ สเปรย์ช่วยปกป้องเส้นผมจากความร้อน ใช้การหนีบผมหรือไดร์ผม&lt;/p&gt;
 &lt;p&gt;&amp;nbsp; &amp;nbsp; &amp;nbsp; &amp;nbsp; &amp;nbsp;✔︎ ไม่ทำให้ผมแห้งเสียและชี้ฟู&lt;/p&gt;
 &lt;p&gt;&amp;nbsp; &amp;nbsp; &amp;nbsp; &amp;nbsp; &amp;nbsp;✔︎ พร้อมบำรุงเส้นผม&lt;/p&gt;
 &lt;p&gt;วิธีใช้:&lt;/p&gt;
 &lt;p&gt;&amp;nbsp; &amp;nbsp; &amp;nbsp; &amp;nbsp; &amp;nbsp;ฉีด อาร์แกนิค แฮร์ สเปรย์ ลงบนเส้นผมเปียกหมาดๆ ให้ทั่วโดยเน้นที่ช่วงปลายของเส้นผม&lt;/p&gt;
 &lt;p&gt;ก่อนไดร์ผม และก่อนหนีบผม จากนั้นไดร์ผม หรือหนีบผมได้ตามต้องการ Warning*อย่าให้เข้าตา*&lt;/p&gt;</t>
  </si>
  <si>
    <t>Hair Styling (จัดแต่งทรงผมผู้หญิง)</t>
  </si>
  <si>
    <t xml:space="preserve">&lt;p&gt;คุณสมบัติ:&lt;/p&gt;
 &lt;p&gt;&amp;nbsp; &amp;nbsp; &amp;nbsp; &amp;nbsp; &amp;nbsp; &amp;nbsp; แอลแองเจลมาส์กบำรุงเส้นผม ด้วยพลังน้ำมันสกัดเย็น จากผลอาร์แกน จึงได้&lt;/p&gt;
 &lt;p&gt;น้ำมันอาร์แกนที่มีคุณประโยชน์สูงสุด เป็นส่วนผสมใน แอล แองเจล อาร์แกนิค แฮร์มาส์ก&lt;/p&gt;
 &lt;p&gt;ช่วยบำรุงเส้นผมอย่างล้ำลึกสุดขั้ว ทำให้ผมมีน้ำหนัก เงางาม เป็นธรรมชาติผมสลวยอย่าง&lt;/p&gt;
 &lt;p&gt;ที่ไม่เคยรู้สึกมาก่อน สามารถนำไปใช้อบไอน้ำได้ เพื่อประสิทธิภาพที่ดียิ่งขึ้น&lt;/p&gt;
 &lt;p&gt;&amp;nbsp;&lt;/p&gt;
 &lt;p&gt;วิธีใช้ :&lt;/p&gt;
 &lt;p&gt;&amp;nbsp; &amp;nbsp; &amp;nbsp; &amp;nbsp; &amp;nbsp; &amp;nbsp;&amp;nbsp;ใช้หลังสระผม เช็ดผมให้แห้งหมาด ตักครีม อาร์แกนิค แฮร์ มาสก ใส่ในมือ&lt;/p&gt;
 &lt;p&gt;พอประมาณ หลังจากนั้น ชโลมให้ทั้วศีรษะ ทิ้งไว้ประมาณ 5-10 นาที จากนั้น ล้างออก&lt;/p&gt;
 &lt;p&gt;ด้วยน้ำสะอาด&amp;nbsp; Warning*อย่าให้เข้าตา*&lt;/p&gt;
 &lt;p&gt;แนะนำ*หากใช้ควบคู่กับ ANG-606, ANG-208, ANG-209, ANG-301 จะยิ่งเกิดประสิทธิภาพมากขึ้น*&lt;/p&gt;</t>
  </si>
  <si>
    <t>ANG-222</t>
  </si>
  <si>
    <t>L'ANGELL HAIR GLOSS TREATMENT ทรีทเมนต์สำหรับผมทำสีและแห้งเสีย ANG-222</t>
  </si>
  <si>
    <t xml:space="preserve">&lt;p&gt;แอลแองเจล กลอสเคลือบเส้นผมอาร์แกนิค ปริมาณ 500 มล&lt;/p&gt;
 &lt;p&gt;&amp;nbsp; &amp;nbsp; &amp;nbsp; &amp;nbsp; &amp;nbsp; ช่วยปิดเกร็ดผมทำให้เส้นผมเงางาม และมีส่วนผสมของน้ำมันเมล็ดอาร์แกน&amp;nbsp;ทรีทเมนต์สูตรเข้มข้น เพื่อเพิ่มความเงางามให้เส้นผม เหมาะสำหรับผมทำสีและผมแห้งเสีย&lt;/p&gt;
 &lt;p&gt;&amp;nbsp;&lt;/p&gt;
 &lt;p&gt;คุณสมบัติ:&lt;/p&gt;
 &lt;p&gt;&amp;nbsp; &amp;nbsp; &amp;nbsp; &amp;nbsp; &amp;nbsp; &amp;nbsp; จากส่วนผสมของอาร์แกนออย ช่วยปิดเกร็ดผมทำให้เส้นผมเงางาม ลดอาการพันกันทำให้ เส้นผมทิ้งตัวสลวย ช่วยบำรุงให้เส้นผมมีความชุ่มชื่น มีคุณสมบัติเฉพาะทางที่สามารถกักเก็บ ความชุ่มชื่นได้ยาวนาน ทำให้ผมไม่หยาบกระด้างสัมผัสได้ถึงความนุ่มลื้น&lt;/p&gt;
 &lt;p&gt;&amp;nbsp;&lt;/p&gt;
 &lt;p&gt;วิธีการใช้:&lt;/p&gt;
 &lt;p&gt;&amp;nbsp; &amp;nbsp; &amp;nbsp; &amp;nbsp; &amp;nbsp; &amp;nbsp; &amp;nbsp;หลังสระผม ชโลมบนผมเปียกหมาดๆ ให้ทั่วทั้งศรีษะ ทิ่งไว้ประมาณ 5-10 นาที แล้วล้าง ออกด้วยน้ำให้สะอาด&lt;/p&gt;
 &lt;p&gt;&amp;nbsp;&lt;/p&gt;
 &lt;p&gt;Warning*อย่าให้เข้าตา*&lt;/p&gt;</t>
  </si>
  <si>
    <t>ANG-609</t>
  </si>
  <si>
    <t>L'ANGEL Perfect Keratin Spray สเปรย์เคราตินกันความร้อน ANG-609</t>
  </si>
  <si>
    <t xml:space="preserve">&lt;p&gt;L'ANGEL Perfect Keratin Thermal Defense ปริมาณ 175 มล.&lt;/p&gt;
 &lt;p&gt;แอลแองเจล เพอร์เฟค เคราติน เธอร์มอล ดีเฟ้นด์ สเปรย์เคราตินกันความร้อน ป้องกันความร้อนจากอุปกรณ์ทำผมไฟฟ้า&lt;/p&gt;
 &lt;p&gt;และเติมเคราตินให้เส้นผม&lt;/p&gt;
 &lt;p&gt;&amp;nbsp;&lt;/p&gt;
 &lt;p&gt;คุณสมบัติ:&lt;/p&gt;
 &lt;p&gt;&amp;nbsp; &amp;nbsp; &amp;nbsp; &amp;nbsp; &amp;nbsp;✔︎ สเปรย์ป้องกันความร้อน&lt;/p&gt;
 &lt;p&gt;&amp;nbsp; &amp;nbsp; &amp;nbsp; &amp;nbsp; &amp;nbsp;✔︎ บำรุงเส้นผมก่อนและหลังทำเคราติน&lt;/p&gt;
 &lt;p&gt;&amp;nbsp; &amp;nbsp; &amp;nbsp; &amp;nbsp; &amp;nbsp;✔︎ ช่วยปกป้องเส้นผมจากการไดร์ผม, หนีบผม, ม้วนผม, ดัดสปาเพิร์ม&lt;/p&gt;
 &lt;p&gt;&amp;nbsp; &amp;nbsp; &amp;nbsp; &amp;nbsp; &amp;nbsp;✔︎ ให้เส้นผมชุ่มชื่น ไม่แห้งกรอบและแตกปลาย&lt;/p&gt;
 &lt;p&gt;&amp;nbsp; &amp;nbsp; &amp;nbsp; &amp;nbsp; &amp;nbsp;✔︎ ช่วยบำรุงเส้นผมให้มีสุขภาพดีและคงผลของการทำเคราตินนานยิ่งขึ่น&lt;/p&gt;</t>
  </si>
  <si>
    <t xml:space="preserve">&lt;p data-pm-slice="1 1 []"&gt;&amp;nbsp;&lt;/p&gt;
 &lt;p data-pm-slice="1 1 []"&gt;&amp;nbsp;&lt;/p&gt;
 &lt;p data-pm-slice="1 1 []"&gt;&amp;nbsp;&lt;/p&gt;</t>
  </si>
  <si>
    <t>ANG-411</t>
  </si>
  <si>
    <t>L&amp;#039;ANGEL Bond Creator บอนด์ ครีเอเตอร์ 300ml. (No.3 ENHANCER) ทรีทเม้นต์บำรุงผม ANG-411</t>
  </si>
  <si>
    <t xml:space="preserve">&lt;p&gt;L'ANGEL Bond Creator บอนด์ ครีเอเตอร์ 300ml. (No.3 ENHANCER)&lt;/p&gt;
 &lt;p&gt;แอลแอง เจล ลัคซ์ซูรีย์ บอนด์ ครีเอเตอร์ นัมเบอร์ ทรี เอนฮานเซอร์&lt;/p&gt;
 &lt;p&gt;&amp;nbsp;&lt;/p&gt;
 &lt;p&gt;คุณสมบัติ:&amp;nbsp;&lt;/p&gt;
 &lt;p&gt;&amp;nbsp; &amp;nbsp; &amp;nbsp; &amp;nbsp; &amp;nbsp;✔︎ No.3 ช่วยรักษาเส้นผมอย่างต่อเนื่อง&lt;br /&gt;&amp;nbsp; &amp;nbsp; &amp;nbsp; &amp;nbsp; &amp;nbsp;✔︎ สามารถทำเองง่ายๆ ได้ด้วยตัวเอง &lt;br /&gt;&amp;nbsp; &amp;nbsp; &amp;nbsp; &amp;nbsp; &amp;nbsp;✔︎ High Quality&lt;br /&gt;&amp;nbsp; &amp;nbsp; &amp;nbsp; &amp;nbsp; &amp;nbsp;✔︎ Good Product&lt;br /&gt;&amp;nbsp; &amp;nbsp; &amp;nbsp; &amp;nbsp; &amp;nbsp;✔︎ Good Material &lt;br /&gt;&amp;nbsp; &amp;nbsp; &amp;nbsp; &amp;nbsp; &amp;nbsp;✔︎ เพิ่มความแข็งแรงให้เส้นผม &lt;br /&gt;&amp;nbsp; &amp;nbsp; &amp;nbsp; &amp;nbsp; &amp;nbsp;✔︎ ช่วยให้เส้นผมมีสุขภาพดี ไม่ชี้ฟู&lt;/p&gt;
 &lt;p&gt;&amp;nbsp;&lt;/p&gt;
 &lt;p&gt;&amp;nbsp;&lt;/p&gt;</t>
  </si>
  <si>
    <t xml:space="preserve">&lt;p&gt;คุณสมบัติ: &lt;br /&gt;&amp;nbsp; &amp;nbsp; &amp;nbsp; &amp;nbsp;ผลิตภัณฑ์ฟอกสีผม แอลแองเจลผงฟอกสีผม คุณสมบัติ ยกระดับความสว่างบของเส้นผมได้มี&lt;br /&gt;ประสิทธิภาพมากยิ่งขึ้น สามารถใช้ได้กับทุกสภาพเส้นผม ให้ผลการฟองที่รวดเร็วตั้งเเต่ครั้งเเรกที่&lt;br /&gt;ทำการฟอกผม&lt;/p&gt;
 &lt;p&gt;&amp;nbsp;&lt;/p&gt;
 &lt;p&gt;&lt;br /&gt;วิธีใช้: &lt;br /&gt;&amp;nbsp; &amp;nbsp; &amp;nbsp; &amp;nbsp; ผสมผงฟอก แอลเองเจล ลัคช์ชูรีย์ แองเจลิค ไนน์ เลเวลส์ แฮร์ บลีชชิ่ง พาวเดอร์ กับ &lt;br /&gt;ดีเวลลอปเปอร์ครีม 6% 9% หรือ 12% แล้วแต่ความต้องการของระดับความสว่างของสีผม &lt;br /&gt;ชโลมผงฟอกที่ผสมแล้วให้ทั่วเส้นผมบริเวณที่ต้องการฟองสีทิ้งไว้ประมาณ 30-35 นาที &lt;br /&gt;(ระยะเวลาขึ้นอยู่กับสภาพเส้นผมและสีผมเดิมก่อนการฟอก) แล้วล้างออกด้วยแชมพูให้สะอาด&lt;/p&gt;</t>
  </si>
  <si>
    <t>Bleaching Powder (ผงฟอก)</t>
  </si>
  <si>
    <t>บาร์เบอร์ เบรน ผลิตภัณฑ์จัดแต่งทรงผม โพเมด สูตรแข็ง BB-507</t>
  </si>
  <si>
    <t xml:space="preserve">&lt;p&gt;คุณสมบัติ: &lt;br /&gt;&amp;nbsp; &amp;nbsp; &amp;nbsp; &amp;nbsp; &amp;nbsp; &amp;nbsp; ผลิตภัณฑ์จัดแต่งทรงผม สำหรับผู้ที่ชื่นชอบทรงลุคเนี๊ยบ เท่ๆ หรือทรงผมแนวย้อมยุควินเทจ&lt;br /&gt;โดยเฉพาะให้ทรงผมอยู่ทรงทั้งวัน พร้อมให้ความเงาสูง ช่วยให้คุณจัดแต่งทรงผมได้หลากหลายสไตล์ &lt;br /&gt;ล้างทำความสะอาดง่ายไม่เหนียวเหนอะหนะเพราะ มีส่วนผสมลักษณะ (Water-Based Pomade)&lt;/p&gt;
 &lt;p&gt;&amp;nbsp; &amp;nbsp; &amp;nbsp; &amp;nbsp; &amp;nbsp; &amp;nbsp;&amp;nbsp;✔︎ ใช้สำหรับจัดแต่งทรงผมชาย แนววินเทจ หวีเรียบ &lt;br /&gt;&amp;nbsp; &amp;nbsp; &amp;nbsp; &amp;nbsp; &amp;nbsp; &amp;nbsp;&amp;nbsp;✔︎ อยู่ทรงทั้งวัน และปรับแต่งทรงผมได้ตลอดทั้งวัน &lt;br /&gt;&amp;nbsp; &amp;nbsp; &amp;nbsp; &amp;nbsp; &amp;nbsp; &amp;nbsp;&amp;nbsp;✔︎ หล่อ ดูดี มีชีวิตชีวา &lt;br /&gt;&amp;nbsp; &amp;nbsp; &amp;nbsp; &amp;nbsp; &amp;nbsp; &amp;nbsp;&amp;nbsp;✔︎ เนื้อครีมโพเมดเป็นเนื้อลิควิดทำให้ง่ายต่อการเกลี่ยจัดแต่งทรงผม&lt;/p&gt;
 &lt;p&gt;&amp;nbsp;&lt;/p&gt;
 &lt;p&gt;วิธีใช้: &lt;br /&gt;&amp;nbsp; &amp;nbsp; &amp;nbsp; &amp;nbsp; &amp;nbsp; &amp;nbsp; &amp;nbsp;สามารถทำได้ด้วยตนเอง เพียงแค่ควักเนื้อครีม ปริมาณ 1 ข้อนิ้ว แล้วทาลงบนบริเวณ&lt;br /&gt;ที่ต้องการจะจัดแต่งเส้นผมให้อยู่ทรง&lt;/p&gt;
 &lt;p&gt;Warning*สำหรับใช้กับเส้นผมเท่านั้น &lt;br /&gt;โปรดเก็บไว้ในที่ร่มและพ้นมือเด็ก ห้ามใช้กับเด็กที่มีอายุต่ำกว่า 3 ขวบ และระวังอย่าให้เข้าตา&lt;/p&gt;</t>
  </si>
  <si>
    <t>BB-508</t>
  </si>
  <si>
    <t>บาร์เบอร์ เบรน กลู เจลจัดแต่งทรงผม รุ่น BB-508</t>
  </si>
  <si>
    <t xml:space="preserve">&lt;p&gt;&amp;nbsp;&lt;/p&gt;
 &lt;p&gt;คุณสมบัติ:&lt;br /&gt;&amp;nbsp; &amp;nbsp; &amp;nbsp; &amp;nbsp; &amp;nbsp; &amp;nbsp; &amp;nbsp; &amp;nbsp; &amp;nbsp;เจลจัดแต่งทรงผม สำหรับผู้ที่ชื่นชอบทรงผมลุคเนี๊ยบ เท่ๆ หรือทรงผมแนวย้อนยุควินเทจ&lt;br /&gt;โดยเฉพาะ ให้ทรงผมอยู่ทรงทั้งวันพร้อมให้ความเงาสูง ช่วยให้คุณจัดแต่งทรงผมได้หลากหลายสไตล์ &lt;br /&gt;ล้างทำความสะอาดง่ายไม่เหนียวเหนอะหนะ และไม่ทำให้เกิดขุย &lt;br /&gt;&amp;nbsp; &amp;nbsp; &amp;nbsp; ✔︎ ใช้สำหรับจัดแต่งทรงผมชาย ได้หลายทางหรือแม้แต่หวีเรียบ &lt;br /&gt;&amp;nbsp; &amp;nbsp; &amp;nbsp;&amp;nbsp;✔︎ อยู่ทรงทั้งวัน และปรับแต่งทรงผมได้ตลอดทั้งวัน &lt;br /&gt;&amp;nbsp; &amp;nbsp; &amp;nbsp;&amp;nbsp;✔︎ หล่อ ดูดี มีชีวิตชีวา &lt;br /&gt;&amp;nbsp; &amp;nbsp; &amp;nbsp;&amp;nbsp;✔︎ เนื้อเจลเป็นเนื้อแบบกลูเจลทำให้ง่ายต่อการเกลี่ยจัดแต่งทรงผมแลุอยู่ติดทนยาวนานยิ่งขึ้น&lt;/p&gt;
 &lt;p&gt;&lt;br /&gt; &lt;br /&gt;วิธีใช้: &lt;br /&gt; &amp;nbsp; &amp;nbsp; &amp;nbsp; &amp;nbsp; &amp;nbsp; &amp;nbsp; &amp;nbsp; &amp;nbsp; &amp;nbsp;เสามารถทำได้ด้วยตนเอง เพียงแค่ควักเนื้อครีม ปริมาณ 1 ข้อนิ้ว แล้วทาลงบนบริเวณที่&lt;br /&gt;ต้องการจะจัดแต่งเส้นผมให้อยู่ทรง&lt;/p&gt;
 &lt;p&gt;&lt;br /&gt;Warning*สำหรับใช้กับเส้นผมเท่านั้น &lt;br /&gt;โปรดเก็บไว้ในที่ร่มและพ้นมือเด็ก ห้ามใช้กับเด็กที่มีอายุต่ำกว่า 3 ขวบ และระวังอย่าให้เข้าตา&lt;/p&gt;</t>
  </si>
  <si>
    <t>บาร์เบอร์ เบรน ผลิตภัณฑ์จัดแต่งทรงผม แฮร์ แว๊กซ์ รุ่น BB-509</t>
  </si>
  <si>
    <t xml:space="preserve">&lt;p&gt;BARBER BRAIN Glue Gel เจลจัดแต่งทรงผม ขนาด 80g.&lt;/p&gt;
 &lt;p&gt;คุณสมบัติ:&lt;br /&gt;&amp;nbsp; &amp;nbsp; &amp;nbsp; &amp;nbsp; &amp;nbsp; &amp;nbsp; &amp;nbsp;เจลจัดแต่งทรงผม สำหรับผู้ที่ชื่นชอบทรงผมลุคเนี๊ยบ เท่ๆ หรือทรงผมแนวย้อนยุควินเทจ&lt;br /&gt;โดยเฉพาะ ให้ทรงผมอยู่ทรงทั้งวันพร้อมให้ความเงาสูง ช่วยให้คุณจัดแต่งทรงผมได้หลากหลายสไตล์ &lt;br /&gt;ล้างทำความสะอาดง่ายไม่เหนียวเหนอะหนะ และไม่ทำให้เกิดขุย &lt;br /&gt;&amp;nbsp; &amp;nbsp; &amp;nbsp; &amp;nbsp; ✔︎ ใช้สำหรับจัดแต่งทรงผมชาย ได้หลายทางหรือแม้แต่หวีเรียบ &lt;br /&gt;&amp;nbsp; &amp;nbsp; &amp;nbsp; &amp;nbsp;&amp;nbsp;✔︎ อยู่ทรงทั้งวัน และปรับแต่งทรงผมได้ตลอดทั้งวัน &lt;br /&gt;&amp;nbsp; &amp;nbsp; &amp;nbsp; &amp;nbsp;&amp;nbsp;✔︎ หล่อ ดูดี มีชีวิตชีวา &lt;br /&gt;&amp;nbsp; &amp;nbsp; &amp;nbsp; &amp;nbsp;&amp;nbsp;✔︎ เนื้อเจลเป็นเนื้อแบบกลูเจลทำให้ง่ายต่อการเกลี่ยจัดแต่งทรงผมแลุอยู่ติดทนยาวนานยิ่งขึ้น&lt;/p&gt;
 &lt;p&gt;&lt;br /&gt; &lt;br /&gt;วิธีใช้: &lt;br /&gt; &amp;nbsp; &amp;nbsp; &amp;nbsp; &amp;nbsp; &amp;nbsp; &amp;nbsp; &amp;nbsp;สามารถทำได้ด้วยตนเอง เพียงแค่ควักเนื้อครีม ปริมาณ 1 ข้อนิ้ว แล้วทาลงบนบริเวณที่&lt;br /&gt;ต้องการจะจัดแต่งเส้นผมให้อยู่ทรง&lt;/p&gt;
 &lt;p&gt;&lt;br /&gt;Warning*สำหรับใช้กับเส้นผมเท่านั้น &lt;br /&gt;โปรดเก็บไว้ในที่ร่มและพ้นมือเด็ก ห้ามใช้กับเด็กที่มีอายุต่ำกว่า 3 ขวบ และระวังอย่าให้เข้าตา&lt;/p&gt;</t>
  </si>
  <si>
    <t>ZP-A16008</t>
  </si>
  <si>
    <t>BARBER BRAIN ยางทับซอย ยางรองซอย รุ่น ZP-A16008</t>
  </si>
  <si>
    <t xml:space="preserve">&lt;p&gt;BARBER BRAIN ยางทับซอย&lt;/p&gt;
 &lt;p&gt;คุณสมบัติ: &lt;br /&gt;&amp;nbsp; &amp;nbsp; &amp;nbsp; &amp;nbsp; &amp;nbsp;✔︎ แผ่นยางทับซอย ทำจากวัสดุดีมีคุณภาพ &lt;br /&gt;&amp;nbsp; &amp;nbsp; &amp;nbsp; &amp;nbsp; &amp;nbsp;✔︎ ช่วยทับไหล่และผ้าคลุมขณะตัดผม &lt;br /&gt;&amp;nbsp; &amp;nbsp; &amp;nbsp; &amp;nbsp; &amp;nbsp;✔︎ เนื้อยาง แบบหนา มีน้ำหนักเบาเวลารองบ่า&lt;br /&gt;&amp;nbsp; &amp;nbsp; &amp;nbsp; &amp;nbsp; &amp;nbsp;✔︎ ง่ายต่อการสวมใส่ &lt;br /&gt;&amp;nbsp; &amp;nbsp; &amp;nbsp; &amp;nbsp; &amp;nbsp;✔︎ วัสดุมีความนุ่ม น้ำหนักเบา และกันน้ำ &lt;br /&gt;&amp;nbsp; &amp;nbsp; &amp;nbsp; &amp;nbsp; &amp;nbsp;✔︎ ป้องกันไม่ให้เศษผม เข้าไปให้ลำคอ&lt;br /&gt;&amp;nbsp; &amp;nbsp; &amp;nbsp; &amp;nbsp; &amp;nbsp;✔︎ มีประสิทธิภาพในการปกป้องชุดและเสื้อผ้าจากสารเคมี เส้นผม และน้ำ &lt;br /&gt;&amp;nbsp; &amp;nbsp; &amp;nbsp; &amp;nbsp; &amp;nbsp;✔︎ เหมาะสำหรับใช้รองก่อนย้อมผม ดัดผม และตัดผม ใช้ได้ทั้งที่ร้าน หรือที่บ้าน&lt;/p&gt;</t>
  </si>
  <si>
    <t>อุปกรณ์บาร์เบอร์</t>
  </si>
  <si>
    <t>BARBER SCISSORS กรรไกรตัดผม ด้ามดำ 6.5</t>
  </si>
  <si>
    <t xml:space="preserve">&lt;p&gt;คุณสมบัติ: &lt;br /&gt; &amp;nbsp; &amp;nbsp; &amp;nbsp; &amp;nbsp; ✔︎ กรรไกรตัด ด้ามจับสีดำ &lt;br /&gt;&amp;nbsp; &amp;nbsp; &amp;nbsp; &amp;nbsp;&amp;nbsp;✔︎ น้ำหนักเบา จับถนัดมือ &lt;br /&gt;&amp;nbsp; &amp;nbsp; &amp;nbsp; &amp;nbsp;&amp;nbsp;✔︎ ใช้สำหรับตัดแต่งทรงผม&lt;/p&gt;
 &lt;p&gt;วิธีใช้: &lt;br /&gt;✂ กรรไกรตัด ใช้ตัดผมให้สั้นลง บางทีก็ใช้ตัดให้ผมบางลงได้ ขึ้นอยู่กับวิธีการตัด &lt;br /&gt;**สามารถดูวิธีใช้เพิ่มเติมได้ที่ QR code บนกล่อง&lt;/p&gt;</t>
  </si>
  <si>
    <t>สินค้าแบบแยกชิ้น</t>
  </si>
  <si>
    <t>BARBER SCISSORS กรรไกรซอยผม ด้ามดำ ขนาด 7 นิ้ว รุ่น VAL-65</t>
  </si>
  <si>
    <t xml:space="preserve">&lt;p&gt;คุณสมบัติ: &lt;br /&gt;&amp;nbsp; &amp;nbsp; &amp;nbsp; &amp;nbsp; &amp;nbsp;✔︎ กรรไกรซอย ด้ามจับสีดำ &lt;br /&gt;&amp;nbsp; &amp;nbsp; &amp;nbsp; &amp;nbsp; &amp;nbsp;✔︎ น้ำหนักเบา จับถนัดมือ &lt;br /&gt;&amp;nbsp; &amp;nbsp; &amp;nbsp; &amp;nbsp; &amp;nbsp;✔︎ ใช้สำหรับตัดแต่งทรงผม&lt;/p&gt;
 &lt;p&gt;วิธีใช้: &lt;br /&gt;✂ กรรไกรซอย(ฟันปลา) ใช้ซอยผมให้บางลง ขนาดความยาวเท่าเดิม&lt;/p&gt;
 &lt;p&gt;**สามารถดูวิธีใช้เพิ่มเติมได้ที่ QR code บนกล่อง&lt;/p&gt;</t>
  </si>
  <si>
    <t>BARBER SCISSORS กรรไกรตัดมือซ้าย 6.5</t>
  </si>
  <si>
    <t xml:space="preserve">&lt;p&gt;&lt;br /&gt;กรรไกรมือซ้าย กรรไกรสำหรับคนถนัดซ้าย ( ตัด)&lt;/p&gt;
 &lt;p&gt;คุณสมบัติ: &lt;br /&gt;✔︎ กรรไกรตัดผมสำหรับคนถนัดซ้าย&lt;br /&gt;✔︎ กรรไกรซอยผม ยาว 6.5 นิ้ว &lt;br /&gt;✔︎ น้ำหนักเบา จับถนัดมือ &lt;br /&gt;✔︎ ด้วยคุณภาพของวัสดุชั้นดี ให้ความคมสูงมาก &lt;br /&gt;✔︎ สัมผัสลื่น คม โลหะคุณภาพดี&lt;br /&gt;✔︎ ทำจากวัสดุชั้นดีแข็งแรงทนทาน&lt;/p&gt;
 &lt;p&gt;วิธีใช้: &lt;br /&gt;✂ กรรไกรตัด ใช้ตัดผมให้สั้นลง บางทีก็ใช้ตัดให้ผมบางลงได้ ขึ้นอยู่กับวิธีการตัด &lt;br /&gt;**สามารถดูวิธีใช้เพิ่มเติมได้ที่ QR code บนกล่อง&lt;/p&gt;</t>
  </si>
  <si>
    <t>BARBER SCISSORS กรรไกรซอยมือซ้าย 6</t>
  </si>
  <si>
    <t xml:space="preserve">&lt;p&gt;กรรไกรมือซ้าย กรรไกรสำหรับคนถนัดซ้าย (ซอย )&lt;/p&gt;
 &lt;p&gt;คุณสมบัติ: &lt;br /&gt;✔︎ กรรไกรตัดผมสำหรับคนถนัดซ้าย&lt;br /&gt;✔︎ กรรไกรซอยผม ยาว 6 นิ้ว &lt;br /&gt;✔︎ น้ำหนักเบา จับถนัดมือ &lt;br /&gt;✔︎ ด้วยคุณภาพของวัสดุชั้นดี ให้ความคมสูงมาก &lt;br /&gt;✔︎ สัมผัสลื่น คม โลหะคุณภาพดี&lt;br /&gt;✔︎ ทำจากวัสดุชั้นดีแข็งแรงทนทาน&lt;/p&gt;
 &lt;p&gt;วิธีใช้: &lt;br /&gt;✂ กรรไกรซอย(ฟันปลา) ใช้ซอยผมให้บางลง ขนาดความยาวเท่าเดิม &lt;br /&gt;**สามารถดูวิธีใช้เพิ่มเติมได้ที่ QR code บนกล่อง&lt;/p&gt;</t>
  </si>
  <si>
    <t>VAL-1510B</t>
  </si>
  <si>
    <t>ผ้าคลุมซอย Barber Brain VAL-1510/B</t>
  </si>
  <si>
    <t xml:space="preserve">&lt;p&gt;&lt;br /&gt;ผลิตจากวัสดุ :&lt;br /&gt; ผ้าเสอร์ช กันน้ำได้ 80% &lt;br /&gt; เนื้อนุ่มมาก ระบายความร้อนได้ดี&lt;/p&gt;
 &lt;p&gt;คุณสมบัติ:&lt;br /&gt;&amp;nbsp; &amp;nbsp; &amp;nbsp; ✔︎ ใช้สำหรับ คลุมตัดผม ซอยผม &lt;br /&gt;&amp;nbsp; &amp;nbsp; &amp;nbsp;&amp;nbsp;✔︎ ป้องกันไม่ให้เปื้อนตอนทำเคมีต่างๆ&lt;br /&gt;&amp;nbsp; &amp;nbsp; &amp;nbsp;&amp;nbsp;✔︎ สามารถปรับระดับได้ เป็นตะขอเกี่ยว &lt;br /&gt;&amp;nbsp; &amp;nbsp; &amp;nbsp;&amp;nbsp;✔︎ ใช้สำหรับ คลุมตัดผม ซอยผมป้องกันไม่ให้เปื้อนตอนทำเคมีต่างๆ&lt;br /&gt;&amp;nbsp; &amp;nbsp; &amp;nbsp;&amp;nbsp;✔︎ ด้านหลังเป็นตะขอเกี่ยว สามารถปรับระดับได้&lt;/p&gt;</t>
  </si>
  <si>
    <t>Apron - ผ้าคลุมและผ้ากันเปื้อน</t>
  </si>
  <si>
    <t>ผ้าคลุมตัดผม</t>
  </si>
  <si>
    <t>VAL-1510W</t>
  </si>
  <si>
    <t>ผ้าคลุมซอย สกรีนโลโก้ Barber Brain สีขาว VAL-1510/W</t>
  </si>
  <si>
    <t xml:space="preserve">&lt;p&gt;ผลิตจากวัสดุ :&lt;br /&gt; ผ้าเสอร์ช กันน้ำได้ 80% &lt;br /&gt; เนื้อนุ่มมาก ระบายความร้อนได้ดี&lt;/p&gt;
 &lt;p&gt;คุณสมบัติ:&lt;br /&gt;&amp;nbsp; &amp;nbsp; &amp;nbsp; ✔︎ ใช้สำหรับ คลุมตัดผม ซอยผม &lt;br /&gt;&amp;nbsp; &amp;nbsp; &amp;nbsp;&amp;nbsp;✔︎ ป้องกันไม่ให้เปื้อนตอนทำเคมีต่างๆ&lt;br /&gt;&amp;nbsp; &amp;nbsp; &amp;nbsp;&amp;nbsp;✔︎ สามารถปรับระดับได้ เป็นตะขอเกี่ยว &lt;br /&gt;&amp;nbsp; &amp;nbsp; &amp;nbsp;&amp;nbsp;✔︎ ใช้สำหรับ คลุมตัดผม ซอยผมป้องกันไม่ให้เปื้อนตอนทำเคมีต่างๆ&lt;br /&gt;&amp;nbsp; &amp;nbsp; &amp;nbsp;&amp;nbsp;✔︎ ด้านหลังเป็นตะขอเกี่ยว สามารถปรับระดับได้&lt;/p&gt;</t>
  </si>
  <si>
    <t>VAL-1511B</t>
  </si>
  <si>
    <t>ผ้าคลุมซอย บาร์เบอร์เบรน VAL-1511/B</t>
  </si>
  <si>
    <t xml:space="preserve">&lt;p&gt;ผ้าคลุมซอยลายทางลายโลโก้บาร์เบอร์ เบรน &lt;br /&gt;ขนาด 122x143ซม. ด้านหลังเป็นกระดุมสามารถปรับระดับได้&lt;/p&gt;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 ยืนยันราคาถูกที่สุด &lt;br /&gt;&amp;nbsp; &amp;nbsp; &amp;nbsp; &amp;nbsp;✔︎ ของแท้ 100% &lt;br /&gt;&amp;nbsp; &amp;nbsp; &amp;nbsp; &amp;nbsp;✔︎ วัสดุใช้เนื้อผ้าระบายความร้อนได้ดี &lt;br /&gt;&amp;nbsp; &amp;nbsp; &amp;nbsp; &amp;nbsp;✔︎ สามารถปรับสายได้&lt;br /&gt;&lt;strong&gt;&amp;nbsp; &amp;nbsp; &amp;nbsp; &amp;nbsp;&lt;/strong&gt;✔︎ด้านหลังเป็นตะขอเกี่ยวสามารถปรับระดับได้&lt;/p&gt;</t>
  </si>
  <si>
    <t>BARBER BRAIN CUTTING PINK APRON : ผ้าคลุมซอย บาร์เบอร์เบรน สีชมพู VAL-1513</t>
  </si>
  <si>
    <t xml:space="preserve">&lt;p&gt;ผ้าคลุมซอยลายโลโก้บาร์เบอร์ เบรน สีชมพู &lt;br /&gt;ขนาด 140x152 ซม. ด้านหลังเป็นตะขอเกี่ยวสามารถปรับระดับได้&lt;/p&gt;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&amp;nbsp;&amp;nbsp;✔︎ ยืนยันราคาถูกที่สุด &lt;br /&gt;&amp;nbsp; &amp;nbsp; &amp;nbsp; &amp;nbsp; ✔︎ ของแท้ 100% &lt;br /&gt;&amp;nbsp; &amp;nbsp; &amp;nbsp; &amp;nbsp;&amp;nbsp;✔︎ วัสดุใช้เนื้อผ้าระบายความร้อนได้ดี &lt;br /&gt;&amp;nbsp; &amp;nbsp; &amp;nbsp; &amp;nbsp;&amp;nbsp;✔︎ สามารถปรับสายได้&lt;br /&gt;&amp;nbsp; &amp;nbsp; &amp;nbsp; &amp;nbsp;&amp;nbsp;✔︎ด้านหลังเป็นตะขอเกี่ยวสามารถปรับระดับได้&lt;/p&gt;</t>
  </si>
  <si>
    <t>VAL-2985</t>
  </si>
  <si>
    <t>BARBER EQUIPMENT ผ้าคลุมซอยสำหรับบาร์เบอร์ VAL-2985</t>
  </si>
  <si>
    <t xml:space="preserve">&lt;p&gt;ผ้าคลุมซอย สีดำ ขนาด 129x145ซม. &lt;br /&gt;ด้านหลังเป็นตะขอเกี่ยวสามารถปรับระดับได้&lt;/p&gt;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 &amp;nbsp; ✔︎ ยืนยันราคาถูกที่สุด &lt;br /&gt;&amp;nbsp; &amp;nbsp; &amp;nbsp; &amp;nbsp; &amp;nbsp;&amp;nbsp;✔︎ ของแท้ 100% &lt;br /&gt;&amp;nbsp; &amp;nbsp; &amp;nbsp; &amp;nbsp; &amp;nbsp;&amp;nbsp;✔︎ วัสดุใช้เนื้อผ้าระบายความร้อนได้ดี &lt;br /&gt;&amp;nbsp; &amp;nbsp; &amp;nbsp; &amp;nbsp; &amp;nbsp;&amp;nbsp;✔︎ สามารถปรับสายได้&lt;br /&gt;&amp;nbsp; &amp;nbsp; &amp;nbsp; &amp;nbsp; &amp;nbsp;&amp;nbsp;✔︎ด้านหลังเป็นตะขอเกี่ยวสามารถปรับระดับได้&lt;/p&gt;</t>
  </si>
  <si>
    <t>VAL-1510W-1</t>
  </si>
  <si>
    <t>Barber Brain ผ้าคลุมซอย VAL-1510/W-1</t>
  </si>
  <si>
    <t xml:space="preserve">&lt;p&gt;WHITE CUTTING APRON ผ้าคลุมซอยสีขาวล้วน&lt;br /&gt;ขนาด 153*123 cm&lt;/p&gt;
 &lt;p&gt;คุณสมบัติ:&lt;br /&gt;&amp;nbsp; &amp;nbsp; &amp;nbsp; &amp;nbsp; ✔︎ ใช้สำหรับ คลุมตัดผม ซอยผม &lt;br /&gt;&amp;nbsp; &amp;nbsp; &amp;nbsp; &amp;nbsp;&amp;nbsp;✔︎ เนื้อผ้าเบาสบาย ใช้คลุมร่างกาย ขณะตัดผม &lt;br /&gt;&amp;nbsp; &amp;nbsp; &amp;nbsp; &amp;nbsp;&amp;nbsp;✔︎ ป้องกันไม่ให้เปื้อนตอนทำเคมีต่างๆ&lt;br /&gt;&amp;nbsp; &amp;nbsp; &amp;nbsp; &amp;nbsp;&amp;nbsp;✔︎ สามารถปรับระดับได้ เป็นตะขอเกี่ยว &lt;br /&gt;&amp;nbsp; &amp;nbsp; &amp;nbsp; &amp;nbsp;&amp;nbsp;✔︎ ใช้สำหรับ คลุมตัดผม ซอยผมป้องกันไม่ให้เปื้อนตอนทำเคมีต่างๆ&lt;br /&gt;&amp;nbsp; &amp;nbsp; &amp;nbsp; &amp;nbsp;&amp;nbsp;✔︎ ด้านหลังเป็นตะขอและเป็นยางยืด สามารถปรับระดับได้&lt;/p&gt;</t>
  </si>
  <si>
    <t>VAL-1510B-1</t>
  </si>
  <si>
    <t>Barber Brain ผ้าคลุมซอย Barber Brain ผ้าคลุมซอย VAL-1510/B-1</t>
  </si>
  <si>
    <t xml:space="preserve">&lt;p&gt;BLACK CUTTING APRON ผ้าคลุมซอยสีดำล้วน&lt;br /&gt;ขนาด 122x143ซม.&lt;/p&gt;
 &lt;p&gt;ผลิตจากวัสดุ :&lt;br /&gt; ผ้าเสอร์ช กันน้ำได้ 80% &lt;br /&gt; เนื้อนุ่มมาก ระบายความร้อนได้ดี&lt;/p&gt;
 &lt;p&gt;คุณสมบัติ:&lt;br /&gt;&amp;nbsp; &amp;nbsp; &amp;nbsp; &amp;nbsp; ✔︎ ใช้สำหรับ คลุมตัดผม ซอยผม &lt;br /&gt;&amp;nbsp; &amp;nbsp; &amp;nbsp; &amp;nbsp;&amp;nbsp;✔︎ ป้องกันไม่ให้เปื้อนตอนทำเคมีต่างๆ&lt;br /&gt;&amp;nbsp; &amp;nbsp; &amp;nbsp; &amp;nbsp;&amp;nbsp;✔︎ สามารถปรับระดับได้ เป็นตะขอเกี่ยว &lt;br /&gt;&amp;nbsp; &amp;nbsp; &amp;nbsp; &amp;nbsp;&amp;nbsp;✔︎ ใช้สำหรับ คลุมตัดผม ซอยผมป้องกันไม่ให้เปื้อนตอนทำเคมีต่างๆ&lt;br /&gt;&amp;nbsp; &amp;nbsp; &amp;nbsp; &amp;nbsp;&amp;nbsp;✔︎ ด้านหลังเป็นตะขอสามารถปรับระดับได้&lt;/p&gt;</t>
  </si>
  <si>
    <t>ผ้าคลุมลายธงชาติ บาร์เบอร์ รุ่น VAL-K080</t>
  </si>
  <si>
    <t xml:space="preserve">&lt;p&gt;ผ้าคลุมลายธงชาติ รุ่น VAL-K080&lt;br /&gt;ขนาด 142*167 cm&lt;/p&gt;
 &lt;p&gt;ผลิตจากวัสดุ :&lt;br /&gt; ผ้าเสอร์ช กันน้ำได้ 80% &lt;br /&gt; เนื้อนุ่มมาก ระบายความร้อนได้ดี&lt;/p&gt;
 &lt;p&gt;คุณสมบัติ: &lt;br /&gt;&amp;nbsp; &amp;nbsp; &amp;nbsp; ✔︎ ยืนยันราคาถูกที่สุด &lt;br /&gt;&amp;nbsp; &amp;nbsp; &amp;nbsp;&amp;nbsp;✔︎ ของแท้ 100% &lt;br /&gt;&amp;nbsp; &amp;nbsp; &amp;nbsp;&amp;nbsp;✔︎ วัสดุใช้เนื้อผ้าระบายความร้อนได้ดี &lt;br /&gt;&amp;nbsp; &amp;nbsp; &amp;nbsp;&amp;nbsp;✔︎ สามารถปรับสายได้&lt;br /&gt;&amp;nbsp; &amp;nbsp; &amp;nbsp;&amp;nbsp;✔︎ คอเป็นตะขอเกี่ยว&lt;/p&gt;</t>
  </si>
  <si>
    <t>VAL-1512W</t>
  </si>
  <si>
    <t>ผ้าคลุมตัด-ซอย ไม่มีโลโก้ ลายทาง VAL-1512/W</t>
  </si>
  <si>
    <t xml:space="preserve">&lt;p&gt;ใช้คลุมตัด-ซอยผม เนื้อผ้าดีไม่ร้อน&lt;br /&gt;ขนาด 140x152 ซม.&lt;/p&gt;
 &lt;p&gt;ผลิตจากวัสดุ :&lt;br /&gt; ผ้าเสอร์ช กันน้ำได้ 80% &lt;br /&gt; เนื้อนุ่มมาก ระบายความร้อนได้ดี&lt;/p&gt;
 &lt;p&gt;คุณสมบัติ: &lt;br /&gt;&amp;nbsp; &amp;nbsp; &amp;nbsp; &amp;nbsp; ✔︎ ยืนยันราคาถูกที่สุด &lt;br /&gt;&amp;nbsp; &amp;nbsp; &amp;nbsp; &amp;nbsp;&amp;nbsp;✔︎ ของแท้ 100% &lt;br /&gt;&amp;nbsp; &amp;nbsp; &amp;nbsp; &amp;nbsp;&amp;nbsp;✔︎ วัสดุใช้เนื้อผ้าระบายความร้อนได้ดี &lt;br /&gt;&amp;nbsp; &amp;nbsp; &amp;nbsp; &amp;nbsp;&amp;nbsp;✔︎ สามารถปรับสายได้&lt;br /&gt;&amp;nbsp; &amp;nbsp; &amp;nbsp; &amp;nbsp;&amp;nbsp;✔︎ ด้านหลังเป็นกระดุม&lt;/p&gt;
 &lt;p&gt;&amp;nbsp;&lt;/p&gt;
 &lt;p&gt;&amp;nbsp;&lt;/p&gt;</t>
  </si>
  <si>
    <t>VAL-1514</t>
  </si>
  <si>
    <t>ผ้าคลุมซอย ลายอุปกรณ์ VAL-1514</t>
  </si>
  <si>
    <t xml:space="preserve">&lt;p&gt;ผ้าคลุมซอยลายอุปกรณ์สีเหลือง ขนาด 115x140ซม. &lt;br /&gt;ด้านหลังเป็นตะขอเกี่ยวสามารถปรับระดับได้&lt;/p&gt;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 &amp;nbsp;✔︎ ยืนยันราคาถูกที่สุด &lt;br /&gt;&amp;nbsp; &amp;nbsp; &amp;nbsp; &amp;nbsp; &amp;nbsp;✔︎ ของแท้ 100% &lt;br /&gt;&amp;nbsp; &amp;nbsp; &amp;nbsp; &amp;nbsp; &amp;nbsp;✔︎ วัสดุใช้เนื้อผ้าระบายความร้อนได้ดี &lt;br /&gt;&amp;nbsp; &amp;nbsp; &amp;nbsp; &amp;nbsp; &amp;nbsp;✔︎ สามารถปรับสายได้&lt;br /&gt;&amp;nbsp; &amp;nbsp; &amp;nbsp; &amp;nbsp; &amp;nbsp;✔︎ด้านหลังเป็นตะขอเกี่ยวสามารถปรับระดับได้&lt;/p&gt;</t>
  </si>
  <si>
    <t>VAL-1515W</t>
  </si>
  <si>
    <t>BARBER BRAIN ผ้าคลุมบาร์เบอร์เบรน รุ่น VAL-1515/W</t>
  </si>
  <si>
    <t xml:space="preserve">&lt;p&gt;ผ้าคลุมซอยลายอุปกรณ์ สีขาว ขนาด 115x140ซม.&lt;br /&gt; ด้านหลังเป็นตะขอเกี่ยวสามารถปรับระดับได้&lt;/p&gt;
 &lt;p&gt;คุณสมบัติ: &lt;br /&gt;&amp;nbsp; &amp;nbsp; &amp;nbsp; &amp;nbsp; &amp;nbsp;✔︎ ยืนยันราคาถูกที่สุด &lt;br /&gt;&amp;nbsp; &amp;nbsp; &amp;nbsp; &amp;nbsp; &amp;nbsp;✔︎ ของแท้ 100% &lt;br /&gt;&amp;nbsp; &amp;nbsp; &amp;nbsp; &amp;nbsp; &amp;nbsp;✔︎ วัสดุใช้เนื้อผ้าระบายความร้อนได้ดี &lt;br /&gt;&amp;nbsp; &amp;nbsp; &amp;nbsp; &amp;nbsp; &amp;nbsp;✔︎ สามารถปรับสายได้&lt;br /&gt;&amp;nbsp; &amp;nbsp; &amp;nbsp; &amp;nbsp; &amp;nbsp;✔︎ด้านหลังเป็นตะขอเกี่ยวสามารถปรับระดับได้&lt;/p&gt;</t>
  </si>
  <si>
    <t>VAL-1515B</t>
  </si>
  <si>
    <t>BARBER BRAIN ผ้าคลุมซอยบาร์เบอร์เบรน รุ่น VAL-1515/B</t>
  </si>
  <si>
    <t xml:space="preserve">&lt;p&gt;ผ้าคลุมซอยลายอุปกรณ์ สีดำ ขนาด 115x140ซม. &lt;br /&gt;ด้านหลังเป็นตะขอเกี่ยวสามารถปรับระดับได้&lt;/p&gt;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 &amp;nbsp; ✔︎ ยืนยันราคาถูกที่สุด &lt;br /&gt;&amp;nbsp; &amp;nbsp; &amp;nbsp; &amp;nbsp; &amp;nbsp;&amp;nbsp;✔︎ ของแท้ 100% &lt;br /&gt;&amp;nbsp; &amp;nbsp; &amp;nbsp; &amp;nbsp; &amp;nbsp;&amp;nbsp;✔︎ วัสดุใช้เนื้อผ้าระบายความร้อนได้ดี &lt;br /&gt;&amp;nbsp; &amp;nbsp; &amp;nbsp; &amp;nbsp; &amp;nbsp;&amp;nbsp;✔︎ สามารถปรับสายได้&lt;br /&gt;&amp;nbsp; &amp;nbsp; &amp;nbsp; &amp;nbsp; &amp;nbsp;&amp;nbsp;✔︎ด้านหลังเป็นตะขอเกี่ยวสามารถปรับระดับได้&lt;/p&gt;</t>
  </si>
  <si>
    <t>VAL-2986</t>
  </si>
  <si>
    <t>BARBER EQUIPMENT ผ้าคลุมซอยสำหรับบาร์เบอร์ รุ่น VAL-2986</t>
  </si>
  <si>
    <t xml:space="preserve">&lt;p&gt;ผ้าคลุมซอยธงชาติอเมริกัน ขนาด 129x143ซม. &lt;br /&gt;ด้านหลังเป็นตะขอเกี่ยวสามารถปรับระดับได้&lt;/p&gt;
 &lt;p&gt;ผลิตจากวัสดุ :&lt;br /&gt; ผ้าเสอร์ช กันน้ำได้ 80% &lt;br /&gt; เนื้อนุ่มมาก ระบายความร้อนได้ดี&lt;/p&gt;
 &lt;p&gt;คุณสมบัติ: &lt;br /&gt;&amp;nbsp; &amp;nbsp; &amp;nbsp; &amp;nbsp; &amp;nbsp;✔︎ ผ้าคลุมซอยสำหรับบาร์เบอร์ &lt;br /&gt;&amp;nbsp; &amp;nbsp; &amp;nbsp; &amp;nbsp; &amp;nbsp;✔︎ ยืนยันราคาถูกที่สุด &lt;br /&gt;&amp;nbsp; &amp;nbsp; &amp;nbsp; &amp;nbsp; &amp;nbsp;✔︎ ของแท้ 100% &lt;br /&gt;&amp;nbsp; &amp;nbsp; &amp;nbsp; &amp;nbsp; &amp;nbsp;✔︎ วัสดุใช้เนื้อผ้าระบายความร้อนได้ดี &lt;br /&gt;&amp;nbsp; &amp;nbsp; &amp;nbsp; &amp;nbsp; &amp;nbsp;✔︎ สามารถปรับสายได้&lt;br /&gt;&amp;nbsp; &amp;nbsp; &amp;nbsp; &amp;nbsp; &amp;nbsp;✔︎ด้านหลังเป็นตะขอเกี่ยวสามารถปรับระดับได้&lt;/p&gt;</t>
  </si>
  <si>
    <t>VAL-2987</t>
  </si>
  <si>
    <t>ผ้าคลุมซอย ลายขาวดำ รุ่น VAL-2987</t>
  </si>
  <si>
    <t xml:space="preserve">&lt;p&gt;ผ้าคลุมซอยสีดำละสีขาว ขนาด 135x152ซม. &lt;br /&gt;ด้ามหลังเป็นตะขอเกี่ยวสามารถปรับระดับได้&lt;/p&gt;
 &lt;p&gt;คุณสมบัติ: &lt;br /&gt;&amp;nbsp; &amp;nbsp; &amp;nbsp; &amp;nbsp; &amp;nbsp;✔︎ ผ้าคลุมซอยสำหรับบาร์เบอร์ &lt;br /&gt;&amp;nbsp; &amp;nbsp; &amp;nbsp; &amp;nbsp; &amp;nbsp;✔︎ ยืนยันราคาถูกที่สุด &lt;br /&gt;&amp;nbsp; &amp;nbsp; &amp;nbsp; &amp;nbsp; &amp;nbsp;✔︎ ของแท้ 100% &lt;br /&gt;&amp;nbsp; &amp;nbsp; &amp;nbsp; &amp;nbsp; &amp;nbsp;✔︎ วัสดุใช้เนื้อผ้าระบายความร้อนได้ดี &lt;br /&gt;&amp;nbsp; &amp;nbsp; &amp;nbsp; &amp;nbsp; &amp;nbsp;✔︎ สามารถปรับสายได้&lt;br /&gt;&amp;nbsp; &amp;nbsp; &amp;nbsp; &amp;nbsp; &amp;nbsp;✔︎ด้านหลังเป็นตะขอเกี่ยวสามารถปรับระดับได้&lt;/p&gt;</t>
  </si>
  <si>
    <t>VAL-2534</t>
  </si>
  <si>
    <t>VALENTE ด้ามมีดโกน-ซอยสไลด์ คมเดียว รุ่น VAL-2534/B,BL,S</t>
  </si>
  <si>
    <t xml:space="preserve">&lt;p&gt;VALENTE ด้ามมีดโกน รุ่น VAL-2534&lt;/p&gt;
 &lt;p&gt;ด้ามมีดโกน แบบตรง มี3สี : ดำ น้ำเงิน เงิน&lt;br /&gt;น้ำหนัก 0.0483 กก. ใช้ใบมีดหักครึ่ง&lt;/p&gt;
 &lt;p&gt;คุณสมบัติ: &lt;br /&gt;&amp;nbsp; &amp;nbsp; &amp;nbsp; &amp;nbsp;✔︎ ด้ามมีดโกนสวมนิ้ว แบบตรง &lt;br /&gt;&amp;nbsp; &amp;nbsp; &amp;nbsp; &amp;nbsp;✔︎ มี3สี สีเงิน สีดำ สีน้ำเงิน &lt;br /&gt; &amp;nbsp; &amp;nbsp; &amp;nbsp; &amp;nbsp;✔︎ ใช้ใบมีดแบบหักครึ่ง &lt;br /&gt;&amp;nbsp; &amp;nbsp; &amp;nbsp; &amp;nbsp;✔︎ สามารถนำไปกันหรือจัดแต่งทรงคิ้วหรือทรงผมได้&lt;/p&gt;
 &lt;p&gt;*เหมาะสำหรับมือใหม่และมืออาชีพ*&lt;/p&gt;</t>
  </si>
  <si>
    <t>05-BLUE</t>
  </si>
  <si>
    <t>08-WHITE</t>
  </si>
  <si>
    <t>VAL-9006</t>
  </si>
  <si>
    <t>VALENTE ด้ามมีดโกน-ซอยสไลด์ ใบมีดขนนก คมเดียว รุ่น VAL-9006</t>
  </si>
  <si>
    <t>Razor handle ด้ามมีดโกน-ซอยสไลด์ ใบมีดขนนก คมเดียว รุ่น XR-001</t>
  </si>
  <si>
    <t xml:space="preserve">&lt;p&gt;ด้ามมีดโกน แบบพับได้ สีเงิน &lt;br /&gt;ความยาวทั้งหมดประมาน 20.6 ซม. &lt;br /&gt;ใช้ใบมีดสองคม&lt;/p&gt;
 &lt;p&gt;คุณสมบัติ: &lt;br /&gt;&amp;nbsp; &amp;nbsp; &amp;nbsp; &amp;nbsp; ✔︎ Razor handle ด้ามมีดโกน รุ่น XR-001 &lt;br /&gt;&amp;nbsp; &amp;nbsp; &amp;nbsp; &amp;nbsp;&amp;nbsp;✔︎ ใช้ใบมีดขนนก&lt;br /&gt;&amp;nbsp; &amp;nbsp; &amp;nbsp; &amp;nbsp;&amp;nbsp;✔︎ วัสดุทนทาน น้ำหนักเบาใช้งานง่าย &lt;br /&gt;&amp;nbsp; &amp;nbsp; &amp;nbsp; &amp;nbsp;&amp;nbsp;✔︎ เปลี่ยนใบมีดได้ ด้ามมีดโกน ซอยผม&lt;/p&gt;
 &lt;p&gt;*ใช้ได้ทั้งมือใหม่และมืออาชีพ&lt;br /&gt;ข้อควรระวัง *ควรเก็บให้ห่างจากมือเด็ก*&lt;/p&gt;</t>
  </si>
  <si>
    <t>XR-002</t>
  </si>
  <si>
    <t>Razor handle ด้ามมีดโกนสีเงิน ใบมีดหักครึ่ง รุ่น XR-002</t>
  </si>
  <si>
    <t xml:space="preserve">&lt;p&gt;ด้ามมีดโกน แบบพับได้ สีเงิน &lt;br /&gt; ความยาวทั้งหมดประมาน 21.2 ซม. &lt;br /&gt; ใช้ใบมีดหักครึ่ง สองคม&lt;/p&gt;
 &lt;p&gt;คุณสมบัติ: &lt;br /&gt;&amp;nbsp; &amp;nbsp; &amp;nbsp; &amp;nbsp; &amp;nbsp; ✔︎ Razor handle ด้ามมีดโกน รุ่น XR-002 &lt;br /&gt;&amp;nbsp; &amp;nbsp; &amp;nbsp; &amp;nbsp; &amp;nbsp;&amp;nbsp;✔︎ วัสดุทนทาน น้ำหนักเบาใช้งานง่าย &lt;br /&gt;&amp;nbsp; &amp;nbsp; &amp;nbsp; &amp;nbsp; &amp;nbsp;&amp;nbsp;✔︎ เปลี่ยนใบมีดได้ ด้ามมีดโกน ซอยผม&lt;/p&gt;
 &lt;p&gt;**เหมาะสำหรับมือใหม่และมืออาชีพ**&lt;/p&gt;</t>
  </si>
  <si>
    <t>BARBER EQUIPMENT ด้ามมีดโกน แบบพับได้ ใบมีดหักครึ่ง SR-1210</t>
  </si>
  <si>
    <t xml:space="preserve">&lt;p&gt;ด้ามมีดโกน แบบพับได้ สีดำ &lt;br /&gt;ความยาวทั้งหมดประมาน 21.5 ซม.ใช้ใบมีดหักครึ่ง&lt;/p&gt;
 &lt;p&gt;คุณสมบัติ: &lt;br /&gt;&amp;nbsp; &amp;nbsp; &amp;nbsp; &amp;nbsp; &amp;nbsp;✔︎ วัสดุทนทาน &lt;br /&gt;&amp;nbsp; &amp;nbsp; &amp;nbsp; &amp;nbsp; &amp;nbsp;✔︎ น้ำหนักเบาใช้งานง่าย &lt;br /&gt;&amp;nbsp; &amp;nbsp; &amp;nbsp; &amp;nbsp; &amp;nbsp;✔︎ เปลี่ยนใบมีดได้ &lt;br /&gt;&amp;nbsp; &amp;nbsp; &amp;nbsp; &amp;nbsp; &amp;nbsp;✔︎ ด้ามมีดโกน กันจอน โกนหนวด ตัดผมหางเหล็ก&lt;/p&gt;</t>
  </si>
  <si>
    <t>SIZE: L</t>
  </si>
  <si>
    <t>VAL-51</t>
  </si>
  <si>
    <t>BARBER BRAIN BOAR BRUSH แปรงปัดผม ขนหมูป่า VAL-51</t>
  </si>
  <si>
    <t xml:space="preserve">&lt;p&gt;BARBER BRAIN BOAR BRUSH&lt;br /&gt;แปรงปัดผมขนหมูป่า ทรงรี ไม่มีด้ามจับ &lt;br /&gt;ขนาด 6x11ซม. น้ำหนัก 56.3 กรัม ใช้ปัดเศษผม&lt;/p&gt;
 &lt;p&gt;คุณสมบัติ: &lt;br /&gt;&amp;nbsp; &amp;nbsp; &amp;nbsp; &amp;nbsp; &amp;nbsp; &amp;nbsp; ✔︎ ขนหมูป่าแท้ ใช้ปัดเศษผม &lt;br /&gt;&amp;nbsp; &amp;nbsp; &amp;nbsp; &amp;nbsp; &amp;nbsp; &amp;nbsp;&amp;nbsp;✔︎ ขนแปรงไม่แข็งมากและไม่อ่อนจนเกินไป &lt;br /&gt;&amp;nbsp; &amp;nbsp; &amp;nbsp; &amp;nbsp; &amp;nbsp; &amp;nbsp;&amp;nbsp;✔︎ ทนทาน ขนไม่หลัดง่าย ไม่ระคายเคือง &lt;br /&gt;*เหมาะสำหรับร้านบาร์เบอร์และซาลอน&lt;/p&gt;
 &lt;p&gt;วิธีใช้: &lt;br /&gt; &amp;nbsp; &amp;nbsp; &amp;nbsp; &amp;nbsp; &amp;nbsp; &amp;nbsp;&amp;nbsp;ใช้หลังการตัดผม ปัดเศษผมเพื่อเก็บรายละเอียด และความสะอาด &lt;br /&gt;หรือแปรงลักษณะนี้ ใช้ปัดเศษผมขนาดเล็กๆที่ติดตามหนังหัว&lt;/p&gt;
 &lt;p&gt;&lt;br /&gt; ..........................................................................&lt;/p&gt;</t>
  </si>
  <si>
    <t>BARBER BRAIN BOAR BRUSH แปรงปัดผม ขนหมูป่า รุ่น VAL-52</t>
  </si>
  <si>
    <t xml:space="preserve">&lt;p&gt;BARBER BRAIN BOAR BRUSH&lt;br /&gt;แปรงปัดผมขนหมูป่า มีด้ามจับ &lt;br /&gt;ขนาด 5.5x17ซม. น้ำหนัก 78 กรัม ใช้ปัดเศษผม&lt;/p&gt;
 &lt;p&gt;คุณสมบัติ: &lt;br /&gt;&amp;nbsp; &amp;nbsp; &amp;nbsp; &amp;nbsp; ✔︎ ขนหมูป่าแท้ ใช้ปัดเศษผม &lt;br /&gt;&amp;nbsp; &amp;nbsp; &amp;nbsp; &amp;nbsp;&amp;nbsp;✔︎ ขนแปรงไม่แข็งมากและไม่อ่อนจนเกินไป &lt;br /&gt;&amp;nbsp; &amp;nbsp; &amp;nbsp; &amp;nbsp;&amp;nbsp;✔︎ ทนทาน ขนไม่หลัดง่าย ไม่ระคายเคือง &lt;br /&gt;*เหมาะสำหรับร้านบาร์เบอร์และซาลอน&lt;/p&gt;
 &lt;p&gt;วิธีใช้: &lt;br /&gt; 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</si>
  <si>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VAL-53</t>
  </si>
  <si>
    <t>BARBER BRAIN BOAR BRUSH แปรงปัดผม ขนหมูป่า รุ่น VAL-53</t>
  </si>
  <si>
    <t xml:space="preserve">&lt;p&gt;BARBER BRAIN BOAR BRUSH&lt;br /&gt;แปรงปัดผมขนหมูป่า มีด้ามจับ &lt;br /&gt;ขนาด 4x21.5ซม. น้ำหนัก 68กรัม ใช้ปัดเศษผม.&lt;/p&gt;
 &lt;p&gt;คุณสมบัติ: &lt;br /&gt;&amp;nbsp; &amp;nbsp; &amp;nbsp; &amp;nbsp; &amp;nbsp;✔︎ ขนหมูป่าแท้ ใช้ปัดเศษผม &lt;br /&gt;&amp;nbsp; &amp;nbsp; &amp;nbsp; &amp;nbsp; &amp;nbsp;✔︎ ขนแปรงไม่แข็งมากและไม่อ่อนจนเกินไป &lt;br /&gt;&amp;nbsp; &amp;nbsp; &amp;nbsp; &amp;nbsp; &amp;nbsp;✔︎ ทนทาน ขนไม่หลัดง่าย ไม่ระคายเคือง &lt;br /&gt;*เหมาะสำหรับร้านบาร์เบอร์และซาลอน&lt;/p&gt;
 &lt;p&gt;วิธีใช้: &lt;br /&gt; 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</si>
  <si>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VAL-54</t>
  </si>
  <si>
    <t>BARBER BRAIN BOAR BRUSH แปรงปัดผม ขนหมูป่า รุ่น VAL-54</t>
  </si>
  <si>
    <t xml:space="preserve">&lt;p&gt;BARBERBRAIN BOAR BRUSH&lt;br /&gt;แปรงปัดผมขนหมูป่า มีด้ามจับ &lt;br /&gt;ขนาด 3x20.5ซม.น้ำหนัก 48 กรัม ใช้ปัดเศษผม&lt;/p&gt;
 &lt;p&gt;คุณสมบัติ: &lt;br /&gt;&amp;nbsp; &amp;nbsp; &amp;nbsp; &amp;nbsp; &amp;nbsp;✔︎ ขนหมูป่าแท้ ใช้ปัดเศษผม &lt;br /&gt;&amp;nbsp; &amp;nbsp; &amp;nbsp; &amp;nbsp; &amp;nbsp;✔︎ ขนแปรงไม่แข็งมากและไม่อ่อนจนเกินไป &lt;br /&gt;&amp;nbsp; &amp;nbsp; &amp;nbsp; &amp;nbsp; &amp;nbsp;✔︎ ทนทาน ขนไม่หลัดง่าย ไม่ระคายเคือง &lt;br /&gt;*เหมาะสำหรับร้านบาร์เบอร์และซาลอน&lt;/p&gt;
 &lt;p&gt;วิธีใช้: &lt;br /&gt; &amp;nbsp; &amp;nbsp; &amp;nbsp; &amp;nbsp; &amp;nbsp;ใช้หลังการตัดผม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</si>
  <si>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VAL-51A</t>
  </si>
  <si>
    <t>VINTAGE BRUSH หวีแปรงวินเทจขนม้า รุ่น VAL-51A</t>
  </si>
  <si>
    <t xml:space="preserve">&lt;p&gt;แปรงปัดผมขนม้า ทรงรี ไม่มีด้ามจับ&lt;br /&gt;ขนาด 6x11ซม. ใช้ปัดเศษผม&lt;/p&gt;
 &lt;p&gt;คุณสมบัติ: &lt;br /&gt;&amp;nbsp; &amp;nbsp; &amp;nbsp; &amp;nbsp; &amp;nbsp;✔︎ ขนม้าแท้ ใช้ปัดเศษผม &lt;br /&gt;&amp;nbsp; &amp;nbsp; &amp;nbsp; &amp;nbsp; &amp;nbsp;✔︎ ขนแปรงไม่แข็งมากและไม่อ่อนจนเกินไป &lt;br /&gt;&amp;nbsp; &amp;nbsp; &amp;nbsp; &amp;nbsp; &amp;nbsp;✔︎ ทนทาน ขนไม่หลัดง่าย ไม่ระคายเคือง&lt;/p&gt;
 &lt;p&gt;วิธีใช้: &lt;br /&gt; &amp;nbsp; &amp;nbsp; &amp;nbsp; &amp;nbsp; &amp;nbsp;ใช้หลังการตัดผม ปัดเศษผมเพื่อเก็บรายละเอียด และความสะอาด หรือแปรง&lt;br /&gt;ลักษณะนี้ ใช้ปัดเศษผมขนาดเล็กๆที่ติดตามหนังหัว(โดยเฉพาะเวลาตัดทรงนักเรียน)&lt;/p&gt;</t>
  </si>
  <si>
    <t>VINTAGE HORSE BRUSH แปรงปัดขนม้า รุ่น VAL-52A</t>
  </si>
  <si>
    <t xml:space="preserve">&lt;p&gt;แปรงปัดผมขนม้า มีด้ามจับ &lt;br /&gt;ขนาด 5.5x17ซม.ใช้ปัดเศษผม&lt;/p&gt;
 &lt;p&gt;คุณสมบัติ: &lt;br /&gt;&amp;nbsp; &amp;nbsp; &amp;nbsp; &amp;nbsp; &amp;nbsp;✔︎ ขนม้าแท้ ใช้ปัดเศษผม &lt;br /&gt;&amp;nbsp; &amp;nbsp; &amp;nbsp; &amp;nbsp; &amp;nbsp;✔︎ ขนแปรงไม่แข็งมากและไม่อ่อนจนเกินไป &lt;br /&gt;&amp;nbsp; &amp;nbsp; &amp;nbsp; &amp;nbsp; &amp;nbsp;✔︎ ทนทาน ขนไม่หลัดง่าย ไม่ระคายเคือง &lt;br /&gt;*เหมาะสำหรับร้านบาร์เบอร์และซาลอน&lt;/p&gt;
 &lt;p&gt;วิธีใช้: &lt;br /&gt; 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</si>
  <si>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VINTAGE HORSE BRUSH แปรงปัดขนม้า รุ่น VAL-53A</t>
  </si>
  <si>
    <t xml:space="preserve">&lt;p&gt;แปรงปัดผมขนม้า มีด้ามจับ &lt;br /&gt;ขนาด 4x21.5ซม. ใช้ปัดเศษผม&lt;/p&gt;
 &lt;p&gt;คุณสมบัติ: &lt;br /&gt;&amp;nbsp; &amp;nbsp; &amp;nbsp; &amp;nbsp;✔︎ ขนม้าแท้ ใช้ปัดเศษผม &lt;br /&gt;&amp;nbsp; &amp;nbsp; &amp;nbsp; &amp;nbsp;✔︎ ขนแปรงไม่แข็งมากและไม่อ่อนจนเกินไป &lt;br /&gt;&amp;nbsp; &amp;nbsp; &amp;nbsp; &amp;nbsp;✔︎ ทนทาน ขนไม่หลัดง่าย ไม่ระคายเคือง &lt;br /&gt;*เหมาะสำหรับร้านบาร์เบอร์และซาลอน&lt;/p&gt;
 &lt;p&gt;วิธีใช้: &lt;br /&gt; &amp;nbsp; &amp;nbsp; &amp;nbsp; &amp;nbsp;ใช้หลังการตัดผม ปัดเศษผมเพื่อเก็บรายละเอียด และความสะอาด &lt;br /&gt;หรือแปรงลักษณะนี้ ใช้ปัดเศษผมขนาดเล็กๆที่ติดตามหนังหัว&lt;br /&gt; ..........................................................................&lt;/p&gt;</t>
  </si>
  <si>
    <t>VALENTE VINTAGE BRUSH หวีแปรงวินเทจ รุ่น VAL-52B</t>
  </si>
  <si>
    <t xml:space="preserve">&lt;p&gt;แปรงปัดผมขนไนล่อน มีด้ามจับ &lt;br /&gt;ขนาด 5.5x17ซม. ใช้ปัดเศษผม&lt;/p&gt;
 &lt;p&gt;คุณสมบัติ: &lt;br /&gt;&amp;nbsp; &amp;nbsp; &amp;nbsp; &amp;nbsp; &amp;nbsp; ✔︎ ขนไนล่อน คุณภาพดี ใช้ปัดเศษผม &lt;br /&gt;&amp;nbsp; &amp;nbsp; &amp;nbsp; &amp;nbsp; &amp;nbsp;&amp;nbsp;✔︎ ขนแปรงไม่แข็งมากและไม่อ่อนจนเกินไป &lt;br /&gt;&amp;nbsp; &amp;nbsp; &amp;nbsp; &amp;nbsp; &amp;nbsp;&amp;nbsp;✔︎ ทนทาน ขนไม่หลัดง่าย ไม่ระคายเคือง &lt;br /&gt;*เหมาะสำหรับร้านบาร์เบอร์และซาลอน&lt;/p&gt;
 &lt;p&gt;วิธีใช้:&lt;/p&gt;
 &lt;p&gt;&amp;nbsp; &amp;nbsp; &amp;nbsp; &amp;nbsp; &amp;nbsp;&amp;nbsp;ใช้หลังการตัดผม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</si>
  <si>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VAL-54B</t>
  </si>
  <si>
    <t>VALENTE VINTAGE BRUSH หวีแปรงวินเทจ รุ่น VAL-54B</t>
  </si>
  <si>
    <t xml:space="preserve">&lt;p&gt;แปรงปัดผมขนไนล่อน มีด้ามจับ &lt;br /&gt;ขนาด 3x20.5ซม. ใช้ปัดเศษผม&lt;/p&gt;
 &lt;p&gt;คุณสมบัติ: &lt;br /&gt;&amp;nbsp; &amp;nbsp; &amp;nbsp; &amp;nbsp; ✔︎ ขนไนล่อน คุณภาพดี ใช้ปัดเศษผม &lt;br /&gt;&amp;nbsp; &amp;nbsp; &amp;nbsp; &amp;nbsp;&amp;nbsp;✔︎ ขนแปรงไม่แข็งมากและไม่อ่อนจนเกินไป &lt;br /&gt;&amp;nbsp; &amp;nbsp; &amp;nbsp; &amp;nbsp;&amp;nbsp;✔︎ ทนทาน ขนไม่หลัดง่าย ไม่ระคายเคือง &lt;br /&gt;*เหมาะสำหรับร้านบาร์เบอร์และซาลอน&lt;/p&gt;
 &lt;p&gt;วิธีใช้: &lt;br /&gt; ใช้หลังการตัดผม ปัดเศษผมเพื่อเก็บรายละเอียด และความสะอาด &lt;br /&gt;หรือแปรงลักษณะนี้ ใช้ปัดเศษผมขนาดเล็กๆที่ติดตามหนังหัว&lt;/p&gt;</t>
  </si>
  <si>
    <t>G-133</t>
  </si>
  <si>
    <t>12-BROWN</t>
  </si>
  <si>
    <t>VALENTE HAIR BRUSH แปรงปัดผม อุปกรณ์บาร์เบอร์ รุ่น G-133</t>
  </si>
  <si>
    <t xml:space="preserve">&lt;p&gt;VALENTE HAIR BRUSH&lt;br /&gt;แปรงปัดผมแบบสวมนิ้ว&lt;/p&gt;
 &lt;p&gt;แปรงปัดผมแบบสวมนิ้ว มีขน 2 สี สีดำ และสีเนื้อ &lt;br /&gt;ขนาดด้ามจับถึงขน 5.5ซม. ขนาดความยาวขน 2ซม. ความกว้าง 6.5ซม.&lt;/p&gt;
 &lt;p&gt;คุณสมบัติ: &lt;br /&gt;&amp;nbsp; &amp;nbsp; &amp;nbsp; &amp;nbsp; &amp;nbsp;✔︎ เป็นแปรงปัดเศษผม &lt;br /&gt;&amp;nbsp; &amp;nbsp; &amp;nbsp; &amp;nbsp; &amp;nbsp;✔︎ ที่จับถนัดมือ ใช้งานง่าย น้ำหนักเบา&lt;br /&gt;&amp;nbsp; &amp;nbsp; &amp;nbsp; &amp;nbsp; &amp;nbsp;✔︎ เป็นขนหมูนุ่ม&lt;/p&gt;
 &lt;p&gt;วิธีใช้: &lt;br /&gt; ใช้หลังการตัดผม ปัดเศษผมเพื่อเก็บรายละเอียด และความสะอาด &lt;br /&gt;หรือแปรงลักษณะนี้ ใช้ปัดเศษผมขนาดเล็กๆที่ติดตามหนังหัว(โดยเฉพาะเวลาตัดทรงนักเรียน)&lt;/p&gt;</t>
  </si>
  <si>
    <t>HS-98439</t>
  </si>
  <si>
    <t>04-LIGHT BLUE</t>
  </si>
  <si>
    <t>กระปุกแป้ง พู่ปัดแป้ง แปรงปัดผม HS-98439</t>
  </si>
  <si>
    <t xml:space="preserve">&lt;p&gt;แปรงปัดผมเป็นตลับ มี2สี - สีฟ้า สีชมพู -&lt;br /&gt;สามารถใส่แป้งได้ ขนาดประมาน 8.5x3.5 ซม.&lt;br /&gt;ใช้ปัดเศษผมพู่ตลับแป้ง&lt;/p&gt;
 &lt;p&gt;คุณสมบัติ: &lt;br /&gt;&amp;nbsp; &amp;nbsp; &amp;nbsp; &amp;nbsp;✔︎ พู่ปัดแป้งและกระปุกใส่แป้ง &lt;br /&gt;&amp;nbsp; &amp;nbsp; &amp;nbsp; &amp;nbsp;✔︎ ใช้ทาแป้งที่คอ &lt;br /&gt;&amp;nbsp; &amp;nbsp; &amp;nbsp; &amp;nbsp;✔︎ เพื่อป้องกันผมติดหลังคอ เวลาตัดผม&lt;br /&gt;&amp;nbsp; &amp;nbsp; &amp;nbsp; &amp;nbsp;✔︎ นิยมใช้ในร้านบาร์เบอร์และซาลอน&lt;/p&gt;
 &lt;p&gt;วิธีใช้: &lt;br /&gt; ใช้หลังการตัดผม ปัดเศษผมเพื่อความสะอาด หรือแปรงอ่อน &lt;br /&gt;ใช้ในการปัดเศษผม ที่ติดตามหน้าและคอ&lt;/p&gt;</t>
  </si>
  <si>
    <t>K-028-1</t>
  </si>
  <si>
    <t>02-RED</t>
  </si>
  <si>
    <t>BARBER BRUSH แปรงปัดผม พู่ปัดแป้ง 2in1 รุ่น K-028/1</t>
  </si>
  <si>
    <t xml:space="preserve">&lt;p&gt;BARBER BRUSH พู่ปัดแป้งแบบบรรจุแป้งด้านใน&lt;br /&gt;แปรงปัดผมขน มี5สี สีชมพู - มีสี ฟ้า ส้ม ชมพู เทา ทอง - &lt;br /&gt;สามารถบรรจุแป้งด้านในได้ ขนาดสินค้า 5x16 ซม. ใช้ปัดเศษผม&lt;/p&gt;
 &lt;p&gt;คุณสมบัติ: &lt;br /&gt;&amp;nbsp; &amp;nbsp; &amp;nbsp; &amp;nbsp; ✔︎ 2in1 พู่ปัดแป้ง ปัดเส้นผม &lt;br /&gt;&amp;nbsp; &amp;nbsp; &amp;nbsp; &amp;nbsp;&amp;nbsp;✔︎ ขนาดแปรงจับถนัดมือ &lt;br /&gt;&amp;nbsp; &amp;nbsp; &amp;nbsp; &amp;nbsp;&amp;nbsp;✔︎ ใช้งานง่าย เพียงกดปุ่มเพื่อให้แป้งออกมาขณะปัดเศษผม &lt;br /&gt;&amp;nbsp; &amp;nbsp; &amp;nbsp; &amp;nbsp;&amp;nbsp;✔︎ แปรงปัดแป้งฝุ่นทรงโดมพุ่มใหญ่หนานุ่มที่มีเอกลักษณ์เฉพาะตัว&lt;br /&gt;&amp;nbsp; &amp;nbsp; &amp;nbsp; &amp;nbsp;&amp;nbsp;✔︎ ผลิตจากวัสดุขนสังเคราะห์เกรดพรีเมียมคุณภาพดี และไม่บาดผิวหน้า&lt;br /&gt;&amp;nbsp; &amp;nbsp; &amp;nbsp; &amp;nbsp;&amp;nbsp;✔︎ ขนแปรงสามารถเกาะผงแป้งได้อย่างดี ช่วยให้คุณปัดแป้งได้อย่างรวดเร็ว&lt;br /&gt;&amp;nbsp; &amp;nbsp; &amp;nbsp; &amp;nbsp;&amp;nbsp;✔︎ ด้วยพุ่มขนขนาดใหญ่และหนานุ่มให้ความรู้สึกนุ่มละมุนทุกครั้งที่แต่งหน้า&lt;br /&gt;&amp;nbsp; &amp;nbsp; &amp;nbsp; &amp;nbsp;&amp;nbsp;✔︎ มีขนาดกำลังพอดี จับถนัดมือ น้ำหนักเบา เหมาะสำหรับพกพา&lt;/p&gt;
 &lt;p&gt;วิธีใช้: &lt;br /&gt; &amp;nbsp; &amp;nbsp; &amp;nbsp; &amp;nbsp;&amp;nbsp;ใช้หลังการตัดผม ปัดเศษผมเพื่อเก็บรายละเอียด และความสะอาด &lt;br /&gt;หรือแปรงอ่อน ใช้ในการปัดเศษผม ที่ติดตามหน้าและคอ&lt;/p&gt;
 &lt;p&gt;&lt;br /&gt; ..........................................................................&lt;/p&gt;</t>
  </si>
  <si>
    <t>07-GOLD</t>
  </si>
  <si>
    <t>09-VIOLET</t>
  </si>
  <si>
    <t>11-GRAY</t>
  </si>
  <si>
    <t>BARBER BRUSH วาเลนเต้ แปรงปัดหนวด สีครีม ใหญ่ 0.029g. รหัสสินค้า VAL-739</t>
  </si>
  <si>
    <t xml:space="preserve">&lt;p&gt;แปรงปัดหนวด ขนอ่อนสีครีม &lt;br /&gt;ขนาดประมาน 2.5x9 ซม. ใช้ปัดหนวด&lt;/p&gt;
 &lt;p&gt;คุณสมบัติ:&lt;br /&gt;&amp;nbsp; &amp;nbsp; &amp;nbsp; &amp;nbsp; &amp;nbsp; ✔︎ ขนไนล่อนคุณภาพเยี่ยม &lt;br /&gt;&amp;nbsp; &amp;nbsp; &amp;nbsp; &amp;nbsp; &amp;nbsp;&amp;nbsp;✔︎ ใช้ปัดหนวด ปัดเส้นผม &lt;br /&gt;&amp;nbsp; &amp;nbsp; &amp;nbsp; &amp;nbsp; &amp;nbsp;&amp;nbsp;✔︎ ขนาดแปรงจับถนัดมือ &lt;br /&gt;&amp;nbsp; &amp;nbsp; &amp;nbsp; &amp;nbsp; &amp;nbsp;&amp;nbsp;✔︎ ใช้งานง่าย&lt;/p&gt;
 &lt;p&gt;วิธีใช้: &lt;br /&gt; ใช้หลังการตัดผมโกนหนวด ปัดเศษผม เศษหนวด เพื่อเก็บรายละเอียด และความสะอาด&lt;br /&gt;*เหมาะสำหรับร้านบาร์เบอร์&lt;/p&gt;</t>
  </si>
  <si>
    <t>BARBER BRUSH วาเลนเต้ แปรงปัดหนวด สีครีม เล็ก 0.016g. รหัสสินค้า VAl-9904</t>
  </si>
  <si>
    <t xml:space="preserve">&lt;p&gt;แปรงปัดหนวด &lt;br /&gt;ขนาดประมาน กว้าง 2 ซม. ยาว 8 ซม.&lt;/p&gt;
 &lt;p&gt;คุณสมบัติ: &lt;br /&gt;&amp;nbsp; &amp;nbsp; &amp;nbsp; &amp;nbsp; &amp;nbsp;✔︎ ขนหมูแท้ &lt;br /&gt;&amp;nbsp; &amp;nbsp; &amp;nbsp; &amp;nbsp; &amp;nbsp;✔︎ ใช้ปัดหนวด ปัดเส้นผม &lt;br /&gt;&amp;nbsp; &amp;nbsp; &amp;nbsp; &amp;nbsp; &amp;nbsp;✔︎ ขนาดแปรงจับถนัดมือ &lt;br /&gt;&amp;nbsp; &amp;nbsp; &amp;nbsp; &amp;nbsp; &amp;nbsp;✔︎ ใช้งานง่าย&lt;/p&gt;
 &lt;p&gt;วิธีใช้: ใช้หลังการตัดผมโกนหนวด ปัดเศษผม เศษหนวด &lt;br /&gt;เพื่อเก็บรายละเอียด และความสะอาด&lt;/p&gt;</t>
  </si>
  <si>
    <t>M-45</t>
  </si>
  <si>
    <t>NECKERCHIEF กระดาษรองคอ รหัส M-45</t>
  </si>
  <si>
    <t xml:space="preserve">&lt;p&gt;กระดาษรองคอ 1 แพ็ค มี 5 ม้วน &lt;br /&gt;1 ม้วน มี 100 แผ่น&lt;br /&gt;ใช้พันคอเพื่อป้องกันไม่ให้เศษผมตกไปที่ซอกคอ&lt;/p&gt;
 &lt;p&gt;คุณสมบัติ:&lt;br /&gt; &lt;br /&gt;&amp;nbsp; &amp;nbsp; &amp;nbsp; &amp;nbsp; ✔︎ ใช้พันบริเวณลำคอเพื่อป้องกันไม่ให้เศษผมตกไปที่ซอกคอขณะตัดผม &lt;br /&gt;&amp;nbsp; &amp;nbsp; &amp;nbsp; &amp;nbsp;&amp;nbsp;✔︎ กาวเหนียวแน่นกระดาษยืดหยุ่นไม่ขาดง่าย&lt;/p&gt;
 &lt;p&gt;วิธีใช้: ใช้ขณะการตัดผมโกนหนวด&lt;/p&gt;</t>
  </si>
  <si>
    <t>VALENTE SCISSORS กรรไกรตัดผม ด้ามทอง 6.5</t>
  </si>
  <si>
    <t xml:space="preserve">&lt;p&gt;VALENTE SCISSORS กรรไกรตัดผม รุ่น VAL-61&lt;br /&gt;กรรไกรซอยผมขนาด 6.5 นิ้ว&lt;br /&gt;วัสดุมีคุณภาพ น้ำหนักเบาจับถนัดมือ ใช้สำหรับตัดแต่งทรงผม&lt;br /&gt;เหมาะสำหรับผู้เริ่มต้นใช้งาน เเละช่างมืออาชีพ&lt;/p&gt;
 &lt;p&gt;&lt;br /&gt;วิธีใช้: &lt;br /&gt;✂ กรรไกรตัด ใช้ตัดผมให้สั้นลง บางทีก็ใช้ตัดให้ผมบางลงได้ ขึ้นอยู่กับวิธีการตัด&lt;/p&gt;
 &lt;p&gt;&lt;br /&gt;**สามารถดูวิธีใช้เพิ่มเติมได้ที่ QR code บนกล่อง&lt;/p&gt;</t>
  </si>
  <si>
    <t>VALENTE SCISSORS กรรไกรซอยผม ด้ามทอง 6</t>
  </si>
  <si>
    <t xml:space="preserve">&lt;p&gt;VALENTE SCISSORS กรรไกรซอยผม รุ่นVAL-62&lt;/p&gt;
 &lt;p&gt;คุณสมบัติ&lt;br /&gt;✔︎ วัสดุมีคุณภาพ &lt;br /&gt;✔︎ น้ำหนักเบาจับถนัดมือ &lt;br /&gt;✔︎ ใช้สำหรับตัดแต่งทรงผม&lt;br /&gt;เหมาะสำหรับผู้เริ่มต้นใช้งาน เเละช่างมืออาชีพ&lt;/p&gt;
 &lt;p&gt;&lt;br /&gt; &lt;br /&gt;วิธีใช้: &lt;br /&gt;✂ กรรไกรซอย(ฟันปลา) ใช้ซอยผมให้บางลง ขนาดความยาวเท่าเดิม &lt;br /&gt;**สามารถดูวิธีใช้เพิ่มเติมได้ที่ QR code บนกล่อง&lt;/p&gt;</t>
  </si>
  <si>
    <t>JH-801</t>
  </si>
  <si>
    <t>VALENTE วาเลนเต้ กรรไกรตัด-ซอย 6&amp;quot; รุ่น JH-801</t>
  </si>
  <si>
    <t xml:space="preserve">&lt;p&gt;VALENTE กรรไกร ตัด+ซอย ขนาด 6.5 นิ้ว&lt;br /&gt;วัสดุมีคุณภาพ น้ำหนักเบาจับถนัดมือ ใช้สำหรับตัดแต่งทรงผม&lt;br /&gt;เหมาะสำหรับผู้เริ่มต้นใช้งาน เเละช่างมืออาชีพ&lt;/p&gt;
 &lt;p&gt;ใน 1 ชุดประกอบไปด้วย: &lt;br /&gt; - กรรไกรตัด+ซอย &lt;br /&gt; *(แถม) - กระเป๋าใส่กรรไกร &lt;br /&gt; *(แถม) - ผ้า1ผืน &lt;br /&gt; *(แถม) - น้ำมัน 1ขวด &lt;br /&gt; &lt;br /&gt;วิธีใช้: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 ** สามารถดูวิธีใช้เพิ่มเติมได้ที่ QR code บนกล่อง&lt;/p&gt;</t>
  </si>
  <si>
    <t>VALENTE วาเลนเต้ กรรไกรตัด-ซอย 6&amp;quot; รุ่น JH-802</t>
  </si>
  <si>
    <t xml:space="preserve">&lt;p&gt;VALENTE กรรไกรตัด-ซอย รุ่น JH-802&lt;br /&gt;วัสดุมีคุณภาพ น้ำหนักเบาจับถนัดมือ ใช้สำหรับตัดแต่งทรงผม&lt;br /&gt;เหมาะสำหรับผู้เริ่มต้นใช้งาน เเละช่างมืออาชีพ&lt;/p&gt;
 &lt;p&gt;ใน 1 ชุด ประกอบไปด้วย: &lt;br /&gt;- กรรไกรตัด ขนาด 7 นิ้ว + กรรไกรซอย ขนาด 7 นิ้ว &lt;br /&gt;- กระเป๋าเก็บกรรไกร&lt;/p&gt;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t>
  </si>
  <si>
    <t>VAL-350AS-L</t>
  </si>
  <si>
    <t>VALENTE กรรไกรตัดขนจมูก 3.5&amp;quot; นิ้ว VAL-350AS/L</t>
  </si>
  <si>
    <t xml:space="preserve">&lt;p&gt;เนื้อเหล็กดี มีคุณภาพ&lt;/p&gt;
 &lt;p&gt;จับถนัดมือ ใช้สำหรับตัดขนจมูก ปลายงอน&lt;br /&gt;กรรไกรตัด ขนาด3.5นิ้ว&lt;/p&gt;
 &lt;p&gt;คุณสมบัติ: &lt;br /&gt;✔︎ ตัวกรรไกรมีขนาดที่พอเหมาะ จับถนัดมือ &lt;br /&gt;✔︎ วัสดุดีมีคุณภาพ &lt;br /&gt;✔︎ ใช้สำหรับตัดขนจมูกปลายงอน&lt;/p&gt;
 &lt;p&gt;** สามารถใช้ได้ทุกเพศทุกวัย **&lt;/p&gt;</t>
  </si>
  <si>
    <t>VAL-400AS-G</t>
  </si>
  <si>
    <t>VALENTE กรรไกรตัดขนจมูก 4&amp;quot; นิ้ว VAL-400AS/G</t>
  </si>
  <si>
    <t xml:space="preserve">&lt;p&gt;เนื้อเหล็กดี มีคุณภาพ&lt;br /&gt;จับถนัดมือ ใช้ตัดขนจมูก&lt;br /&gt;ขนาด 4นิ้ว&lt;/p&gt;
 &lt;p&gt;คุณสมบัติ: &lt;br /&gt;&amp;nbsp; &amp;nbsp; &amp;nbsp; &amp;nbsp;✔︎ ตัวกรรไกรมีขนาดที่พอเหมาะ จับถนัดมือ &lt;br /&gt;&amp;nbsp; &amp;nbsp; &amp;nbsp; &amp;nbsp;✔︎ วัสดุดีมีคุณภาพ &lt;br /&gt;&amp;nbsp; &amp;nbsp; &amp;nbsp; &amp;nbsp;✔︎ ใช้สำหรับตัดขนจมูกปลายงอน&lt;/p&gt;
 &lt;p&gt;&amp;nbsp;&lt;/p&gt;</t>
  </si>
  <si>
    <t>BD-15A</t>
  </si>
  <si>
    <t>VALENTE กระเป๋าใส่กรรไกรวาเลนเต้ ลายหมากรุก สีน้ำตาล รุ่น BD-15A</t>
  </si>
  <si>
    <t xml:space="preserve">&lt;p&gt;กระเป๋าใส่กรรไกรวาเลนเต้ ลายหมากรุก สีน้ำตาล &lt;br /&gt;ขนาดกว้าง 12ซม. ยาว21 ซม. หนา 3.5ซม.&lt;/p&gt;
 &lt;p&gt;คุณสมบัติ:&lt;br /&gt;&amp;nbsp; &amp;nbsp; &amp;nbsp; &amp;nbsp; &amp;nbsp;✔︎ กระเป๋าใส่อุปกรณ์บาร์เบอร์และเสริมสวย &lt;br /&gt;&amp;nbsp; &amp;nbsp; &amp;nbsp; &amp;nbsp; &amp;nbsp;✔︎ ใส่กรรไกรหรือหวี อุปกรณ์ช่าง &lt;br /&gt;&amp;nbsp; &amp;nbsp; &amp;nbsp; &amp;nbsp; &amp;nbsp;✔︎ วัสดุหนังชั้นดี ตกแต่งด้วยลวยลายตาราง &lt;br /&gt;&amp;nbsp; &amp;nbsp; &amp;nbsp; &amp;nbsp; &amp;nbsp;✔︎ กระเป๋าอุปกรณ์ช่างสามารถคาดเอวได้ &lt;br /&gt;&amp;nbsp; &amp;nbsp; &amp;nbsp; &amp;nbsp; &amp;nbsp;✔︎ มีสายยาวเป็นแบบฝาปิด สามารถปรับระดับได้&lt;/p&gt;</t>
  </si>
  <si>
    <t>กระเป๋าใส่กรรไกร</t>
  </si>
  <si>
    <t>BD-18</t>
  </si>
  <si>
    <t>VALENTE กระเป๋าใส่กรรไกร วาเลนเต้ สีน้ำตาล (BD-18)</t>
  </si>
  <si>
    <t xml:space="preserve">&lt;p&gt;กระเป๋าใส่กรรไกรวาเลนเต้สีน้ำตาล &lt;br /&gt;ขนาด 16x21ซม.&lt;/p&gt;
 &lt;p&gt;คุณสมบัติ:&lt;br /&gt;✔︎ กระเป๋าใส่อุปกรณ์บาร์เบอร์และซาลอน &lt;br /&gt;✔︎ ใส่กรรไกรหรือหวี อุปกรณ์ช่าง &lt;br /&gt;✔︎ วัสดุหนังชั้นดี ตกแต่งด้วยลวยลายตาราง &lt;br /&gt;✔︎ กระเป๋าอุปกรณ์ช่างสามารถคาดเอวได้&lt;br /&gt;✔︎ มีสายยาว สามารถปรับระดับได้ &lt;br /&gt;✔︎ สกรีนชื้อแบรนด์ VELENTE วาเลนเต้ ของแท้ 100%&lt;/p&gt;</t>
  </si>
  <si>
    <t>BD-19</t>
  </si>
  <si>
    <t>VALENTE กระเป๋าใส่กรรไกร สีน้ำตาล รุ่น BD-19</t>
  </si>
  <si>
    <t xml:space="preserve">&lt;p&gt;กระเป๋าใส่กรรไกรวาเลนเต้สีน้ำตาล &lt;br /&gt;มีสายยาว สามารถปรับระดับได้ ขนาด 17x18 ซม.&lt;/p&gt;
 &lt;p&gt;กระเป๋าใส่กรรไกร สีน้ำตาล &lt;br /&gt;✔︎ ทำจากวัสดุดีมีคุณภาพ &lt;br /&gt;✔︎ สามารถใช้ได้หลายช่อง &lt;br /&gt;✔︎ สามารถใส่กรรไกรได้ 2-3 เล่ม &lt;br /&gt;✔︎ หวีอีก 2-3 ชิ้น &lt;br /&gt;✔︎ เสริมความเป็นมืออาชีพ&lt;/p&gt;</t>
  </si>
  <si>
    <t>BD-19A</t>
  </si>
  <si>
    <t>VALENTE วาเลนเต้ กระเป๋าใส่กรรไกร สีดำ รุ่น BD-19A</t>
  </si>
  <si>
    <t xml:space="preserve">&lt;p&gt;VALENTE วาเลนเต้ กระเป๋าใส่กรรไกร รุ่น BD-19A&lt;/p&gt;
 &lt;p&gt;กระเป๋าใส่อุปกรณ์ช่าง &lt;br /&gt;✔︎ ทำจากวัสดุดีมีคุณภาพ สามารถใช้ได้หลายช่อง &lt;br /&gt;✔︎ สามารถใส่กรรไกรได้ 2-3 เล่ม &lt;br /&gt;✔︎ ใส่หวีได้อีก 2-3 ชิ้น &lt;br /&gt;✔︎ เสริมความเป็นมืออาชีพ &lt;br /&gt;✔︎ ช่วยจัดระเบียบ &lt;br /&gt;✔︎ หยิบใช้งานอุปกรณ์ได้ง่ายยิ่งขึ้น&lt;/p&gt;</t>
  </si>
  <si>
    <t>HL-910A</t>
  </si>
  <si>
    <t>กระเป๋าใส่กรรไกร รุ่น HL-910/A</t>
  </si>
  <si>
    <t xml:space="preserve">&lt;p&gt;กระเป๋าใส่กรรไกร รุ่นHL-910/A สีดำ &lt;br /&gt;มีสายยาว สามารถปรับระดับได้ : ขนาด17x25x9ซม.&lt;/p&gt;
 &lt;p&gt;✔︎ มีช่องใส่กรรไกรถึง 5 ช่อง &lt;br /&gt;✔︎ กระเป๋าเสริมสามารถจุใส่อุปกรณ์เช่นหวีได้เพิ่มเติม&lt;br /&gt;✔︎ มีสายสามารถ คาดเอวในตัว&lt;/p&gt;</t>
  </si>
  <si>
    <t>HL-922A</t>
  </si>
  <si>
    <t>กระเป๋าใส่กรรไกร วาเลนเต้ คาดเอว ปรับสายได้ HL-922/A</t>
  </si>
  <si>
    <t xml:space="preserve">&lt;p&gt;กระเป๋าใส่กรรไกร สีดำ &lt;br /&gt; มีสายยาว สามารถปรับระดับได้ &lt;br /&gt;ขนาดกว้าง 12ซม. ยาว 23ซม.&lt;/p&gt;
 &lt;p&gt;✔︎ ทำจากวัสดุอย่างดี&lt;br /&gt;✔︎ มีคาดคาดเอว &lt;br /&gt;✔︎ สามารถใส่กรรไกรและหวีได้&lt;br /&gt;✔︎ มีห่วงไว้คาดเอว &lt;br /&gt;✔︎ ช่วยให้หยิบใช้อุปกรณ์ได้ถนัดมือมากขึ้น&lt;/p&gt;</t>
  </si>
  <si>
    <t>HL-923</t>
  </si>
  <si>
    <t>กระเป๋าใส่กรรไกร วาเลนเต้ สีดำ มีสายคาดเอว รุ่น HL-923</t>
  </si>
  <si>
    <t xml:space="preserve">&lt;p&gt;กระเป๋าใส่กรรไกร รุ่น HL-923 &lt;br /&gt;กระเป๋าใส่กรรไกรวาเลนเต้สีดำ มีสายยาว สามารถปรับระดับได้ &lt;br /&gt;ขนาดกว้าง 12 ซม. ยาว 21ซม.&lt;br /&gt;ดีไซน์สวยงาม แต่งกระดุมและตราปืนคู่&lt;/p&gt;
 &lt;p&gt;✔︎ ใส่อุปกรณ์ช่าง กรรไกร หวี &lt;br /&gt;✔︎ มีสายคาดเอว &lt;br /&gt;✔︎ ช่วยให้หยิบใช้อุปกรณ์ได้ถนัดมือมากขึ้น&lt;/p&gt;</t>
  </si>
  <si>
    <t>VAL-1919</t>
  </si>
  <si>
    <t>The Professional วาเลนเต้ ปัตตาเลี่ยนไฟฟ้า 12W 0.738g. VAL-1919</t>
  </si>
  <si>
    <t xml:space="preserve">&lt;p&gt;คุณสมบัติ:&lt;br /&gt;&amp;nbsp; &amp;nbsp; &amp;nbsp; &amp;nbsp; &amp;nbsp; ใช้งานง่าย สะดวกสบายสุดๆ&lt;br /&gt;VALENTE ปัตตาเลี่ยนไฟฟ้า รุ่น The Professional VAL-1919 &lt;br /&gt;มาพร้อมอุปกรณ์เสริมช่วยในการตัดผม ได้แก่ &lt;br /&gt;&amp;nbsp; &amp;nbsp; &amp;nbsp; &amp;nbsp; &amp;nbsp; &amp;nbsp; &amp;nbsp;- รองฟัน &lt;br /&gt; &amp;nbsp; &amp;nbsp; &amp;nbsp; &amp;nbsp; &amp;nbsp; &amp;nbsp; &amp;nbsp;- หวีซอยผม &lt;br /&gt; &amp;nbsp; &amp;nbsp; &amp;nbsp; &amp;nbsp; &amp;nbsp; &amp;nbsp; &amp;nbsp;- แปรงปัดฟันปัตตาเลี่ยน &lt;br /&gt; &amp;nbsp; &amp;nbsp; &amp;nbsp; &amp;nbsp; &amp;nbsp; &amp;nbsp; &amp;nbsp;- น้ำมัน &lt;br /&gt; &amp;nbsp; &amp;nbsp; &amp;nbsp; &amp;nbsp; &amp;nbsp; &amp;nbsp; &amp;nbsp;- ตัวปรับมอเตอร์ &lt;br /&gt;&amp;nbsp; &amp;nbsp; &amp;nbsp; &amp;nbsp; &amp;nbsp; เพื่อให้คุณใช้งานด้วยตนเองได้ง่ายมากขึ้น อีกทั้งยังมีน้ำหนักเบา ไม่หนักมาก &lt;br /&gt;และรูปทรงที่สวยงาม พร้อมด้ามจับถนัดมือ รวมทั้งสายไฟที่ยาวเพื่อความสะดวกต่อ&lt;br /&gt;การเคลื่อนย้าย&lt;/p&gt;
 &lt;p&gt;วิธีใช้: &lt;br /&gt; &amp;nbsp; &amp;nbsp; &amp;nbsp; &amp;nbsp; &amp;nbsp;&amp;nbsp;ปัตตาเลี่ยนตัวเล็ก เหมาะสำหรับ การใช้กันขอบ แกะลาย เก็บงาน แต่งหนวดเครา &lt;br /&gt;เพราะขนาดฟันเล็ก เข้าซอกมุมได้ง่าย&lt;/p&gt;
 &lt;p&gt;&lt;br /&gt;&amp;nbsp; &amp;nbsp; &amp;nbsp; &amp;nbsp; &amp;nbsp; &amp;nbsp; &amp;nbsp; &amp;nbsp;*** รับประกันสูงสุดถึง 1 ปี ***&lt;br /&gt; &amp;nbsp; &amp;nbsp; &amp;nbsp; &amp;nbsp; &amp;nbsp;&amp;nbsp;*** ใช้ได้ทั้งมือใหม่และมืออาชีพ ***&amp;nbsp;&lt;/p&gt;</t>
  </si>
  <si>
    <t>ปัตตาเลี่ยนมีสาย</t>
  </si>
  <si>
    <t>06-YELLOW</t>
  </si>
  <si>
    <t>COMB-3</t>
  </si>
  <si>
    <t>COMB 3 หวีรองซอยแอมเบอร์ชุด 3 ชิ้น รุ่น COMB-3</t>
  </si>
  <si>
    <t xml:space="preserve">&lt;p&gt;หวีรองซอยแอมเบอร์ &lt;br /&gt;น้ำหนักเบา แข็งแรง ใช้งานได้นาน&lt;/p&gt;
 &lt;p&gt;1 ชุด มี 3 ชิ้น 3 ขนาด&lt;br /&gt;&amp;nbsp; &amp;nbsp; &amp;nbsp; &amp;nbsp;- เล็ก ขนาด 12.5 cm&lt;br /&gt;&amp;nbsp; &amp;nbsp; &amp;nbsp; &amp;nbsp;- กลาง ขนาด 16.5 cm&lt;br /&gt;&amp;nbsp; &amp;nbsp; &amp;nbsp; &amp;nbsp;- ใหญ่ ขนาด 19 cm&lt;/p&gt;
 &lt;p&gt;วิธีใช้ : ใช้สำหรับรองตัดบัตตาเลี่ยน หวีรองทรง หวีรอง&lt;/p&gt;</t>
  </si>
  <si>
    <t>หวีเซตทรง</t>
  </si>
  <si>
    <t>VALENTE หวีรองซอย VAL-123</t>
  </si>
  <si>
    <t>&lt;p&gt;&lt;br /&gt;คุณสมบัติ: &lt;br /&gt;✔︎ หวีรองซอย สีขาว &lt;br /&gt;✔︎ ขนาด 20*2.5 cm &lt;br /&gt;✔︎ ซี่หวี 2 ระดับ &lt;br /&gt;✔︎ ใช้รองซอยเวลาตัดผม &lt;br /&gt; &lt;br /&gt;วิธีใช้: &lt;br /&gt; หวีซอย สามารถใช้คู่กับกรรไกร เวลาทำการตัดหรือซอยผม&lt;/p&gt;</t>
  </si>
  <si>
    <t>หวีรองตัด รองซอย ขึ้นทรง</t>
  </si>
  <si>
    <t>VALENTE Secondary Comb หวีรองซอย สีขาว รุ่น VAL-124</t>
  </si>
  <si>
    <t xml:space="preserve">&lt;p&gt;Valente Secondary Comb หวีรอวซอยสีขาว รุ่น VAL-124&lt;/p&gt;
 &lt;p&gt;คุณสมบัติ: &lt;br /&gt;✔︎ ขนาด 20*4.2 cm&lt;br /&gt;✔︎ หวีเกาะเส้นผม ทำให้ง่ายต่อการตัดและจัดทรง&lt;br /&gt;✔︎ เช็ดล้างทำความสะอาดได้ โดยไม่ทำลายคุณภาพของหวี &lt;br /&gt; &lt;br /&gt;วิธีใช้: หวีซอย สามารถใช้คู่กับกรรไกร เวลาทำการตัดหรือซอยผม&lt;/p&gt;</t>
  </si>
  <si>
    <t>VAL-211B</t>
  </si>
  <si>
    <t>หวีรองซอย VALENTE รุ่น VAL-211/B</t>
  </si>
  <si>
    <t xml:space="preserve">&lt;p&gt;วาเลนเต้ หวีรองซอยไฟเบอร์ VAL-211/B&lt;/p&gt;
 &lt;p&gt;คุณสมบัติ : &lt;br /&gt; - ยาว 17 ซม. กว้าง 2.3 ซม.&lt;br /&gt; - ความห่างของซี่หวีมี 2 ระดับ&lt;br /&gt; - สีน้ำตาล&lt;br /&gt; - น้ำหนัก 8 กรัม.&lt;/p&gt;
 &lt;p&gt;วิธีใช้ : สำหรับรองเส้นผม&lt;/p&gt;</t>
  </si>
  <si>
    <t>VAL-213A</t>
  </si>
  <si>
    <t>หวีรองซอยไฟเบอร์ รุ่น VAL-213/A</t>
  </si>
  <si>
    <t xml:space="preserve">&lt;p&gt;หวีรองซอยไฟเบอร์ สีดำ ยาว20 ซม. กว่้าง 2.9ซม&lt;/p&gt;
 &lt;p&gt;คุณสมบัติ : &lt;br /&gt; - ยาว 20 ซม. กว้าง 3.3 ซม.&lt;br /&gt; - ความห่างของซี่หวีมี 2 ระดับ&lt;br /&gt; - สีดำ&lt;br /&gt; - น้ำหนัก 13 กรัม.&lt;/p&gt;
 &lt;p&gt;วิธีใช้ : สำหรับรองเส้นผม&lt;/p&gt;</t>
  </si>
  <si>
    <t>กระจก 2 ด้าน กระจกแบบพับ ส่องตัดผม รหัส SR-9973</t>
  </si>
  <si>
    <t xml:space="preserve">&lt;p&gt;กระจกแบบพับ กระจก2ด้าม สีดำ&lt;br /&gt;น้ำหนัก 1.2kg ขนาด 31 x 21 ซม. หนา2ซม.&lt;/p&gt;
 &lt;p&gt;คุณสมบัติ: &lt;br /&gt;✔︎ ทำจากวัสดุอย่างดี &lt;br /&gt;✔︎ กระจก2ด้าน บาร์เบอร์เบรน &lt;br /&gt;✔︎ ใช้สำหรับส่องให้ลูกค้าสามารถเห็นทรงผมด้านหลังได้180องศาอย่างทั่วถึง &lt;br /&gt;✔︎ วัสดุดีมีคุณภาพ แข็งแรงทนทาน &lt;br /&gt;✔︎ กระจกไม่มัว ไม่หลอกตาแน่นอน&lt;/p&gt;</t>
  </si>
  <si>
    <t>VAL-212A</t>
  </si>
  <si>
    <t>VALENTE หวีรองซอย รุ่น VAL-212/A</t>
  </si>
  <si>
    <t xml:space="preserve">&lt;p&gt;&lt;br /&gt;VALENTE วาเลนเต้ หวีรองซอยไฟเบอร์ &lt;br /&gt;หวีไฟเบอร์จะช่วยให้ลดการชี้ฟูของเส้นผม ทำให้เส้นผมเรียบง่ายต่อการตัด&lt;/p&gt;
 &lt;p&gt;คุณสมบัติ : &lt;br /&gt; - ยาว 20 ซม. กว้าง 3 ซม.&lt;br /&gt; - ความห่างของซี่หวีมี 2 ระดับ&lt;br /&gt; - สีดำ&lt;br /&gt; - น้ำหนัก 11 กรัม.&lt;/p&gt;
 &lt;p&gt;วิธีใช้ : ใช้สำหรับรองตัดบัตตาเลี่ยน หวีรองทรง&lt;/p&gt;</t>
  </si>
  <si>
    <t>VAL-213B</t>
  </si>
  <si>
    <t>VALENTE หวีรองซอย รุ่น VAL-213/B</t>
  </si>
  <si>
    <t xml:space="preserve">&lt;p&gt;วาเลนเต้ หวีรองซอยไฟเบอร์ VAL-213/B&lt;/p&gt;
 &lt;p&gt;คุณสมบัติ : &lt;br /&gt; - ยาว 20 ซม. กว้าง 3.3 ซม.&lt;br /&gt; - ความห่างของซี่หวีมี 2 ระดับ&lt;br /&gt; - สีน้ำตาล&lt;br /&gt; - น้ำหนัก 13 กรัม.&lt;/p&gt;
 &lt;p&gt;วิธีใช้ : สำหรับรองเส้นผม&lt;/p&gt;</t>
  </si>
  <si>
    <t>VAL-215B</t>
  </si>
  <si>
    <t>VALENTE หวีรองซอย รุ่น VAL-215/B</t>
  </si>
  <si>
    <t xml:space="preserve">&lt;p&gt;VALENTE วาเลนเต้ หวีรองซอยไฟเบอร์&lt;br /&gt;หวีไฟเบอร์จะช่วยให้ลดการชี้ฟูของเส้นผม ทำให้เส้นผมเรียบง่ายต่อการตัด&lt;/p&gt;
 &lt;p&gt;คุณสมบัติ : &lt;br /&gt; - ยาว 18.8 ซม. กว้าง 3.5 ซม.&lt;br /&gt; - ความห่างของซี่หวีมี 1 ระดับ&lt;br /&gt; - สีน้ำตาล&lt;br /&gt; - น้ำหนัก 13 กรัม.&lt;/p&gt;
 &lt;p&gt;วิธีใช้ : ใช้สำหรับรองตัดบัตตาเลี่ยน หวีรองทรง&lt;/p&gt;</t>
  </si>
  <si>
    <t>VALENTE แปรงไดร์กลม 8 แถว ไดร์ผม ด้ามไม้ สีขาว VAL-970</t>
  </si>
  <si>
    <t xml:space="preserve">&lt;p&gt;แปรงไดร์กลม ขนาด กว้าง 4ซม. ยาว 26ซม.&lt;/p&gt;
 &lt;p&gt;คุณสมบัติ&lt;/p&gt;
 &lt;p&gt;✔︎ แปรงกลม ไดร์ผม VAL-970&lt;br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</si>
  <si>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หวีแปรงไดร์</t>
  </si>
  <si>
    <t>VALENTE แปรงไดร์กลม 12 แถว ไดร์ผม ด้ามไม้ สีขาว VAL-972</t>
  </si>
  <si>
    <t xml:space="preserve">&lt;p&gt;แปรงไดร์กลม ขนาด กว้าง 4ซม. ยาว 26ซม.&lt;/p&gt;
 &lt;p&gt;คุณสมบัติ&lt;/p&gt;
 &lt;p&gt;✔︎ แปรงกลม ไดร์ผม VAL-972&lt;br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</si>
  <si>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VAL-646H</t>
  </si>
  <si>
    <t>VALENTE แปรงไดร์ผม 2 ด้าน รุ่น VAL-646/H</t>
  </si>
  <si>
    <t xml:space="preserve">&lt;p&gt;VALENTE แปรงไดร์ผม 2 ด้าน รุ่น VAL-646/H&lt;/p&gt;
 &lt;p&gt;&amp;nbsp; &amp;nbsp; &amp;nbsp; &amp;nbsp; &amp;nbsp; &amp;nbsp; ตัวแปรงไดร์กลม มีหลายขนาด ขนแปรงทำมาจากขนสัตว์แท้ จะเห็นกันได้บ่อยที่ร้านทำผม&lt;/p&gt;
 &lt;p&gt;หวีประเภทนี้ใช้เพื่อจับผมเป็นช่อๆ เซ็ทให้เป็นลอน หรือไดร์ผมตรงก็ได้ ใช้ได้กับเส้นผมทุกประเภท&lt;/p&gt;
 &lt;p&gt;หากเป็นหวีแปรงแกนโลหะจะสามารถนำความร้อนได้ดีทำให้เซ็ทผมได้เร็วกว่า&lt;/p&gt;
 &lt;p&gt;คุณสมบัติ: &lt;br /&gt;✔︎ หวีแปรงสำหรับไดร์ 2 ด้าน ด้ามไม้ &lt;br /&gt;✔︎ ผลิตจากวัสดุคุณภาพดี คงทนแข็งแรง จึงสามารถใช้งานได้ยาวนาน &lt;br /&gt;✔︎ ช่วยให้เส้นผมเรียบ เรียงตัวสวยไม่พันกัน สามารถจัดทรงได้ง่ายตามต้องการ&lt;br /&gt;✔︎ มีขนาดกะทัดรัด จับถนัดมือ น้ำหนักเบา เหมาะสำหรับพกพาไปได้ในทุกที่&lt;br /&gt;✔︎ สีดำ *นิยมใช้ในร้านซาลอน*&lt;/p&gt;</t>
  </si>
  <si>
    <t>VAL-646B</t>
  </si>
  <si>
    <t>VALENTE แปรงไดร์ผม 2 ด้าน รุ่น VAL-646/B</t>
  </si>
  <si>
    <t xml:space="preserve">&lt;p&gt;คุณสมบัติ VALENTE แปรงไดร์ผม 2 ด้าน&lt;/p&gt;
 &lt;p&gt;✔︎ หวีแปรงสำหรับไดร์ ด้ามไม้ &lt;br /&gt;✔︎ ผลิตจากวัสดุคุณภาพดี คงทนแข็งแรง จึงสามารถใช้งานได้ยาวนาน&lt;br /&gt;✔︎ ช่วยให้เส้นผมเรียบ เรียงตัวสวยไม่พันกัน สามารถจัดทรงได้ง่ายตามต้องการ&lt;br /&gt;✔︎ มีขนาดกะทัดรัด จับถนัดมือ น้ำหนักเบา เหมาะสำหรับพกพาไปได้ในทุกที่&lt;br /&gt;✔︎ หวีแปรงกลม ไดร์ผมได้แห้งเร็วขึ้น&lt;br /&gt;✔︎ แข็งแรงทนทาน ใช้งานได้นาน&lt;br /&gt;✔︎ สีดำ ด้ามไม้&lt;/p&gt;</t>
  </si>
  <si>
    <t>VAL-602A</t>
  </si>
  <si>
    <t>VALENTE แปรงหวีผม ขนหมูป่า แบบสี่เหลี่ยม รุ่น VAL-602/A</t>
  </si>
  <si>
    <t xml:space="preserve">&lt;p&gt;แปรงขนหมูป่า แบบสี่เหลี่ยม ขนาดกว้าง 8.5ซม ยาว 25ซม&lt;/p&gt;
 &lt;p&gt;คุณสมบัติ:&lt;br /&gt; ขนหมูป่ามีคุณสมบัติทำให้ผมเงางาม จะทำให้น้ำมันในเส้นผมออกมาเคลือบเส้น&lt;br /&gt;ผมทำให้เส้นผมเงางาม นิยมใช้กันอย่างแพร่หลายตามร้านซาลอนหรือร้านทำผม ช่วย&lt;br /&gt;ทำความสะอาดเส้นผม เอาสิ่งสกปรกออกจากหนังศีรษะ ช่วยให้ผมแห้งดูเงางามมาก&lt;br /&gt;ยิ่งขึ้น&lt;br /&gt; &lt;br /&gt;✔︎ ขนหมูป่าแท้&lt;br /&gt;✔︎ แปรงขนหมูป่าจัดเป็นแปรงที่มีความยืดหยุ่นของขนแปรงสูง&lt;br /&gt;✔︎ สามารถเข้าถึงโคนผมได้เส้นต่อเส้น&lt;br /&gt;✔︎ นอกจากนี้ยังช่วยลดไฟฟ้าสถิต&lt;br /&gt;✔︎ จึงเหมาะสำหรับคนผมหนาเยอะและผมแห้งเสียแตกปลาย &lt;br /&gt;✔︎ ช่วยให้ผมนุ่มลื่นขึ้น&lt;br /&gt;✔︎ ช่วยทะนุถนอมเส้นผมที่เปราะบาง&lt;br /&gt;✔︎ ช่วยป้องกันไฟฟ้าสถิตย์ ที่ทำให้ผมชี้ฟู&lt;/p&gt;</t>
  </si>
  <si>
    <t>หวีแปรง</t>
  </si>
  <si>
    <t>หวีขึ้นทรง รองซอย (อีโต้) รุ่น VAL-K345 สีขาว</t>
  </si>
  <si>
    <t xml:space="preserve">&lt;p&gt;หวีรองซอย (อีโต้) รุ่น VAL-K345 สีขาว&lt;/p&gt;
 &lt;p&gt;ขนาด กว้าง &amp;middot;5.5 ซม. ยาว 24ซม&lt;/p&gt;
 &lt;p&gt;✔︎ มีน้ำหนักเบา &lt;br /&gt;✔︎ วัสดุทำจากพลาสติกแข็งแรง ทนทาน &lt;br /&gt;✔︎ ขนาดพอดีมือ ใช้งานง่าย ถนัดมือ&lt;/p&gt;</t>
  </si>
  <si>
    <t>VALENTE แปรงไดร์กลม ไดร์ผม 10 แถว ด้ามไม้ สีขาว VAL-971</t>
  </si>
  <si>
    <t xml:space="preserve">&lt;p&gt;แปรงไดร์กลม ขนาด กว้าง 4ซม. ยาว 26ซม.&lt;/p&gt;
 &lt;p&gt;คุณสมบัติ&lt;/p&gt;
 &lt;p&gt;✔︎ แปรงกลม ไดร์ผม VAL-971&lt;br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</si>
  <si>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VAL-995</t>
  </si>
  <si>
    <t>VALENTE แปรงไดร์กลม 10 แถว รุ่น VAL995</t>
  </si>
  <si>
    <t xml:space="preserve">&lt;p&gt;รายละเอียดสินค้า:&lt;br /&gt; ขนาด 27.5*12"&lt;/p&gt;
 &lt;p&gt;&lt;br /&gt;คุณสมบัติ:&lt;br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ใช้งานได้นาน&lt;br /&gt;✔︎ ป้องกันไฟฟ้าสถิตย์และไม่ทำร้ายเส้นผมของคุณ&lt;br /&gt;✔︎ ทั้งผมตรงหรือขดผมเหมาะสำหรับใช้&lt;br /&gt;✔︎ นวดหนังศีรษะ&lt;/p&gt;</t>
  </si>
  <si>
    <t>VAL-996</t>
  </si>
  <si>
    <t>VALENTE แปรงไดร์กลม 12 แถว รุ่น VAL-996</t>
  </si>
  <si>
    <t>VAL-997</t>
  </si>
  <si>
    <t>VALENTE แปรงไดร์กลม 14 แถว รุ่น VAL-997</t>
  </si>
  <si>
    <t xml:space="preserve">&lt;p&gt;&lt;br /&gt;รายละเอียดสินค้า:&lt;br /&gt; ขนาด 27.5*12"&lt;/p&gt;
 &lt;p&gt;&lt;br /&gt;คุณสมบัติ:&lt;br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ใช้งานได้นาน&lt;br /&gt;✔︎ ป้องกันไฟฟ้าสถิตย์และไม่ทำร้ายเส้นผมของคุณ&lt;br /&gt;✔︎ ทั้งผมตรงหรือขดผมเหมาะสำหรับใช้&lt;br /&gt;✔︎ นวดหนังศีรษะ&lt;/p&gt;</t>
  </si>
  <si>
    <t>VAL-641</t>
  </si>
  <si>
    <t>VALENTE หวีแปรง ยีผม ยีฟู VAL-641</t>
  </si>
  <si>
    <t xml:space="preserve">&lt;p&gt;วาเลนเต้ หวีแปรง ยีผม VAL-641&lt;/p&gt;
 &lt;p&gt;คุณสมบัติ:&lt;/p&gt;
 &lt;p&gt;✔︎ หวีแปรง ยีผม ยีฟู ขึ้นทรง&lt;br /&gt; ✔︎ ใช้งานสะดวกง่าย &lt;br /&gt; ✔︎ จับถนัดมือยีผมได้ฟูฟ่อง&lt;br /&gt; ✔︎ ผลิตจากวัสดุอย่างดี &lt;br /&gt; ✔︎ แข็งแรงทนทาน ใช้งานได้นาน&lt;br /&gt; ✔︎ ด้ามไม้ มีประสิทธิภาพทนความร้อนสูง&lt;/p&gt;</t>
  </si>
  <si>
    <t>VAL-642</t>
  </si>
  <si>
    <t>VALENTE หวียี แบบมีตุ่ม รุ่น VAL-642</t>
  </si>
  <si>
    <t xml:space="preserve">&lt;p&gt;หวีแปรง ยีผม รุ่น VAL-642&lt;br /&gt;หวียีแบบมีตุ่ม ขนาด ความกว้าง 2ซม.ยาว 24 ซม&lt;/p&gt;
 &lt;p&gt;คุณสมบัติ:&lt;br /&gt; ✔︎ หวีแปรง ยีผม ยีฟู&lt;br /&gt; ✔︎ แปรงหน้าเล็ก&lt;br /&gt; ✔︎ จับถนัดมือใช้แรงน้อย ยีผมได้ฟูฟ่อง&lt;br /&gt; ✔︎ ผลิตจากวัสดุอย่างดี&lt;br /&gt; ✔︎ แข็งแรงทนทาน ใช้งานได้นาน&lt;br /&gt; ✔︎ ด้ามไม้ ทนความร้อนได้ดี&lt;/p&gt;</t>
  </si>
  <si>
    <t>VALENTE แปรงไดร์กลม 16 แถว รุ่น VAL-931</t>
  </si>
  <si>
    <t xml:space="preserve">&lt;p&gt;VALENTE หวีแปรงกลมลายตรง &lt;br /&gt;รายละเอียดสินค้า&lt;br /&gt; (เบอร์ 1) 16 แถว VAL-931&lt;br /&gt; (เบอร์ 2) 18 แถว VAL-932&lt;br /&gt; (เบอร์ 3) 20 แถว VAL-933&lt;br /&gt; (เบอร์ 4) 24 แถว VAL-934&lt;/p&gt;
 &lt;p&gt;คุณสมบัติ: &lt;br /&gt; 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/&gt;หากเป็นหวีแปรงแกนโลหะจะสามารถนำความร้อนได้ดีทำให้เซ็ทผมได้เร็วกว่า&lt;/p&gt;
 &lt;p&gt;&lt;br /&gt;&amp;deg;แปรงไดร์กลม เบอร์ 1-4&lt;/p&gt;
 &lt;p&gt;✔︎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</si>
  <si>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แปรงไดร์กลม 18 แถว รุ่น VAL-932</t>
  </si>
  <si>
    <t xml:space="preserve">&lt;p&gt;VALENTE หวีแปรงกลมลายตรง &lt;br /&gt;รายละเอียดสินค้า&lt;br /&gt; (เบอร์ 1) 16 แถว VAL-931&lt;br /&gt; (เบอร์ 2) 18 แถว VAL-932&lt;br /&gt; (เบอร์ 3) 20 แถว VAL-933&lt;br /&gt; (เบอร์ 4) 24 แถว VAL-934&lt;/p&gt;
 &lt;p&gt;คุณสมบัติ: &lt;br /&gt; 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 &lt;br /&gt;&amp;deg;แปรงไดร์กลม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</si>
  <si>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แปรงไดร์กลม รุ่น VAL-933</t>
  </si>
  <si>
    <t xml:space="preserve">&lt;p&gt;VALENTE หวีแปรงกลมลายตรง &lt;br /&gt;รายละเอียดสินค้า&lt;br /&gt; (เบอร์ 1) 16 แถว VAL-931&lt;br /&gt; (เบอร์ 2) 18 แถว VAL-932&lt;br /&gt; (เบอร์ 3) 20 แถว VAL-933&lt;br /&gt; (เบอร์ 4) 24 แถว VAL-934&lt;/p&gt;
 &lt;p&gt;คุณสมบัติ: &lt;br /&gt; 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 &lt;br /&gt;&amp;deg;แปรงไดร์กลม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</si>
  <si>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แปรงไดร์กลม รุ่น VAL-934</t>
  </si>
  <si>
    <t>VALENTE แปรงกลมลายเฉียง 8 เเถว รุ่น VAL-981</t>
  </si>
  <si>
    <t xml:space="preserve">&lt;p&gt;Valente แปรงไดร์ผม 8 เเถว รุ่น VAL-981&lt;/p&gt;
 &lt;p&gt;วัสดุ: ไม้จับบวก&lt;br /&gt; ความยาวรวม: ประมาณ 26 cm/12"&lt;br /&gt; เส้นผ่าศูนย์กลาง: ประมาณ 4.5 cm&lt;br /&gt; น้ำหนัก: ประมาณ 56 กรัม&lt;/p&gt;
 &lt;p&gt;ตัวแปรงไดร์กลม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/&gt;หากเป็นหวีแปรงแกนโลหะจะสามารถนำความร้อนได้ดีทำให้เซ็ทผมได้เร็วกว่า&lt;br /&gt; &lt;br /&gt; &amp;deg;แปรงไดร์กลม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</si>
  <si>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แปรงกลมลายเฉียง 10 เเถว รุ่น VAL-982</t>
  </si>
  <si>
    <t xml:space="preserve">&lt;p&gt;Valent แปรงกลมลายเฉียง 10 เเถว รุ่น VAL-982&lt;br /&gt; วัสดุ: ไม้จับบวก&lt;br /&gt; ความยาวรวม: ประมาณ 26 cm/12"&lt;br /&gt; เส้นผ่าศูนย์กลาง: ประมาณ 4.5 cm&lt;br /&gt; น้ำหนัก: ประมาณ 56 กรัม&lt;/p&gt;
 &lt;p&gt;ตัวแปรงไดร์กลม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/&gt;หากเป็นหวีแปรงแกนโลหะจะสามารถนำความร้อนได้ดีทำให้เซ็ทผมได้เร็วกว่า&lt;br /&gt; &lt;br /&gt; &amp;deg;แปรงไดร์กลม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</si>
  <si>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แปรงกลมลายเฉียง 12 เเถว รุ่น VAL-983</t>
  </si>
  <si>
    <t xml:space="preserve">&lt;p&gt;Valente แปรงกลมลายเฉียง 12 เเถว รุ่น VAL-983&lt;br /&gt; วัสดุ: ไม้จับบวก&lt;br /&gt; ความยาวรวม: ประมาณ 26 cm/12"&lt;br /&gt; เส้นผ่าศูนย์กลาง: ประมาณ 4.5 cm&lt;br /&gt; น้ำหนัก: ประมาณ 56 กรัม&lt;/p&gt;
 &lt;p&gt;ตัวแปรงไดร์กลม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/&gt;หากเป็นหวีแปรงแกนโลหะจะสามารถนำความร้อนได้ดีทำให้เซ็ทผมได้เร็วกว่า&lt;br /&gt; &lt;br /&gt; &amp;deg;แปรงไดร์กลม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</si>
  <si>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แปรงกลมลายเฉียง 4 เเถว รุ่น VAL-984</t>
  </si>
  <si>
    <t xml:space="preserve">&lt;p&gt;Valente แปรงกลมลายเฉียง 4 เเถว รุ่น VAL-984&lt;br /&gt; วัสดุ: ไม้จับบวก&lt;br /&gt; ความยาวรวม: ประมาณ 26 cm/12"&lt;br /&gt; เส้นผ่าศูนย์กลาง: ประมาณ 4.5 cm&lt;br /&gt; น้ำหนัก: ประมาณ 56 กรัม&lt;/p&gt;
 &lt;p&gt;ตัวแปรงไดร์กลม มีหลายขนาด ขนแปรงทำมาจากขนสัตว์แท้ จะเห็นกันได้บ่อยที่ร้านทำผม &lt;br /&gt;หวีประเภทนี้ใช้เพื่อจับผมเป็นช่อๆ เซ็ทให้เป็นลอน หรือไดร์ผมตรงก็ได้ ใช้ได้กับเส้นผมทุกประเภท &lt;br /&gt;หากเป็นหวีแปรงแกนโลหะจะสามารถนำความร้อนได้ดีทำให้เซ็ทผมได้เร็วกว่า&lt;br /&gt; &lt;br /&gt; &amp;deg;แปรงไดร์กลม เบอร์ 1-4 &lt;br /&gt;✔︎ แปรงไดร์ผมผลิตจากวัสุดคุณภาพดี ช่วยให้ผมเป็นทรงสวยได้ดั่งใจต้องการ&lt;br /&gt;✔︎ แปรงไดร์ผมสำหรับไดร์ผมสั้นหรือไดร์ตรง &lt;br /&gt;✔︎ ผลิตจากไนลอนคุณภาพดี ทนความร้อน &lt;br /&gt;✔︎ ขนแปรงเรียงแน่น &lt;br /&gt;✔︎ น้ำหนักเบา&lt;/p&gt;</t>
  </si>
  <si>
    <t>VALENTE หวีแปรงไดร์กลมลายเฉียง 8 แถว รุ่น VAL-815X</t>
  </si>
  <si>
    <t xml:space="preserve">&lt;p&gt;&lt;br /&gt; หวีแปรงกลมลายเฉียง (VAL-815X-818X)&lt;/p&gt;
 &lt;p&gt;รายละเอียดสินค้า&lt;br /&gt; VAL-815X (8เเถว) น้ำหนัก 27 กรัม.&lt;br /&gt; VAL-816X (10เเถว) น้ำหนัก 38 กรัม.&lt;br /&gt; VAL-817X (12เเถว) น้ำหนัก 48 กรัม.&lt;br /&gt; VAL-818X (14เเถว) น้ำหนัก 60 กรัม.&lt;/p&gt;
 &lt;p&gt;คุณสมบัติ:&lt;br /&gt;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หากเป็นหวีแปรงแกนโลหะจะสามารถนำความร้อนได้ดีทำให้เซ็ทผมได้เร็วกว่า&lt;/p&gt;
 &lt;p&gt;✔︎ หวีแปรงกลม ไดร์ผมได้แห้งเร็วขึ้น&lt;br /&gt;✔︎ แข็งแรงทนทาน ใช้งานได้นาน&lt;br /&gt;✔︎ สีดำ ด้ามไม้&lt;/p&gt;</t>
  </si>
  <si>
    <t>VALENTE หวีแปรงไดร์กลมลายเฉียง 10 แถว รุ่น VAL-816X</t>
  </si>
  <si>
    <t>VALENTE หวีแปรงไดร์กลมลายเฉียง 12 แถว รุ่น VAL-817X</t>
  </si>
  <si>
    <t>VALENTE หวีแปรงไดร์กลมลายเฉียง 14 แถว รุ่น VAL-818X</t>
  </si>
  <si>
    <t>VALENTE หวีแปรงไดร์กลมลายตรง 8 แถว รุ่น VAL-815Z</t>
  </si>
  <si>
    <t xml:space="preserve">&lt;p&gt;VALENTE หวีแปรงกลมลายตรง &lt;br /&gt;รายละเอียดสินค้า&lt;br /&gt; VAL-815Z (8เเถว) น้ำหนัก 27 กรัม.&lt;br /&gt; VAL-816Z (10เเถว) น้ำหนัก 38 กรัม.&lt;br /&gt; VAL-817Z (12เเถว) น้ำหนัก 48 กรัม.&lt;br /&gt; VAL-818Z (14เเถว) น้ำหนัก 60 กรัม.&lt;/p&gt;
 &lt;p&gt;คุณสมบัติ: &lt;br /&gt; ตัวแปรงไดร์กลม มีหลายขนาด ขนแปรงทำมาจากขนสัตว์แท้ เป็นที่นิยมมากในร้านซลอนหรือร้านทำผม &lt;br /&gt;หวีประเภทนี้ใช้เพื่อจับผมเป็นช่อๆ เซ็ทให้เป็นลอน หรือไดร์ผมตรงก็ได้ ใช้ได้กับเส้นผมทุกประเภท หวีด้ามไม้&lt;br /&gt;จะทนความร้อนได้ดี แต่หากเป็นหวีแปรงแกนโลหะจะสามารถนำความร้อนได้ดีทำให้เซ็ทผมได้เร็วกว่า &lt;br /&gt; &lt;br /&gt;✔︎ หวีแปรงกลม ไดร์ผมได้แห้งเร็วขึ้น&lt;br /&gt;✔︎ แข็งแรงทนทาน ใช้งานได้นาน&lt;br /&gt;✔︎ สีดำ ด้ามไม้&lt;/p&gt;</t>
  </si>
  <si>
    <t>VALENTE หวีแปรงไดร์กลมลายตรง 10 แถว รุ่น VAL-816Z</t>
  </si>
  <si>
    <t>VALENTE หวีแปรงไดร์กลมลายตรง 12 แถว รุ่น VAL-817Z</t>
  </si>
  <si>
    <t>VALENTE หวีแปรงไดร์กลมลายตรง 14 แถว รุ่น VAL-818Z</t>
  </si>
  <si>
    <t>VAL-972-B</t>
  </si>
  <si>
    <t>VALENTE แปรงไดร์กลม 14 แถว (VAL-972/B)</t>
  </si>
  <si>
    <t xml:space="preserve">&lt;p&gt;&amp;nbsp;&lt;/p&gt;
 &lt;p&gt;คุณสมบัติ:&lt;/p&gt;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เป็นทรงสวยไม่ต้องออกแรงดึงกับผมแห้งที่พันกัน&lt;br /&gt;✔︎ สามารถใช้ไดร์ขึ้นทรงได้&lt;br /&gt;✔︎ ด้ามทำด้วยไม้ นำความร้อนได้ดี&lt;/p&gt;</t>
  </si>
  <si>
    <t>VAL-972-Z</t>
  </si>
  <si>
    <t>VALENTE round hair brush แปรงกลมวาเลนเต้ 14 แถว รุ่น VAL-972/Z</t>
  </si>
  <si>
    <t xml:space="preserve">&lt;p&gt;แปรงกลม 14 แถว&lt;/p&gt;
 &lt;p&gt;คุณสมบัติ:&lt;/p&gt;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เป็นทรงสวยไม่ต้องออกแรงดึงกับผมแห้งที่พันกัน&lt;/p&gt;</t>
  </si>
  <si>
    <t>VAL-973-B</t>
  </si>
  <si>
    <t>VALENTE round hair brush แปรงกลมวาเลนเต้ 16 แถว รุ่น VAL-973/B</t>
  </si>
  <si>
    <t xml:space="preserve">&lt;p&gt;&lt;br /&gt;มีขนาด 25x4cm ใช้งานง่าย&lt;/p&gt;
 &lt;p&gt;คุณสมบัติ:&lt;/p&gt;
 &lt;p&gt;✔︎ หวีแปรงไดร์ผม ระบายความร้อนได้ดี เพิ่มความสะดวกในขณะไดร์ผม&lt;br /&gt;✔︎ ถนอมเส้นผมและหนังศีรษะ พร้อมทั้งช่วยลดการหลุดร่วงของเส้นผม&lt;br /&gt;✔︎ ช่วยให้เส้นผมเรียบลื่น เรียงตัวสวยไม่พันกัน จัดทรงได้อย่างง่ายดาย&lt;br /&gt;✔︎ มีรูปทรงที่สวยงาม ใช้งานง่าย ขนาดกะทัดรัด พกพาได้สะดวกทุกที่&lt;br /&gt;✔︎ แข็งแรงทนทาน ใช้งานได้อย่างยาวนาน&lt;br /&gt;✔︎ สีดำ&lt;br /&gt;✔︎ ใช้ไดร์ผม&lt;/p&gt;</t>
  </si>
  <si>
    <t>VALENTE แปรงไดร์กลม 10 แถว รุ่น VAL-862-D</t>
  </si>
  <si>
    <t xml:space="preserve">&lt;p&gt;VALENTE แปรงไดร์กลม&lt;/p&gt;
 &lt;p&gt;คุณสมบัติ:&lt;br /&gt;✔︎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เป็นทรงสวยไม่ต้องออกแรงดึงกับผมแห้งที่พันกัน&lt;/p&gt;
 &lt;p&gt;*เหมาะสำมือใหม่และมืออาชีพ*&lt;/p&gt;</t>
  </si>
  <si>
    <t>VALENTE แปรงไดร์กลม 12 แถว รุ่น VAL-863-D</t>
  </si>
  <si>
    <t>VALENTE แปรงไดร์กลม มี 14 แถว รุ่น VAL-862-D-VAL-869-D</t>
  </si>
  <si>
    <t>VAL-867-D</t>
  </si>
  <si>
    <t>VALENTE แปรงไดร์กลม 7 แถว รุ่น VAL-867-D</t>
  </si>
  <si>
    <t xml:space="preserve">&lt;p&gt;VALENTE แปรงไดร์กลม&lt;/p&gt;
 &lt;p&gt;คุณสมบัติ:&lt;br /&gt;✔︎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เป็นทรงสวยไม่ต้องออกแรงดึงกับผมแห้งที่พันกัน&lt;/p&gt;
 &lt;p&gt;*เหมาะสำมือใหม่และมืออาชีพ*&lt;/p&gt;</t>
  </si>
  <si>
    <t>VAL-868-D</t>
  </si>
  <si>
    <t>VALENTE แปรงไดร์กลม 8 แถว รุ่น VAL-868-D</t>
  </si>
  <si>
    <t>VAL-869-D</t>
  </si>
  <si>
    <t>VALENTE แปรงไดร์กลม 9 แถว รุ่น VAL-869-D</t>
  </si>
  <si>
    <t>HP-001</t>
  </si>
  <si>
    <t>แปรงไดร์ผม เบอร์ 1 ขนาด 16 รุ่น HP-001</t>
  </si>
  <si>
    <t xml:space="preserve">&lt;p&gt;ใช้ในการไดร์ผมให้แห้งและเป้นทรงมากขึ้น เบอร์1&lt;/p&gt;
 &lt;p&gt;คุณสมบัติ:&lt;/p&gt;
 &lt;p&gt;✔︎ แปรงไดร์ผม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</si>
  <si>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HP-002</t>
  </si>
  <si>
    <t>แปรงไดร์ผม เบอร์ 2 ขนาด 18 รุ่น HP-002</t>
  </si>
  <si>
    <t xml:space="preserve">&lt;p&gt;ใช้ในการไดร์ผมให้แห้งและเป้นทรงมากขึ้น ด้วยขนาด 18 ด้ามจับสีขาว (เบอร์2)&lt;/p&gt;
 &lt;p&gt;คุณสมบัติ:&lt;/p&gt;
 &lt;p&gt;✔︎ แปรงไดร์ผม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</si>
  <si>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HP-003</t>
  </si>
  <si>
    <t>แปรงไดร์ผม เบอร์ 3 ขนาด 20 รุ่น HP-003</t>
  </si>
  <si>
    <t xml:space="preserve">&lt;p&gt;ใช้ในการไดร์ผมให้แห้งและเป็นทรงมากขึ้น&lt;/p&gt;
 &lt;p&gt;คุณสมบัติ:&lt;/p&gt;
 &lt;p&gt;✔︎ แปรงไดร์ผม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</si>
  <si>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HP-004</t>
  </si>
  <si>
    <t>VALENTE แปรงไดร์ผม เบอร์ 4 ขนาด 22 รุ่น HP-004</t>
  </si>
  <si>
    <t xml:space="preserve">&lt;p&gt;คุณสมบัติ&lt;/p&gt;
 &lt;p&gt;✔︎ แปรงไดร์ผม รุ่น HP-004&lt;br /&gt;✔︎ แปรงไดร์ผม สำหรับไดร์ผมหวีแปรงผมได้ง่าย&lt;br /&gt;✔︎ จับถนัดมือ ไดร์ผมได้แห้งเร็วขึ้น&lt;br /&gt;✔︎ ผลิตจากวัสดุอย่างดี&lt;br /&gt;✔︎ แข็งแรงทนทาน ใช้งานได้นาน&lt;/p&gt;</t>
  </si>
  <si>
    <t>VAL-850D</t>
  </si>
  <si>
    <t>VALENTE แปรงไดร์ผม รุ่น VAL-850D</t>
  </si>
  <si>
    <t xml:space="preserve">&lt;p&gt;ใช้ง่ายเล็กถนัดมือ ใช้ได้ทั้งผู้หญิงและผู้ชาย &lt;br /&gt;ขนาดยาวทั้งด้าม 22.5ซม.&lt;br /&gt;เฉพาะแปรง 10.5ซม. เฉพาะด้ามขนาด 11.5ซม.&lt;/p&gt;
 &lt;p&gt;คุณสมบัติ:&lt;br /&gt;✔︎ แปรงกลม ไดร์ผม&lt;br /&gt;✔︎ แปรงกลม สำหรับไดร์ผมหวีแปรงผมได้ง่าย&lt;br /&gt;✔︎ จับถนัดมือ ไดร์ผมได้แห้งเร็วขึ้น&lt;br /&gt;✔︎ ผลิตจากวัสดุอย่างดี&lt;br /&gt;✔︎ แข็งแรงทนทาน ใช้งานได้นาน&lt;br /&gt;✔︎ มีปุ่มขาวๆไว้นวดศีรษะและสามารถไดร์ฟาร่าได้&lt;/p&gt;
 &lt;p&gt;*เหมาะสำมือใหม่และมืออาชีพ&lt;/p&gt;</t>
  </si>
  <si>
    <t>VAL-850D-10</t>
  </si>
  <si>
    <t>VALENTE วาเลนเต้ แปรงไดร์ ฟันสลับ 10 แถว (VAL-850D-10)</t>
  </si>
  <si>
    <t xml:space="preserve">&lt;p&gt;วาเลนเต้ แปรงไดร์ฟันสลับ 10แถว (VAL-850D-10)&lt;/p&gt;
 &lt;p&gt;คุณสมบัติ:&lt;br /&gt; ✔︎ ขนาดทั้งชิ้น 22.5 ซม. เฉพาะแปรงขนาด 10.5ซม. เฉพาะด้าม 11.5ซม.&lt;br /&gt; ✔︎ ลักษณะแปรงมีปุ่มขาวๆเพื่อใช้นวดและไดร์ฟาร่า เป็นแปรงขนาดเล็ก&lt;br /&gt; ✔︎ หวีแปรงกลม ไดร์ผมได้แห้งเร็วขึ้น&lt;br /&gt; ✔︎ แข็งแรงทนทาน ใช้งานได้นาน&lt;br /&gt; ✔︎ ทนความร้อนได้ดี&lt;br /&gt; ✔︎ ด้ามไม้&lt;/p&gt;
 &lt;p&gt;*คนทั่วไปใช้ได้*&lt;/p&gt;</t>
  </si>
  <si>
    <t>VAL-850V</t>
  </si>
  <si>
    <t>VALENTE แปรงไดร์กลม 8 แถว รุ่น VAL-850V</t>
  </si>
  <si>
    <t xml:space="preserve">&lt;p&gt;Valente แปรงไดร์กลม 8 เเถว รุ่น VAL-850V&lt;br /&gt;ขนาดด้ามยาว 22.5ซม. เฉพาะแปรง 10.5ซม. เฉพาะด้าม11.5ซม&lt;/p&gt;
 &lt;p&gt;คุณสมบัติ: &lt;br /&gt; ตัวแปรงไดร์กลม มีหลายขนาด เป็นที่นิยมมากในร้านซลอนหรือร้านทำผม หวีประเภทนี้ใช้เพื่อ &lt;br /&gt;เซ็ทให้เป็นลอน หรือไดร์ผมตรงก็ได้ ใช้ได้กับเส้นผมทุกประเภท หวีด้ามไม้ จะทนความร้อนได้ดี &lt;br /&gt;แต่หากเป็นหวีแปรงแกนโลหะจะสามารถนำความร้อนได้ดีทำให้เซ็ทผมได้เร็วกว่า &lt;br /&gt; &lt;br /&gt;✔︎ หวีแปรงกลม ไดร์ผมได้แห้งเร็วขึ้น&lt;br /&gt;✔︎ แข็งแรงทนทาน ใช้งานได้นาน&lt;br /&gt;✔︎ สีดำ ด้ามไม้&lt;/p&gt;</t>
  </si>
  <si>
    <t>VAL-850V-10</t>
  </si>
  <si>
    <t>VALENTE แปรงไดร์กลม 10 เเถว รุ่น VAL-850V-10</t>
  </si>
  <si>
    <t xml:space="preserve">&lt;p&gt;Valente แปรงไดร์กลม 10 เเถว รุ่น VAL-850V-10&lt;br /&gt;ขนาดด้ามยาว 22.5ซม. เฉพาะแปรง 10.5ซม. เฉพาะด้าม11.5ซม.&lt;/p&gt;
 &lt;p&gt;คุณสมบัติ: &lt;br /&gt; ตัวแปรงไดร์กลม มีหลายขนาด ขนแปรงทำมาจากขนสัตว์แท้ เป็นที่นิยมมากในร้านซลอนหรือร้านทำผม &lt;br /&gt;หวีประเภทนี้ใช้เพื่อเซ็ทให้เป็นลอน หรือไดร์ผมตรงก็ได้ ใช้ได้กับเส้นผมทุกประเภท หวีด้ามไม้&lt;br /&gt;จะทนความร้อนได้ดี แต่หากเป็นหวีแปรงแกนโลหะจะสามารถนำความร้อนได้ดีทำให้เซ็ทผมได้เร็วกว่า &lt;br /&gt; &lt;br /&gt;✔︎ หวีแปรงกลม ไดร์ผมได้แห้งเร็วขึ้น&lt;br /&gt;✔︎ แข็งแรงทนทาน ใช้งานได้นาน&lt;br /&gt;✔︎ ด้ามไม้&lt;/p&gt;</t>
  </si>
  <si>
    <t>VAL-1000</t>
  </si>
  <si>
    <t>VALENTE หวีซอย-มีดโกนสไลด์ผม รุ่น VAL-1000 มีทั้งหมด 6 สี</t>
  </si>
  <si>
    <t xml:space="preserve">&lt;p&gt;VALENTE หวี-มีดโกนสไลด์ผม รุ่น VAL-1000 มีทั้งมด 6 สี &lt;br /&gt;ขนาดกว้าง 4ซม.ยาว 21 ซม.&lt;/p&gt;
 &lt;p&gt;คุณสมบัติ:&lt;br /&gt; ✔︎ หวีซอยผม&lt;br /&gt; ✔︎ กรรไกรซอยผม&lt;br /&gt; ✔︎ ใช้ง่าย&lt;br /&gt; ✔︎ ราคาสุดคุ้ม&lt;br /&gt; ✔︎ พกพาสะดวก&lt;br /&gt; ✔︎ หวีซอยผม 1 ด้าม (แรนดอมสี)&lt;br /&gt; ✔︎ หวีซอยผมสามารถเปลี่ยนใบมีดได้&lt;/p&gt;</t>
  </si>
  <si>
    <t>03-GREEN</t>
  </si>
  <si>
    <t>CUTTING APRON ผ้าทับซอย แบบโปร่ง สีม่วง รุ่น SRF-064</t>
  </si>
  <si>
    <t xml:space="preserve">&lt;p&gt;CUTTING APRON ：ผ้าทับซอย สีม่วง&lt;br /&gt; ผ้าคลุมย้อมแบบแม่เหล็ก ขนาด กว้าง 46 ซม. ยาว 71 ซม.&lt;/p&gt;
 &lt;p&gt;✔︎ ด้านหลังยึดด้วยแม่เหล็ก สามารถปรับขนาดได้ &lt;br /&gt;✔︎ ใช้ในการตัดหรือซอยเส้นผม&lt;br /&gt;✔︎ ป้องกันไม่ให้เส้นผมเข้าเสื้อผ้า&lt;/p&gt;
 &lt;p&gt;*เหมาะสำหรับร้านบาร์เบอร์และซาลอน&lt;/p&gt;</t>
  </si>
  <si>
    <t>ผ้าคลุมย้อมกันเคมี</t>
  </si>
  <si>
    <t>VALENTE ผ้าคลุมย้อม แบบโปร่ง H-007</t>
  </si>
  <si>
    <t xml:space="preserve">&lt;p&gt;ใช้คลุมเวลาย้อมผม มี 2 สี สีดำ และสีม่วง กันน้ำอย่างดี&lt;/p&gt;
 &lt;p&gt;คุณสมบัติ: &lt;br /&gt;✔︎ ผ้าคลุมรองย้อม เนื้อพลาสติก สีใส &lt;br /&gt;✔︎ ง่ายต่อการล้างทำความสะอาด &lt;br /&gt;✔︎ กว้าง 82cm. ยาวจากบ่า 62 cm. ยาวจากคอ 42 cm&lt;/p&gt;
 &lt;p&gt;วิธีใช้: &lt;br /&gt;ใช้สำหรับรองคอเวลาทำสีผม ยืดผมหรือทำเคมี หมดปัญหาสีหกเลอะเทอะ สินค้าคุณภาพดี&lt;/p&gt;</t>
  </si>
  <si>
    <t>OY-983</t>
  </si>
  <si>
    <t>Valente white rubber glove ถุงมือยางสีขาว รุ่น OY-983/L</t>
  </si>
  <si>
    <t xml:space="preserve">&lt;ul class=""&gt;
 &lt;li class=""&gt;ถุงมือยางสีขาว รุ่น OY-983/L&lt;/li&gt;
 &lt;li class=""&gt;100 ชิ้น/ 1 กล่อง&lt;/li&gt;
 &lt;li class=""&gt;ขนาดความกว้างของข้อมือ 3.5"&lt;/li&gt;
 &lt;li class=""&gt;ขนาดความกว้างของถุงมือ 5.5"&lt;/li&gt;
 &lt;li class=""&gt;ขนาดความยาว 9.5"&lt;/li&gt;
 &lt;li class="" data-spm-anchor-id="a2o4m.pdp.product_detail.i0.331f1860ejQ67j"&gt;ใช้สวมมือ&lt;/li&gt;
 &lt;/ul&gt;</t>
  </si>
  <si>
    <t>อุปกรณ์ซาลอน</t>
  </si>
  <si>
    <t>SIZE: M</t>
  </si>
  <si>
    <t>VAL-1407-A</t>
  </si>
  <si>
    <t>VALENTE HAIR CLIP กิ๊บหนีบผม 1แพคมี6ชิ้น คละสี รุ่น VAL-1407/A</t>
  </si>
  <si>
    <t xml:space="preserve">&lt;p&gt;กิ๊ฟหบีบผม 1แพ็คมี 12ชิ้น &lt;br /&gt;ขนาด กว้าง1ซม. ยาว 10ซม.&lt;/p&gt;
 &lt;p&gt;คุุณสมบัติ: &lt;br /&gt; ✔︎ ทำจากสแตนเลส + พลาสติกดีมีคุณภาพ&lt;br /&gt; ✔︎ มีหลายสี ไม่ใช่สีเคลือบ ไม่ลอกแน่นอน&lt;br /&gt; ✔︎ แข็งแรง ทนทาน ใช้ได้นาน&lt;br /&gt; ✔︎ ร้านเสริมสวยใช้&lt;/p&gt;
 &lt;p&gt;วิธีใช้: &lt;br /&gt;ใช้หนีบผม แบ่งช่อ จัดระเบียบ ทรงผม&lt;/p&gt;</t>
  </si>
  <si>
    <t>กิ๊ฟและยางรัดผม</t>
  </si>
  <si>
    <t>VALENTE HAIR CLIP กิ๊บหนีบผม 1แพคมี12ชิ้น คละสี รุ่น VAL-1412</t>
  </si>
  <si>
    <t xml:space="preserve">&lt;p&gt;กิ๊บหนีบผม ใช้หนีบผม 1 แพ็ค มี 12 ชิ้น&lt;br /&gt;ขนาด ยาว 10.5ซม&lt;/p&gt;
 &lt;p&gt;คุุณสมบัติ: &lt;br /&gt; ✔︎ ทำจากสแตนเลส + พลาสติกดีมีคุณภาพ&lt;br /&gt; ✔︎ มีหลายสี ไม่ใช่สีเคลือบ ไม่ลอกแน่นอน&lt;br /&gt; ✔︎ แข็งแรง ทนทาน ใช้ได้นาน&lt;br /&gt; ✔︎ ร้านเสริมสวยใช้&lt;/p&gt;
 &lt;p&gt;วิธีใช้: &lt;br /&gt;ใช้หนีบผม แบ่งช่อ จัดระเบียบ ทรงผม&lt;/p&gt;</t>
  </si>
  <si>
    <t>M-018</t>
  </si>
  <si>
    <t>วาเลนเต้ กิ๊ฟหนีบผมปากจรเข้ 0.060g. 1 แพ็คมี 5 ชิ้น รหัสสินค้า M-018</t>
  </si>
  <si>
    <t xml:space="preserve">&lt;p&gt;กิ๊ฟหนีบผมปากจระเข้ มี 5ชิ้น ต่อ1แพ็ค&lt;br /&gt;1แพ็คมี 5 ชิ้น ขนาดกว้าง 1.5ซม. ยาว 12ซม.&lt;/p&gt;
 &lt;p&gt;กิ๊บหนีบผมปากจรเข้ ใช้แบ่งผม ขนาดใหญ่แบบร้านเสริมสวยใช้&lt;/p&gt;
 &lt;p&gt;คุณสมบัติ:&lt;br /&gt; ✔︎ กิ๊บปากจระเข้ ใหญ่มาก ใช้หนีบผม &lt;br /&gt; ✔︎ มี 4 สี น้ำเงิน ดำ แดง ม่วง &lt;br /&gt; ✔︎ ผมยาวปะบ่า สามารถหนีบได้ทั้งหัว&lt;br /&gt; ✔︎ อุปกรณ์ช่างทำผม &lt;br /&gt; ✔︎ ร้านเสริมสวยใช้&lt;/p&gt;
 &lt;p&gt;วิธีใช้: &lt;br /&gt;ใช้หนีบผม แบ่งช่อ จัดระเบียบ ทรงผม&lt;/p&gt;</t>
  </si>
  <si>
    <t>VAL-9802</t>
  </si>
  <si>
    <t>VALENTE กระบอกฉีดน้ำ วาเลนเต้ รุ่น VAL-9802</t>
  </si>
  <si>
    <t xml:space="preserve">&lt;p&gt;กระบอกฉีดน้ำ ขนาด กว้าง 7ซม. ยาว 18 ซม.&lt;/p&gt;
 &lt;p&gt;คุณสมบัติ: &lt;br /&gt;- ผลิตจากพลาสติกคุณภาพดี&lt;br /&gt;- หัวปรับรูปแบบละอองของน้ำได้ตามความต้องการ&lt;br /&gt;- ใช้พ่นยาในรูปแบบกระบอกฉีดน้ำแบบอัดอากาศ&lt;br /&gt;- ใช้สำหรับพรมหรือฉีดน้ำต้นไม้ได้&lt;br /&gt;- มีความแข็งแรง ทนทานต่อการใช้งาน&lt;br /&gt;- ล้างทำความสะอาดง่าย&lt;/p&gt;</t>
  </si>
  <si>
    <t>กระบอกฉีดน้ำ</t>
  </si>
  <si>
    <t>VALENTE กระบอกฉีดน้ำ รุ่น VAL-9804</t>
  </si>
  <si>
    <t xml:space="preserve">&lt;p&gt;กระบอกฉีดน้ำ รุ่น Val-9804 &lt;br /&gt;ขนาด 20*7 ซม.&lt;/p&gt;
 &lt;p&gt;คุณสมบัติ: &lt;br /&gt; &lt;br /&gt;✔︎ ผลิตจากพลาสติกคุณภาพดี &lt;br /&gt;✔︎ แต่งลวดลายบาเบอร์ซาลอน &lt;br /&gt;✔︎ สามารถจุได้ประมาน455ml&lt;/p&gt;</t>
  </si>
  <si>
    <t>PKY-1571</t>
  </si>
  <si>
    <t>VALENTE กระบอกฉีดน้ำ PKY-1571</t>
  </si>
  <si>
    <t xml:space="preserve">&lt;p&gt;กระบอกฉีดน้ำ &lt;br /&gt;ขนาดสูง13.5ซม. กว้าง 7ซม.&lt;/p&gt;
 &lt;p&gt;คุณสมบัติ:&lt;/p&gt;
 &lt;p&gt;✔︎ ผลิตจากพลาสติกคุณภาพดี&lt;br /&gt;✔︎ หัวปรับรูปแบบละอองของน้ำได้ตามความต้องการ&lt;br /&gt;✔︎ ใช้พ่นยาในรูปแบบกระบอกฉีดน้ำแบบอัดอากาศ&lt;br /&gt;✔︎ ใช้สำหรับพรมหรือฉีดน้ำต้นไม้ได้&lt;br /&gt;✔︎ มีความแข็งแรง ทนทานต่อการใช้งาน&lt;br /&gt;✔︎ ล้างทำความสะอาดง่าย&lt;br /&gt; ✔︎ ขนาดความจุ 108 ml.&lt;/p&gt;</t>
  </si>
  <si>
    <t>VALENTE barber break up แผ่นแปะผม ที่แปะผม ตีนตุ๊กแก 2 ชิ้น รุ่น P-118</t>
  </si>
  <si>
    <t xml:space="preserve">&lt;p&gt;- 1แพ็คมี2ชิ้น&lt;br /&gt;- ขนาด5x11ซม.&lt;/p&gt;
 &lt;p&gt;ลักษณะอุปกรณ์แบ่งผมคล้ายตีนตุ๊กแก ใช้แบ่งผมแทนกิ๊บ &lt;br /&gt;เป็นตัวเลือกที่ทำให้ผมไม่หัก และไดร์ง่าย&lt;/p&gt;
 &lt;p&gt;คุณสมบัติ &lt;br /&gt;✔︎ ช่วยจัดผมไม่ให้ผมเสียทรง &lt;br /&gt;✔︎ ใช้แปะหน้าม้าไม่ให้ปิดบังใบหน้า &lt;br /&gt;✔︎ ใช้แปะผมขณะแต่งหน้า &lt;br /&gt;✔︎ ใช้ง่าย แต่งหน้าสะดวก ผมไม่เป็นรอย &lt;br /&gt;✔︎ ใช้ได้บ่อยตามต้องการเหมาะกับคนผมไม่เยอะหรือหนามาก&lt;/p&gt;
 &lt;p&gt;มีมันก็ช่วยให้เป็นประโยชน์มากกว่าโดยปกติ และนำมาติดก่อนแต่งหน้าได้ด้วย&lt;/p&gt;</t>
  </si>
  <si>
    <t>VALENTE COMB หวีแบ่งผม ทำไฮไลท์ รุ่น VAL-K237</t>
  </si>
  <si>
    <t xml:space="preserve">&lt;p&gt;-เป็นหวีสีเขียว ใช่แบ่งผมเพื่อทำไฮไลท์&lt;br /&gt;-ขนาด 6.5*24.5 cm&lt;/p&gt;
 &lt;p&gt;คุณสมบัติ: &lt;br /&gt;✔︎ หวีแบ่งผม ทำไฮไลท์ 3 ด้าน &lt;br /&gt;✔︎ หวีก้างปลา สีเขียว &lt;br /&gt;✔︎ ขนาด 6.5*24.5 cm &lt;br /&gt;✔︎ ซี่หวีแต่ละด้านจะช่วยแบ่งเส้นผมให้ดียิ่งขึ้น ขณะย้อมหรือทำไฮไลท์&lt;/p&gt;
 &lt;p&gt;วิธีใช้: &lt;br /&gt;ใช้ในการแบ่งผมเพื่อทำไฮไลท์&lt;/p&gt;</t>
  </si>
  <si>
    <t>BARBER BRAIN รองฟันปัตตาเลี่ยน ชนิดแม่เหล็ก รุ่น BB-104</t>
  </si>
  <si>
    <t xml:space="preserve">&lt;p&gt;&lt;br /&gt; รองฟันชนิดแม่เหล็ก Barber Brain Magnetic Cutting Guide &lt;br /&gt;สุดคุ้มรองฟันปัตตาเลี่ยน มีทั้งหมด 5 เบอร์ดังนี้&lt;/p&gt;
 &lt;p&gt;เบอร์ 0 - 1/16" ขนาด 1.5 mm&lt;br /&gt; เบอร์ 1 - 1/8" ขนาด 3 mm&lt;br /&gt; เบอร์ 2 - 1/4" ขนาด 6 mm&lt;br /&gt; เบอร์ 3 - 3/8" ขนาด 10 mm&lt;br /&gt; เบอร์ 4 - 1/2" ขนาด 13 mm &lt;br /&gt; &lt;br /&gt; วิธีใช้: รองฟัน เปรียบเสมือน หวีใหญ่-เล็ก สามารถใช้แทนหวีได้เลย &lt;br /&gt;แล้วแต่ความถนัดออกแบบมาให้มีน้ำหนักเบา ใช้งานง่ายและถอดประกอบง่าย&lt;/p&gt;</t>
  </si>
  <si>
    <t>รองฟัน</t>
  </si>
  <si>
    <t>BB-107</t>
  </si>
  <si>
    <t>T-Blade trimmer II ปัตตาเลี่ยน T blade กันขอบรุ่น 2 BB-107</t>
  </si>
  <si>
    <t xml:space="preserve">&lt;p&gt;ปัตตาเลี่ยนไซด์เล็กที่ประสิทธิภาพใหญ่เกินตัว!!!! &lt;br /&gt;ช่วยทำงานกันขอบผม (hair line) ออกมาแบบมีเอกลักษณ์และโดดเด่น&lt;/p&gt;
 &lt;p&gt;คุณสมบัติ &lt;br /&gt;✔︎ ด้วยดีไซน์และเทคโนโลยีที่ทันสมัย ใช้งานง่าย &lt;br /&gt;✔︎ ตัวเล็ก พกพาสะดวก &lt;br /&gt;✔︎ ตัดลื่น ไม่กินผม &lt;br /&gt;✔︎ มีความสามารถในการแกะลาย&lt;br /&gt;✔︎ เสียงเบา สามารถใช้ตัดผมเด็กชายได้&lt;br /&gt;✔︎ เหมาะสำหรับการเดินทาง&lt;br /&gt;✔︎ เหมาะกับทุกช่วงวัย&lt;/p&gt;</t>
  </si>
  <si>
    <t>ตัวกันขอบ</t>
  </si>
  <si>
    <t>โถล้างเครื่องมือฆ่าเชื้อ 1000 มล. VLY-2001</t>
  </si>
  <si>
    <t xml:space="preserve">&lt;p&gt;&lt;br /&gt; ปริมาณ 1000 มล. กว้าง9.5 ซม. สูง19.5ซม.&lt;/p&gt;
 &lt;p&gt;คุณสมบัติ: &lt;br /&gt;✔︎ โถล้างเครื่องมือฆ่าเชื้อขนาดกลาง จุได้ถึง 1000 มล. และ 1500 มล.&lt;br /&gt;✔︎ โถล้างฆ่าเชื้อเครื่องมืออุปกรณ์ต่างๆ เช่น &lt;br /&gt;กรรไกรตัดผม , กรรไกรตัดขนจมูก , กรรไกรตัดหนัง , กรรไกรตัดเล็บ , หวีต่างๆ , โรล ฯลฯ &lt;br /&gt;✔︎ ทำจากแก้วอย่างหนา มีฝาปิดเป็นสแตนเลส &lt;br /&gt;✔︎ การออกแบบให้ใช้งานง่ายไม่ยุ่งยาก ด้านล่างโถมียางกันลื่น&lt;/p&gt;</t>
  </si>
  <si>
    <t>โถล้างเครื่องมือฆ่าเชื้อ 1500มล. VLY-2002</t>
  </si>
  <si>
    <t xml:space="preserve">&lt;p&gt;&lt;br /&gt; ปริมาณ 1500 มล. กว้าง9.5 ซม. สูง28.5ซม.&lt;/p&gt;
 &lt;p&gt;คุณสมบัติ: &lt;br /&gt;✔︎ โถล้างเครื่องมือฆ่าเชื้อขนาดกลาง จุได้ถึง 1000 มล. และ 1500 มล.&lt;br /&gt;✔︎ โถล้างฆ่าเชื้อเครื่องมืออุปกรณ์ต่างๆ เช่น &lt;br /&gt;กรรไกรตัดผม , กรรไกรตัดขนจมูก , กรรไกรตัดหนัง , กรรไกรตัดเล็บ , หวีต่างๆ , โรล ฯลฯ &lt;br /&gt;✔︎ ทำจากแก้วอย่างหนา มีฝาปิดเป็นสแตนเลส &lt;br /&gt;✔︎ การออกแบบให้ใช้งานง่ายไม่ยุ่งยาก ด้านล่างโถมียางกันลื่น&lt;/p&gt;</t>
  </si>
  <si>
    <t>BARBER BRAIN แปรงปัดเศษผมและแปรงไล่เฟดบาร์เบอร์ เบรน ขนสีดำ ขนาดเล็ก (VLY-2004)</t>
  </si>
  <si>
    <t xml:space="preserve">&lt;p&gt;แปรงปัดเศษผมและแปรงไล่เฟดบาร์เบอร์ เบรน ขนสีดำ ขนเล็ก (VLY-2004)&lt;br /&gt;ขนาดกว้าง 2.5 ซม. สูง 14.3 ซม.&lt;/p&gt;
 &lt;p&gt;✔︎ แปรงปัดเศษผมขนาดเล็ก &lt;br /&gt;✔︎ ขนสีดำ ขนทำจากไนล่อน &lt;br /&gt;✔︎ แปรงผมนุ่มและยืดหยุ่นไม่เปลี่ยนรูปง่าย&lt;br /&gt;✔︎ ไม่เป็นอันตรายต่อผิวหนัง ด้ามเล็กพกพาง่าย สะดวก&lt;/p&gt;
 &lt;p&gt;*เหมาะสำหรับร้านบาร์เบอร์และซาลอน&lt;/p&gt;</t>
  </si>
  <si>
    <t>BB-PH-A16025</t>
  </si>
  <si>
    <t>BARBER BRAIN กระบอกฉีดน้ำบาร์เบอร์เบรน 490ml. รุ่น BB-PH-A16025</t>
  </si>
  <si>
    <t xml:space="preserve">&lt;p&gt;ขนาด:&lt;/p&gt;
 &lt;p&gt;กว้าง 8 ซม. ยาว 25ซม.&lt;/p&gt;
 &lt;p&gt;&amp;nbsp;&lt;/p&gt;
 &lt;p&gt;คุณสมบัติ:&lt;/p&gt;
 &lt;p&gt;✔︎ กระบอกฉีดน้ำ หัวฟ้อกกี้ ดีไซส์สวย&lt;/p&gt;
 &lt;p&gt;✔︎ วัสดุทำจากพลาสติกชั้นดี มีคุณภาพ&lt;/p&gt;
 &lt;p&gt;✔︎ สามารถประยุกต์ใช้ได้หลากหลาย ไม่ว่าจะใช้ในบ้าน ในร้านบาร์เบอร์ ร้านซาลอน&lt;/p&gt;
 &lt;p&gt;✔︎ สะดวกสบาย ใช้งานง่าย&lt;/p&gt;
 &lt;p&gt;✔︎ บรรจุได้ถึง 490 ml.&lt;/p&gt;</t>
  </si>
  <si>
    <t>K-078</t>
  </si>
  <si>
    <t>ผ้าคลุมซอย ลายดอกไม้ L'ANGEL รุ่น K-078</t>
  </si>
  <si>
    <t xml:space="preserve">&lt;p&gt;ผ้าคลุมซอยลายแอลแองเจล&lt;/p&gt;
 &lt;p&gt;ขนาด : &lt;br /&gt;กว้าง148 ซม สูง 163ซม.&lt;/p&gt;
 &lt;p&gt;ผลิตจากวัสดุ : &lt;br /&gt;ผ้าเคลือบสาร "ฮายโดรโพรบิค" หรือ "สารน้ำกลิ้ง" &lt;br /&gt;กันน้ำได้ 100% &lt;br /&gt;เนื้อสัมผัสหยาบนิดหน่อย ทำความสะอาดง่าย&lt;/p&gt;
 &lt;p&gt;คุณสมบัติ: &lt;br /&gt;✔︎ ผ้าคลุมซอยสำหรับซาลอน &lt;br /&gt;✔︎ สกรีนโลโก้ L'ANGEL ตกแต่วด้วยลายดอกไม้ &lt;br /&gt;✔︎ ยืนยันราคาถูกที่สุด &lt;br /&gt;✔︎ ของแท้ 100% &lt;br /&gt;✔︎ วัสดุใช้เนื้อผ้าระบายความร้อนได้ดี &lt;br /&gt;✔︎ สามารถปรับสายได้&lt;br /&gt;✔︎ด้านหลังเป็นตะขอเกี่ยวสามารถปรับระดับได้&lt;/p&gt;</t>
  </si>
  <si>
    <t>ผ้าคลุมซอยลายดอกไม้ รุ่น VAL-K074</t>
  </si>
  <si>
    <t xml:space="preserve">&lt;p&gt;ผ้าคลุมซอย ลายดอกไม้ขนาด 140 x 157ซม. &lt;br /&gt; ด้านหลังเป็นตะขอเกี่ยวสามารถปรับระดับได้&lt;/p&gt;
 &lt;p&gt;ผลิดจากวัสดุ: &lt;br /&gt;ผ้าเคลือบสาร "ฮายโดรโพรบิค" หรือ "สารน้ำกลิ้ง" &lt;br /&gt;กันน้ำได้ 100% &lt;br /&gt;เนื้อสัมผัสหยาบนิดหน่อย ทำความสะอาดง่าย&lt;/p&gt;
 &lt;p&gt;คุณสมบัติ: &lt;br /&gt;ผ้าคลุมซอยสำหรับบาร์เบอร์และซาลอน ลายดอกไม้ &lt;br /&gt;✔︎ ยืนยันราคาถูกที่สุด &lt;br /&gt;✔︎ ของแท้ 100% &lt;br /&gt;✔︎ วัสดุใช้เนื้อผ้าระบายความร้อนได้ดี &lt;br /&gt;✔︎ สามารถปรับสายได้&lt;/p&gt;</t>
  </si>
  <si>
    <t>VALENTE ตัวกระจายลมไดร์เป่าผม รุ่น VAL-038</t>
  </si>
  <si>
    <t xml:space="preserve">&lt;p&gt;วาเลนเต้ ตัวกระจายลมไดร์เป่าผม สามารถใส่ได้กับไดร์ที่มีปากไดร์ขนาดประมาน 4.5 cm. &lt;br /&gt;หรือสามารถใช้ได้กับไดร์ทุกรุ่น&lt;/p&gt;
 &lt;p&gt;คุณสมบัติ: &lt;br /&gt; ✔︎ สำหรับเป่าผมลอน หรือ ผมดัด&lt;br /&gt; ✔︎ ให้ลอนสวย ไม่แตกกระจาย&lt;br /&gt; ✔︎ใช้งานได้สะดวก&lt;br /&gt; ✔︎แข็งแรง ทนทาน&lt;br /&gt; ✔︎ ช่วยกระจายลมให้ทั่วศรีษะ &lt;br /&gt; ✔︎ ช่วยให้ผมแห้งเร็ว &lt;br /&gt; ✔︎ หรือสามารถใช้ได้กับไดร์ทุกรุ่น&lt;/p&gt;</t>
  </si>
  <si>
    <t>อุปกรณ์เสริม</t>
  </si>
  <si>
    <t>ตัวกระจายลมไดร์เป่าผม (A-040)</t>
  </si>
  <si>
    <t xml:space="preserve">&lt;p&gt;ผลิตภัณฑ์ฟองสีผม&lt;br /&gt;L'ANGEL LUXURY ANGELIC HAIR BLEACHING POWDER&lt;/p&gt;
 &lt;p&gt;คณสมบัติ: &lt;br /&gt;✔︎ สามารถใช้ได้ทุกสภาพเส้นผม &lt;br /&gt;✔︎ ให้ผลการฟอกที่เร็ว ล้างออกง่าย&lt;br /&gt;✔︎ ผงฟอกสีผมกลิ่นไม่เหม็นฉุน เห็นผลไว &lt;br /&gt;✔︎ เหมาะสำหรับทุกสภาพผิว&lt;/p&gt;</t>
  </si>
  <si>
    <t>L'ANGEL iCOLOR แอล แองเจล ไอคัลเลอร์ ไวโอเล็ต (เบอร์ 2) สีม่วง ANG-082</t>
  </si>
  <si>
    <t>&lt;p&gt;รายละเอียดสินค้า &lt;br /&gt; L'ANGEL LUXURY iCOLOR &lt;br /&gt; แอล แองเจล ไอคัลเลอร์ ไวโอเล็ต (เบอร์ 2) สีม่วง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</si>
  <si>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Semi- Permanent color (สีกี่งถาวร)</t>
  </si>
  <si>
    <t>ANG-083</t>
  </si>
  <si>
    <t>L'ANGEL iCOLOR แอล แองเจล ไอคัลเลอร์ สกายบลู (เบอร์ 3) ANG-083</t>
  </si>
  <si>
    <t>&lt;p&gt;รายละเอียดสินค้า &lt;br /&gt; L'ANGEL LUXURY iCOLOR &lt;br /&gt; แอล แองเจล ไอคัลเลอร์ สกายบลู (เบอร์ 3)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</si>
  <si>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แอล แองเจล ไอคัลเลอร์ แลพิส (เบอร์ 4) น้ำเงิน ANG-084</t>
  </si>
  <si>
    <t>&lt;p&gt;รายละเอียดสินค้า &lt;br /&gt; L'ANGEL LUXURY iCOLOR &lt;br /&gt; แอล แองเจล ไอคัลเลอร์ แลพิส (เบอร์ 4) น้ำเงิน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</si>
  <si>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แอล แองเจล ไอคัลเลอร์ แชมรอท (เบอร์ 5) สีเขียว ANG-085</t>
  </si>
  <si>
    <t>&lt;p&gt;รายละเอียดสินค้า &lt;br /&gt; L'ANGEL LUXURY iCOLOR &lt;br /&gt; แอล แองเจล ไอคัลเลอร์ แชมรอท (เบอร์ 5) สีเขียว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</si>
  <si>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แองเจล ไอคัลเลอร์ ฟิวเซีย (เบอร์ 6) สีชมพู ANG-086</t>
  </si>
  <si>
    <t>&lt;p&gt;รายละเอียดสินค้า &lt;br /&gt; L'ANGEL LUXURY iCOLOR&lt;br /&gt; แอล แองเจล ไอคัลเลอร์ ฟิวเซีย (เบอร์ 6) สีชมพู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</si>
  <si>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ANG-087</t>
  </si>
  <si>
    <t>L'ANGEL iCOLOR แอล แองเจล ไอคัลเลอร์ มะเจนทะ (เบอร์ 7) สีบานเย็น ANG-087</t>
  </si>
  <si>
    <t>&lt;p&gt;รายละเอียดสินค้า &lt;br /&gt; L'ANGEL LUXURY iCOLOR &lt;br /&gt; แอล แองเจล ไอคัลเลอร์ มะเจนทะ (เบอร์ 7) สีบานเย็น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</si>
  <si>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แอล แองเจล ไอคัลเลอร์ คริมซันเรด (เบอร์ 8) สีแดง ANG-088</t>
  </si>
  <si>
    <t>&lt;p&gt;รายละเอียดสินค้า &lt;br /&gt; L'ANGEL LUXURY iCOLOR &lt;br /&gt; แอล แองเจล ไอคัลเลอร์ คริมซันเรด (เบอร์ 8) สีแดง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แม้เลอะเสื้อผ้าก็ล้างออกง่ายไม่เหมือนกับสีแว๊กซ์เลอะเสื้อผ้า&lt;/p&gt;</t>
  </si>
  <si>
    <t>L'ANGEL iCOLOR แอล แองเจล ไอคัลเลอร์ รูบี (เบอร์ 9) สีแดงเข้ม ANG-089</t>
  </si>
  <si>
    <t>&lt;p&gt;รายละเอียดสินค้า &lt;br /&gt; L'ANGEL LUXURY iCOLOR &lt;br /&gt; แอล แองเจล ไอคัลเลอร์ รูบี (เบอร์ 9) สีแดงเข้ม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</si>
  <si>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แอล แองเจล ไอคัลเลอร์ ไดรูท (เบอร์ 10) สีขาว ANG-090</t>
  </si>
  <si>
    <t>&lt;p&gt;รายละเอียดสินค้า &lt;br /&gt; L'ANGEL LUXURY iCOLOR &lt;br /&gt; แอล แองเจล ไอคัลเลอร์ ไดรูท (เบอร์ 10) สีขาว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</si>
  <si>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L'ANGEL iCOLOR แอล แองเจล ไอคัลเลอร์ แทงเจอรีน (เบอร์ 11) สีส้ม ANG-091</t>
  </si>
  <si>
    <t>&lt;p&gt;รายละเอียดสินค้า &lt;br /&gt; L'ANGEL LUXURY iCOLOR &lt;br /&gt; แอล แองเจล ไอคัลเลอร์ แทงเจอรีน (เบอร์ 11) สีส้ม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</si>
  <si>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ANG-092</t>
  </si>
  <si>
    <t>L'ANGEL iCOLOR แอล แองเจล ไอคัลเลอร์ บัมเบิลบี (เบอร์ 12) สีเหลือง ANG-092</t>
  </si>
  <si>
    <t xml:space="preserve">&lt;p&gt;&lt;br /&gt;รายละเอียดสินค้า &lt;br /&gt; L'ANGEL LUXURY iCOLOR &lt;br /&gt; แอล แองเจล ไอคัลเลอร์ บัมเบิลบี (เบอร์ 12) สีเหลือง ปริมาณ 100 ml.&lt;br /&gt; สร้างสีสรรค์สีผมให้หลากหลาย ไร้ขีดจำกัด ไม่ทำให้ผมแห้งเสียเป็นผลิตภัณฑ์เปลี่ยนสีผมกึ่งถาวร&lt;/p&gt;
 &lt;p&gt;คุณสมบัติ: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</si>
  <si>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ANG-093</t>
  </si>
  <si>
    <t>L'ANGEL iCOLOR แอล แองเจล ไอคัลเลอร์ เกรย์ (เบอร์ 13) สีเทา ANG-093</t>
  </si>
  <si>
    <t>&lt;p&gt;รายละเอียดสินค้า &lt;br /&gt; L'ANGEL LUXURY iCOLOR &lt;br /&gt; แอล แองเจล ไอคัลเลอร์ เกรย์ (เบอร์ 13) สีเทา ปริมาณ 100 ml.&lt;br /&gt; สร้างสีสรรค์สีผมให้หลากหลาย ไร้ขีดจำกัด ไม่ทำให้ผมแห้งเสียเป็นผลิตภัณฑ์เปลี่ยนสีผมกึ่งถาวร &lt;br /&gt; &lt;br /&gt;คุณสมบัติ: &lt;br /&gt;✔︎ ใช้ง่าย ไม่ต้องผสมสีและไม่ต้องผสมไฮโดรเยน &lt;br /&gt;✔︎ สีอยู่ได้นานถึง 4 สัปดาห์ &lt;br /&gt;✔︎ เมื่อต้องการเปลี่ยนสี ไม่ต้องกังวลเรื่องล้างสีเดิมออกเพราะสีไอคัลเลอร์สามารถล้างออกง่าย &lt;br /&gt;✔︎ แม้เลอะเสื้อผ้าก็ล้างออกง่ายไม่เหมือนกับสีแว๊กซ์เลอะเสื้อผ้า &lt;br /&gt; (เม็ดสีของแว๊กจะฝั่งลึกเข้าเส้นผมไม่สามารถล้างออกได้)&lt;/p&gt;</t>
  </si>
  <si>
    <t xml:space="preserve">&lt;p&gt;L'ANGEL แอลแองเจล ชุดครีมยืดผมถาวร สูตรชาเขียว&lt;/p&gt;
 &lt;p&gt;มีเบอร์ A และ B ปริมาณ 600 มล.x2&lt;/p&gt;
 &lt;p&gt;&amp;nbsp;&lt;/p&gt;
 &lt;p&gt;คุณสมบัติ:&lt;/p&gt;
 &lt;p&gt;&amp;nbsp; &amp;nbsp; &amp;nbsp; &amp;nbsp; &amp;nbsp; &amp;nbsp; &amp;nbsp; &amp;nbsp; &amp;nbsp; &amp;nbsp;น้ำยายืดสูตรชาเขียว กลิ่นอ่อนโยนไม่ฉุน ยืดผมได้ตรง มีน้ำหนักอย่างเป็นธรรมชาติบวกกับสารสกัดจากชาเขียวที่มีส่วนช่วยให้เส้นผมมีความเงางามมากยิ่งขึ้น เหมาะสำหรับผมแข็งแรง เหมาะสำหรับผมไม่เคยผ่านการทำเคมี ผมหยิก หยักศก ผมเส้นใหญ่&lt;/p&gt;
 &lt;p&gt;&amp;nbsp;&lt;/p&gt;
 &lt;p&gt;วิธีใช้:&lt;/p&gt;
 &lt;p&gt;1.สระผมให้สระอาด&lt;/p&gt;
 &lt;p&gt;2.แบ่งเส้นผมออกเป็นช่อๆ&lt;/p&gt;
 &lt;p&gt;3.ชโลมน้ำยายืด A ให้ทั่วทุกช่อ ทิ้วไว้ประมาณ 15-20 นาที จากนั้นล้างอออกด้วยน้ำเปล่า&lt;/p&gt;
 &lt;p&gt;4.เป่าผมให้แห้งแล้งจึงทำการยืดผมตามต้องการ&lt;/p&gt;
 &lt;p&gt;5.แบ่งผมออกเป็นช่อๆ เพื่อเตรียมการโกรก&lt;/p&gt;
 &lt;p&gt;6.ชโลมน้ำยาโกรก B ให้ทั่วทุกช่อ ทิ้งไว้ประมาณ 20 นาที&lt;/p&gt;
 &lt;p&gt;7.ล้างน้ำยาโกรก B ออกด้วยน้ำเปล่า&lt;/p&gt;</t>
  </si>
  <si>
    <t>Straightening (ชุดครีมยืด)</t>
  </si>
  <si>
    <t xml:space="preserve">&lt;p&gt;L'ANGEL แอลแองเจล ชุดครีมยืดผมถาวร สูตรอโรม่า&lt;/p&gt;
 &lt;p&gt;ภายในกล่องมาตัว A ปริมาน 600ML.และ B ปริมาน 600ML.&lt;/p&gt;
 &lt;p&gt;&amp;nbsp;&lt;/p&gt;
 &lt;p&gt;คุณสมบัติ:&lt;/p&gt;
 &lt;p&gt;&amp;nbsp; &amp;nbsp; &amp;nbsp; &amp;nbsp; &amp;nbsp;น้ำยายืดสูตรอโรม่า เหมาะสำหรับสภาพเส้นผมที่ผ่านการทำเคมีมาก่อน กลิ่นอ่อนโยน ไม่ฉุน ให้ผมตรง เงางาม มีน้ำหนักอย่างเป็นธรรมขาติ&lt;/p&gt;
 &lt;p&gt;&amp;nbsp;&lt;/p&gt;
 &lt;p&gt;วิธีใช้:&lt;/p&gt;
 &lt;p&gt;1.สระผมให้สระอาด&lt;/p&gt;
 &lt;p&gt;2.แบ่งเส้นผมออกเป็นช่อๆ&lt;/p&gt;
 &lt;p&gt;3.ชโลมน้ำยายืด A ให้ทั่วทุกช่อ ทิ้วไว้ประมาณ 15-20 นาที จากนั้นล้างอออกด้วยน้ำเปล่า&lt;/p&gt;
 &lt;p&gt;4.เป่าผมให้แห้งแล้งจึงทำการยืดผมตามต้องการ&lt;/p&gt;
 &lt;p&gt;5.แบ่งผมออกเป็นช่อๆ เพื่อเตรียมการโกรก&lt;/p&gt;
 &lt;p&gt;6.ชโลมน้ำยาโกรก B ให้ทั่วทุกช่อ ทิ้งไว้ประมาณ 20 นาที&lt;/p&gt;
 &lt;p&gt;7.ล้างน้ำยาโกรก B ออกด้วยน้ำเปล่า&lt;/p&gt;</t>
  </si>
  <si>
    <t>ANG-405</t>
  </si>
  <si>
    <t>Silky Serum แอลแองเจล ลัคซ์ชูรีย์ ซิลค์กี้ เซรั่ม ANG-405</t>
  </si>
  <si>
    <t xml:space="preserve">&lt;p&gt;ซิลกี้เซรั่ม&amp;nbsp;ปริมาณ 60 มล.&lt;/p&gt;
 &lt;p&gt;&amp;nbsp;&lt;/p&gt;
 &lt;p&gt;คุณสมบัติ :&lt;/p&gt;
 &lt;ol&gt;
 &lt;li&gt;ช่วยฟื้นฟูเส้นผมที่แห้งเสียจากการทำเคมี&lt;/li&gt;
 &lt;li&gt;ป้องกันรังสี UV ให้เส้นผม&amp;nbsp;&lt;/li&gt;
 &lt;/ol&gt;</t>
  </si>
  <si>
    <t xml:space="preserve">&lt;p&gt;L'ANGEL Perfect Keratin เพอร์เฟ็ค เคราติน เพอร์เฟ็ค เคราติน 258ml.x2 กล่องขาว&lt;/p&gt;
 &lt;p&gt;&amp;nbsp;&lt;/p&gt;
 &lt;p&gt;คุณสมบัติ:&lt;/p&gt;
 &lt;p&gt;&amp;nbsp; &amp;nbsp; &amp;nbsp; &amp;nbsp; &amp;nbsp; &amp;nbsp; แอลแองเจล แชมพูและครีมนวดผมเคราติน บำรุง แชมพูและคอนดิชันเนอร์ บำรุงเส้นผมหลัง การทำเคราตินทรีทเมนต์หรือน้ำยาเคมีต่างๆ ให้เส้นผมอ่อนนุ่ม เงางาม มีน้ำหนัก เส้นผมตรง เรียบลื่น หวีง่ายไม่พันกัน&lt;/p&gt;
 &lt;p&gt;&amp;nbsp;&lt;/p&gt;
 &lt;p&gt;วิธีการใช้:&lt;/p&gt;
 &lt;p&gt;&amp;nbsp; &amp;nbsp; &amp;nbsp; &amp;nbsp; &amp;nbsp; &amp;nbsp;&amp;nbsp;ใช้สมูธเดลี่แชมพู (3) สระผมแล้วล้างออก จากนั้นใช้คอนดิชั่นเนอร์ (4) นวดบำรุงให้ทั่วศรีษะ ทิ้งไว้ 5-10 นาที แล้วล้างออกให้สะอาด&lt;/p&gt;
 &lt;p&gt;&amp;nbsp;&lt;/p&gt;
 &lt;p&gt;*ควรใช้เป็นประจำอย่างต่อเนื่องเพื่อช่วยรักษาผลของการทำเคราตินทรีทเม้นท์ให้ยาวนานยิ่งขึ้น&lt;/p&gt;
 &lt;p&gt;*เหมาะสำหรับร้านซาลอน*&lt;/p&gt;</t>
  </si>
  <si>
    <t>หวีกระดูก รุ่น (CH-1200)</t>
  </si>
  <si>
    <t xml:space="preserve">&lt;p&gt;คุณสมบัติ:&lt;/p&gt;
 &lt;p&gt;✔︎ หวีกระดูกทำให้ผมดูหนาขึ้น&lt;/p&gt;
 &lt;p&gt;✔︎ ขนแปรงแบบด้านหลังโปร่งมีซี่ห่างกัน&lt;/p&gt;
 &lt;p&gt;✔︎ ด้านหลังจะคล้ายกับกระดูกสันหลังของคนเรา&lt;/p&gt;
 &lt;p&gt;✔︎ แปรงชนิดนี้จะใช้เมื่อตอนที่คุณกำลังใช้ไดร์เป่าผม&lt;/p&gt;
 &lt;p&gt;✔︎ ความร้อนจะไล่ผ่านอย่างสะดวก&lt;/p&gt;
 &lt;p&gt;✔︎ จะทำให้ผมดูหนาและดำขึ้นอีกด้วย&lt;/p&gt;
 &lt;p&gt;✔︎ ช่วยดูดความร้อนจากการเป่าผมทำให้ผมแห้งเร็วอีกด้วย&lt;/p&gt;</t>
  </si>
  <si>
    <t>CTP-002</t>
  </si>
  <si>
    <t>CUTTING APRON เอี้ยมช่าง ซาลอน รุ่น CTP-002</t>
  </si>
  <si>
    <t xml:space="preserve">&lt;p&gt;CUTTING APRON เอี้ยมช่าง&lt;/p&gt;
 &lt;p&gt;รุ่น CTP-002&lt;/p&gt;
 &lt;p&gt;&amp;nbsp;&lt;/p&gt;
 &lt;p&gt;คุณสมบัติ:&lt;/p&gt;
 &lt;ul&gt;
 &lt;li&gt;มีช่องใส่กรรไกร ได้ 3ช่อง&lt;/li&gt;
 &lt;li&gt;&amp;nbsp;ด้านหลัง เป็นตีนตุ๊กแก สามารถรับระดับได้&lt;/li&gt;
 &lt;li&gt;มีที่คอ และเอว&lt;/li&gt;
 &lt;li&gt;60*90&lt;/li&gt;
 &lt;/ul&gt;</t>
  </si>
  <si>
    <t>เอี๊ยมช่าง</t>
  </si>
  <si>
    <t>VALENTE ไดร์เป่าผมไฟฟ้า สีดำ 1600w รุ่น HD-002</t>
  </si>
  <si>
    <t xml:space="preserve">&lt;p&gt;&amp;nbsp;&lt;/p&gt;
 &lt;p&gt;คุณสมบัติ:&lt;/p&gt;
 &lt;p&gt;✔︎ วาเลนเต้ ไดร์เป่าผม&lt;/p&gt;
 &lt;p&gt;✔︎ คุณภาพดี ลมร้อนแรง เป่าผมแห้งได้อย่างรวดเร็ว&lt;/p&gt;
 &lt;p&gt;✔︎ ดีไซน์สวย จับถนัดมือ&lt;/p&gt;
 &lt;p&gt;✔︎ แข็งแรงทนทาน เสียงเบา&lt;/p&gt;
 &lt;p&gt;✔︎เลขที่ มอก.1985.2549&lt;/p&gt;
 &lt;p&gt;✔︎ สินค้ารับประกัน 1 ปี&lt;/p&gt;</t>
  </si>
  <si>
    <t>ไดร์เป่าผม</t>
  </si>
  <si>
    <t>VALENTE ไดร์เป่าผมไฟฟ้า 2000W รุ่น HD-003</t>
  </si>
  <si>
    <t xml:space="preserve">&lt;p&gt;รายละเอียดสินค้า&lt;/p&gt;
 &lt;ul&gt;
 &lt;li&gt;เเรงดันไฟฟ้า&lt;/li&gt;
 &lt;li&gt;&amp;nbsp;220-240V&lt;/li&gt;
 &lt;li&gt;ไฟฟ้ากระเเสสลับ 50/60Hz&lt;/li&gt;
 &lt;li&gt;กำลังไฟ 2000 W&lt;/li&gt;
 &lt;li&gt;ปลั๊กใหญ่แบบ Safty สายไฟยาวมาตราฐาน 2.5 เมตร&lt;/li&gt;
 &lt;/ul&gt;
 &lt;p&gt;&amp;nbsp;&lt;/p&gt;
 &lt;p&gt;คุณสมบัติ:&lt;/p&gt;
 &lt;p&gt;✔︎ วัสดุดีมีคุณภาพ แข็งแรงทนทาน&lt;/p&gt;
 &lt;p&gt;✔︎ ร้อนเร้ว / แห้งไว ไม่ทำให้ผมเสียแห้งกรอบ&lt;/p&gt;
 &lt;p&gt;✔︎ รุ่นยอดนิยม ร้านซาลอนเลือกใช้ ดีไซดืหรูหราน่าใช้&lt;/p&gt;
 &lt;p&gt;✔︎ สามารถเป่าได้ทั้งลมร้อนและลมเย็น&lt;/p&gt;
 &lt;p&gt;✔︎ เลขที่ มอก.1985.2549&lt;/p&gt;
 &lt;p&gt;✔︎ สินค้ารับประกัน 1 ปี&lt;/p&gt;</t>
  </si>
  <si>
    <t>HD-009</t>
  </si>
  <si>
    <t>VALENTE ไดร์เป่าผมไฟฟ้า วาเลนเต้ รุ่น HD-009</t>
  </si>
  <si>
    <t xml:space="preserve">&lt;p&gt;คุณสมบัติ:&lt;/p&gt;
 &lt;p&gt;✔︎ วัสดุดีมีคุณภาพ แข็งแรงทนทาน&lt;/p&gt;
 &lt;p&gt;✔︎ ร้อนเร้ว / แห้งไว ไม่ทำให้ผมเสียแห้งกรอบ&lt;/p&gt;
 &lt;p&gt;✔︎ หัวเป่าสามารถปรับทิศทางการออกของลมหรือสามารถหวีโดยตรงขณะจัดแต่งทรงผม&lt;/p&gt;
 &lt;p&gt;✔︎ สามารถเป่าได้ทั้งลมร้อนและลมเย็น&lt;/p&gt;
 &lt;p&gt;✔︎ รุ่นยอดนิยม ร้านซาลอนเลือกใช้ ดีไซดืหรูหราน่าใช้&lt;/p&gt;
 &lt;p&gt;✔︎ ในการประกอบหัวเป่าปรับทิศทางลม เพียงสวมเข้ากับตัวเครื่อง&lt;/p&gt;
 &lt;p&gt;✔︎ ในการถอดหัวเป่าปรับทิศทางลมอก ให้ดึงหัวเป่าออกจากตัวเครื่องในเเนวตรงลมเย็นลมร้อน&lt;/p&gt;
 &lt;p&gt;✔︎&amp;nbsp; เลขที่ มอก.1985.2549&lt;/p&gt;
 &lt;p&gt;✔︎ สินค้ารับประกัน 1 ปี&lt;/p&gt;</t>
  </si>
  <si>
    <t>VALENTE เครื่องหนีบผมไฟฟ้า 2in1 หนีบตรง หรือม้วนผม รุ่น The Classic Black HF-001</t>
  </si>
  <si>
    <t xml:space="preserve">&lt;p&gt;คุณสมบัติ:&lt;/p&gt;
 &lt;p&gt;✔︎ แผ่นเซรามิคชั้นดี ที่กระจายความร้อนได้ทั่วถึง&lt;/p&gt;
 &lt;p&gt;✔︎ ปรับระดับความร้อน ได้ถึง 5 ระดับ&lt;/p&gt;
 &lt;p&gt;✔︎ พร้อมใช้งานภายใน 60 วินาที&lt;/p&gt;
 &lt;p&gt;✔︎ สายไฟหมุนได้ 360 องศา ป้องกันสายพันกัน&lt;/p&gt;
 &lt;p&gt;✔︎ สายไฟยาวถึง 2 เมตร เพื่อความ คล่องตัวสูงสุดในการใช้งาน&lt;/p&gt;
 &lt;p&gt;✔︎&amp;nbsp; เลขที่ มอก.1985.2549&lt;/p&gt;
 &lt;p&gt;✔︎ รับประกัน 1 ปี&lt;/p&gt;</t>
  </si>
  <si>
    <t>เครื่องม้วนผม</t>
  </si>
  <si>
    <t>VALENTE Absolut Hot 2in1 เครื่องม้วนผม+หนีบผมไฟฟ้า วาเลนเต้ รุ่น HF-002 ( สีทอง )</t>
  </si>
  <si>
    <t xml:space="preserve">&lt;p&gt;VALENTE Absolut Hot 2in1&lt;/p&gt;
 &lt;p&gt;เครื่องม้วนผม+หนีบผมไฟฟ้า วาเลนเต้ HF-002 สีทอง&lt;/p&gt;
 &lt;p&gt;&amp;nbsp;&lt;/p&gt;
 &lt;p&gt;คุณสมบัติ&lt;/p&gt;
 &lt;p&gt;✔︎ ร้อนเร็ว ใช้งานง่าย&lt;/p&gt;
 &lt;p&gt;✔︎ ปรับอุณภูมิได้&lt;/p&gt;
 &lt;p&gt;✔︎ รีดผมตรง และ ม้วนลอนโค้ง ได้ในเครื่องเดียว&lt;/p&gt;
 &lt;p&gt;✔︎ สีสันสวยงาม แฟชั่น อินเทรนด์&lt;/p&gt;
 &lt;p&gt;&lt;strong&gt;✔︎&amp;nbsp;&lt;/strong&gt;เลขที่ มอก.1985.2549.&lt;/p&gt;
 &lt;p&gt;✔︎ รับประกัน 1 ปี&lt;/p&gt;</t>
  </si>
  <si>
    <t>HF-007</t>
  </si>
  <si>
    <t>VALENTE เครื่องหนีบผมไฟฟ้า รุ่น The Classic Black HF-007</t>
  </si>
  <si>
    <t xml:space="preserve">&lt;p&gt;VALENTE เครื่องหนีบผมไฟฟ้า วาเลนเต้&lt;/p&gt;
 &lt;p&gt;รุ่น The Classic Black HF-007&amp;nbsp; ใช้สำหรับหนีบผมตรง&lt;/p&gt;
 &lt;p&gt;&amp;nbsp;&lt;/p&gt;
 &lt;p&gt;คุณสมบัติ&lt;/p&gt;
 &lt;p&gt;✔︎ ทำความร้อนได้เร็ว ภายใน 10 วินาที&lt;/p&gt;
 &lt;p&gt;✔︎ หนีบผมได้ตรงสวย เงางาม&lt;/p&gt;
 &lt;p&gt;✔︎ ดูเป็นธรรมชาติ&lt;/p&gt;
 &lt;p&gt;✔︎ จับถนัดมือ น้ำหนักเบา&lt;/p&gt;
 &lt;p&gt;✔︎ ปรับอุณหภูมิ ได้ หลายระดับ ตามต้องการ&lt;/p&gt;
 &lt;p&gt;✔︎&amp;nbsp; เลขที่ มอก.1985.2549&lt;/p&gt;
 &lt;p&gt;✔︎ รับประกัน 1 ปี&lt;/p&gt;</t>
  </si>
  <si>
    <t>เครื่องหนีบผม</t>
  </si>
  <si>
    <t>บริษัท คอสมิกซ์ ซัพพลาย จำกัด</t>
  </si>
  <si>
    <t>หมวกทำไฮไลท์ รุ่น HS-00339</t>
  </si>
  <si>
    <t xml:space="preserve">&lt;p&gt;หมวกทำไฮไลท์ ขนาดยาว 27 ซม.&lt;br /&gt;หมวกสำหรับทำสีไฮไลท์&lt;/p&gt;
 &lt;p&gt;คุณสมบัติ:&lt;/p&gt;
 &lt;p&gt;✔︎ วัสดุทำจากพลาสติก คงทน ไม่บาง &lt;br /&gt;✔︎ เพิ่มประสิทธิภาพการทำไฮไลท์ &lt;br /&gt;✔︎ ปลอดภัยต่อหนังศรีษะ&lt;/p&gt;</t>
  </si>
  <si>
    <t>OY-836</t>
  </si>
  <si>
    <t>แปรงขัดส้นเท้า สีแดง สปาเท้า (OY-836)</t>
  </si>
  <si>
    <t xml:space="preserve">&lt;p&gt;แปรงขัดส้นเท้า (OY-836)&lt;br /&gt;ตะไบขัดส้นเท้า ขนาดกว้าง 6 ซม. ยาว 26 ซม&lt;/p&gt;
 &lt;p&gt;คุณสมบัติ:&lt;br /&gt;✔︎ ตะไบขัดส้นเท้า &lt;br /&gt;✔︎ ที่ขัดส้นเท้า &lt;br /&gt;✔︎ ขจัดร่องส้นเท้าแตก&lt;br /&gt;✔︎ ขัดเซลล์ผิวที่ตายแล้ว&lt;br /&gt;✔︎ สามารถใช้ในการทำสปา&lt;/p&gt;</t>
  </si>
  <si>
    <t>Pedicure Foot (ที่ขูดส้นเท้า)</t>
  </si>
  <si>
    <t>OY-862</t>
  </si>
  <si>
    <t>กรรไกรตัดหนัง ขนาด 10 ซม. รุ่น OY-862</t>
  </si>
  <si>
    <t xml:space="preserve">&lt;p&gt;คุณสมบัติ:&lt;/p&gt;
 &lt;p&gt;✔︎ กรรไกรตัดหนัง &lt;br /&gt;✔︎ ใช้ตัดหนังได้ทั้งมือและเท้า &lt;br /&gt;✔︎ กรรไกรคมมาก คุณภาพดี&lt;/p&gt;</t>
  </si>
  <si>
    <t>Nail Clippers (กรรไกรและตะไบ)</t>
  </si>
  <si>
    <t>OY-923</t>
  </si>
  <si>
    <t>VALENTE หมอนรองมือลายเสือดาว รุ่น OY-923</t>
  </si>
  <si>
    <t xml:space="preserve">&lt;p&gt;หมอนรองมือลายเสือดาว&lt;/p&gt;
 &lt;p&gt;คุณสมบัติ: &lt;br /&gt; - ขนาดพกพาง่าย สะดวก &lt;br /&gt; - สามารถใส่กระเป๋าได้ สบายๆ&lt;br /&gt; - น้ำหนักเบา&lt;br /&gt; - สามารถ ซัก ทำความสะอาดได้อีกด้วย&lt;/p&gt;
 &lt;p&gt;วิธีใช้: ใช้สำหรับการทำเล็บหรือการทำสปามือ&lt;/p&gt;</t>
  </si>
  <si>
    <t>OY-934-1</t>
  </si>
  <si>
    <t>NAIL EQUIPMNT ตะไบหยาบแบบหนา ทรงหม่น รุ่น OY-934/1</t>
  </si>
  <si>
    <t xml:space="preserve">&lt;p&gt;ตะไบแบบหนา ทรงหม่น&lt;br /&gt;ขนาด กว้าง 2 ซม. ยาว 14 ซม.&lt;/p&gt;
 &lt;p&gt;วิธีใช้: &lt;br /&gt;✔︎ ตะไบแบบหนา หม่น &lt;br /&gt;✔︎ใช้สำหรับจัดแต่งหรือเก็บงานของทรงเล็บ &lt;br /&gt;✔︎สามารถตะไบทรงหลังต่อเล็บเจลหรือต่ออะคลิลิค &lt;br /&gt;✔︎ ใช้ตะไบเตรียมหน้าเล็บเพื่อทาสีเจล&lt;/p&gt;</t>
  </si>
  <si>
    <t>OY-956</t>
  </si>
  <si>
    <t>ตะไบขัดส้นเท้า (OY-956)</t>
  </si>
  <si>
    <t xml:space="preserve">&lt;p&gt;ตะไบขัดส้นเท้า (OY-956)&lt;/p&gt;
 &lt;p&gt;คุณสมบัติ:&lt;br /&gt;✔︎ ตะไบขัดส้นเท้า &lt;br /&gt;✔︎ ที่ขัดส้นเท้า &lt;br /&gt;✔︎ ขจัดร่องส้นเท้าแตก&lt;br /&gt;✔︎ ขัดเซลล์ผิวที่ตายแล้ว&lt;br /&gt;✔︎ สามารถใช้ในการทำสปา&lt;/p&gt;</t>
  </si>
  <si>
    <t>OY-980</t>
  </si>
  <si>
    <t>ขวดใส่ยาล้างเล็บ โทนเนอร์ ล้างเครื่องสำอาง OY-980</t>
  </si>
  <si>
    <t xml:space="preserve">&lt;p&gt;คุณสมบัติ:&lt;br /&gt;✔︎ สามารถบรรจุได้ 150-200 ml.&lt;br /&gt;✔︎ วัสดุทำจากพลาสติกชั้นดี ทนทาน &lt;br /&gt;✔︎ สามารถใส่ได้ทั้งน้ำยาล้างเล็บ น้ำยาถอดเล็บ และคลีนซิ่งเช็ดเครื่องสำอางค์&lt;/p&gt;
 &lt;p&gt;วิธีใช้: &lt;br /&gt; ใช้สำหรับใส้น้ำยาล้างเล็บ น้ำนาถอดเล็บ และคลีนซิ่งเช็ดเครื่องสำอางค์ เพียงแค่ใช้สำลีกดลง&lt;br /&gt;ไปบนฝาปั๊ม น้ำยาก็จะซึมเข้าสำลี ทำให้ง่ายและสะดวกต่อการใช้งาน&lt;/p&gt;</t>
  </si>
  <si>
    <t>OY-A01</t>
  </si>
  <si>
    <t>NAIL EQUIPMENT ตะไบหยาบแบบบางมาก รุ่น OY-A01</t>
  </si>
  <si>
    <t>PK-0554</t>
  </si>
  <si>
    <t>หน้ากากกันสเปรย์ สีใส รุ่น PK-0554</t>
  </si>
  <si>
    <t xml:space="preserve">&lt;p&gt;หน้ากากกันสเปรย์ PK-0554&lt;/p&gt;
 &lt;p&gt;คุณสมบัติ: &lt;br /&gt; &lt;br /&gt;✔︎ หน้ากากสเปรย์ &lt;br /&gt;✔︎ กันละอองสเปรย์ขณะจัดแต่งทรงผม ตัดผม &lt;br /&gt;✔︎ ใช้ได้ทุกรูปแบบ สามารถประยุกต์ใช้ได้ตามวัตถุประสงค์ของลูกค้า&lt;/p&gt;</t>
  </si>
  <si>
    <t>VALENTE หวีหาง รุ่น POM-74539</t>
  </si>
  <si>
    <t xml:space="preserve">&lt;p&gt;หวีหาง รุ่น POM-74539&lt;/p&gt;
 &lt;p&gt;มี 2 สี : สีดำและสีเทา&lt;br /&gt; ขนาดกว้าง 2.5ซม ยาว 21ซม&lt;/p&gt;
 &lt;p&gt;คุณสมบัติ : &lt;br /&gt;✔︎ มีน้ำหนักเบา &lt;br /&gt;✔︎ วัสดุทำจากพลาสติกแข็งแรง ทนทาน&lt;br /&gt;✔︎ หวีรองซอยสามารถใช้แบ่งผม &lt;br /&gt;✔︎ รองผมได้ &lt;br /&gt;✔︎ ขนาดพอดีมือ ใช้งานง่าย ถนัดมือ &lt;br /&gt;✔︎ ส่วนหาง จะช่วยในการจัดแต่งทรงผม การแบ่งผม&lt;/p&gt;</t>
  </si>
  <si>
    <t>หวีหางไฟเบอร์</t>
  </si>
  <si>
    <t>S-2017</t>
  </si>
  <si>
    <t>NAIL EQUIPMENT ที่ขูดส้นเท้า+ใบมีด 5ใบ รุ่น S-2017</t>
  </si>
  <si>
    <t xml:space="preserve">&lt;p&gt;มีดขูดส้นเท้า แถมพร้อมใบมีด 10 ชิ้น &lt;br /&gt;วัสดุ: โลหะ+หลาสติก&lt;br /&gt; &lt;br /&gt;คุณสมบัติ: &lt;br /&gt;✔︎ มีดโกนเท้าสำหรับขูดผิวหนังส้นเท้าที่ตายแล้ว สำหรบผิวแข็ง &lt;br /&gt;✔︎ สามารถเปลี่ยนใบมีดได้ง่าย &lt;br /&gt;✔︎ เก็บรักษาใบมีดให้แห้งนิทเพื่อป้องกันการเกิดสนิมแนะนำให้เปลี่ยนใบมีดทุกครั้งที่ใช้และจัดเก็บ ✔︎ ควรเปลี่ยนใบมีดทุกครั้งที่ใช้&lt;/p&gt;
 &lt;p&gt;วิธีใช้: &lt;br /&gt;ใช้สำหรับการทำเล็บหรือการทำสปามือ&lt;/p&gt;</t>
  </si>
  <si>
    <t>SF-400</t>
  </si>
  <si>
    <t>Weight Scale เครื่องชั่งเคมีภัณฑ์ ดิจิตอล รุ่น SF-400</t>
  </si>
  <si>
    <t xml:space="preserve">&lt;p&gt;ตาชั่งดิจิตอล ขนาดกว้าง 18 ซม. ยาว 25 ซม.&lt;br /&gt; &lt;br /&gt; เครื่องชั่งน้ำหนักดิจิตอล เหมาะสำหรับนำไปใช้เป็นอุปกรณ์ในห้องครัว &lt;br /&gt;ชั่งตวงแป้ง เนย น้ำตาล ไว้ทำขนมเบเกอรี่ เนื้อสัตว์ หรือนำไปชั่งสิ่งของอื่น ๆ &lt;br /&gt;ตามความเหมาะสม&lt;/p&gt;
 &lt;p&gt;คุณสมบัติ :&lt;br /&gt;✔︎ เครื่องชั่งสามารถชั่งของหนักได้สูงสุดถึง 10 กิโลกรัม &lt;br /&gt;✔︎ แสดงผลด้วยหน้าจอLCD และมีแสงไฟสีฟ้า&lt;br /&gt;✔︎ ทำมาจากวัสดุ ABS&lt;br /&gt;✔︎ ใช้ถ่าน AA 2ก้อน&lt;br /&gt;✔︎ หน่วยการวัดของเครื่องชั่งน้ำหนักดิจิตอลแบบกรัม ออนซ์&lt;br /&gt;✔︎ ทศนิยมในการบอกค่าการชั่ง 1 ตำแหน่ง &lt;br /&gt;✔︎ ปิดเครื่องเองอัตโนมัติหากไม่ได้มีการใช้งาน&lt;/p&gt;</t>
  </si>
  <si>
    <t>TK-4</t>
  </si>
  <si>
    <t>VALENTE กรรไกรตัด-ซอย 6&amp;quot; รุ่น TK-4</t>
  </si>
  <si>
    <t xml:space="preserve">&lt;p&gt;VALENTE กรรไกรตัด-ซอย รุ่น TK-4&lt;br /&gt;วัสดุมีคุณภาพ น้ำหนักเบาจับถนัดมือ ใช้สำหรับตัดแต่งทรงผม&lt;br /&gt;เหมาะสำหรับผู้เริ่มต้นใช้งาน เเละช่างมืออาชีพ&lt;/p&gt;
 &lt;p&gt;ใน 1 ชุด ประกอบไปด้วย: &lt;br /&gt;- กรรไกรตัด ขนาด 6 นิ้ว &lt;br /&gt;- กรรไกรซอย ขนาด 6 นิ้ว&lt;/p&gt;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t>
  </si>
  <si>
    <t>VAL-004</t>
  </si>
  <si>
    <t>วาเลนเต้ วิตามินใส่ผม บำรุงผม รุ่น VAL-004</t>
  </si>
  <si>
    <t xml:space="preserve">&lt;p&gt;&lt;br /&gt;คุณสมบัติ:&lt;/p&gt;
 &lt;p&gt;✔︎ รักษาผมแห้งเสีย กรอบ แตกปลาย&lt;br /&gt;✔︎ เพิ่มความเงางามให้กับเส้นผม&lt;br /&gt;✔︎ ลดการชี้ฟูของเส้นผม&lt;/p&gt;
 &lt;p&gt;วิธีใช้:&lt;br /&gt;&amp;nbsp; 1 เม็ดใช้ได้ 1 ครั้ง ไม่ต้องล้างออก มีกลิ่นหอมอ่อน ๆ ใส่วิตามินบำรุงผม ทุกครั้งหลังสระ ยิ่งทำให้ผมนุ่ม &lt;br /&gt;เงางาม กลิ่นหอม ใช้ง่าย ได้ผลจริง พกพาสะดวก ใช้หลังสระผมเช็คผมให้หมาด ใช้วิตามินบำรุงผม ลูบไล้ &lt;br /&gt;เส้นผมให้ทั่ว ไม่ต้องล้างออก&lt;/p&gt;
 &lt;p&gt;***** 1 ห่อ บรรจุ 25 เม็ด *****&lt;/p&gt;</t>
  </si>
  <si>
    <t>VAL-008-16</t>
  </si>
  <si>
    <t>หวีแปรงกลม วาเลนเต้ ด้ามไม้ ขนหมู 16 แถว รุ่น VAL-008</t>
  </si>
  <si>
    <t xml:space="preserve">&lt;p&gt;หวีแปรงกลม วาเลนเต้ รุ่น VAL-008&lt;/p&gt;
 &lt;p&gt;คุณสมบัติ&lt;br /&gt;✔︎ หวีแปรงกลม ไดร์ผมได้แห้งเร็วขึ้น&lt;br /&gt;✔︎ แข็งแรงทนทาน ใช้งานได้นาน&lt;br /&gt;✔︎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เป็นทรงสวยไม่ต้องออกแรงดึงกับผมแห้งที่พันกัน&lt;/p&gt;</t>
  </si>
  <si>
    <t>VAL-008-18</t>
  </si>
  <si>
    <t>หวีแปรงกลม วาเลนเต้ ด้ามไม้ ขนหมู 18 แถว รุ่น VAL-008</t>
  </si>
  <si>
    <t>VAL-008-20</t>
  </si>
  <si>
    <t>หวีแปรงกลม วาเลนเต้ ด้ามไม้ ขนหมู 20 แถว รุ่น VAL-008</t>
  </si>
  <si>
    <t>VAL-008-24</t>
  </si>
  <si>
    <t>หวีแปรงกลม วาเลนเต้ ด้ามไม้ 24 แถวขนหมู รุ่น VAL-008</t>
  </si>
  <si>
    <t xml:space="preserve">&lt;p&gt;คุณสมบัติ&lt;/p&gt;
 &lt;p&gt;✔︎ หวีแปรงกลม ไดร์ผมได้แห้งเร็วขึ้น&lt;br /&gt;✔︎ แข็งแรงทนทาน ใช้งานได้นาน&lt;br /&gt;✔︎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เป็นทรงสวยไม่ต้องออกแรงดึงกับผมแห้งที่พันกัน&lt;/p&gt;</t>
  </si>
  <si>
    <t>แปรงสำหรับทำเคมี 2 ด้าน รหัสสินค้า VAL-1200</t>
  </si>
  <si>
    <t>&lt;p&gt;หวีแปรงสำหรับทำเคมี มี 3 สี &lt;br /&gt;น้ำเงิน / แดง / ส้ม &lt;br /&gt;ขนาดกว้าง 7 ซม. ยาว 21ซม.&lt;/p&gt;</t>
  </si>
  <si>
    <t>แปรงย้อม</t>
  </si>
  <si>
    <t>VALENTE COMB วาเลนเต้ หวีหางเหล็ก รุ่น VAL-125</t>
  </si>
  <si>
    <t>&lt;p&gt;วาเลนเต้ หวีหางเหล็ก สีดำ &lt;br /&gt;ขนาด 11.5-2.5 cm &lt;br /&gt; &lt;br /&gt;คุณสมบัติ: &lt;br /&gt;✔︎ มีน้ำหนักเบา &lt;br /&gt;✔︎ ทำจากวัสดุแข็งแรง ทนทาน&lt;br /&gt;✔︎ หวีรองซอยสามารถใช้แบ่งผม &lt;br /&gt;✔︎ รองผมได้ &lt;br /&gt;✔︎ ขนาดพอดีมือ ใช้งานง่าย ถนัดมือ &lt;br /&gt;✔︎ ส่วนหาง จะช่วยในการจัดแต่งทรงผม การแบ่งผม&lt;/p&gt;</t>
  </si>
  <si>
    <t>VAL-150</t>
  </si>
  <si>
    <t>VALENTE กรรไกรซอยผม ขนาด 5&amp;quot;นิ้ว รุ่น VAL-150</t>
  </si>
  <si>
    <t xml:space="preserve">&lt;p&gt;VALENTE กรรไกรซอยผม รุ่น VAL-150&lt;/p&gt;
 &lt;p&gt;คุณสมบัติ: &amp;nbsp; &amp;nbsp; &amp;nbsp; &amp;nbsp; &amp;nbsp; &amp;nbsp; &amp;nbsp; &amp;nbsp; &amp;nbsp; &amp;nbsp; &amp;nbsp; &amp;nbsp; &amp;nbsp; &amp;nbsp; &amp;nbsp; &amp;nbsp; &amp;nbsp; &amp;nbsp; &amp;nbsp; &amp;nbsp; &amp;nbsp; &amp;nbsp; &amp;nbsp; &amp;nbsp; &amp;nbsp; &amp;nbsp; &amp;nbsp; &amp;nbsp; &amp;nbsp; &lt;br /&gt;✔︎ ชุดกรรไกรซอย &amp;nbsp; &amp;nbsp; &amp;nbsp; &amp;nbsp; &amp;nbsp; &amp;nbsp; &amp;nbsp; &amp;nbsp; &amp;nbsp; &amp;nbsp; &amp;nbsp; &amp;nbsp; &amp;nbsp; &amp;nbsp; &amp;nbsp; &amp;nbsp; &amp;nbsp; &amp;nbsp;&amp;nbsp;&amp;nbsp;&amp;nbsp; &amp;nbsp;&amp;nbsp; &lt;br /&gt;✔︎ น้ำหนักเบา จับถนัดมือ &amp;nbsp; &amp;nbsp; &amp;nbsp; &amp;nbsp; &amp;nbsp; &amp;nbsp; &amp;nbsp; &amp;nbsp; &amp;nbsp; &amp;nbsp; &amp;nbsp; &amp;nbsp;&amp;nbsp; &amp;nbsp; &amp;nbsp; &amp;nbsp; &amp;nbsp; &amp;nbsp; &amp;nbsp; &amp;nbsp;&lt;br /&gt;✔︎ ใช้สำหรับตัดแต่งทรงผม &amp;nbsp;&lt;/p&gt;
 &lt;p&gt;วิธีใช้: &lt;br /&gt;✂ กรรไกรซอย(ฟันปลา) ใช้ซอยผมให้บางลง ขนาดความยาวเท่าเดิม &amp;nbsp; &amp;nbsp; &amp;nbsp; &amp;nbsp; &amp;nbsp; &amp;nbsp; &amp;nbsp; &amp;nbsp; &amp;nbsp; &amp;nbsp; &amp;nbsp; &amp;nbsp;&lt;/p&gt;</t>
  </si>
  <si>
    <t>VAL-1510-A</t>
  </si>
  <si>
    <t>VALENTE หวีรองซอยไฟเบอร์ VAL-1510/A</t>
  </si>
  <si>
    <t xml:space="preserve">&lt;p&gt;&lt;br /&gt;VALENTE วาเลนเต้ หวีรองซอยไฟเบอร์ &lt;br /&gt;หวีไฟเบอร์จะช่วยให้ลดการชี้ฟูของเส้นผม ทำให้เส้นผมเรียบง่ายต่อการตัด &lt;br /&gt; &lt;br /&gt;คุณสมบัติ : &lt;br /&gt; - ยาว 21.7 ซม. กว้าง 3 ซม.&lt;br /&gt; - ความห่างของซี่หวีมี 2 ระดับ&lt;br /&gt; - สีน้ำตาล &lt;br /&gt; - น้ำหนัก 12 กรัม.&lt;/p&gt;
 &lt;p&gt;วิธีใช้ : ใช้สำหรับรองตัดปัตตาเลี่ยน สำหรับรองเส้นผม&lt;/p&gt;</t>
  </si>
  <si>
    <t>VAL-2045</t>
  </si>
  <si>
    <t>หวีแอมเบอร์ 12.5 ซม.VAL-2045</t>
  </si>
  <si>
    <t xml:space="preserve">&lt;p&gt;หวีแอมเบอร์ 12.5 ซม. &lt;br /&gt;หวีแอมเบอร์ หวีรองซอย&lt;/p&gt;
 &lt;p&gt;คุณสมบัติ : &lt;br /&gt; - ขนาดกว้าง 3 ซม. ยาว 13 ซม&lt;br /&gt; - ความห่างของซี่หวีมี 2 ระดับ&lt;br /&gt; - สีแอมเบอร์&lt;/p&gt;
 &lt;p&gt;วิธีใช้ : ใช้สำหรับรองตัดบัตตาเลี่ยน หวีรองทรง หวีรอง&amp;nbsp;&lt;/p&gt;</t>
  </si>
  <si>
    <t>VAL-2076</t>
  </si>
  <si>
    <t>หวีแอมเบอร์ 16.5 ซม VAL-2076</t>
  </si>
  <si>
    <t xml:space="preserve">&lt;p&gt;หวีแอมเบอร์ 16.5 ซม.&lt;br /&gt;หวีแอมเบอร์ หวีรองซอย&lt;/p&gt;
 &lt;p&gt;คุณสมบัติ : &lt;br /&gt; - ขนาดกว้าง 3 ซม. ยาว 17 ซม. &lt;br /&gt; - ความห่างของซี่หวีมี 2 ระดับ&lt;br /&gt; - สีแอมเบอร์&lt;/p&gt;
 &lt;p&gt;วิธีใช้ : ใช้สำหรับรองตัดบัตตาเลี่ยน หวีรองทรง หวีรอง&lt;/p&gt;</t>
  </si>
  <si>
    <t>VAL-215-A</t>
  </si>
  <si>
    <t>VALENTE วาเลนเต้ หวีรองซอยไฟเบอร์ (VAL-215/A)</t>
  </si>
  <si>
    <t xml:space="preserve">&lt;p&gt;&lt;br /&gt;VALENTE วาเลนเต้ หวีรองซอยไฟเบอร์ &lt;br /&gt;หวีไฟเบอร์จะช่วยให้ลดการชี้ฟูของเส้นผม ทำให้เส้นผมเรียบง่ายต่อการตัด&lt;/p&gt;
 &lt;p&gt;คุณสมบัติ : &lt;br /&gt; - ยาว 15.5 ซม. กว้าง 3.6 ซม.&lt;br /&gt; - ความห่างของซี่หวีมี 1 ระดับ&lt;br /&gt; - สีดำ&lt;br /&gt; - น้ำหนัก 13 กรัม.&lt;/p&gt;
 &lt;p&gt;วิธีใช้ : ใช้สำหรับรองตัดบัตตาเลี่ยน หวีรองทรง&lt;/p&gt;</t>
  </si>
  <si>
    <t>VAL-212-B</t>
  </si>
  <si>
    <t>วาเลนเต้ หวีรองซอยไฟเบอร์ (VAL-212/B)</t>
  </si>
  <si>
    <t xml:space="preserve">&lt;p&gt;หวีรองซอย สีส้ม&lt;/p&gt;
 &lt;p&gt;VALENTE วาเลนเต้ หวีรองซอยไฟเบอร์ &lt;br /&gt;หวีไฟเบอร์จะช่วยให้ลดการชี้ฟูของเส้นผม ทำให้เส้นผมเรียบง่ายต่อการตัด&lt;/p&gt;
 &lt;p&gt;คุณสมบัติ : &lt;br /&gt; - ยาว 20 ซม. กว้าง 3 ซม.&lt;br /&gt; - ความห่างของซี่หวีมี 2 ระดับ&lt;br /&gt; - สีดำ&lt;br /&gt; - น้ำหนัก 11 กรัม.&lt;/p&gt;
 &lt;p&gt;วิธีใช้ : ใช้สำหรับรองตัดบัตตาเลี่ยน หวีรองทรง&lt;/p&gt;</t>
  </si>
  <si>
    <t>VAL-2182</t>
  </si>
  <si>
    <t>หวีแอมเบอร์ 19 ซม. VAL-2182</t>
  </si>
  <si>
    <t xml:space="preserve">&lt;p&gt;หวีแอมเบอร์ 19 ซม.&lt;br /&gt;หวีแอมเบอร์ หวีรองซอย &lt;br /&gt; &lt;br /&gt;คุณสมบัติ : &lt;br /&gt; - ขนาดกว้าง 4 ซม. ยาว 20 ซม. &lt;br /&gt; - ความห่างของซี่หวีมี 2 ระดับ&lt;br /&gt; - สีแอมเบอร์&lt;/p&gt;
 &lt;p&gt;วิธีใช้ : ใช้สำหรับรองตัดบัตตาเลี่ยน หวีรองทรง หวีรอง&lt;/p&gt;</t>
  </si>
  <si>
    <t>VAL-2208</t>
  </si>
  <si>
    <t>VALENTE วาเลนเต้ ปัตตาเลี่ยนไฟฟ้า VAL-2208</t>
  </si>
  <si>
    <t xml:space="preserve">&lt;p&gt;BARBER EQUIPMENT ปัตตาเลี่ยนไฟฟ้า VAL-2208&lt;br /&gt;มี3สี สีดำ สีแดง สีน้ำเงิน ขนาดกว้าง 14 ซม. ยาว 22 ซม&lt;/p&gt;
 &lt;p&gt;คุณสมบัติ: &lt;br /&gt;&amp;nbsp; &amp;nbsp; &amp;nbsp; Valente ปัตตาเลี่ยนไฟฟ้า รุ่น VAL-2208 เล็ก กะทัดรัด น้ำหนักเบา ออกแบบมาเพื่อให้จับถนัดมือ &lt;br /&gt;ที่สามารถ ให้คุณตัดแต่ง ทรงผมอย่างคล่องตัว ใช้งานได้โดยไม่ต้องเสียบปลั๊ก &lt;br /&gt;แกะลายสวยๆ เท่ห์ ได้อย่างมั่นใจ&lt;/p&gt;
 &lt;p&gt;วิธีใช้: &lt;br /&gt; ปัตตาเลี่ยนตัวเล็ก เหมาะสำหรับ การใช้กันขอบ แกะลาย เก็บงาน แต่งหนวดเครา เพราะขนาดฟันเล็ก &lt;br /&gt;เข้าซอกมุมได้ง่าย&lt;/p&gt;</t>
  </si>
  <si>
    <t>VAL-222-A</t>
  </si>
  <si>
    <t>VALENTE วาเลนเต้ หวีหาง หวียี ยีฟู ไฟเบอร์ (VAL-222/A)</t>
  </si>
  <si>
    <t xml:space="preserve">&lt;p&gt;หวียีไฟเบอร์ ขนาดกว้าง 3 ซม. ยาว 23 ซม.&lt;/p&gt;
 &lt;p&gt;คุณสมบัติ: &lt;br /&gt; &lt;br /&gt;✔︎ หวียีไฟเบอร์ &lt;br /&gt; ✔︎ ช่วยให้การยีผมง่ายขึ้น ยีฟู&lt;/p&gt;</t>
  </si>
  <si>
    <t>VAL-222-B</t>
  </si>
  <si>
    <t>VALENTE วาเลนเต้ หวีหาง หวียี ยีฟู ไฟเบอร์ (VAL-222/B)</t>
  </si>
  <si>
    <t xml:space="preserve">&lt;p&gt;หวียีไฟเบอร์ ขนาดกว้าง 3 ซม. ยาว 23 ซม.&lt;/p&gt;
 &lt;p&gt;คุณสมบัติ:&lt;br /&gt; &lt;br /&gt;✔︎ หวียีไฟเบอร์ &lt;br /&gt;✔︎ ช่วยให้การยีผมง่ายขึ้น ยีฟู&lt;/p&gt;</t>
  </si>
  <si>
    <t>VALENTE กรรไกรซอย 6.5"นิ้ว รุ่น Val-370</t>
  </si>
  <si>
    <t xml:space="preserve">&lt;p&gt;กรรไกรซอย วาเลนเต้ รุ่น Val-370 ขนาด 6.5นิ้ว ด้ามสีเงิน&lt;/p&gt;
 &lt;p&gt;คุณสมบัติ: &lt;br /&gt;✔︎ พกพาสะดวก ใช้งานง่าย&lt;br /&gt;✔︎ ผลิตจากวัสดุที่คงทน &lt;br /&gt;✔︎ ใบมีดคม &lt;br /&gt;✔︎ ใช้สำหรับตัดแต่งทรงผม &lt;br /&gt; &lt;br /&gt;วิธีใช้: &lt;br /&gt;✂ กรรไกรซอย(ฟันปลา) ใช้ซอยผมให้บางลง ขนาดความยาวเท่าเดิม &lt;br /&gt;**สามารถดูวิธีใช้เพิ่มเติมได้ที่ QR code บนกล่อง&lt;br /&gt;**ใช้ได้ทั้งมือใหม่และมืออาชีพ&lt;/p&gt;</t>
  </si>
  <si>
    <t>VAL-5-B-2</t>
  </si>
  <si>
    <t>กรรไกรซอย ขนาด5.5 รุ่น VAL-5/B/2</t>
  </si>
  <si>
    <t xml:space="preserve">&lt;p&gt;คุณสมบัติ&lt;br /&gt;✔︎ กรรไกรวาเลนเต้ ซอย รุ่น VAL-5/B/2&lt;br /&gt;✔︎ รูปทรงสวยงาม ตัวกรรไกรทำจากเหล็กคุณภาพสูง&lt;br /&gt;✔︎ พร้อมใช้งานได้ทันทีโดยไม่ต้องลับคมกรรไกร&lt;br /&gt;✔︎ ด้วยคุณภาพของวัสดุชั้นดี ให้ความคมสูงมาก&lt;br /&gt;✔︎ ทำให้งานซอย ไม่ติดขัด ลื่นไหล เก็บงานได้ อย่างเรียบร้อย&lt;/p&gt;
 &lt;p&gt;วิธีใช้: &lt;br /&gt;✂ กรรไกรซอย(ฟันปลา) ใช้ซอยผมให้บางลง ขนาดความยาวเท่าเดิม &lt;br /&gt; &lt;br /&gt;**สามารถดูวิธีใช้เพิ่มเติมได้ที่ QR code บนกล่อง&lt;/p&gt;</t>
  </si>
  <si>
    <t>VAL-5-B-1</t>
  </si>
  <si>
    <t>กรรไกรตัด ขนาด5.5 รุ่น VAL-5/B/1</t>
  </si>
  <si>
    <t xml:space="preserve">&lt;p&gt;คุณสมบัติ&lt;br /&gt;✔︎กรรไกรวาเลนเต้ ตัด รุ่น VAL-5/B&lt;br /&gt;✔︎ รูปทรงสวยงาม ตัวกรรไกรทำจากเหล็กคุณภาพสูง&lt;br /&gt;✔︎ พร้อมใช้งานได้ทันทีโดยไม่ต้องลับคมกรรไกร&lt;br /&gt;✔︎ ด้วยคุณภาพของวัสดุชั้นดี ให้ความคมสูงมาก&lt;br /&gt;✔︎ ทำให้งานตัด ไม่ติดขัด ลื่นไหล เก็บงานได้ อย่างเรียบร้อย&lt;/p&gt;
 &lt;p&gt;วิธีใช้: &lt;br /&gt;✂ กรรไกรตัด ใช้ตัดผมให้สั้นลง บางทีก็ใช้ตัดให้ผมบางลงได้ ขึ้นอยู่กับวิธีการตัด &lt;br /&gt; &lt;br /&gt;**สามารถดูวิธีใช้เพิ่มเติมได้ที่ QR code บนกล่อง&lt;/p&gt;</t>
  </si>
  <si>
    <t>VAL-5-B</t>
  </si>
  <si>
    <t>VALENTE กรรไกรวาเลนเต้ รุ่น VAL-5/B</t>
  </si>
  <si>
    <t xml:space="preserve">&lt;p&gt;&lt;br /&gt;คุณสมบัติ: &lt;br /&gt;✔︎ ชุดกรรไกรตัด+ซอย &lt;br /&gt;✔︎ น้ำหนักเบา จับถนัดมือ &lt;br /&gt;✔︎ ตัวกรรไกรทำจากเหล็กคุณภาพสูง รูปทรงสวยงาม &lt;br /&gt;✔︎ พร้อมใช้งานได้ทันทีโดยไม่ต้องลับคมกรรไกร &lt;br /&gt;✔︎ ด้วยคุณภาพของวัสดุชั้นดี ให้ความคมสูงมาก &lt;br /&gt;✔︎ ทำให้งานตัด-ซอย ไม่ติดขัด ลื่นไหล เก็บงานได้ อย่างเรียบร้อย&lt;br /&gt;✔︎ พร้อมใช้งานได้ทันทีโดยไม่ต้องลับคมกรรไกร&lt;/p&gt;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t>
  </si>
  <si>
    <t>VALENTE เซทหวีอเนกประสงค์ (10ชิ้น / ชุด) VAL-589</t>
  </si>
  <si>
    <t>&lt;p&gt;&lt;br /&gt;คุณสมบัติ: &lt;br /&gt;&amp;nbsp; &amp;nbsp; &amp;nbsp; &amp;nbsp; &amp;nbsp; สุดคุ้ม! ใน 1 ชุดประอบด้วย 10 ชิ้น สามารถนำไปใช้ได้หลายอย่าง &lt;br /&gt;เช่น หวีผม รองซอย แบ่งผม เซทผม ราคาย่อมเยาว์ คนทั่วไปหรือช่างต้ดผมก็ใช้ได้&lt;/p&gt;</t>
  </si>
  <si>
    <t>VAL-6-B-1</t>
  </si>
  <si>
    <t>VALENTE กรรไกรวาเลนเต้ตัด 5.5&amp;quot; รุ่น VAL-6/B/1</t>
  </si>
  <si>
    <t xml:space="preserve">&lt;p&gt;&lt;br /&gt;กรรไกรตัด ขนาด5.5นิ้ว ทำจากวัสดุอย่างดี&lt;/p&gt;
 &lt;p&gt;คุณสมบัติ: &lt;br /&gt;✔︎ กรรไกรตัด &lt;br /&gt;✔︎ น้ำหนักเบา จับถนัดมือ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ให้ความคมสูงมาก&lt;/p&gt;
 &lt;p&gt;วิธีใช้: &lt;br /&gt;✂ กรรไกรตัด ใช้ตัดผมให้สั้นลง บางทีก็ใช้ตัดให้ผมบางลงได้ ขึ้นอยู่กับวิธีการตัด &lt;br /&gt; &lt;br /&gt;**สามารถดูวิธีใช้เพิ่มเติมได้ที่ QR code บนกล่อง&lt;/p&gt;</t>
  </si>
  <si>
    <t>VAL-6-B-2</t>
  </si>
  <si>
    <t>กรรไกรวาเลนเต้ 5.5" (VAL-6/B/2)</t>
  </si>
  <si>
    <t xml:space="preserve">&lt;p&gt;-กรรไกรซอย ขนาด5.5 นิ้ว ทำจากวัสดุอย่างดี&lt;/p&gt;
 &lt;p&gt;&lt;br /&gt;คุณสมบัติ: &lt;br /&gt;✔︎ กรรไกรซอย &lt;br /&gt;✔︎ น้ำหนักเบา จับถนัดมือ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ให้ความคมสูงมาก&lt;/p&gt;
 &lt;p&gt;วิธีใช้: &lt;br /&gt;✂ กรรไกรซอย(ฟันปลา) ใช้ซอยผมให้บางลง ขนาดความยาวเท่าเดิม &lt;br /&gt;**สามารถดูวิธีใช้เพิ่มเติมได้ที่ QR code บนกล่อง&lt;/p&gt;</t>
  </si>
  <si>
    <t>VAL-6-B</t>
  </si>
  <si>
    <t>VALENTE กรรไกรตัด-ซอย 5.5&amp;quot; วาเลนเต้ (VAL-6/B)</t>
  </si>
  <si>
    <t xml:space="preserve">&lt;p&gt;กรรไกรตัด-ซอย วาเลนเต้ (VAL-6/B)&lt;br /&gt;-กรรไกรซอย ขนาด5.5 นิ้ว &lt;br /&gt;-กรรไกรตัด ขนาด5.5นิ้ว&lt;/p&gt;
 &lt;p&gt;คุณสมบัติ: &lt;br /&gt;✔︎ ชุดกรรไกรตัด+ซอย &lt;br /&gt;✔︎ น้ำหนักเบา จับถนัดมือ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t>
  </si>
  <si>
    <t>หวีแปรงผม Valente VAL-620</t>
  </si>
  <si>
    <t xml:space="preserve">&lt;p&gt;หวีแปรงผม Valente VAL-620&lt;/p&gt;
 &lt;p&gt;แปรงไม้พาย หรือ แปรงสี่เหลี่ยมผืนผ้าครึ่งวงขนาดใหญ่ (Paddle hair brush) &lt;br /&gt;มี 5 สี: ดำ/แดง/ส้ม/น้ำเงิน/ชมพู&lt;/p&gt;
 &lt;p&gt;✔︎ เหมาะสำหรับผมยาวปานกลางถึงยาวมาก ผมหนา และผมยาวเท่ากันมากกว่าผมที่ซอยไล่เป็นชั้นๆ &lt;br /&gt;✔︎ ส่วนฐานแปรงจะแบนเป็นแนวราบและมักจะมีแผ่นรองเป็นยางกับหัวขนแปรงเป็นปุ่ม ช่วยดึงผมยาวและหนาให้ตรงสวย&lt;br /&gt;✔︎ ใช้ดีกับผมที่ตรงโดยธรรมชาติ &lt;br /&gt;✔︎ช่วยดึงผมหยิกหรือหยักศกให้ตรงขึ้นอีก หลังจากไดร์ด้วยแปรงม้วนผมแล้ว &lt;br /&gt;✔︎ ช่วยนวดกระตุ้นการไหลเวียนของโลหิตบริเวณหนังศีรษะในเวลาเดียวกันด้วย&lt;/p&gt;</t>
  </si>
  <si>
    <t>VAL-621-M</t>
  </si>
  <si>
    <t>AVA แปรงหวี นวดหนังศีรษะ VAL-621/M</t>
  </si>
  <si>
    <t xml:space="preserve">&lt;p&gt;วาเลนเต้ แปรงหวี นวดหนังศีรษะ VAL-621/M&lt;/p&gt;
 &lt;p&gt;คุณสมบัติ:&lt;/p&gt;
 &lt;p&gt;✔︎ แปรงหวี นวดหนังศีรษะ VAL-621/M&lt;br /&gt;✔︎ หวีแปรงผมได้ง่าย &lt;br /&gt;✔︎ จับถนัดมือ นวดศีรษะ ผ่อนคลาย&lt;br /&gt;✔︎ ผลิตจากวัสดุอย่างดี &lt;br /&gt;✔︎ แข็งแรงทนทาน ใช้งานได้นาน&lt;/p&gt;</t>
  </si>
  <si>
    <t>VAL-63</t>
  </si>
  <si>
    <t>VALENTE SCISSORS กรรไกรตัดหนัง วาเลนเต้ รุ่น VAL-63</t>
  </si>
  <si>
    <t xml:space="preserve">&lt;p&gt;&lt;br /&gt;คุณสมบัติ: &lt;br /&gt;✔︎ กรรไกรตัดหนัง ขนาด 10*0.5cm&lt;br /&gt;✔︎ ทำจากเหล็กเนื้อดี น้ำหนักเบา จับถนัดและสบายมือ&lt;br /&gt;✔︎ ปลายแหลมคม&lt;br /&gt;✔︎ ทนทาน ใช้งานได้นาน&lt;/p&gt;
 &lt;p&gt;วิธีใช้: ใช้สำหรับการทำเล็บหรือการทำสปามือ&lt;/p&gt;</t>
  </si>
  <si>
    <t>VAL-702-5</t>
  </si>
  <si>
    <t>HAIR SCISSORS กรรไกรตัด รุ่น VAL-702-5</t>
  </si>
  <si>
    <t xml:space="preserve">&lt;p&gt;วาเลนเต้ กรรไกรตัด ขนาด5นิ้ว&lt;br /&gt;- เป็นสินค้าที่ร้านเสริมสวยนิยมใช้เป็นอย่างมาก&lt;br /&gt;- กรรไกรตัดผม วาเลนเต้&lt;br /&gt;- รูปทรงสวยงาม ตัวกรรไกรทำจากเหล็กคุณภาพสูง&lt;br /&gt;- พร้อมใช้งานได้ทันทีโดยไม่ต้องลับคมกรรไกร&lt;br /&gt;- ด้วยคุณภาพของวัสดุชั้นดี ให้ความคมสูงมาก&lt;br /&gt;- ทำให้งานตัด ไม่ติดขัด ลื่นไหล เก็บงานได้ อย่างเรียบร้อย&lt;/p&gt;
 &lt;p&gt;วิธีใช้: &lt;br /&gt;✂ กรรไกรตัด ใช้ตัดผมให้สั้นลง บางทีก็ใช้ตัดให้ผมบางลงได้ ขึ้นอยู่กับวิธีการตัด &lt;br /&gt;**สามารถดูวิธีใช้เพิ่มเติมได้ที่ QR code บนกล่อง&lt;/p&gt;</t>
  </si>
  <si>
    <t>BARBER BRAIN ผ้าคลุมซอยลายทหาร รุ่น VAL-K099</t>
  </si>
  <si>
    <t xml:space="preserve">&lt;p&gt;&lt;br /&gt;ขนาด : &lt;br /&gt;ความกว้าง 118 ซม.&lt;br /&gt;ความสูง 145 ซม.&lt;/p&gt;
 &lt;p&gt;ผลิตจากวัสดุ :&lt;br /&gt;ผ้าเคลือบสาร "ฮายโดรโพรบิค" หรือ "สารน้ำกลิ้ง" &lt;br /&gt;กันน้ำได้ 100% &lt;br /&gt;เนื้อสัมผัสหยาบนิดหน่อย ทำความสะอาดง่าย&lt;/p&gt;
 &lt;p&gt;คุณสมบัติ :&lt;br /&gt;✔︎ ใช้สำหรับ คลุมตัดผม ซอยผม &lt;br /&gt;✔︎ ป้องกันไม่ให้เปื้อนตอนทำเคมีต่างๆ&lt;br /&gt;✔︎ สามารถปรับระดับได้ เป็นตะขอเกี่ยว &lt;br /&gt;✔︎ ใช้สำหรับ คลุมตัดผม ซอยผมป้องกันไม่ให้เปื้อนตอนทำเคมีต่างๆ&lt;br /&gt;✔︎ ด้านหลังเป็นตะขอสามารถปรับระดับได้&lt;/p&gt;</t>
  </si>
  <si>
    <t>VAL-S009</t>
  </si>
  <si>
    <t>VALENTE เครื่องดัดผมถาวร ดิจิตอล มินิ สปาเพิร์ม รุ่น VAL-S009 (สีขาว)</t>
  </si>
  <si>
    <t xml:space="preserve">&lt;p&gt;คุณสมบัติ:&lt;/p&gt;
 &lt;p&gt;✔︎ สามารถตั้งเวลาได้&lt;br /&gt;✔︎ ปรับอุณหภูมิได้&lt;br /&gt;✔︎ สายไฟยาว มาตรฐาน&lt;br /&gt;✔︎ สายเสียบแกน 4 สาย สายละ 5 หัวเสียบ&lt;br /&gt;✔︎ กระดาษพันแกน 20 แผ่น&lt;br /&gt;✔︎ แผ่นกันความร้อน 20 แผ่น&lt;br /&gt;✔︎ กิ๊ฟหนีบแกนสปาเพิร์ม 20 ตัว&lt;br /&gt;✔︎ แกน size 22 mm = 6 pc / 26 mm = 6 pc / 28 mm = 8 pc&lt;/p&gt;
 &lt;p&gt;***พร้อมรับประกัน 1 ปีเต็ม***&lt;/p&gt;</t>
  </si>
  <si>
    <t>กล่องใส่กระดาษรองคอตัดผมบาร์เบอร์ (VLY-2003)</t>
  </si>
  <si>
    <t xml:space="preserve">&lt;p&gt;กล่องใส่กระดาษรองคอตัดผมบาร์เบอร์ &lt;br /&gt;รหัสสินค้า : VLY-2003&lt;br /&gt;ขนาด กว้าง 12.5ซม สูง 10 ซม&lt;/p&gt;
 &lt;p&gt;✔︎ กล่องใส่กระดาษรองคอ &lt;br /&gt;✔︎ ม้วนตัดได้ง่าย ใส่เพื่อรักษากระดาษให้มีคุณภาพดี&lt;br /&gt;✔︎ เป็นระเบียบเรียบร้อย &lt;br /&gt;✔︎ มีตัวยึดฐานด้านล่างเพื่อสะดวกต่อการหยิบใช้ สีขาว คุณภาพดี&lt;/p&gt;
 &lt;p&gt;*ใช้กับกระดาษรองคอ M-45&lt;br /&gt;*เหมาะสำหรับร้านบาร์เบอร์และซาลอน&lt;/p&gt;</t>
  </si>
  <si>
    <t>หวีกระดูก(ใหญ่) รุ่น XL-11301</t>
  </si>
  <si>
    <t>&lt;p&gt;คุณสมบัติ:&lt;br /&gt;✔︎ หวีแปรงกระดูก &lt;br /&gt;✔︎ แปรงจะมีซี่ห่างและมีปุ่มกลมๆนวดศีรษะ &lt;br /&gt;✔︎ ปุ่มกลมๆจะช่วยนวดกระตุ้นการไหลเวียนโลหิตได้ดีขึ้น &lt;br /&gt;✔︎ มีส่วนช่วยทำให้เส้นผมแข็งแรงและผมจะยาวเร็วขึ้น&lt;/p&gt;</t>
  </si>
  <si>
    <t>กระดาษพันแกนดัดเย็น 35แผ่น/1กล่อง รุ่น Z-027</t>
  </si>
  <si>
    <t>&lt;p&gt;✔︎ สินค้าดีมีคุณภาพ รับประกันคุภาพ &lt;br /&gt;✔︎ เหมาะสำหรับร้านเสริมสวย หรือร้านซาลอน &lt;br /&gt;✔︎ เหมาะสำหรับมืออาชีพ&lt;/p&gt;</t>
  </si>
  <si>
    <t>ZN-808</t>
  </si>
  <si>
    <t>VALENTE หวีอีโต้ไฟเบอร์ รุ่น ZN-808</t>
  </si>
  <si>
    <t xml:space="preserve">&lt;p&gt;&lt;br /&gt;**คุณสมบัติ&lt;/p&gt;
 &lt;p&gt;- หวีอีโต้หัวโค้ง เหมาะสำหรับการใช้หวีผมที่ยังเปียกหรือหมาดอยู่&lt;br /&gt;- สามารถใช้ได้กับเส้นผมทุกประเภท&lt;/p&gt;
 &lt;p&gt;วิธีใช้ : ใช้สำหรับรองตัดบัตตาเลี่ยน หวีรองทรง&lt;/p&gt;</t>
  </si>
  <si>
    <t>VALENTE หวีอีโต้ไฟเบอร์ รุ่น ZN-809</t>
  </si>
  <si>
    <t xml:space="preserve">&lt;p&gt;&lt;br /&gt;**คุณสมบัติ&lt;/p&gt;
 &lt;p&gt;- หวีอีโต้หัวโค้ง เหมาะสำหรับการใช้หวีผมที่ยังเปียกหรือหมาดอยู่&lt;br /&gt;- สามารถใช้ได้กับเส้นผมทุกประเภท&lt;/p&gt;
 &lt;p&gt;วิธีใช้ : ใช้สำหรับรองตัดบัตตาเลี่ยน หวีรองทรง&lt;/p&gt;</t>
  </si>
  <si>
    <t>EF-60</t>
  </si>
  <si>
    <t>HAIR SCISSORS กรรไกรตัด 6" วาเลนเต้ รุ่น EF-60</t>
  </si>
  <si>
    <t xml:space="preserve">&lt;p&gt;กรรไกร ตัด ขนาด6นิ้ว&lt;/p&gt;
 &lt;p&gt;คุณสมบัติ: &lt;br /&gt;✔︎ ทำจากวัสดุอย่างดี &lt;br /&gt;✔︎ น้ำหนักเบา จับถนัดมือ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 &lt;br /&gt;** เหมาะสำหรับช่างตัดผม**&lt;/p&gt;
 &lt;p&gt;วิธีใช้: &lt;br /&gt;✂ กรรไกรตัด ใช้ตัดผมให้สั้นลง บางทีก็ใช้ตัดให้ผมบางลงได้ ขึ้นอยู่กับวิธีการตัด &lt;br /&gt;**สามารถดูวิธีใช้เพิ่มเติมได้ที่ QR code บนกล่อง&lt;/p&gt;</t>
  </si>
  <si>
    <t>EF-630</t>
  </si>
  <si>
    <t>VALENTE กรรไกรซอย 6" รุ่น EF-630</t>
  </si>
  <si>
    <t xml:space="preserve">&lt;p&gt;VALENTE กรรไกรซอย รุ่น EF-630&lt;/p&gt;
 &lt;p&gt;- สำหรับมือใหม่และมืออาชีพ &lt;br /&gt; - ขนาด 6 นิ้ว&lt;/p&gt;
 &lt;p&gt;✔︎ สินค้าใหม่และมีคุณภาพสูง&lt;br /&gt;✔︎ ด้ามจับถนัดต่อการสอดใส่และถอดนิ้วเข้าออก&lt;br /&gt;✔︎ ผลิตจากวัสดุที่คงทน &lt;br /&gt;✔︎ พกพาสะดวก ใช้งานง่าย&lt;/p&gt;
 &lt;p&gt;วิธีใช้: &lt;br /&gt;✂ กรรไกรซอย(ฟันปลา) ใช้ซอยผมให้บางลง ขนาดความยาวเท่าเดิม &lt;br /&gt;**สามารถดูวิธีใช้เพิ่มเติมได้ที่ QR code บนกล่อง&lt;/p&gt;</t>
  </si>
  <si>
    <t>VALENTE Absolute Hot หวีแปรงม้วนผม-อินฟาเรด HC-020</t>
  </si>
  <si>
    <t>&lt;p&gt;คุณสมบัติ*:&lt;br /&gt;✔︎ แปรงหวีม้วนผมจาก VALENTE (วาเลนเต้) &lt;br /&gt;✔︎ ตัวเครื่องทำจากวัสดุอย่างดี ทนความร้อนสูง &lt;br /&gt;✔︎ ช่วยแก้ปัญหาผมสั้นปะบ่า งอนเป็นตูดเป็ด ช่วยให้ผมงุ้มสวยเป็นทรงมากขึ้น &lt;br /&gt;✔︎ ช่วยแก้ปัญหาโคนผมลีบหรือแบนมากๆ ทั้งทำให้ผมงุ้มและยังม้วนยกโคนผมเป็นวอลลุ่มได้ &lt;br /&gt;✔︎ เคล็ดลับของความเก๋ๆ จบในเครื่องเดียว &lt;br /&gt;✔︎ หวีแปรงม้วนผม นวัตกรรมจากประเทศอิตาลีสู่มือคนไทย ผ่านมาตราฐานมอก. 2549-1985 &lt;br /&gt;✔︎ สินค้ารับประกัน 1 ปี&lt;/p&gt;</t>
  </si>
  <si>
    <t>วาเลนเต้ หวีแปรงเปียก 0.089g. รหัสสินค้า JM-001</t>
  </si>
  <si>
    <t xml:space="preserve">&lt;p&gt;หวีแปรงเปียก ใช้สำหรับหวีเวลาผมเปียกได้ดี เหมาะสำหรับทุกเพศ ทุกวัย &lt;br /&gt;ขนาดกว้าง 4 ซม. ยาว 21 ซม.&lt;/p&gt;
 &lt;p&gt;คุณสมบัติ:&lt;/p&gt;
 &lt;p&gt;การหวีผมในขณะที่เปียก ทำให้เส้นผมขาดหลุดล่วง แต่หากเลือกใช้หวี&lt;br /&gt;ที่ถูกลักษณะ เส้นผมขณะเปียกก็จะไม่หลุดล่วง หวีแปรงเปียก&lt;/p&gt;
 &lt;p&gt;✔︎ ลดผมหลุดร่วงขณะผมเปียก&lt;br /&gt;✔︎ หลังผมแห้งแล้วลดการชี้ฟูแม้ไม่ได้ไดร์ผม&lt;br /&gt;✔︎ ซี่หวีนวดหนังศีรษะให้รู้สึกผ่อนคลายได้เป็นอย่างดี&lt;br /&gt;✔︎ ด้ามจับถนัดมือ สะดวกสบายในการใช้&lt;br /&gt;✔︎ ใช้ได้นาน ล้างทำความสะอาดได้ง่ายมาก&lt;br /&gt;✔︎ ลดอาการชี้ฟูของเส้นผม&lt;/p&gt;
 &lt;p&gt;วิธีใช้: ใช้หวีศรีษะขณะเส้นผมเปียก หลังสระผม&lt;/p&gt;</t>
  </si>
  <si>
    <t>VALENTE หวีแปรงเปียก สำหรับหวีผมเปียก รุ่น JM-002</t>
  </si>
  <si>
    <t xml:space="preserve">&lt;p&gt;คุณสมบัติ: &lt;br /&gt;- ลดผมหลุดร่วงขณะผมเปียก&lt;br /&gt;- หลังผมแห้งแล้วลดการชี้ฟูแม้ไม่ได้ไดร์ผม&lt;br /&gt;- ซี่หวีนวดหนังศีรษะให้รู้สึกผ่อนคลายได้เป็นอย่างดี&lt;br /&gt;- ด้ามจับถนัดมือ สะดวกสบายในการใช้&lt;br /&gt;- ใช้ได้นาน ล้างทำความสะอาดได้ง่ายมาก&lt;br /&gt;- ลดอาการชี้ฟูของเส้นผม&lt;/p&gt;
 &lt;p&gt;วิธีใช้: &lt;br /&gt;ใช้หวีศรีษะขณะเส้นผมเปียก หลังสระผม&lt;/p&gt;</t>
  </si>
  <si>
    <t>VAL-1512-B-1</t>
  </si>
  <si>
    <t>ผ้าคลุมซอย รุ่น VAL-1512/B-1</t>
  </si>
  <si>
    <t>BB-101</t>
  </si>
  <si>
    <t>BARNER BRAIN ปัตตาเลี่ยนมีสาย รุ่น BB-101</t>
  </si>
  <si>
    <t xml:space="preserve">&lt;p&gt;ประกอบด้วย :&lt;br /&gt;ปัตตาเลี่ยนมีสาย (สายยาวมาตราฐาน) + รองฟัน &lt;br /&gt;ใบประกัน และคู่มือการใช้ &lt;br /&gt; &lt;br /&gt;แรงดันไฟฟ้า : 220-230V &lt;br /&gt;ไฟฟ้ากระแสสลับ : 50Hz &lt;br /&gt;กำลังไฟ : 10W&lt;/p&gt;
 &lt;p&gt;คณสมบัติ: &lt;br /&gt;✔︎ ปัตตาเลี่ยนใบมีดคม &lt;br /&gt;✔︎ สามารถตัดผมและแกะลาย &lt;br /&gt;✔︎ สามารถปรับระดับความยาวในการตัด &lt;br /&gt;✔︎ สามารถปรับพลังไฟได้ &lt;br /&gt;✔︎ ใช้สำหรับตัดแต่งทรงผม&lt;/p&gt;
 &lt;p&gt;วิธีใช้: ปัตตาเลี่ยนตัวใหญ่ชนิดนี้สามารถใช้ตัด หรือใช้ในการแกะลวดลายได้ &lt;br /&gt; **สินค้ารับประกัน 1 ปี มีใบประกันให้ในกล่อง และมีคู่มือการใช้**&lt;/p&gt;</t>
  </si>
  <si>
    <t>แผ่นกันความร้อนดัดสปาเพิร์ม 20แผ่น/แพค GLY-1302</t>
  </si>
  <si>
    <t xml:space="preserve">&lt;p&gt;ขนาด &lt;br /&gt;กว้าง : 11 cm.&lt;br /&gt;สูง : 6 cm.&lt;br /&gt;หนา. : 0.5mm&lt;/p&gt;
 &lt;p&gt;ทำจากวัสดุดีมีคุณภาพ&lt;br /&gt;เหมาะสำหรับร้านเสริมสวน ร้านซาลอน &lt;br /&gt;ช่างมืออาชีพ&lt;/p&gt;</t>
  </si>
  <si>
    <t>VALENTE กิ๊บดำ ตุ้มใหญ่ ห่อใหญ่ วาเลนเต้ ขนาด 450g. GX-002</t>
  </si>
  <si>
    <t xml:space="preserve">&lt;p&gt;กิ๊บดำตุ้มใหญ่ ยี่ห้อวาเลนเต้ จำนวน 450 กรัม / แพ็ค &lt;br /&gt;มากกว่าหรือเท่ากับ 200 ชิ้น เยอะมาก ๆ ค่ะ คุ้มสุดด&lt;/p&gt;
 &lt;p&gt;สามารถนำไปใช้ประโยชน์ได้มากมาย เด็กใช้ได้ไม่กินผม ไม่เจ็บหนังศรีษะ &lt;br /&gt;เนื่องจากมีตุ้มใหญ่ไว้รองรับ สามารถใช้ติดไปงานไปที่ต่างๆได้สบาย ติดทนแน่นทั้งวัน&lt;br /&gt;ใช้ได้ทั้งเด็กและผู้ใหญ่ ทุกเพศทุกวัย สาวผมสั้นผมยาว&lt;/p&gt;
 &lt;p&gt;----- ซื้อไปคุ้มสุดๆมีทั้งหมด 450 กรัม เยอะมากใน1แพ็ค ------&lt;/p&gt;
 &lt;p&gt;คุณสมบัติ: &lt;br /&gt; ✔︎ วัสดุดี คุณภาพ 100% &lt;br /&gt; ✔︎ แข็งแรง หนา ทนทาน &lt;br /&gt; ✔︎ ใช้ได้นาน &lt;br /&gt; ✔︎ ไม่บอบบาง&lt;/p&gt;
 &lt;p&gt;**เหมาะสำหรับช่างทำผม ร้านเสริมสวย ซาลอน&lt;/p&gt;</t>
  </si>
  <si>
    <t>HC-003-28</t>
  </si>
  <si>
    <t>VALENTE Absolut Hot เครื่องม้วนผมไฟฟ้า วาเลนเต้ HC-003/28 (สีทอง)</t>
  </si>
  <si>
    <t xml:space="preserve">&lt;p&gt;VALENTE Absolut Hot&lt;br /&gt;เครื่องม้วนผมไฟฟ้า วาเลนเต้ HC-003 (สีทอง)&lt;/p&gt;
 &lt;p&gt;**คุณสมบัติ**&lt;br /&gt;✔︎ ปรับอุณภูมิความร้อน ได้ 5 ระดับ ตั้งแต่ 120 องศา - 200 องศา&lt;br /&gt;✔︎ มีขนาดแกน 2 ขนาด: ขนาด 28 และ 38 &lt;br /&gt;✔︎ ม้วนผมได้ง่ายและเป็นลอนสวยงาม&lt;br /&gt;✔︎ ทำความร้อนได้เร็วไม่ต้องรอนาน&lt;br /&gt;✔︎ ด้ามจับแข็งแรงทนทาน และ จับถนัดมือ&lt;br /&gt;✔︎ สายไฟหมุนได้ 360 องศา และ ยาว 3 เมตร ผ่านมาตราฐานมอก. 2549-1985 &lt;br /&gt;✔︎ รับประกัน 1 ปี&lt;/p&gt;</t>
  </si>
  <si>
    <t>HC-003-38</t>
  </si>
  <si>
    <t>VALENTE Absolut Hot เครื่องม้วนผมไฟฟ้า วาเลนเต้ HC-003/38 (สีทอง)</t>
  </si>
  <si>
    <t>HADL-10</t>
  </si>
  <si>
    <t>ขวดใส่น้ำยาดัดผม ขนาด 200 มล. รุ่น HADL-10</t>
  </si>
  <si>
    <t xml:space="preserve">&lt;p&gt;ขวดผสมน้ำยาไดอาร์ ขวดเปล่าสำหรับใส่ของเหลว&lt;/p&gt;
 &lt;p&gt;น้ำยาดัด หรือสารเคมีต่างๆ รุ่นหัวบิดขึ้นลงได้&lt;/p&gt;
 &lt;p&gt;&amp;nbsp;&lt;/p&gt;
 &lt;p&gt;คุณสมบัติ:&lt;/p&gt;
 &lt;p&gt;✔︎ ขวดใส่น้ำยาดัดขนาด 200 มล.&lt;br /&gt;✔︎ ใช้สำหรับใส่น้ำยาดัด เพื่อที่จะเตรียมดัดผม&lt;br /&gt;✔︎ จับถนัดมือ&lt;br /&gt;✔︎ ใช้งานง่าย&lt;br /&gt;✔︎ แข็งแรง ทนทาน&lt;/p&gt;</t>
  </si>
  <si>
    <t>ขวดใส่เคมี</t>
  </si>
  <si>
    <t>HADL-9</t>
  </si>
  <si>
    <t>ขวดใส่น้ำยาดัดผม ขนาด150มล. รุ่น HADL-9</t>
  </si>
  <si>
    <t xml:space="preserve">&lt;p&gt;ขวดผสมน้ำยาไดอาร์ ขวดเปล่าสำหรับใส่ของเหลว น้ำยาดัด &lt;br /&gt;หรือสารเคมีต่างๆ รุ่นหัวบิดขึ้นลงได้ &lt;br /&gt;ขนาด กว้าง 5ซม สูง 20ซม&lt;/p&gt;
 &lt;p&gt;คุณสมบัติ:&lt;/p&gt;
 &lt;p&gt;✔︎ ขนาดบรรจุ 150 มล.&lt;br /&gt;✔︎ ใช้สำหรับใส่น้ำยาดัด เพื่อที่จะเตรียมดัดผม&lt;br /&gt;✔︎ จับถนัดมือ&lt;br /&gt;✔︎ ใช้งานง่าย&lt;br /&gt;✔︎ แข็งแรง ทนทาน&lt;/p&gt;</t>
  </si>
  <si>
    <t>กิ๊ฟดำตุ่มใหญ่</t>
  </si>
  <si>
    <t xml:space="preserve">&lt;p&gt;กิ๊บดำตุ้มใหญ่ ยี่ห้อวาเลนเต้ จำนวน 200 กรัม / แพ็ค &lt;br /&gt;มากกว่าหรือเท่ากับ 100 ชิ้น เยอะมาก ๆ ค่ะ คุ้มสุดด&lt;/p&gt;
 &lt;p&gt;สามารถนำไปใช้ประโยชน์ได้มากมาย เด็กใช้ได้ไม่กินผม ไม่เจ็บหนังศรีษะ &lt;br /&gt;เนื่องจากมีตุ้มใหญ่ไว้รองรับ สามารถใช้ติดไปงานไปที่ต่างๆได้สบาย ติดทนแน่นทั้งวัน&lt;br /&gt;ใช้ได้ทั้งเด็กและผู้ใหญ่ ทุกเพศทุกวัย สาวผมสั้นผมยาว&lt;/p&gt;
 &lt;p&gt;----- ซื้อไปคุ้มสุดๆมีทั้งหมด 200 กรัม เยอะมากใน1แพ็ค ------&lt;/p&gt;
 &lt;p&gt;คุณสมบัติ: &lt;br /&gt; ✔︎ วัสดุดี คุณภาพ 100% &lt;br /&gt; ✔︎ แข็งแรง หนา ทนทาน &lt;br /&gt; ✔︎ ใช้ได้นาน &lt;br /&gt; ✔︎ ไม่บอบบาง&lt;/p&gt;
 &lt;p&gt;**เหมาะสำหรับช่าง ร้านเสริมสวย ซาลอน&lt;/p&gt;</t>
  </si>
  <si>
    <t>PKY-1303</t>
  </si>
  <si>
    <t>VALENTE ยางรัดผม อย่างหนา PKY-1303</t>
  </si>
  <si>
    <t xml:space="preserve">&lt;p&gt;ยางรัดผม อย่างหนา 30 กรัม ขนาดยาว 3 ซม.&lt;/p&gt;
 &lt;p&gt;คุณสมบัติ: &lt;br /&gt; ✔︎ เกรดพรีเมี่ยม เส้นหนา ทนทาน &lt;br /&gt; ✔︎ ใช้ได้นาน มัดจัดแต่งทรงผม &lt;br /&gt; ✔︎ แน่น ออกงานได้ ทั้งวัน&lt;/p&gt;</t>
  </si>
  <si>
    <t>ไม้ตีสี ผสมสี อุปกรณ์ซาลอน (PKY-1402)</t>
  </si>
  <si>
    <t xml:space="preserve">&lt;p&gt;คุณสมบัติ:&lt;/p&gt;
 &lt;p&gt;&lt;br /&gt;✔︎ สามารถใช้งานได้หลากหลาย &lt;br /&gt;✔︎ ผสมสีย้อมผม ผสมเคมี&lt;/p&gt;
 &lt;p&gt;*เหมาะสำหรับร้านบาร์เบอร์และซาลอน&lt;/p&gt;</t>
  </si>
  <si>
    <t>SR-1211</t>
  </si>
  <si>
    <t>ห่วงต่อผม กิ๊ฟต่อผม ห่วงต่อผม สีดำ 2 ชั้น (3mm) 500 ชิ้น รุ่น SR-1211</t>
  </si>
  <si>
    <t>&lt;p&gt;คุณสมบัติ: &lt;br /&gt;✔︎ ห่วงต่อผม 2 ชั้น&lt;br /&gt;✔︎ วัสดุทำจากซิลิโคน &lt;br /&gt;✔︎ ชั้นที่ 2 (รู้ด้านใน)ว ทำจากยาง &lt;br /&gt;✔︎ 1กระปุก มี 500 ชิ้น สีดำ&lt;br /&gt;✔︎ ขนาดไมโคร ต่อเนียน &lt;br /&gt;✔︎ พลางตารอบต่อของเส้นผม&lt;/p&gt;</t>
  </si>
  <si>
    <t>X-615</t>
  </si>
  <si>
    <t>หน้ากากกันเคมี มี 50แผ่น/1กล่อง (X-615)</t>
  </si>
  <si>
    <t xml:space="preserve">&lt;p&gt;หน้ากากพลาสติก (X-615) ขนาด กว้าง 18 ซม. สูง 9.5 ซม. มี 50แผ่น&lt;/p&gt;
 &lt;p&gt;คุณสมบัติ:&lt;br /&gt; &lt;br /&gt;✔︎ ขนาด 18*9.5 ซม.50แผ่น/1กล่อง &lt;br /&gt;✔︎ มีสายคาดให้ 1 ชิ้นและ แผ่นใส่จำนวน 50แผ่น/1กล่อง &lt;br /&gt;✔︎ สามารถถอดเปลี่ยนแผ่นใสได้ &lt;br /&gt;✔︎ สะดวกต่อการใช้งาน&lt;/p&gt;
 &lt;p&gt;วิธีใช้: ใช้สำหรับกันเคมี กันสเปย์ฉีดผม เพื่อไม่ให้ละอองจากเคมีสัมผัสกับหน้าและดวงตา&lt;/p&gt;</t>
  </si>
  <si>
    <t>VAL-408</t>
  </si>
  <si>
    <t>หมวกสปาตัวหนอน VAL-408 (1โหล)</t>
  </si>
  <si>
    <t xml:space="preserve">&lt;p&gt;คุณสมบัติ:&lt;/p&gt;
 &lt;p&gt;✔︎ หมวกคลุมผมกระดาษ คุณภาพมาตรฐาน &lt;br /&gt;✔︎ สามารถใช้ในงานบริการ โรงแรม รีสอร์ท สปา ร้านเสริมสวย โรงพยาบาล และโรงงาน &lt;br /&gt;✔︎ ใช้ในการคลุมอาบน้ำ&lt;/p&gt;
 &lt;p&gt;วิธีใช้: ใช้คลุมศรีษะ เพื่อสุขอนามัยและความสะอาด&lt;/p&gt;</t>
  </si>
  <si>
    <t>สินค้าร้านสปา</t>
  </si>
  <si>
    <t>VAL-703-20P</t>
  </si>
  <si>
    <t>กางเกงในสปา ใช้แล้วทิ้ง สีดำ จำนวน 20 ตัว รุ่น VAL-703/20P</t>
  </si>
  <si>
    <t xml:space="preserve">&lt;p&gt;กางเกงในสปา ใช้แล้วทิ้ง สีดำ จำนวน 20 ตัว รุ่น VAL-703/20P&lt;br /&gt; &lt;br /&gt;&amp;nbsp; &amp;nbsp; &amp;nbsp; &amp;nbsp; &amp;nbsp; ✔︎ วัสดุทำจากผ้าสปันปอนด์ &lt;br /&gt; &amp;nbsp; &amp;nbsp; &amp;nbsp; &amp;nbsp; &amp;nbsp;&amp;nbsp;✔︎ ใส่สบาย คุณภาพดี ใส่ง่าย &lt;br /&gt; &amp;nbsp; &amp;nbsp; &amp;nbsp; &amp;nbsp; &amp;nbsp;&amp;nbsp;✔︎ FREESIZE &lt;br /&gt; &amp;nbsp; &amp;nbsp; &amp;nbsp; &amp;nbsp; &amp;nbsp;&amp;nbsp;✔︎ กางเกงในใช้แล้วทิ้ง&lt;/p&gt;
 &lt;p&gt;วิธีใช้: ใช้สำหรับใส่ทำสปา ตำกางเกงในใช้เป็นสีเข้มจึงทำให้ตัวกางเกงในไม่บางมาก &lt;br /&gt;warning*ไม่แนะนำให้นำกลับมาใช้ต่อ เพื่อความสะอาดถูกสุขอนามัย&lt;/p&gt;</t>
  </si>
  <si>
    <t>VAL-705-B</t>
  </si>
  <si>
    <t>กางเกงในสปา ใช้แล้วทิ้ง จำนวน 20 ตัว รุ่น VAL-705/B</t>
  </si>
  <si>
    <t xml:space="preserve">&lt;p&gt;กางเกงในสปา ใช้แล้วทิ้ง จำนวน 20 ตัว รุ่น VAL-705/B&lt;br /&gt; &lt;br /&gt;&amp;nbsp; &amp;nbsp; &amp;nbsp; &amp;nbsp; ✔︎ วัสดุทำจากผ้าสปันปอนด์ &lt;br /&gt; &amp;nbsp; &amp;nbsp; &amp;nbsp; &amp;nbsp;&amp;nbsp;✔︎ ใส่สบาย คุณภาพดี ใส่ง่าย &lt;br /&gt; &amp;nbsp; &amp;nbsp; &amp;nbsp; &amp;nbsp;&amp;nbsp;✔︎ FREESIZE &lt;br /&gt; &amp;nbsp; &amp;nbsp; &amp;nbsp; &amp;nbsp;&amp;nbsp;✔︎ กางเกงในใช้แล้วทิ้ง&lt;/p&gt;
 &lt;p&gt;วิธีใช้: ใช้สำหรับใส่ทำสปา ตำกางเกงในใช้เป็นสีเข้มจึงทำให้ตัวกางเกงในไม่บางมาก &lt;br /&gt;warning*ไม่แนะนำให้นำกลับมาใช้ต่อ เพื่อความสะอาดถูกสุขอนามัย&lt;/p&gt;</t>
  </si>
  <si>
    <t>VAL-C819-S</t>
  </si>
  <si>
    <t>AFRO COMB หวีส้อม ซี่เหล็ก เซตผม ขนาดเล็ก รุ่น VAL-C819/S</t>
  </si>
  <si>
    <t xml:space="preserve">&lt;p&gt;ขนาดเล็ก : 18 cm&lt;/p&gt;
 &lt;p&gt;ขนาดใหญ่ : 23 cm&lt;/p&gt;
 &lt;p&gt;&amp;nbsp;&lt;/p&gt;
 &lt;p&gt;คุณสมบัติ&lt;/p&gt;
 &lt;p&gt;✔︎ สามารถใช้เซตผม อยู่ทรง&lt;/p&gt;
 &lt;p&gt;✔︎ เหมาะสำหรับคนผมหยิกยันโคนผม&lt;/p&gt;
 &lt;p&gt;✔︎ สามารถใช้สางผมทรงแอฟริกัน(ผมหยิก)&lt;/p&gt;
 &lt;p&gt;✔︎ เหมาะสำหรับผมทรงแอโฟร(Afro)&lt;/p&gt;
 &lt;p&gt;✔︎ สามารถใช้สางผมลอนได้ ไม่ไให้แตกลอน&lt;/p&gt;</t>
  </si>
  <si>
    <t>VAL-C819-B</t>
  </si>
  <si>
    <t>AFRO COMB หวีส้อม ซี่เหล็ก เซตผม รุ่น VAL-C819</t>
  </si>
  <si>
    <t>หวีไทย หวีรองซอย รุ่น version สีชมพู Limited edition มีจุดโดดเด่น VAL-126</t>
  </si>
  <si>
    <t xml:space="preserve">&lt;p&gt;ขนาด&lt;br /&gt;ใหญ่ขนาดประมาณ 19x4 cm&lt;br /&gt;เล็กขนาดประมาณ 16x2.5 cm&lt;/p&gt;
 &lt;p&gt;คุณสมบัติ :&lt;br /&gt;✔️หวีเล็กใหญ่ 1 คู่&lt;br /&gt;✔️ซีหวีถี่ช้อนเนื้อผมได้เป็นอย่างดี&lt;br /&gt;✔️ความเหนียวแน่นของหวีและมวลน้ำหนักพอดีมือ&lt;br /&gt;✔️การทนความร้อน&lt;br /&gt;✔️การโค้งงอให้เข้ารูปของหลัก anatomy&lt;br /&gt;✔️ยืดหยุ่นง่าย&lt;/p&gt;</t>
  </si>
  <si>
    <t>S-8210</t>
  </si>
  <si>
    <t>VALENTE COMB วาเลนเต้ หวีแอมเบอร์ รุ่น S-8210</t>
  </si>
  <si>
    <t xml:space="preserve">&lt;p&gt;คุณสมบัติ: &lt;br /&gt; หวีซี่แบบห่างจะช่วยสางผมเวลาผมพันกัน หรือใช้หวีตอนผมเปียก เพราะจะช่วยลดการเสียดสี &lt;br /&gt;ช่วยถนอมเส้นผมได้ดีกว่าหวีซี่เล็ก และเหมาะสำหรับคนที่สาวผมยาวหรือคนที่ดัดผม เพราะหวีประเภท&lt;br /&gt;นี้จะถนอมเส้นผมของคนดัดผมได้เป็นอย่างดี ระยะความห่างของหวีจะไม่ทำให้ลอนผมของเราแตกง่ายค่ะ&lt;/p&gt;
 &lt;p&gt;✔︎ หวีอีโต้ ฟันห่าง ขนาด 21*5 cm &lt;br /&gt;✔︎ ใช้หวีผม&lt;br /&gt;✔︎ แข็งแรง ทนทาน ใช้งานได้นาน&lt;/p&gt;</t>
  </si>
  <si>
    <t>VAL-20-2</t>
  </si>
  <si>
    <t>กรรไกรซอย ด้ามเงิน 6&amp;quot; นิ้ว รุ่น VAL-20/2</t>
  </si>
  <si>
    <t xml:space="preserve">&lt;p&gt;คุณสมบัติ: &lt;br /&gt;✔︎ กรรไกรซอย ด้ามจับสีเงิน &lt;br /&gt;✔︎ น้ำหนักเบา จับถนัดมือ &lt;br /&gt;✔︎ ใช้สำหรับตัดแต่งทรงผม&lt;/p&gt;
 &lt;p&gt;วิธีใช้: &lt;br /&gt;✂ กรรไกรซอย(ฟันปลา) ใช้ซอยผมให้บางลง ขนาดความยาวเท่าเดิม&lt;/p&gt;
 &lt;p&gt;**สามารถดูวิธีใช้เพิ่มเติมได้ที่ QR code บนกล่อง&lt;/p&gt;</t>
  </si>
  <si>
    <t>PKY-1578</t>
  </si>
  <si>
    <t>กรรไกรตัด รุ่น PKY-1578</t>
  </si>
  <si>
    <t xml:space="preserve">&lt;p&gt;ขนาดสินค้า &lt;br /&gt; - ขนาด 6.5 นิ้ว&lt;br /&gt; - ใบมีดมีความยาว 3 นิ้ว&lt;br /&gt; - ทำจากวัสดุชั้นดีแข็งแรงทนทาน&lt;/p&gt;
 &lt;p&gt;คุณสมบัติ: &lt;br /&gt;✔︎ ชุดกรรไกรตัด+ซอย&lt;br /&gt;✔︎ มียางกันกระแทก &lt;br /&gt;✔︎ ยางสวมนิ้วกระชับ &lt;br /&gt;✔︎ น้ำหนักเบา จับถนัดมือ &lt;br /&gt;✔︎ ตัวกรรไกรทำจากเหล็กคุณภาพสูง &lt;br /&gt;✔︎ พร้อมใช้งานได้ทันทีโดยไม่ต้องลับคมกรรไกร &lt;br /&gt;✔︎ ด้วยคุณภาพของวัสดุชั้นดี ให้ความคมสูงมาก&lt;/p&gt;
 &lt;p&gt;**สามารถดูวิธีใช้เพิ่มเติมได้ที่ QR code บนกล่อง&lt;/p&gt;</t>
  </si>
  <si>
    <t>VAL-7-B-1</t>
  </si>
  <si>
    <t>กรรไกรตัด ขนาด6นิ้ว รุ่น VAL-7/B/1</t>
  </si>
  <si>
    <t xml:space="preserve">&lt;p&gt;คุณสมบัติ&lt;br /&gt;✔︎ กรรไกรวาเลนเต้ ซอย&lt;br /&gt;✔︎ รูปทรงสวยงาม ตัวกรรไกรทำจากเหล็กคุณภาพสูง&lt;br /&gt;✔︎ พร้อมใช้งานได้ทันทีโดยไม่ต้องลับคมกรรไกร&lt;br /&gt;✔︎ ด้วยคุณภาพของวัสดุชั้นดี ให้ความคมสูงมาก&lt;br /&gt;✔︎ ทำให้งานซอย ไม่ติดขัด ลื่นไหล เก็บงานได้ อย่างเรียบร้อย&lt;br /&gt;✔︎ ขนาด 6 นิ้ว&lt;/p&gt;
 &lt;p&gt;วิธีใช้: &lt;br /&gt;✂ กรรไกรซอย(ฟันปลา) ใช้ซอยผมให้บางลง ขนาดความยาวเท่าเดิม &lt;br /&gt;**สามารถดูวิธีใช้เพิ่มเติมได้ที่ QR code บนกล่อง&lt;/p&gt;</t>
  </si>
  <si>
    <t>PKY-1577-1</t>
  </si>
  <si>
    <t>กรรไกรตัด ขนาด 5.5 &amp;quot; รุ่น VAL-1577/1</t>
  </si>
  <si>
    <t xml:space="preserve">&lt;p&gt;กรรไกรตัด ขนาด 5.5 รุ่นVAL-1577/1&lt;/p&gt;
 &lt;p&gt;คุณสมบัติ: &lt;br /&gt;✔︎ มีขนาด 5.5 นิ้ว &lt;br /&gt;✔︎ ด้ามเงิน มียางสีฟ้ากันกระแทก&lt;br /&gt;✔︎ ลับคมพร้อมใช้ เนื้อเหล็กอย่างดี &lt;br /&gt;✔︎ สัมผัสลื่น คม โลหะคุณภาพดี&lt;br /&gt;✔︎ ทำจากวัสดุชั้นดีแข็งแรงทนทาน&lt;/p&gt;
 &lt;p&gt;วิธีใช้: &lt;br /&gt;✂ กรรไกรตัด ใช้ตัดผมให้สั้นลง บางทีก็ใช้ตัดให้ผมบางลงได้ ขึ้นอยู่กับวิธีการตัด &lt;br /&gt;**สามารถดูวิธีใช้เพิ่มเติมได้ที่ QR code บนกล่อง&lt;/p&gt;</t>
  </si>
  <si>
    <t>PKY-1577-2</t>
  </si>
  <si>
    <t>กรรไกรซอย ขนาด 5.5&amp;quot; รุ่น VAL-1577/2</t>
  </si>
  <si>
    <t xml:space="preserve">&lt;p&gt;กรรไกรซอย ขนาด5.5 รุ่นVAL-1577/2&lt;/p&gt;
 &lt;p&gt;คุณสมบัติ: &lt;br /&gt;✔︎ กรรไกรด้ามเงิน ขนาด5.5 นิ้ว&lt;br /&gt;✔︎ ลับคมพร้อมใช้งาน &lt;br /&gt;✔︎ มียางกันกระแทกสีฟ้า&lt;br /&gt;✔︎ สัมผัสลื่น คม โลหะคุณภาพดี&lt;br /&gt;✔︎ ทำจากวัสดุชั้นดีแข็งแรงทนทาน&lt;/p&gt;
 &lt;p&gt;วิธีใช้: &lt;br /&gt;✂ กรรไกรซอย(ฟันปลา) ใช้ซอยผมให้บางลง ขนาดความยาวเท่าเดิม &lt;br /&gt;**สามารถดูวิธีใช้เพิ่มเติมได้ที่ QR code บนกล่อง&lt;/p&gt;</t>
  </si>
  <si>
    <t>VAL-21</t>
  </si>
  <si>
    <t>VALENTE ชุดกรรไกร ตัดผม+ซอยผม รุ่น VAL-21</t>
  </si>
  <si>
    <t xml:space="preserve">&lt;p&gt;คุณสมบัติ&lt;br /&gt;- กรรไกรตัดผมและกรรไกรซอยผม&lt;br /&gt;- รูปทรงสวยงาม ตัวกกรไกรทำจากเหล็กคุณภาพสูง EB-S03&lt;br /&gt;- พร้อมใช้งานได้ทันทีโดยไม่ต้องลับคมกรรไกร RGB liquid crystal shutter projection system (3LCD)&lt;br /&gt;- ด้วยคุณภาพของวัสดุชั้นดี ให้ความคมสูงมาก&lt;br /&gt;- ทำให้งานตัด-ซอย ไม่ติดขัด ลื่นไหล เก็บงานได้ อย่างเรียบร้อย Size 0.55" without MLA (D7)&lt;/p&gt;
 &lt;p&gt;วิธีใช้: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t>
  </si>
  <si>
    <t>HP-201</t>
  </si>
  <si>
    <t>แปรงไดร์กลม ด้ามไม้ ขนหมู 8 เเถว รุ่น HP-201</t>
  </si>
  <si>
    <t xml:space="preserve">&lt;p&gt;วาเลนเต้ แปรงไดร์กลม 8 เเถว รุ่น HP-201&lt;br /&gt;ขนาดความยาว 5x26.5 ซม.&lt;/p&gt;
 &lt;p&gt;ขนหมูมีประสิทธิภาพในการช่วยให้เส้นผมเซ็ททรง เพิ่มวอลลุ่ม &lt;br /&gt;ไดร์ตรง ผมเงา และถนอมเส้นผม&lt;br /&gt; &lt;br /&gt;คุณสมบัติ:&lt;br /&gt; ✔︎ ทำจากขนหมูแท้ 100 % &lt;br /&gt; ✔︎ แปรงกลม ไดร์ผม &lt;br /&gt; ✔︎ แปรงกลม สำหรับไดร์ผมหวีแปรงผมได้ง่าย&lt;br /&gt; ✔︎ จับถนัดมือ ไดร์ผมได้แห้งเร็วขึ้น&lt;br /&gt; ✔︎ ผลิตจากวัสดุอย่างดี&lt;br /&gt; ✔︎ แข็งแรงทนทาน ใช้งานได้นาน&lt;br /&gt; ✔︎ ด้ามไม้ มีประสิทธิภายทนความร้อนสูง&lt;br /&gt; ✔︎ นิยมใช้ในร้านเสริมสวย ซาลอน&lt;/p&gt;</t>
  </si>
  <si>
    <t>HP-203</t>
  </si>
  <si>
    <t>แปรงไดร์กลม ด้ามไม้ ขนหมู 12 เเถว รุ่น HP-203</t>
  </si>
  <si>
    <t xml:space="preserve">&lt;p&gt;วาเลนเต้ ไดร์ผม ด้ามไม้ แซมขนหมู &lt;br /&gt;แปรงไดร์กลม 12 แถว ขนาดความยาว 5x26.5 ซม.&lt;/p&gt;
 &lt;p&gt;ขนหมูมีประสิทธิภาพในการช่วยให้เส้นผมเซ็ททรง เพิ่มวอลลุ่ม &lt;br /&gt;ไดร์ตรง ผมเงา และถนอมเส้นผม&lt;/p&gt;
 &lt;p&gt;คุณสมบัติ:&lt;br /&gt; ✔︎ ทำจากขนหมูแท้ 100 % &lt;br /&gt; ✔︎ นวดหนังศีรษะ&lt;br /&gt; ✔︎ ป้องกันไฟฟ้าสถิตย์และไม่ทำร้ายเส้นผมของคุณ&lt;br /&gt; ✔︎ ทั้งผมตรงหรือขดผมเหมาะสำหรับใช้&lt;br /&gt; ✔︎ จับถนัดมือ ไดร์ผมได้แห้งเร็วขึ้น&lt;br /&gt; ✔︎ ผลิตจากวัสดุอย่างดี&lt;br /&gt; ✔︎ แข็งแรงทนทาน ใช้งานได้นาน&lt;br /&gt; ✔︎ ด้ามไม้ มีประสิทธิภายทนความร้อนสูง&lt;br /&gt; ✔︎ นิยมใช้ในร้านเสริมสวย ซาลอน&lt;/p&gt;</t>
  </si>
  <si>
    <t>VAL-22</t>
  </si>
  <si>
    <t>ชุดกรรไกร วาเลนเต้ ขนาด 6&amp;quot; รุ่น VAL-22</t>
  </si>
  <si>
    <t>H-002-2</t>
  </si>
  <si>
    <t>L'ANGEL Coloring Apron ผ้าคลุมย้อม ผ้าร่ม สีดำ รุ่น H-002/2</t>
  </si>
  <si>
    <t xml:space="preserve">&lt;p&gt;ผ้าคลุมย้อม สีดำ&lt;br /&gt;ขนาด กว้าง 82 สูง 51 น้ำหนัก&lt;/p&gt;
 &lt;p&gt;คุณสมบัติ:&lt;br /&gt;✔︎ ผ้าคลุมรองย้อม ผ้าร่ม&lt;br /&gt;✔︎ ง่ายต่อการล้างทำความสะอาด&lt;br /&gt;✔︎ เป็นตีนตุ๊กแก สามารถเลื่อนขยับไซต์ได้&lt;/p&gt;
 &lt;p&gt;วิธีใช้:&lt;br /&gt;ใช้สำหรับรองคอเวลาทำสีผม ยืดผมหรือทำเคมี หมดปัญหาสีหกเลอะเทอะ สินค้าคุณภาพดี&lt;/p&gt;</t>
  </si>
  <si>
    <t>L'ANGEL iCOLOR แอล แองเจล ไอคัลเลอร์ อเมทิสต์ (เบอร์ 1) สีม่วงอ่อน ANG-081</t>
  </si>
  <si>
    <t>&lt;p&gt;รายละเอียดสินค้า&lt;br /&gt;L'ANGEL LUXURY iCOLOR&lt;br /&gt;แอล แองเจล ไอคัลเลอร์ อเมทิสต์ (เบอร์ 1) สีม่วงอ่อน ปริมาณ 100 ml.&lt;br /&gt;สร้างสีสรรค์สีผมให้หลากหลาย ไร้ขีดจำกัด ไม่ทำให้ผมแห้งเสียเป็นผลิตภัณฑ์เปลี่ยนสีผมกึ่งถาวร&lt;br /&gt;&lt;br /&gt;คุณสมบัติ:&lt;br /&gt;✔︎ ใช้ง่าย ไม่ต้องผสมสีและไม่ต้องผสมไฮโดรเยน&lt;br /&gt;✔︎ สีอยู่ได้นานถึง 4 สัปดาห์&lt;br /&gt;✔︎ เมื่อต้องการเปลี่ยนสี ไม่ต้องกังวลเรื่องล้างสีเดิมออกเพราะสีไอคัลเลอร์สามารถล้างออกง่าย&lt;br /&gt;✔︎ แม้เลอะเสื้อผ้าก็ล้างออกง่ายไม่เหมือนกับสีแว๊กซ์เลอะเสื้อผ้า&lt;br /&gt;(เม็ดสีของแว๊กจะฝั่งลึกเข้าเส้นผมไม่สามารถล้างออกได้)&lt;/p&gt;</t>
  </si>
  <si>
    <t>หวีรองซอยสีรุ้ง แบบสั้น (VAL-339)</t>
  </si>
  <si>
    <t xml:space="preserve">&lt;p&gt;คุณสมบัติ :&lt;br /&gt;✔︎ หวีรองซอย ทำจากวัสดุชั้นดี สีสันสดใส &lt;br /&gt;✔︎ ช่วยในการรองผมเวลาตัด&lt;br /&gt;✔︎ น้ำหนักเบามือ แข็งแรงทนทาน&lt;/p&gt;
 &lt;p&gt;รายละเอียดสินค้า : &lt;br /&gt;VAL-339 เล็ก&lt;br /&gt;น้ำหนัก 12g&lt;br /&gt;ขนาด 18 x2.3 cm&lt;/p&gt;
 &lt;p&gt;&amp;nbsp;&lt;/p&gt;
 &lt;p&gt;&amp;nbsp;&lt;/p&gt;</t>
  </si>
  <si>
    <t>หวีรองซอยสีรุ้ง แบบยาว (VAL-320)</t>
  </si>
  <si>
    <t xml:space="preserve">&lt;p&gt;คุณสมบัติ :&lt;br /&gt;✔︎ หวีรองซอย ทำจากวัสดุชั้นดี สีสันสดใส &lt;br /&gt;✔︎ ช่วยในการรองผมเวลาตัด&lt;br /&gt;✔︎ น้ำหนักเบามือ แข็งแรงทนทาน&lt;/p&gt;
 &lt;p&gt;รายละเอียดสินค้า :&lt;/p&gt;
 &lt;p&gt;VAL-320 ใหญ่&lt;br /&gt;น้ำหนัก 15g&lt;br /&gt;ขนาด 19.8 x 2.5 cm&lt;/p&gt;</t>
  </si>
  <si>
    <t>BB-109</t>
  </si>
  <si>
    <t>BB-109 บาร์เบอร์เบรน เครื่องโกนหนวด shaver trimmer รุ่น II</t>
  </si>
  <si>
    <t xml:space="preserve">&lt;p&gt;&amp;nbsp;&lt;/p&gt;
 &lt;p&gt;รายละเอียดสินค้า :&lt;/p&gt;
 &lt;p&gt;แรงดันไฟฟ้า : 220-240V&lt;/p&gt;
 &lt;p&gt;ไฟฟ้ากระแสสลับ : 50-60Hz&lt;/p&gt;
 &lt;p&gt;พลังงานวัตน์ : 3W&lt;/p&gt;
 &lt;p&gt;การชาร์จ : Port Adapter หัวชาร์จไร้สาย&lt;/p&gt;
 &lt;p&gt;ตะแกรงใบมีดแบบรังผึ้ง&lt;/p&gt;
 &lt;p&gt;&amp;nbsp;&lt;/p&gt;
 &lt;p&gt;รายการของของแถมมีดังนี้&lt;/p&gt;
 &lt;p&gt;1.หัวใบมีดสำรอง 2. ตะแกรงรังผึ้งสำรอง3. แปรงปัดทำความสะอาด 4. หัวชาร์จ&lt;/p&gt;
 &lt;p&gt;&amp;nbsp;&lt;/p&gt;
 &lt;p&gt;คุณสมบัติ :&lt;/p&gt;
 &lt;p&gt;✔︎ ใช้ได้ทั้งโกนหนวดและโกนเครา&amp;nbsp;&lt;/p&gt;
 &lt;p&gt;✔︎ น้ำหนักเบา เสียงเบา&lt;/p&gt;
 &lt;p&gt;✔︎ ขนาดเล็ก พกพาง่าย&lt;/p&gt;</t>
  </si>
  <si>
    <t>เครื่องโกนหนวด</t>
  </si>
  <si>
    <t>ANG-220</t>
  </si>
  <si>
    <t>L&amp;#039;ANGEL NATURAL ALOE VERA HAIR MARK 1000 ml. รุ่น ANG-220</t>
  </si>
  <si>
    <t xml:space="preserve">&lt;p&gt;Nourishing &amp;amp;&amp;nbsp; Make Your Hair Shine Likes A&lt;/p&gt;
 &lt;p&gt;&amp;nbsp;Super Shiny Wax 1000 ml.&lt;/p&gt;
 &lt;p&gt;&amp;nbsp;&lt;/p&gt;
 &lt;p&gt;&amp;nbsp;&lt;/p&gt;</t>
  </si>
  <si>
    <t>ZP-A17008</t>
  </si>
  <si>
    <t>BARBER BRAIN rubber mat แผ่นยางรองปัตตาเลี่ยน รุ่น ZP-A17008</t>
  </si>
  <si>
    <t xml:space="preserve">&lt;p&gt;คุณสมบัติ:&lt;/p&gt;
 &lt;p&gt;&lt;br /&gt;✔︎ ขนาด 45 ซ.ม. X 30 ซ.ม. หนา 0.8 ซ.ม.&lt;br /&gt;✔︎ ผลิตจากเนื้อยางเกรด A มีความเหนียวและทนทาน&lt;br /&gt;✔︎ พื้นยางนูนรูปปัตตาเลี่ยนดีไซด์คูลลเพิ่มแรงเสียดทานลดการลื่นไถลของปัตตาเลี่ยนหรือกรรไกรได้เป็นอย่างดี&lt;/p&gt;</t>
  </si>
  <si>
    <t>VALENTE กระจกทรงกลม รุ่น PK-0530</t>
  </si>
  <si>
    <t xml:space="preserve">&lt;p&gt;กระจกทรงกลม &lt;br /&gt;ขนาด 38*25.5ซม. หนา 1ซม.&lt;/p&gt;
 &lt;p&gt;คุณสมบัติ:&lt;/p&gt;
 &lt;p&gt;✔︎ กระจกกลม &lt;br /&gt;✔︎ ใช้สำหรับส่องเวลาตัดผมด้วยตนเอง &lt;br /&gt;✔︎ วัสดุดีมีคุณภาพ แข็งแรงทนทาน &lt;br /&gt;✔︎ กระจกไม่มัว ไม่หลอกตาแน่นอน&lt;/p&gt;</t>
  </si>
  <si>
    <t>รองฟัน BB-103</t>
  </si>
  <si>
    <t xml:space="preserve">&lt;p&gt;คุณสมบัติ :&lt;/p&gt;
 &lt;p&gt;✔︎ เบอร์ 0.5 ความหนา 1.5 mm&lt;br /&gt;✔︎ เบอร์ 1.5 ความหนา 4.5 mm&lt;br /&gt;✔︎ คลิปเหล็ก ล็อกแน่น คุณภาพพรีเมี่ยม&lt;br /&gt;✔︎ งานวินเทจ ไล่เฟด&lt;/p&gt;</t>
  </si>
  <si>
    <t>HF-006</t>
  </si>
  <si>
    <t>เครื่องหนีบผม ไอน้ำ วาเลนเต้ VALENTE absolut hot HF-006</t>
  </si>
  <si>
    <t>อุปกรณ์ย้อมผมด้วยตัวเอง ถ้วยผสมสี+แปรงย้อม PKY-1506</t>
  </si>
  <si>
    <t xml:space="preserve">&lt;p&gt;ถ้วยผสมสี + แปรง เป็นเซตที่คุ้มมาก &lt;br /&gt;ใช้ในการผสมสีย้อมผม&lt;/p&gt;
 &lt;p&gt;คุณสมบัติ: &lt;br /&gt;✔︎ ชุดถ้วยผสมสีและแปรงย้อม &lt;br /&gt;✔︎ วัสดุดีมีคุณภาพ คงทน &lt;br /&gt;✔︎ ล้างทำความสะอาดง่าย &lt;br /&gt;✔︎ สามารถทำได้ด้วยตนเอง&lt;/p&gt;</t>
  </si>
  <si>
    <t>บาร์เบอร์เบรนปัตตาเลี่ยน T-Blade ไร้สาย BB-100</t>
  </si>
  <si>
    <t xml:space="preserve">&lt;p&gt;&lt;strong&gt;บาร์เบอร์เบรนปัตตาเลี่ยน T-Blade ไร้สาย&lt;/strong&gt;&lt;/p&gt;
 &lt;p&gt;คณสมบัติ:&lt;br /&gt;ปัตตาเลี่ยนตัดผมไร้สาย สามารถชาร์จไฟได้ ตัวเครื่องมีขนาดเล็กกระทัดรัดน้ำหนักเบา&lt;br /&gt;ออกแบบมาเพื่อให้จับถนัดมือ และตัดแต่งทรงผมอย่างคล่องตัว ใช้งานได้โดยไม่ต้องเสียบปลั๊ก&lt;br /&gt;✔︎ ปัตตาเลี่ยนใบมีดคมและเสียงเครื่องเบา&lt;br /&gt;✔︎ สามารถตัดผมและกันจอนผม&lt;br /&gt;✔︎ เหมาะกับผมที่มีลักษณะเป็นขนอ่อนจะใช้ได้ดี&lt;br /&gt;✔︎ ใช้สำหรับตัดแต่งทรงผม&lt;/p&gt;
 &lt;p&gt;วิธีใช้:&lt;br /&gt;ปัตตาเลี่ยนตัวเล็ก เหมาะสำหรับ การใช้กันขอบ แกะลาย&lt;br /&gt;เก็บงาน แต่งหนวดเครา เพราะขนาดฟันเล็ก เข้าซอกมุมได้ง่าย&lt;/p&gt;</t>
  </si>
  <si>
    <t>HF-012</t>
  </si>
  <si>
    <t>เครื่องหนีบผมและม้วผม VALENTE ได้สูงสุด 240 องศา รุ่น HF-012</t>
  </si>
  <si>
    <t>VALENTE แปรงไดร์กลม 14 แถว ไดร์ผม ด้ามไม้ สีขาว VAL-973</t>
  </si>
  <si>
    <t>OY-965</t>
  </si>
  <si>
    <t>พู่กัน เบอร์ 2</t>
  </si>
  <si>
    <t>GAD</t>
  </si>
  <si>
    <t>Good all day ขายออนไลน์</t>
  </si>
  <si>
    <t>CAL-1</t>
  </si>
  <si>
    <t>Calendar 2021 &amp;quot;Jameson X Barber Brain&amp;quot; Limited Edition</t>
  </si>
  <si>
    <t>อื่นๆ</t>
  </si>
  <si>
    <t>สินค้าของแถม</t>
  </si>
  <si>
    <t>ACCESSORY หมวกคลุมผมดัด BD-051</t>
  </si>
  <si>
    <t xml:space="preserve">&lt;p&gt;หมวกคลุมผมดัด ขนาดกว้าง 30 ซม. ยาว 32 ซม.&lt;/p&gt;
 &lt;p&gt;คุณสมบัติ:&lt;br /&gt;✔︎ หมวกคลุมผมดีมีคุณภาพ&lt;br /&gt;✔︎ หมวกชั้นในทำจากโพลีเอสเตอร์ป้องกันเคมี&lt;br /&gt;✔︎ หมวกชั้นนอกทำจากไนลอนยืดหยุ่นพิเศษสามารถป้องกันน้ำ&lt;br /&gt;✔︎ ขนาดใหญ่พิเศษเส้นผ่านศูนย์กลาง 40&lt;br /&gt;✔︎ เหมาะสำหรับใช้คลุมตัดผมแทนการอบร้อนเพื่อให้ผมหยิกเร็ว มีสปริง&lt;/p&gt;
 &lt;p&gt;วิธีใช้:&lt;br /&gt;คลุมผม 10-15 นาทีเพื่อแทนการอบไอน้ำในการทำทรีทเม้นผมให้ทรีทเม้นท์ซึมเข้าสู่แกนผม&lt;br /&gt;ได้ดียิ่งขึ้น หรือใช้ในการคลุมผมสำหรับการทำแว๊กสีเพื่อให้สีติดทนยิ่งขึ้นและเงามากขึ้น&lt;/p&gt;</t>
  </si>
  <si>
    <t>ZM-BB-108-1</t>
  </si>
  <si>
    <t>สายชาร์จ BB-108</t>
  </si>
  <si>
    <t>&lt;p&gt;สายชาร์จสำหรับ BB-108&lt;/p&gt;</t>
  </si>
  <si>
    <t>Replacement Parts - ชิ้นส่วนอะไหล่</t>
  </si>
  <si>
    <t>สายชาร์จ</t>
  </si>
  <si>
    <t>Black</t>
  </si>
  <si>
    <t>ZM-BB-108-5</t>
  </si>
  <si>
    <t>สปริง อะไหล่ BB-108</t>
  </si>
  <si>
    <t>ชุดสปริง</t>
  </si>
  <si>
    <t>PKY-1810</t>
  </si>
  <si>
    <t>ผ้าขนหนูนาโน 31*17 นิ้ว</t>
  </si>
  <si>
    <t>LST-208</t>
  </si>
  <si>
    <t>ถาดรองน้ำยาเคมี รหัส LST-208</t>
  </si>
  <si>
    <t>ANG-CARD-40</t>
  </si>
  <si>
    <t>แผงตัวอย่างสีผม รหัส ANG-CARD-40</t>
  </si>
  <si>
    <t>Permanent color (สีถาวร)</t>
  </si>
  <si>
    <t>L'ANGEL Silver Shampoo แอลแองเจล ซิลเวอร์ แชมพูม่วง ANG-610</t>
  </si>
  <si>
    <t xml:space="preserve">&lt;p&gt;Silver shampoo แอลแองเจลซิลเวอร์ ปริมาณ 250 ml.&lt;/p&gt;
 &lt;p&gt;คุณสมบัติ:&amp;nbsp;&lt;br /&gt;แชมพูหักล้างเม็ดสีเหลืองช่วยลดโทนสีเหลืองบนเส้นผม ทำความสะอาดเส้นผมอย่างอ่อนโยน&lt;br /&gt;ให้สีผมของคุณยังคงสีสวยเป็นประกาย สีผมติดทนยาวนานยิ่งขึ้น&lt;/p&gt;
 &lt;p&gt;วิธีการใช้:&amp;nbsp;&lt;br /&gt;ชโลมแชมพูลงบนเส้นผมที่เปียกนวดเบาๆจนเกิดฟองทั่วศรีษะ ล้างออกให้สะอาด&lt;br /&gt;Warning: ระวังอย่าให้เข้าตา&lt;/p&gt;
 &lt;p&gt;..........................................................................&lt;/p&gt;</t>
  </si>
  <si>
    <t>ANG-CARD-13</t>
  </si>
  <si>
    <t>แผงสี iColor</t>
  </si>
  <si>
    <t>VAL-701-7</t>
  </si>
  <si>
    <t>กรรไกรตัด รุ่น VAL-701-7</t>
  </si>
  <si>
    <t xml:space="preserve">&lt;p&gt;VALENTE กรรไกรตัด รุ่น VAL-701-7 กรรไกรตัด ขนาด6.5นิ้ว&lt;/p&gt;
 &lt;p&gt;กรรไกรตัดผม VALENTE (ซองส้ม)&lt;br /&gt;- ผลิตจากสแตนเลสอย่างดี ใบมีดคมกริบ ไม่สะดุดเวลาใช้งาน&lt;br /&gt;- ออกแบบมาให้จับได้ถนัดมือในระหว่างการใช้งาน&lt;br /&gt;- เหมาะสำหรับร้านตัดผม บาร์เบอร์ ซาลอนหรือใช้งานซอยผมทั่วไป&lt;/p&gt;</t>
  </si>
  <si>
    <t>SPH-001</t>
  </si>
  <si>
    <t>กระบอกน้ำทรงหยดน้ำ</t>
  </si>
  <si>
    <t>VAL-604</t>
  </si>
  <si>
    <t>VALENTE หวีแปรงด้ามไม้ รุ่น VAL-604</t>
  </si>
  <si>
    <t>PK-358-20</t>
  </si>
  <si>
    <t>โรลขนญี่ปุ่น ขนาด 20 มม. 6ชิ้น/แพ็ค PK-358/20</t>
  </si>
  <si>
    <t xml:space="preserve">&lt;p class="p1"&gt;โรลม้วนผม อุปกรณ์ทำผม&lt;/p&gt;
 &lt;p class="p2"&gt;&amp;nbsp;&lt;/p&gt;
 &lt;p class="p1"&gt;คุณสมบัติ&lt;span class="s1"&gt;:&lt;br /&gt; &lt;/span&gt;&lt;span class="s2"&gt;✔︎&lt;/span&gt; ตัวขนช่วยในการยึดติดโรลกับเส้นผมให้จับลอนอย่างเป็นธรรมชาติยาวนานยิ่งขึ้น&lt;span class="s1"&gt;&lt;br /&gt; &lt;/span&gt;&lt;span class="s2"&gt;✔︎&lt;/span&gt; ลอนเล็กลอนใหญ่ขึ้นอยู่กับขนาดโรล&lt;span class="s1"&gt;&lt;br /&gt; &lt;/span&gt;&lt;span class="s2"&gt;✔︎&lt;/span&gt; สามารถใช้ได้ทั้งหน้าม้าและปลายผม&lt;span class="s1"&gt;&lt;br /&gt; &lt;/span&gt;&lt;span class="s2"&gt;✔︎&lt;/span&gt; สามารถทำทิ้งไว้ตอนกลางคืนหรือตอนนอนได้ ไม่เจ็บหรือดึงหนังศรีษะ&lt;span class="s1"&gt;&lt;br /&gt; &lt;/span&gt;&lt;span class="s2"&gt;✔︎&lt;/span&gt; แถบเหล็กจะช่วยกักความร้อนให้เส้นผมอุ่น คือลอนจะแน่นและอยู่ทรงเป็นพิเศษ&lt;span class="s1"&gt;&lt;br /&gt; &lt;/span&gt;&lt;span class="s2"&gt;✔︎&lt;/span&gt; โรลขนญี่ปุ่นนี้สามารถกระชับลอน&lt;span class="s1"&gt;&lt;br /&gt; &lt;/span&gt;&lt;span class="s2"&gt;✔︎&lt;/span&gt; เพิ่มโวลุ่ม จัดการกับปลายผมที่ชี้ฟูให้ทิ้งตัวแต่ไม่ลีบแบน&lt;span class="s1"&gt;&lt;br /&gt; &lt;br /&gt; &lt;/span&gt;วิธีใช้&lt;span class="s1"&gt;: &lt;/span&gt;ใช้สำหรับม้วนลอนผม&lt;span class="s1"&gt;&lt;br /&gt; *&lt;/span&gt;เหมาะสำหรับทุกเพศทุกวัย&lt;span class="s1"&gt;*&lt;/span&gt;&lt;/p&gt;</t>
  </si>
  <si>
    <t>โรลขนม้วนผม</t>
  </si>
  <si>
    <t>PK-358-24</t>
  </si>
  <si>
    <t>โรลขนญี่ปุ่น ขนาด 24 มม. 6ชิ้น/แพ็ค PK-358/24</t>
  </si>
  <si>
    <t xml:space="preserve">&lt;p class="p1"&gt;รลม้วนผม อุปกรณ์ทำผม&lt;/p&gt;
 &lt;p class="p2"&gt;&amp;nbsp;&lt;/p&gt;
 &lt;p class="p1"&gt;คุณสมบัติ&lt;span class="s1"&gt;:&lt;br /&gt; &lt;/span&gt;&lt;span class="s2"&gt;✔︎&lt;/span&gt; ตัวขนช่วยในการยึดติดโรลกับเส้นผมให้จับลอนอย่างเป็นธรรมชาติยาวนานยิ่งขึ้น&lt;span class="s1"&gt;&lt;br /&gt; &lt;/span&gt;&lt;span class="s2"&gt;✔︎&lt;/span&gt; ลอนเล็กลอนใหญ่ขึ้นอยู่กับขนาดโรล&lt;span class="s1"&gt;&lt;br /&gt; &lt;/span&gt;&lt;span class="s2"&gt;✔︎&lt;/span&gt; สามารถใช้ได้ทั้งหน้าม้าและปลายผม&lt;span class="s1"&gt;&lt;br /&gt; &lt;/span&gt;&lt;span class="s2"&gt;✔︎&lt;/span&gt; สามารถทำทิ้งไว้ตอนกลางคืนหรือตอนนอนได้ ไม่เจ็บหรือดึงหนังศรีษะ&lt;span class="s1"&gt;&lt;br /&gt; &lt;/span&gt;&lt;span class="s2"&gt;✔︎&lt;/span&gt; แถบเหล็กจะช่วยกักความร้อนให้เส้นผมอุ่น คือลอนจะแน่นและอยู่ทรงเป็นพิเศษ&lt;span class="s1"&gt;&lt;br /&gt; &lt;/span&gt;&lt;span class="s2"&gt;✔︎&lt;/span&gt; โรลขนญี่ปุ่นนี้สามารถกระชับลอน&lt;span class="s1"&gt;&lt;br /&gt; &lt;/span&gt;&lt;span class="s2"&gt;✔︎&lt;/span&gt; เพิ่มโวลุ่ม จัดการกับปลายผมที่ชี้ฟูให้ทิ้งตัวแต่ไม่ลีบแบน&lt;span class="s1"&gt;&lt;br /&gt; &lt;br /&gt; &lt;/span&gt;วิธีใช้&lt;span class="s1"&gt;: &lt;/span&gt;ใช้สำหรับม้วนลอนผม&lt;span class="s1"&gt;&lt;br /&gt; *&lt;/span&gt;เหมาะสำหรับทุกเพศทุกวัย&lt;span class="s1"&gt;*&lt;/span&gt;&lt;/p&gt;</t>
  </si>
  <si>
    <t>PK-358-32</t>
  </si>
  <si>
    <t>โรลขนญี่ปุ่น ขนาด 32 มม. 6ชิ้น/แพ็ค PK-358/32</t>
  </si>
  <si>
    <t xml:space="preserve">&lt;p class="p1"&gt;โรลม้วนผม อุปกรณ์ทำผม&lt;/p&gt;
 &lt;p class="p2"&gt;คุณสมบัติ&lt;span class="s1"&gt;:&lt;/span&gt;&lt;/p&gt;
 &lt;p class="p1"&gt;&lt;span class="s2"&gt;✔︎&lt;/span&gt; ตัวขนช่วยในการยึดติดโรลกับเส้นผมให้จับลอนอย่างเป็นธรรมชาติยาวนานยิ่งขึ้น&lt;span class="s1"&gt;&lt;br /&gt; &lt;/span&gt;&lt;span class="s2"&gt;✔︎&lt;/span&gt; ลอนเล็กลอนใหญ่ขึ้นอยู่กับขนาดโรล&lt;span class="s1"&gt;&lt;br /&gt; &lt;/span&gt;&lt;span class="s2"&gt;✔︎&lt;/span&gt; สามารถใช้ได้ทั้งหน้าม้าและปลายผม&lt;span class="s1"&gt;&lt;br /&gt; &lt;/span&gt;&lt;span class="s2"&gt;✔︎&lt;/span&gt; สามารถทำทิ้งไว้ตอนกลางคืนหรือตอนนอนได้ ไม่เจ็บหรือดึงหนังศรีษะ&lt;span class="s1"&gt;&lt;br /&gt; &lt;/span&gt;&lt;span class="s2"&gt;✔︎&lt;/span&gt; แถบเหล็กจะช่วยกักความร้อนให้เส้นผมอุ่น คือลอนจะแน่นและอยู่ทรงเป็นพิเศษ&lt;span class="s1"&gt;&lt;br /&gt; &lt;/span&gt;&lt;span class="s2"&gt;✔︎&lt;/span&gt; โรลขนญี่ปุ่นนี้สามารถกระชับลอน&lt;span class="s1"&gt;&lt;br /&gt; &lt;/span&gt;&lt;span class="s2"&gt;✔︎&lt;/span&gt; เพิ่มโวลุ่ม จัดการกับปลายผมที่ชี้ฟูให้ทิ้งตัวแต่ไม่ลีบแบน&lt;span class="s1"&gt;&lt;br /&gt; &lt;br /&gt; &lt;/span&gt;วิธีใช้&lt;span class="s1"&gt;: &lt;/span&gt;ใช้สำหรับม้วนลอนผม&lt;span class="s1"&gt;&lt;br /&gt; *&lt;/span&gt;เหมาะสำหรับทุกเพศทุกวัย&lt;span class="s1"&gt;*&lt;/span&gt;&lt;/p&gt;</t>
  </si>
  <si>
    <t>PK-358-36</t>
  </si>
  <si>
    <t>โรลขนญี่ปุ่น ขนาด 36 มม. 6ชิ้น/แพ็ค PK-358/36</t>
  </si>
  <si>
    <t>PK-358-40</t>
  </si>
  <si>
    <t>โรลขนญี่ปุ่น ขนาด 40 มม. 6ชิ้น/แพ็ค PK-358/40</t>
  </si>
  <si>
    <t xml:space="preserve">&lt;p class="p1"&gt;รลม้วนผม อุปกรณ์ทำผม&lt;/p&gt;
 &lt;p class="p1"&gt;คุณสมบัติ&lt;span class="s1"&gt;:&lt;br /&gt; &lt;/span&gt;&lt;span class="s2"&gt;✔︎&lt;/span&gt; ตัวขนช่วยในการยึดติดโรลกับเส้นผมให้จับลอนอย่างเป็นธรรมชาติยาวนานยิ่งขึ้น&lt;span class="s1"&gt;&lt;br /&gt; &lt;/span&gt;&lt;span class="s2"&gt;✔︎&lt;/span&gt; ลอนเล็กลอนใหญ่ขึ้นอยู่กับขนาดโรล&lt;span class="s1"&gt;&lt;br /&gt; &lt;/span&gt;&lt;span class="s2"&gt;✔︎&lt;/span&gt; สามารถใช้ได้ทั้งหน้าม้าและปลายผม&lt;span class="s1"&gt;&lt;br /&gt; &lt;/span&gt;&lt;span class="s2"&gt;✔︎&lt;/span&gt; สามารถทำทิ้งไว้ตอนกลางคืนหรือตอนนอนได้ ไม่เจ็บหรือดึงหนังศรีษะ&lt;span class="s1"&gt;&lt;br /&gt; &lt;/span&gt;&lt;span class="s2"&gt;✔︎&lt;/span&gt; แถบเหล็กจะช่วยกักความร้อนให้เส้นผมอุ่น คือลอนจะแน่นและอยู่ทรงเป็นพิเศษ&lt;span class="s1"&gt;&lt;br /&gt; &lt;/span&gt;&lt;span class="s2"&gt;✔︎&lt;/span&gt; โรลขนญี่ปุ่นนี้สามารถกระชับลอน&lt;span class="s1"&gt;&lt;br /&gt; &lt;/span&gt;&lt;span class="s2"&gt;✔︎&lt;/span&gt; เพิ่มโวลุ่ม จัดการกับปลายผมที่ชี้ฟูให้ทิ้งตัวแต่ไม่ลีบแบน&lt;span class="s1"&gt;&lt;br /&gt; &lt;br /&gt; &lt;/span&gt;วิธีใช้&lt;span class="s1"&gt;: &lt;/span&gt;ใช้สำหรับม้วนลอนผม&lt;span class="s1"&gt;&lt;br /&gt; *&lt;/span&gt;เหมาะสำหรับทุกเพศทุกวัย&lt;span class="s1"&gt;*&lt;/span&gt;&lt;/p&gt;</t>
  </si>
  <si>
    <t>PK-358-45</t>
  </si>
  <si>
    <t>โรลขนญี่ปุ่น ขนาด 45 มม. 6ชิ้น/แพ็ค PK-358/45</t>
  </si>
  <si>
    <t>PK-358-50</t>
  </si>
  <si>
    <t>โรลขนญี่ปุ่น ขนาด 50 มม. 6ชิ้น/แพ็ค PK-358/50</t>
  </si>
  <si>
    <t>PK-358-55</t>
  </si>
  <si>
    <t>โรลขนญี่ปุ่น ขนาด 55มม. 6ชิ้น/แพ็ค PK-358/55</t>
  </si>
  <si>
    <t>PK-358-60</t>
  </si>
  <si>
    <t>โรลขนญี่ปุ่น ขนาด 60มม. 6ชิ้น/แพ็ค PK-358/60</t>
  </si>
  <si>
    <t>XR-013</t>
  </si>
  <si>
    <t>ห่วงต่อผม กิ๊ฟต่อผม ห่วงต่อผม สีน้ำตาลเข้ม 1 ชั้น (3mm) 500 ชิ้น รุ่น XR-013</t>
  </si>
  <si>
    <t>&lt;p&gt;คุณสมบัติ:&lt;br /&gt;✔︎ ห่วงต่อผม 1 ชั้น&lt;br /&gt;✔︎ วัสดุทำจากซิลิโคน&lt;br /&gt;✔︎ รูด้านในเป็นแบบเกลียว&lt;br /&gt;✔︎ 1กระปุก มี 500 ชิ้น&lt;br /&gt;✔︎ ขนาดไมโคร ต่อเนียน&lt;br /&gt;✔︎ พลางตารอบต่อของเส้นผม&lt;/p&gt;</t>
  </si>
  <si>
    <t>หวีหนีบผม ด้ามไม้ วาเลนเต้ รหัส LU-1702</t>
  </si>
  <si>
    <t xml:space="preserve">&lt;p&gt;VALENTE Wood Brush / Clamping Brush&lt;br /&gt;แปรงไม้หนีบผมขนหมูป่าด้ามไม้วาเลนเต้ &lt;br /&gt;รุ่น LU-1702&lt;/p&gt;
 &lt;p&gt;ขนาดกว้าง 3.5cm ยาว 22cm&lt;br /&gt;✅ รับประกันคุณภาพ&lt;br /&gt;✅ ขนหมูป่า&lt;br /&gt;✅ วัสดุสีไม้ ด้ามไม้&lt;br /&gt;✅ แปรงหนีบผม&lt;br /&gt;✅ ใช้ขณะหนีบผม เป็นตัวช่วยในการหนีบผม&lt;br /&gt;✅ หวีหนีบ หวีสาง ใช้เป็นตัวช่วยในการหนีบผม&lt;/p&gt;</t>
  </si>
  <si>
    <t>HP-005</t>
  </si>
  <si>
    <t>VALENTE แปรงไดร์ฟาร่า ด้ามไม้ ขนาด 10 แถว รหัสสินค้า HP-005</t>
  </si>
  <si>
    <t>&lt;p&gt;แปรงไดร์ฟาร่า &lt;br /&gt;ขนาด 10 แถว &lt;br /&gt;ทนความร้อน&lt;br /&gt; ด้ามไม้&lt;br /&gt;&lt;br /&gt;รหัสสินค้า HP-005&lt;/p&gt;</t>
  </si>
  <si>
    <t>HP-006</t>
  </si>
  <si>
    <t>VALENTE แปรงไดร์ฟาร่า ด้ามไม้ ขนาด 12 แถว รหัสสินค้า HP-006</t>
  </si>
  <si>
    <t>&lt;p&gt;แปรงไดร์ฟาร่า &lt;br /&gt;ด้ามไม้ &lt;br /&gt;ขนาด 12 แถว &lt;br /&gt;&lt;br /&gt;รหัสสินค้า HP-006&lt;/p&gt;</t>
  </si>
  <si>
    <t>HP-007</t>
  </si>
  <si>
    <t>VALENTE แปรงไดร์ฟาร่า ด้ามไม้ ขนาด 14 แถว รหัสสินค้า HP-007</t>
  </si>
  <si>
    <t>&lt;p&gt;แปรงไดร์ฟาร่า &lt;br /&gt;ด้ามไม้ &lt;br /&gt;ขนาด 14 แถว &lt;br /&gt;&lt;br /&gt;รหัสสินค้า HP-008&lt;/p&gt;</t>
  </si>
  <si>
    <t>HP-008</t>
  </si>
  <si>
    <t>VALENTE แปรงไดร์ฟาร่า ด้ามไม้ ขนาด 16 แถว รหัสสินค้า HP-008</t>
  </si>
  <si>
    <t>&lt;p&gt;แปรงไดร์ฟาร่า &lt;br /&gt;ด้ามไม้ &lt;br /&gt;ขนาด 16 แถว &lt;br /&gt;&lt;br /&gt;รหัสสินค้า HP-008&lt;/p&gt;</t>
  </si>
  <si>
    <t>ปัตตาเลี่ยน BB-110 แถมหวี BB-106-06 และรองฟัน BB-103</t>
  </si>
  <si>
    <t xml:space="preserve">&lt;p&gt;บาร์เบอร์เบรนภูมิใจนำเสนอปัตตาเลี่ยน LEO (เลโอ) ที่ได้รับแรงบันดาลใจจากแสงเหนือสีเขียว Aurora Borealis&lt;/p&gt;
 &lt;p&gt;&amp;mdash;&amp;mdash;&amp;mdash;&amp;mdash;&amp;mdash;&amp;mdash;&amp;mdash;&amp;mdash;&amp;mdash;&amp;mdash;&amp;mdash;&lt;br /&gt;คุณสมบัติ&lt;br /&gt;ปรับฟันได้ 4 ระดับ&lt;br /&gt;น้ำหนัก 300 กรัม&lt;br /&gt;เนื้อเหล็ก 440C&lt;br /&gt;ปัตตาเลี่ยน Lithium 2600 mAh&lt;br /&gt;10 W 3.7 V มอเตอร์ DC 100-240V 50/60HZ&lt;br /&gt;ความเร็ว 6000 RPM&lt;br /&gt;ชาร์จ 2 ชั่วโมง ใช้งาน 240 นาที&lt;br /&gt;ตอนเปิดใช้งาน = ไม่มีไฟ&lt;br /&gt;ตอนชาร์จ = ไฟสีฟ้า&lt;br /&gt;ชาร์จเต็ม = ไฟจะตัดดับ&lt;/p&gt;</t>
  </si>
  <si>
    <t>LK-2001</t>
  </si>
  <si>
    <t>ขวดปั๊มพลาสติก ขวดใส่เจลล้างมือ ขนาด 50 ml. รหัส LK-2001</t>
  </si>
  <si>
    <t>LK-2002</t>
  </si>
  <si>
    <t>ขวดปั๊มพลาสติก ขวดใส่เจลล้างมือ ขนาด 100 ml. รหัส LK-2002</t>
  </si>
  <si>
    <t>LK-2004</t>
  </si>
  <si>
    <t>ขวดปั๊มพลาสติก ขวดใส่เจลล้างมือ ขนาด 500 ml. รหัส LK-2004</t>
  </si>
  <si>
    <t>LK-2005</t>
  </si>
  <si>
    <t>ขวดปั๊มพลาสติก ขวดใส่เจลล้างมือ ขนาด 60 ml. รหัส LK-2002</t>
  </si>
  <si>
    <t>LK-2008</t>
  </si>
  <si>
    <t>ขวดปั๊มพลาสติก ขวดใส่เจลล้างมือ ขนาด 500 ml. รหัส LK-2002</t>
  </si>
  <si>
    <t>LK-2003</t>
  </si>
  <si>
    <t>ขวดปั๊มพลาสติก ขวดใส่เจลล้างมือ ขนาด 300 ml. รหัส LK-2003</t>
  </si>
  <si>
    <t>LK-2006</t>
  </si>
  <si>
    <t>ฝาปั๊ม LK-2006</t>
  </si>
  <si>
    <t>ZM-HT-001-1</t>
  </si>
  <si>
    <t>สายชาร์ท ปัตตาเลี่ยน HT-001</t>
  </si>
  <si>
    <t>ZM-BB-100-2</t>
  </si>
  <si>
    <t>ถ่าน 600 mAh ปัตตาเลี่ยน รุ่น BB-100</t>
  </si>
  <si>
    <t>ถ่าน แบตเตอรี่</t>
  </si>
  <si>
    <t>ZM-VAL-1919</t>
  </si>
  <si>
    <t>สวิตซ์ ปัตตาเลี่ยน VAL-1919</t>
  </si>
  <si>
    <t>สวิตซ์</t>
  </si>
  <si>
    <t>S-8204</t>
  </si>
  <si>
    <t>VALENTE COMB วาเลนเต้ หวีอีโต้แอมเบอร์ซี่ห่าง รุ่น S-8204</t>
  </si>
  <si>
    <t>&lt;p&gt;หวีแอมเบอร์ 21 ซม. &lt;br /&gt;&lt;br /&gt;คุณสมบัติ: &lt;br /&gt;&lt;br /&gt;&amp;nbsp; &amp;nbsp; หวีซี่แบบห่างจะช่วยสางผมเวลาผมพันกัน หรือใช้หวีตอนผมเปียก เพราะจะช่วยลดการเสียดสี ช่วยถนอมเส้นผมได้ดีกว่าหวีซี่เล็ก และเหมาะสำหรับคนที่ผมยาวหรือคนที่ดัดผม เพราะหวีประเภท นี้จะถนอมเส้นผมของคนดัดผมได้เป็นอย่างดี ระยะความห่างของหวีจะไม่ทำให้ลอนผมของเราแตกง่ายค่ะ &lt;br /&gt;✔︎ หวีอีโต้ ฟันห่าง ขนาด 21*5 cm &lt;br /&gt;✔︎ ใช้หวีผม &lt;br /&gt;✔︎ แข็งแรง ทนทาน ใช้งานได้นาน&lt;/p&gt;</t>
  </si>
  <si>
    <t>BB-510 บาร์เบอร์เบรน ซิลเวอร์ เบลด เซฟ เจล ปริมาณ 140ml.</t>
  </si>
  <si>
    <t>&lt;p&gt;เจลโกนหนวด เนื้อเจลซึมผ่านขนได้อย่าง&lt;br /&gt;รวดเร็ว ช่วยปรับเส้นขนให้อ่อนนุ่มลงสามารถ&lt;br /&gt;ตกแต่งหนวดให้ได้ตามที่ต้องการพร้อมคืนความ&lt;br /&gt;ชุ่มชื้นให้กับผิว เนื้อเจลให้ความลื่น โกนง่าย&lt;br /&gt;และช่วยลดการเสียดสีของใบมีดโกนกับผิวหน้า&lt;br /&gt;มีส่วนผสมจากคาโมมายล์ที่ช่วยปลอบประโลมผิว&lt;br /&gt;ช่วยลดอาการระคายเคืองของผิวหลังโกนหนวด&lt;/p&gt;</t>
  </si>
  <si>
    <t>Shaving Cream (ครีมโกนหนวด)</t>
  </si>
  <si>
    <t>PW-12822</t>
  </si>
  <si>
    <t>แกนดัดผม ไม้ดัดผม5ชิ้น/แพค</t>
  </si>
  <si>
    <t xml:space="preserve">&lt;p&gt;...................... นิยมในร้านเสริมสวย ซาลอน ..................... &lt;br /&gt;ขนาด &lt;br /&gt;ยาว 13.5 cm&lt;br /&gt;กว้าง 1.6 cm&lt;/p&gt;
 &lt;p&gt;วัสดุ&lt;br /&gt;ทำจากพลาสติกชั้นดี&lt;/p&gt;</t>
  </si>
  <si>
    <t>แกนดัดผม</t>
  </si>
  <si>
    <t>ZM-BB-107-1</t>
  </si>
  <si>
    <t>อะไหล่ฟัน ปัตตาเลี่ยน รุ่น BB-107</t>
  </si>
  <si>
    <t>อะไหล่ฟัน</t>
  </si>
  <si>
    <t>ชุดอุปกรณ์ทำไฮไลท์ 3 มิติ รหัส CPS-001</t>
  </si>
  <si>
    <t>CAPE-1-FREE</t>
  </si>
  <si>
    <t>ผ้าคลุมใส 1 ชิ้น CAPE-1</t>
  </si>
  <si>
    <t>VAL-658</t>
  </si>
  <si>
    <t>หวีแปรงโค้งแบบโปร่ง หวีแปรงเปียก แบบเหลี่ยม ดไฟฟ้าสถิตย์ มีปุ่มช่วยนวดศรีษะ รุ่น VAL-658</t>
  </si>
  <si>
    <t>15-LIGHT GREEN</t>
  </si>
  <si>
    <t>16-LIGHTPINK</t>
  </si>
  <si>
    <t>VAL-659</t>
  </si>
  <si>
    <t>หวีแปรงโค้งแบบโปร่ง หวีแปรงเปียก แบบกลม ลดไฟฟ้าสถิตย์ มีปุ่มช่วยนวดศรีษะ รุ่น VAL-659</t>
  </si>
  <si>
    <t>JM-701</t>
  </si>
  <si>
    <t>หวีโค้งรองซอย-ตัด เหมาะสำหรับตัดผมด้วยตนเอง เข้ากับรูปศรีษะ รุ่น JM-701</t>
  </si>
  <si>
    <t xml:space="preserve">&lt;p&gt;หวีโค้งรองซอย-ตัด เหมาะสำหรับตัดผมด้วยตนเอง เข้ากับรูปศรีษะ รุ่น JM-701&lt;br /&gt;รุ่น : JM-701&lt;br /&gt;มี 2 สี&lt;br /&gt;✔︎ ชมพู&lt;br /&gt;✔︎ ขาว&lt;br /&gt;ขนาด : ยาว 22.2cm กว้าง 5cm&lt;/p&gt;
 &lt;p&gt;✔︎ หวีโค้งรับกับศรีษะ&lt;br /&gt;✔︎ รองซอย&lt;br /&gt;✔︎ ขึ้นทรง ด้วยตัวเอง&lt;/p&gt;</t>
  </si>
  <si>
    <t>VAL-224-B</t>
  </si>
  <si>
    <t>หวีไฟเบอร์ สีน้ำตาล รุ่น VAL-224/B</t>
  </si>
  <si>
    <t>ZM-BB-108-11</t>
  </si>
  <si>
    <t>ฝาบนครอบบอดี้ BB-108</t>
  </si>
  <si>
    <t>บอดี้</t>
  </si>
  <si>
    <t>ZM-BB-108-10</t>
  </si>
  <si>
    <t>สวิตซ์ อะไหล่ BB-108</t>
  </si>
  <si>
    <t>ZM-BB-108-4</t>
  </si>
  <si>
    <t>อะไหล่ฟัน BB-108/4</t>
  </si>
  <si>
    <t>ZM-BB-100-5</t>
  </si>
  <si>
    <t>สายชาร์จ ปัตตาเลี่ยนรุ่น BB-100</t>
  </si>
  <si>
    <t>ZM-BB-100-1</t>
  </si>
  <si>
    <t>ฟันปัตตาเลี่ยน BB-100</t>
  </si>
  <si>
    <t>ZM-BB-110-4</t>
  </si>
  <si>
    <t>อะไหล่ฟัน BB-110/4</t>
  </si>
  <si>
    <t>ZM-BB-107-5</t>
  </si>
  <si>
    <t>หม้อแปรงชาร์จไฟ BB-107</t>
  </si>
  <si>
    <t>FREE-TEE</t>
  </si>
  <si>
    <t>Surf Skate Tee Limited Edition</t>
  </si>
  <si>
    <t>HC-001-28</t>
  </si>
  <si>
    <t>โรลม้วนผมไฟฟ้า ขนาด 28 มม. รหัสสินค้า HC-001/28</t>
  </si>
  <si>
    <t>ZM-BB-110-1</t>
  </si>
  <si>
    <t>สายชาร์จ BB-110/1</t>
  </si>
  <si>
    <t>ZM-BB-110-2</t>
  </si>
  <si>
    <t>อะไหล่ถ่าน 600 MA ปัตตาเลี่ยนรุ่น BB-110/2</t>
  </si>
  <si>
    <t>ZM-BB-110-5</t>
  </si>
  <si>
    <t>ชุดสปริงปัตตาเลี่ยนรุ่น BB-110 (สปริง + ฐานสปริง)</t>
  </si>
  <si>
    <t>ZM-BB-110-7</t>
  </si>
  <si>
    <t>สวิตซ์ ปัตตาเลี่ยน รุ่น BB-110</t>
  </si>
  <si>
    <t>ANG-607-2</t>
  </si>
  <si>
    <t>เคราติน เบอร์ 2 รหัส ANG-607-2</t>
  </si>
  <si>
    <t>แผ่นโฟมทำไฮไลท์ 50 แผ่น/แพค รหัส ZP-A16012</t>
  </si>
  <si>
    <t>ANG-701</t>
  </si>
  <si>
    <t>สเปรย์แข็ง แบบน้ำ L&amp;#039;angel รหัส ANG-701</t>
  </si>
  <si>
    <t>OY-993</t>
  </si>
  <si>
    <t>ถุงมือยางไนไตร สีดำ ชนิดไม่มีแป้ง 50 ชิ้น รหัส OY-993</t>
  </si>
  <si>
    <t>A-5</t>
  </si>
  <si>
    <t>แหนบลายดอกไม้ ปาก รหัสสินค้า A-5</t>
  </si>
  <si>
    <t>L-301</t>
  </si>
  <si>
    <t>DY-12</t>
  </si>
  <si>
    <t>ชั้นวางอุปกรณ์ ซาลอน แบรนด์ L'angel รหัสสินค้า DY-12</t>
  </si>
  <si>
    <t>ชั้นวางอุปกรณ์</t>
  </si>
  <si>
    <t>L-109</t>
  </si>
  <si>
    <t>ชั้นวางอุปกรณ์ แบรนด์ valentel รหัส L-109</t>
  </si>
  <si>
    <t>ชั้นวางอุปกรณ์ แบรนด์ VALENTE รหัส XG-380</t>
  </si>
  <si>
    <t>ถังใส่ผ้าขนหนู เก็บผ้าขนหนู มีล้อเลื่อน อุปกรณ์ร้านซาลอน รุ่น DY-001</t>
  </si>
  <si>
    <t>&lt;p&gt;&lt;br /&gt;ใช้สำหรับใส่ผ้าขนหนูที่ใช้แล้ว เพื่อนำไปซักหรือฆ่าเชื้อ ก่อนนำกลับมาใช้ต่อ&lt;br /&gt;สามารถใส่ผ้าที่รอซักได้มากกว่า 5-6 กก. ไม่เต็มง่ายๆ แน่นอน&lt;/p&gt;</t>
  </si>
  <si>
    <t>ผ้าคลุมซอย วาเลนเต้ ลายสิงโต รหัส VAL-LH21S</t>
  </si>
  <si>
    <t xml:space="preserve">&lt;p&gt;&amp;rarr; ด้านหลัง ตัวติดแบบตะขอเกี่ยว&lt;/p&gt;
 &lt;p&gt;&amp;rarr; สายปรับได้&lt;/p&gt;
 &lt;p&gt;&amp;rarr; ขนาด 140x160 cm&lt;/p&gt;
 &lt;p&gt;&amp;rarr; ผ้าเสอร์ช กันน้ำได้ 80% เนื้อนุ่มมาก ระบายความร้อนได้ดี&lt;/p&gt;</t>
  </si>
  <si>
    <t>VAL-LH25S</t>
  </si>
  <si>
    <t>ผ้าคลุมซอย วาเลนเต้ ลายสิงโต สีทอง รหัส VAL-LH25S</t>
  </si>
  <si>
    <t>ผ้าคลุมซอย วาเลนเต้ ลายงู สีแดง รหัส VAL-LH25S</t>
  </si>
  <si>
    <t>ZM-BB-108-2</t>
  </si>
  <si>
    <t>ถ่านชาร์จ 2000mAh รหัส ZM-BB-108/2</t>
  </si>
  <si>
    <t>VALENTE เครื่องม้วนผมไฟฟ้า แปรงหวี ปรับอุณหภูมิได้ 85-210 องศา รุ่น HC-019</t>
  </si>
  <si>
    <t>ZM-110</t>
  </si>
  <si>
    <t>น็อตปัตตาเลี่ยน BB-110</t>
  </si>
  <si>
    <t>น็อต</t>
  </si>
  <si>
    <t>ZM-108</t>
  </si>
  <si>
    <t>น็อตปัตตาเลี่ยน BB-108</t>
  </si>
  <si>
    <t>L-303</t>
  </si>
  <si>
    <t>LST-202</t>
  </si>
  <si>
    <t>ถ้วยทำสี VST-202</t>
  </si>
  <si>
    <t>ถ้วยย้อม</t>
  </si>
  <si>
    <t>ฟลอยด์แบบยาว G-11</t>
  </si>
  <si>
    <t>ฟิล์มยืดใส BD-9002</t>
  </si>
  <si>
    <t>VAL-2009</t>
  </si>
  <si>
    <t>แหนบถอนขน ลายดอกไม้/ปากตรง VAL-2009</t>
  </si>
  <si>
    <t>A14004-1</t>
  </si>
  <si>
    <t>วาเลนเต้ ชุดถ้วยผสมสีเรนโบว์ 0.062g. รหัสสินค้า A14004-1</t>
  </si>
  <si>
    <t>วาเลนเต้ หวีรองตัด สีน้ำตาล 0.016g. รหัสสินค้า ACS-006</t>
  </si>
  <si>
    <t xml:space="preserve">&lt;p&gt;คุณสมบัติ : &lt;br /&gt; - กว้าง 3ซม. ยาว 20ซม.&lt;br /&gt; - ความห่างของซี่หวีมี 2 ระดับ&lt;br /&gt; - สีส้ม&lt;/p&gt;
 &lt;p&gt;วิธีใช้ : สำหรับรองเส้นผม&lt;/p&gt;</t>
  </si>
  <si>
    <t>ALI-01</t>
  </si>
  <si>
    <t>หวีรองซอย YS-PARK สีชมพู รหัสสินค้า ALI-01</t>
  </si>
  <si>
    <t>ALI-02</t>
  </si>
  <si>
    <t>หวีรองซอย YS-PARK สีฟ้า รหัสสินค้า รุ่น ALI-02</t>
  </si>
  <si>
    <t>ANG-103-A</t>
  </si>
  <si>
    <t>แอลเองเจล ครีมยืดผมสูตรอโรม่า 1000ml. 1g. รหัสสินค้า ANG-103-A</t>
  </si>
  <si>
    <t>ANG-103-B</t>
  </si>
  <si>
    <t>แอลเองเจล ครีมโกรกผมสูตรอโรม่า 1000ml. 1g. รหัสสินค้า ANG-103-B</t>
  </si>
  <si>
    <t>แอลแองเจล ผ้าคลุมซอยซาลอน 0.104g. รหัสสินค้า B-012</t>
  </si>
  <si>
    <t>BB-106</t>
  </si>
  <si>
    <t>บาร์เบอร์ เบรน หวีรองตัด สีฟ้า,เหลือง,ทอง,ส้ม,แดง,ดำ 0.10g. รหัสสินค้า BB-106</t>
  </si>
  <si>
    <t>วาเลนเต้ หวีหางฟันห่าง สีดำ 0.022g. รหัสสินค้า BD-050</t>
  </si>
  <si>
    <t>วาเลนเต้ หวีอีโต้ใหญ่ สีแดง 0.017g. รหัสสินค้า BD-093</t>
  </si>
  <si>
    <t>BB-600</t>
  </si>
  <si>
    <t>บาร์เบอร์ เบรน ชุดอุปกรณ์โกนหนวด 0.191g. รหัสสินค้า BB-600</t>
  </si>
  <si>
    <t xml:space="preserve">&lt;p&gt;รายละเอียดสินค้า &lt;br /&gt;ชุดโกนกันขอบวิทเทจ สีดำ พร้อมขาตั้ง&lt;/p&gt;
 &lt;p&gt;&lt;br /&gt;&amp;nbsp; &amp;nbsp; &amp;nbsp;---&amp;nbsp; 1 ชุดประกอบด้วย :&amp;nbsp; ---&lt;br /&gt;1. มีดโกน 1 ด้าม &lt;br /&gt;2. ถ้วยรองใส่น้ำยาโกนหนวด &lt;br /&gt;3. พู่โกนหนวด&lt;br /&gt;4. ขาตั้งสำหรับแขวนเก็บอุปกรณ์&lt;/p&gt;
 &lt;p&gt;คุณสมบัติ: &lt;br /&gt;&amp;nbsp; &amp;nbsp; &amp;nbsp;✔︎ ชุดโกนหนวด กันขอบ &lt;br /&gt;&amp;nbsp; &amp;nbsp; &amp;nbsp;✔︎ ช่วยเก็บงานจากการตัดผมจากปัตตาเลี่ยนเพื่อความเรียบร้อย &lt;br /&gt;&amp;nbsp; &amp;nbsp; &amp;nbsp;✔︎ โกนจัดแต่งทรงผม &lt;br /&gt;&amp;nbsp; &amp;nbsp; &amp;nbsp;✔︎ สามารถใช้มีดโกนกับหนวดได้เช่นกัน&lt;/p&gt;</t>
  </si>
  <si>
    <t>วาเลนเต้ เอี๊ยมช่างซาลอน 0.105g. รหัสสินค้า CTP-200</t>
  </si>
  <si>
    <t>บาร์เบอร์ เบรน หวีบาร์เบอร์สำหรับขึ้นทรง สีดำ 0.044g. รหัสสินค้า CFC-70739</t>
  </si>
  <si>
    <t>บาร์เบอร์ เบรน หวีรองตัด สีดำ 0.026g. รหัสสินค้า CFC-75339</t>
  </si>
  <si>
    <t>H-001-2</t>
  </si>
  <si>
    <t>วาเลนเต้ ผ้าคลุมย้อมสีผม 0.108g. รหัสสินค้า H-001/2</t>
  </si>
  <si>
    <t>HP-2</t>
  </si>
  <si>
    <t>วาเลนเต้ ช่อผมทดลองเคมี สีน้ำตาล 0.068g. รหัสสินค้า HP/2</t>
  </si>
  <si>
    <t>แอลแองเจล เอี๊ยมช่างซาลอน 0.086g. รหัสสินค้า J001-1</t>
  </si>
  <si>
    <t>J007</t>
  </si>
  <si>
    <t>วาเลนเต้ เอี๊ยมช่าง สีดำล้วน(ไม่มีลาย) 0.156g. รหัสสินค้า J007</t>
  </si>
  <si>
    <t>K-012</t>
  </si>
  <si>
    <t>CUTTING APRON วาเลนเต้ ผ้าคลุมซอยลายคน สีม่วง 0.12g. รหัสสินค้า K-012</t>
  </si>
  <si>
    <t>K-050</t>
  </si>
  <si>
    <t>วาเลนเต้ ผ้าคลุมซอยซาลอน เจาะช่องใส่ 0.228g. รหัสสินค้า K-050</t>
  </si>
  <si>
    <t>K-011-2</t>
  </si>
  <si>
    <t>วาเลนเต้ ผ้าคลุมซอยซาลอน 0.15g. รหัสสืนค้า K-011-2</t>
  </si>
  <si>
    <t xml:space="preserve">&lt;p&gt;ผ้าคลุมซอย ขนาด 130 x 140ซม.&lt;br /&gt;ด้านหลังเป็นตะขอเกี่ยวสามารถปรับระดับได้&lt;/p&gt;
 &lt;p&gt;ผ้าเคลือบสาร "ฮายโดรโพรบิค" หรือ "สารน้ำกลิ้ง"&lt;br /&gt;กันน้ำได้ 100%&lt;br /&gt;เนื้อสัมผัสหยาบนิดหน่อย ทำความสะอาดง่าย&lt;/p&gt;
 &lt;p&gt;คุณสมบัติ:&lt;br /&gt;ผ้าคลุมซอยสำหรับบาร์เบอร์และซาลอน&lt;br /&gt;✔︎ ยืนยันราคาถูกที่สุด&lt;br /&gt;✔︎ ของแท้ 100%&lt;br /&gt;✔︎ วัสดุใช้เนื้อผ้าระบายความร้อนได้ดี&lt;br /&gt;✔︎ สามารถปรับสายได้&lt;/p&gt;</t>
  </si>
  <si>
    <t>วาเลนเต้ ฟลอยด์แบบสั้น สีเงิน 0.112g. รหัสสินค้า LST-186</t>
  </si>
  <si>
    <t>&lt;p&gt;ช้พันช่อผม เพื่อทำไฮไลท์ เพื่อกระจายความร้อน &lt;br /&gt;ขนาด กว้าง 9 ซม.&lt;br /&gt;คุณสมบัติ: &lt;br /&gt; ✔︎ แผ่นฟอยล์ อะลูมิเนียม &lt;br /&gt; ✔︎ พร้อมที่ตัดในตัว &lt;br /&gt; ✔︎ ใช้ในการพันช่อผม เพื่อทำไฮไลท์ &lt;br /&gt; ✔︎ เพื่อกระจายความร้อน &lt;br /&gt; ✔︎ ใช้งานสะดวก ดึงแล้วตัดจากกล่องได้เลย&lt;/p&gt;</t>
  </si>
  <si>
    <t>LST-805</t>
  </si>
  <si>
    <t>เข็มควักต่อผม ด้ามไม้ สีครีม 0.006g. รหัสสินค้า LST-805</t>
  </si>
  <si>
    <t xml:space="preserve">&lt;p&gt;เข็มควักผมต่อ แบบด้ามไม้&lt;br /&gt;ด้ามไม้ยาว 10 cm. ตัวตะขอเหล็กยาว 4.5 cm. รวมความยาวทั้งด้าม 14.5 cm.&lt;/p&gt;
 &lt;p&gt;คุณสมบัติ:&lt;/p&gt;
 &lt;p&gt;✔︎ ทำจากวัสดุดีมีคุณภาพ &lt;br /&gt;✔︎ ตัวด้ามทำจากไม้ขัดเงา&lt;br /&gt;✔︎ น้ำหนักเบา&lt;br /&gt;✔︎ จับถนัด ไม่เจ็บมือ&lt;/p&gt;</t>
  </si>
  <si>
    <t>LST-DB004</t>
  </si>
  <si>
    <t>วาเลนเต้ เครื่องม้วนผม 3 in 1 รหัส LST-DB004</t>
  </si>
  <si>
    <t>OY-822</t>
  </si>
  <si>
    <t>NAIL EQUIPMENT ที่ขูดส้นเท้า วาเลนเต้ แถมใบมีด 10 ใบ รหัสสินค้า OY-822</t>
  </si>
  <si>
    <t xml:space="preserve">&lt;p&gt;มีดขูดส้นเท้า แถมพร้อมใบมีด 10 ชิ้น &lt;br /&gt;วัสดุ: โลหะ+หลาสติก&lt;br /&gt;&lt;br /&gt;คุณสมบัติ: &lt;br /&gt;✔︎ มีดโกนเท้าสำหรับขูดผิวหนังส้นเท้าที่ตายแล้ว สำหรบผิวแข็ง &lt;br /&gt;✔︎ สามารถเปลี่ยนใบมีดได้ง่าย &lt;br /&gt;✔︎ เก็บรักษาใบมีดให้แห้งนิทเพื่อป้องกันการเกิดสนิมแนะนำให้เปลี่ยนใบมีดทุกครั้งที่ใช้และจัดเก็บ ✔︎ ควรเปลี่ยนใบมีดทุกครั้งที่ใช้&lt;/p&gt;
 &lt;p&gt;วิธีใช้: &lt;br /&gt;ใช้ขูดส้นเท้า เพื่อแก้อาการ "ส้นเท้าแตก" เป็นร่องจนเจ็บเวลาเดิน หรือมีเลือดซึม&lt;/p&gt;</t>
  </si>
  <si>
    <t>OY-840</t>
  </si>
  <si>
    <t>ที่คีบแบบงอ แหนบปลายงอ สีดำ อุปกรณ์ตกแต่งเล็บ รหัสสินค้า OY-840</t>
  </si>
  <si>
    <t>OY-841</t>
  </si>
  <si>
    <t>ที่คีบแบบตรง แหนบ สีดำ อุปกรณ์ตกแต่งเล็บ รหัสสินค้า OY-841</t>
  </si>
  <si>
    <t>OY-942</t>
  </si>
  <si>
    <t>เหล็กดุนหนัง ดันหนัง เหล็กขูดสีเจล รหัสสินค้า OY-942</t>
  </si>
  <si>
    <t>OY-945</t>
  </si>
  <si>
    <t>ตะไบเล็บ ตะไบฟองน้ำทาง ทรงสี่เหลี่ยม คละสี รหัสสินค้า OY-945</t>
  </si>
  <si>
    <t>OY-945-1</t>
  </si>
  <si>
    <t>มายา ตะไบฟองน้ำทรงข้าวหลามตัด 0.013g. รหัสสินค้า OY-945-1</t>
  </si>
  <si>
    <t>OY-946</t>
  </si>
  <si>
    <t>NAIL EQUIPMENT กล่องพลาสติกใส่เล็บปลอม 10 ช่อง รหัสสินค้า OY-946</t>
  </si>
  <si>
    <t xml:space="preserve">&lt;p&gt;กล่องพลาสติกใส่เล็บปลอม ขนาด กว้าง 3 ซม. ยาว 18 ซม.&lt;/p&gt;
 &lt;p&gt;คุณสมบัติ: &lt;br /&gt;&amp;nbsp; &amp;nbsp; &amp;nbsp; &amp;nbsp; &amp;nbsp;✔︎ กล่องใส่สำหรับอะไหล่ / เล็บปลอม PVC หรืออุปกรณ์ชิ้นเล็กๆ &lt;br /&gt;&amp;nbsp; &amp;nbsp; &amp;nbsp; &amp;nbsp; &amp;nbsp;✔︎ 10 ช่อง สามารถบรรจุได้ถึง 500 ชิ้น&lt;br /&gt;&amp;nbsp; &amp;nbsp; &amp;nbsp; &amp;nbsp; &amp;nbsp;✔︎ ใช้เก็บเล็บปลอมตามขนาด พร้อมเบอร์หน้ากล่อง 0-9 &lt;br /&gt;&amp;nbsp; &amp;nbsp; &amp;nbsp; &amp;nbsp; &amp;nbsp;✔︎ ช่วยในการจัดระเบียบไซต์เล็บ&lt;/p&gt;
 &lt;p&gt;วิธีใช้: ใช้สำหรับจัดเก็บเล็บปลอม PVC หรืออุปกรณ์ตกแต่งเล็บ &lt;br /&gt;*เหมาะสำหรับร้านทำเล็บ Nails Salon&lt;/p&gt;</t>
  </si>
  <si>
    <t>OY-966</t>
  </si>
  <si>
    <t>วาเลนเต้ แผ่นทดลองเพ้นท์ลาย สีดำ 0.039g. รห้สสินค้า OY-966</t>
  </si>
  <si>
    <t>OY-968</t>
  </si>
  <si>
    <t>NAIL EQUIPMENT พู่กันเพ้นท์เล็บ รหัสสินค้า OY-968</t>
  </si>
  <si>
    <t>3D หวีหมุนได้ 360 องศา (สีชมพู) รหัสสินค้า PKY-1553</t>
  </si>
  <si>
    <t>PKY-1583-S</t>
  </si>
  <si>
    <t>บาร์เบอร์ เบรน หวีหางพับวินเทจ Barber Brain 0.116g. รหัสสินค้า PKY-1583-S</t>
  </si>
  <si>
    <t>PKY-1701-S</t>
  </si>
  <si>
    <t>วาเลนเต้ กระบอกฉีดน้ำนาโน ขนาด 150 ml. SIZE:S รหัสสินค้า PKY-1701/S</t>
  </si>
  <si>
    <t>แกนดัดขนาดมาตรฐาน ขนาด 3.1 cm PRO-1</t>
  </si>
  <si>
    <t>แกนดัดขนาดมาตรฐาน ขนาด 2.3 cm PRO-5</t>
  </si>
  <si>
    <t>PRO-6</t>
  </si>
  <si>
    <t>แกนดัดผม ขนาดมาตรฐาน ขนาด 2.1 cm PRO-6</t>
  </si>
  <si>
    <t>ถ้วยผสมสี ผสมด้วยการเชค รหัสสินค้า SR-002</t>
  </si>
  <si>
    <t>TAN-002</t>
  </si>
  <si>
    <t>วาเลนเต้ หวีไม่มีไฟฟ้าสถิตย์ สีแดง-ดำ 0.102g. รหัสสินค้า TAN-002</t>
  </si>
  <si>
    <t>VAL-0182</t>
  </si>
  <si>
    <t>วาเลนเต้ โรลขนพลาสติกมีฟองน้ำ 32 มม. 0.017g. รหัสสินค้า</t>
  </si>
  <si>
    <t xml:space="preserve">&lt;p&gt;วาเลนเต้ โรล โรลขนพลาสติกมีฟองน้ำ &lt;br /&gt; VAL-0182 ขนาด 32"mm&lt;/p&gt;
 &lt;p&gt;&amp;nbsp;&lt;/p&gt;
 &lt;p&gt;โรลม้วนผม อุปกรณ์ทำผม&lt;br /&gt; &lt;br /&gt;คุณสมบัติ: &lt;br /&gt; ✔︎ วัสดุทำจากพลาสติก ฟองน้ำ &lt;br /&gt; ✔︎ ตัวขนช่วยในการยึดติดโรลกับเส้นผมให้จับลอนอย่างเป็นธรรมชาติยาวนานยิ่งขึ้น &lt;br /&gt; ✔︎ ลอนเล็กลอนใหญ่ขึ้นอยู่กับขนาดโรล &lt;br /&gt; ✔︎ สามารถใช้ได้ทั้งหน้าม้าและปลายผม &lt;br /&gt; ✔︎ สามารถทำทิ้งไว้ตอนกลางคืนหรือตอนนอนได้ ไม่เจ็บหรือดึงหนังศรีษะ&lt;/p&gt;
 &lt;p&gt;วิธีใช้: ใช้สำหรับม้วนลอนผม ม้วนปลายผมให้ดูมีวอลลุ่ม สวยๆ ม้วนได้ทั้งก่อนนอนหรือระหว่างวัน&lt;/p&gt;</t>
  </si>
  <si>
    <t>VAL-0183</t>
  </si>
  <si>
    <t>วาเลนเต้ โรลขนพลาสติกมีฟองน้ำ 36 มม. 0.017g. รหัสสินค้า VAL-0183</t>
  </si>
  <si>
    <t>VAL-0184</t>
  </si>
  <si>
    <t>วาเลนเต้ โรลขนพลาสติกมีฟองน้ำ 40 มม. 0.022g. รหัสสินค้า VAL-0184</t>
  </si>
  <si>
    <t>VAL-0185</t>
  </si>
  <si>
    <t>วาเลนเต้ โรลขนพลาสติกมีฟองน้ำ 45 มม. 0.028g. รหัสสินค้า VAL-0185</t>
  </si>
  <si>
    <t>VAL-0186</t>
  </si>
  <si>
    <t>วาเลนเต้ โรลขนพลาสติกมีฟองน้ำ 50 มม. 0.033g. รหัสสินค้า VAL-0186</t>
  </si>
  <si>
    <t>วาเลนเต้ กิ๊ฟผีเสื้อ สีเหลือง,ชมพู,ม่วง,ฟ้า 0.059g. รหัสสินค้า VAL-1401</t>
  </si>
  <si>
    <t>บาร์เบอร์ เบรน เอี๊ยมช่างบาร์เบอร์ ผูกหลัง 0.401g. รหัสสินค้า ZP-A16015</t>
  </si>
  <si>
    <t xml:space="preserve">&lt;p&gt;&amp;nbsp; &amp;nbsp;1กล่องมี 12ชิ้น ปริมาณ 10ml.&lt;/p&gt;
 &lt;p&gt;ANG-303 : MOISTURE HAIR &amp;amp; SCALP SERUM สูตรหนังศีรษะและเส้นผมที่แห้งเสีย &lt;br /&gt;ANG-304 : Oil Control Hair ลดอาการหลุดร่วงของเส้นผม สูตรควบคุมความมัน&lt;br /&gt;ANG-305 : ANTI-DANDRUFF HAI สูตรขจัดรังแค ลดอาการผมขาดหลุดร่วง&lt;/p&gt;
 &lt;p&gt;คุณสมบัติ: &lt;br /&gt;&amp;nbsp; &amp;nbsp; &amp;nbsp; &amp;nbsp; ✔︎ เหมาะสำหรับผู้ที่ต้องการ บำรุงผมให้มีสุขภาพดี เงางาม &lt;br /&gt;&amp;nbsp; &amp;nbsp; &amp;nbsp; &amp;nbsp;&amp;nbsp;✔︎ ผู้ที่ผมเสียจากการทำสีผม ดัด ยืด ย้อมผม &lt;br /&gt;&amp;nbsp; &amp;nbsp; &amp;nbsp; &amp;nbsp;&amp;nbsp;✔︎ ผู้ที่ต้องหนีบผม หรือไดร์เป่าผม &lt;br /&gt;&amp;nbsp; &amp;nbsp; &amp;nbsp; &amp;nbsp;&amp;nbsp;✔︎ ผู้ที่ผมแห้งเสีย ผมพันกัน ชี้ฟู แตกปลาย &lt;br /&gt;&amp;nbsp; &amp;nbsp; &amp;nbsp; &amp;nbsp;&amp;nbsp;✔︎ ผู้ที่มีปัญหาเส้นผมเปราะ ขาดง่าย ผู้ที่มีไม่มีเวลาดูแลเส้นผม&amp;nbsp;&lt;/p&gt;
 &lt;p&gt;&amp;nbsp;&lt;/p&gt;
 &lt;p&gt;*ควรเก็บรักษาไว้บริเวณที่มีอากาศถ่ายเทและไม่โดนแสงแดด*&lt;/p&gt;
 &lt;p&gt;*สำหรับลูกค้าใช้ต่อเนื่อง*&lt;/p&gt;</t>
  </si>
  <si>
    <t>L'ANGEL Boost Up สูตรป้องกันรังแค 10ml.x12 0.385g. รหัสสินค้า ANG-350</t>
  </si>
  <si>
    <t xml:space="preserve">&lt;p&gt;&lt;br /&gt;&amp;nbsp; &amp;nbsp; &amp;nbsp; &amp;nbsp; &amp;nbsp; &amp;nbsp; &amp;nbsp; &amp;nbsp; &amp;nbsp; &amp;nbsp; &amp;nbsp; &amp;nbsp; &amp;nbsp; &amp;nbsp; &amp;nbsp;1กล่องมี 12ชิ้น ปริมาณ 10ml.&lt;/p&gt;
 &lt;p&gt;ANG-303 : MOISTURE HAIR &amp;amp; SCALP SERUM สูตรหนังศีรษะและเส้นผมที่แห้งเสีย &lt;br /&gt;ANG-304 : Oil Control Hair ลดอาการหลุดร่วงของเส้นผม สูตรควบคุมความมัน&lt;br /&gt;ANG-305 : ANTI-DANDRUFF HAI สูตรขจัดรังแค ลดอาการผมขาดหลุดร่วง&lt;/p&gt;
 &lt;p&gt;คุณสมบัติ: &lt;br /&gt;&amp;nbsp; &amp;nbsp; &amp;nbsp; &amp;nbsp; ✔︎ เหมาะสำหรับผู้ที่ต้องการ บำรุงผมให้มีสุขภาพดี เงางาม &lt;br /&gt;&amp;nbsp; &amp;nbsp; &amp;nbsp; &amp;nbsp;&amp;nbsp;✔︎ ผู้ที่ผมเสียจากการทำสีผม ดัด ยืด ย้อมผม &lt;br /&gt;&amp;nbsp; &amp;nbsp; &amp;nbsp; &amp;nbsp;&amp;nbsp;✔︎ ผู้ที่ต้องหนีบผม หรือไดร์เป่าผม &lt;br /&gt;&amp;nbsp; &amp;nbsp; &amp;nbsp; &amp;nbsp;&amp;nbsp;✔︎ ผู้ที่ผมแห้งเสีย ผมพันกัน ชี้ฟู แตกปลาย &lt;br /&gt;&amp;nbsp; &amp;nbsp; &amp;nbsp; &amp;nbsp;&amp;nbsp;✔︎ ผู้ที่มีปัญหาเส้นผมเปราะ ขาดง่าย ผู้ที่มีไม่มีเวลาดูแลเส้นผม&amp;nbsp;&lt;/p&gt;
 &lt;p&gt;&amp;nbsp;&lt;/p&gt;
 &lt;p&gt;*ควรเก็บรักษาไว้บริเวณที่มีอากาศถ่ายเทและไม่โดนแสงแดด*&lt;/p&gt;
 &lt;p&gt;*สำหรับลูกค้าใช้ต่อเนื่อง*&lt;/p&gt;</t>
  </si>
  <si>
    <t>LST-180</t>
  </si>
  <si>
    <t>วาเลนเต้ ฟลอยด์แบบยาว สีเงิน 0.730g. รหัสสินค้า LST-180</t>
  </si>
  <si>
    <t xml:space="preserve">&lt;p&gt;ช้พันช่อผม เพื่อทำไฮไลท์ เพื่อกระจายความร้อน&lt;/p&gt;
 &lt;p&gt;คุณสมบัติ: &lt;br /&gt; ✔︎ แผ่นฟอยล์ อะลูมิเนียม &lt;br /&gt; ✔︎ พร้อมที่ตัดในตัว &lt;br /&gt; ✔︎ ใช้ในการพันช่อผม เพื่อทำไฮไลท์ &lt;br /&gt; ✔︎ เพื่อกระจายความร้อน &lt;br /&gt; ✔︎ ใช้งานสะดวก ดึงแล้วตัดจากกล่องได้เลย&lt;/p&gt;</t>
  </si>
  <si>
    <t>แปรงสำหรับทำเคมี ด้านเดียว รหัสสินค้า VAL-1201</t>
  </si>
  <si>
    <t>WCN-200</t>
  </si>
  <si>
    <t>WACINA ครีมจับลอนผมดัด ขนาด 180 ml. WCN-200</t>
  </si>
  <si>
    <t xml:space="preserve">&lt;p&gt;Wacina Curl Down Control &lt;br /&gt;วาซืน่า เคิร์ล ดาว์น อนโทรล (WCN-200)&lt;/p&gt;
 &lt;p&gt;ครีมจับลอนผมดัด ให้ลอนผมดัดที่ชัดเจน อ่อนนุ่ม พริ้วสลวยมีน้ำหนัก ไม่แข็งกระด้าง &lt;br /&gt;อยู่ทนตลอดทั้งวัน มีกลิ่นหอมอ่อน ๆ ใช้แล้วทำให้ผมลอนนุ่มดูเป็นธรรมชาติ ช่วยให้ลอนผม&lt;br /&gt;มีความเด้งอย่างมีน้ำหนัก&lt;/p&gt;
 &lt;p&gt;วิธีใช้: &lt;br /&gt;หลังสระผม เช็ดหรือเป่าผมให้แห้งหมาด ๆ ชโลมครีมจะบลอนให้ทั่ว แล้วเช็ทจัดแต่งทรงตามต้องการ&amp;nbsp;&lt;/p&gt;</t>
  </si>
  <si>
    <t>ผ้าคลุมซอยบาร์เบอร์ มีแขน บาร์เบอร์เบรนสีดำ 0.211g. รหัสสินค้า VAL-K024</t>
  </si>
  <si>
    <t xml:space="preserve">&lt;p&gt;&lt;span data-sheets-value="{" data-sheets-userformat="{"&gt;120x160ซม.&lt;/span&gt;&lt;/p&gt;
 &lt;p&gt;&amp;nbsp;&lt;/p&gt;
 &lt;p&gt;ผลิตจากวัสดุ :&lt;br /&gt;ผ้าเสอร์ช กันน้ำได้ 80%&lt;br /&gt;เนื้อนุ่มมาก ระบายความร้อนได้ดี&lt;/p&gt;
 &lt;p&gt;คุณสมบัติ:&lt;br /&gt;&amp;nbsp; &amp;nbsp; &amp;nbsp; ✔︎ ยืนยันราคาถูกที่สุด&lt;br /&gt;&amp;nbsp; &amp;nbsp; &amp;nbsp;&amp;nbsp;✔︎ ของแท้ 100%&lt;br /&gt;&amp;nbsp; &amp;nbsp; &amp;nbsp;&amp;nbsp;✔︎ วัสดุใช้เนื้อผ้าระบายความร้อนได้ดี&lt;br /&gt;&amp;nbsp; &amp;nbsp; &amp;nbsp;&amp;nbsp;✔︎ สามารถปรับสายได้&lt;br /&gt;&amp;nbsp; &amp;nbsp; &amp;nbsp;&amp;nbsp;✔︎ด้านหลังเป็นตะขอเกี่ยวสามารถปรับระดับได้&lt;/p&gt;</t>
  </si>
  <si>
    <t>VAL-9-A</t>
  </si>
  <si>
    <t>วาเลนเต้ ชุดกรรไกรโค้ง ทรงพิเศษ ขนาด 6&amp;quot; 0.432g. รหัสสินค้า VAL-9/A</t>
  </si>
  <si>
    <t xml:space="preserve">&lt;p style="text-align: center;"&gt;ใน 1 ชุด ประกอบไปด้วย:&amp;nbsp;&lt;/p&gt;
 &lt;p style="text-align: center;"&gt;- กรรไกรตัด 1 ชิ้น&lt;br /&gt;- กรรไกรโค้ง 1 ชิ้น&lt;br /&gt;- กระเป๋าหนังใส่กรรไกร 1 ใบ&lt;br /&gt;- น้ำมันบำรุงรักษา 1 ขวด&lt;br /&gt;- ผ้าชามัวร์ 1 ชิ้น&lt;/p&gt;
 &lt;p style="text-align: center;"&gt;วิธีใช้: &lt;br /&gt;✂ กรรไกรตัด ใช้ตัดผมให้สั้นลง บางทีก็ใช้ตัดให้ผมบางลงได้ ขึ้นอยู่กับวิธีการตัด &lt;br /&gt;✂ กรรไกรซอย(ฟันปลา) ใช้ซอยผมให้บางลง ขนาดความยาวเท่าเดิม &lt;br /&gt;**สามารถดูวิธีใช้เพิ่มเติมได้ที่ QR code บนกล่อง&lt;/p&gt;
 &lt;p&gt;&amp;nbsp;&lt;/p&gt;
 &lt;p&gt;&amp;nbsp;&lt;/p&gt;</t>
  </si>
  <si>
    <t>VAL-971-B</t>
  </si>
  <si>
    <t>วาเลนเต้ แปรงไดร์กลม 12 แถว สีดำ 0.039g. VAL-971/B</t>
  </si>
  <si>
    <t xml:space="preserve">&lt;p&gt;แปรงกลม 12 แถว (VAL-971/B)&lt;/p&gt;
 &lt;p&gt;คุณสมบัติ:&lt;/p&gt;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 &lt;br /&gt;✔︎ เพื่อให้เส้นผมกระจายตัวกันได้ดีและยังทำให้เส้นผมนุ่มลื่น&lt;br /&gt;✔︎ เป็นทรงสวยไม่ต้องออกแรงดึงกับผมแห้งที่พันกัน&lt;br /&gt;✔︎ สามารถใช้ไดร์ขึ้นทรงได้&lt;br /&gt;✔︎ ด้ามทำด้วยไม้ นำความร้อนได้ดี&lt;/p&gt;</t>
  </si>
  <si>
    <t>VAL-971-C</t>
  </si>
  <si>
    <t>วาเลนเต้ แปรงไดร์กลม 12 แถว สีดำ 0.045g. VAL-971/C</t>
  </si>
  <si>
    <t xml:space="preserve">&lt;p&gt;แปรงกลม 12 แถว&lt;br /&gt;รุ่น VAL-971/C&lt;br /&gt;ขนาด 4*26 cm&lt;/p&gt;
 &lt;p&gt;คุณสมบัติ:&lt;/p&gt;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ไม่หดตัวง่าย&lt;br /&gt;✔︎ เพื่อให้เส้นผมกระจายตัวกันได้ดีและยังทำให้เส้นผมนุ่มลื่น&lt;br /&gt;✔︎ เป็นทรงสวยไม่ต้องออกแรงดึงกับผมแห้งที่พันกัน&lt;/p&gt;</t>
  </si>
  <si>
    <t>VAL-972-C</t>
  </si>
  <si>
    <t>วาเลนเต้ แปรงไดร์กลม 12 แถว สีดำ 0.041g. VAL-972/C</t>
  </si>
  <si>
    <t xml:space="preserve">&lt;p&gt;แปรงกลม 12 แถว&lt;br /&gt;รุ่น VAL-971/Z&lt;br /&gt;ขนาด 4*25.5 cm&lt;/p&gt;
 &lt;p&gt;คุณสมบัติ:&lt;/p&gt;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ไม่หดตัวง่าย&lt;br /&gt;✔︎ เพื่อให้เส้นผมกระจายตัวกันได้ดีและยังทำให้เส้นผมนุ่มลื่น&lt;br /&gt;✔︎ เป็นทรงสวยไม่ต้องออกแรงดึงกับผมแห้งที่พันกัน&lt;/p&gt;</t>
  </si>
  <si>
    <t>VAL-973-C</t>
  </si>
  <si>
    <t>วาเลนเต้ แปรงไดร์กลม 16 แถว สีดำ 0.071g. VAL-973/C</t>
  </si>
  <si>
    <t xml:space="preserve">&lt;p&gt;คุณสมบัติ:&lt;/p&gt;
 &lt;p&gt;✔︎ ด้ามจับถนัดมือ เหมาะกับร้านช่างเสริมสวนที่ต้องการไดร์ผมให้ลูกค้า&lt;br /&gt;✔︎ บุคคลทั่วไป หวีง่าย ไม่กินผม ทนความร้อน ไม่หดตัวง่าย&lt;br /&gt;✔︎ เพื่อให้เส้นผมกระจายตัวกันได้ดีและยังทำให้เส้นผมนุ่มลื่น&lt;br /&gt;✔︎ เป็นทรงสวยไม่ต้องออกแรงดึงกับผมแห้งที่พันกัน&lt;/p&gt;</t>
  </si>
  <si>
    <t>VAL-971-Z</t>
  </si>
  <si>
    <t>วาเลนเต้ แปรงไดร์กลม 12 แถว สีดำ 0.041g. VAL-971/Z</t>
  </si>
  <si>
    <t>VAL-973-Z</t>
  </si>
  <si>
    <t>วาเลนเต้ แปรงไดร์กลม 16 แถว สีดำ 0.073g. VAL-973/Z</t>
  </si>
  <si>
    <t xml:space="preserve">&lt;p&gt;แปรงไดร์กลม รุ่น VAL-973/Z&lt;/p&gt;
 &lt;p&gt;คุณสมบัติ:&lt;/p&gt;
 &lt;p&gt;✔︎ หวีแปรงไดร์ผม ระบายความร้อนได้ดี เพิ่มความสะดวกในขณะไดร์ผม&lt;br /&gt;✔︎ ถนอมเส้นผมและหนังศีรษะ พร้อมทั้งช่วยลดการหลุดร่วงของเส้นผม&lt;br /&gt;✔︎ ช่วยให้เส้นผมเรียบลื่น เรียงตัวสวยไม่พันกัน จัดทรงได้อย่างง่ายดาย&lt;br /&gt;✔︎ มีรูปทรงที่สวยงาม ใช้งานง่าย ขนาดกะทัดรัด พกพาได้สะดวกทุกที่&lt;br /&gt;✔︎ แข็งแรงทนทาน ใช้งานได้อย่างยาวนาน&lt;br /&gt;✔︎ สีดำ&lt;/p&gt;</t>
  </si>
  <si>
    <t>VAL-703-A</t>
  </si>
  <si>
    <t>วาเลนเต้ กางเกงในสปา สีกรม 0.181g. จำนวน 20 ตัว รุ่น VAL-703/A</t>
  </si>
  <si>
    <t xml:space="preserve">&lt;p&gt;#กางเกงในสปา #กางเกงในกระดาษ #กางเกงในใช้แล้วทิ้ง&lt;/p&gt;
 &lt;p&gt;✔︎ สีเข้ม &lt;br /&gt; ✔︎ วัสดุทำจากผ้าสปันปอนด์ &lt;br /&gt; ✔︎ ใส่สบาย คุณภาพดี ใส่ง่าย &lt;br /&gt; ✔︎ FREESIZE &lt;br /&gt; ✔︎ กางเกงในใช้แล้วทิ้ง&lt;/p&gt;
 &lt;p&gt;วิธีใช้: ใช้สำหรับใส่ทำสปา ตำกางเกงในใช้เป็นสีเข้มจึงทำให้ตัวกางเกงในไม่บางมาก &lt;br /&gt;warning*ไม่แนะนำให้นำกลับมาใช้ต่อ เพื่อความสะอาดถูกสุขอนามัย&lt;/p&gt;</t>
  </si>
  <si>
    <t>วาเลนเต้ หน้ากากกันสเปรย์ สีชมพู 0.044g. VAL-8005</t>
  </si>
  <si>
    <t xml:space="preserve">&lt;p&gt;หน้ากากกันสเปรย์ (VAL-8005)&lt;br /&gt;ขนาด 32.8 ซม.&lt;/p&gt;
 &lt;p&gt;คุณสมบัติ: &lt;br /&gt; &lt;br /&gt;✔︎ หน้ากากสเปรย์ &lt;br /&gt;✔︎ กันละอองสเปรย์ขณะจัดแต่งทรงผม ตัดผม &lt;br /&gt;✔︎ ใช้ได้ทุกรูปแบบ สามารถประยุกต์ใช้ได้ตามวัตถุประสงค์ของลูกค้า&lt;/p&gt;</t>
  </si>
  <si>
    <t>วาเลนเต้ ผ้าคลุมซอยใสแบบใช้แล้วทิ้ง 0.14g รหัสสินค้า CAPE-1</t>
  </si>
  <si>
    <t>วาเลนเต้ ถ้วยผสมสี 0.110g. รหัสสินค้า SR-001</t>
  </si>
  <si>
    <t>L'ANGEL Curl Down Control แอลแองเจล ครีมจับลอน 260ml. 0.314g. รหัสสินค้า ANG-401</t>
  </si>
  <si>
    <t xml:space="preserve">&lt;p&gt;L'ANGEL Luxury Curl Down Control&lt;/p&gt;
 &lt;p&gt;คุณสมบัติ:&lt;br /&gt; ครีมจับลอนผม จัดแต่งลอนผมดัด ที่มีลักษณะเป็น fibre ให้ลอนที่ชัดเจนเพิ่ม Volume &lt;br /&gt;พริ้วสลวย อ่อนนุ่น ไม่แข็งกระด้าง อยู่ทรงตลอดทั้งวันอย่างเป็นธรรมชาติ&lt;/p&gt;
 &lt;p&gt;วิธีใช้:&lt;br /&gt; บีบครีมลงฝ่ามือพอประมาณ จากนั้นชโลมให้ทั่วลอนผม ใช้มือขยุ้มลอนผมขึ้นจากล่าง&lt;br /&gt;เซ็ทจัดแต่งทรงผมตามต้องการ&lt;/p&gt;</t>
  </si>
  <si>
    <t>ANG-005</t>
  </si>
  <si>
    <t>น้ำยาย้อมผม เบอร์ 0.88 บลู ANG-005</t>
  </si>
  <si>
    <t xml:space="preserve">&lt;p&gt;แองเจลิค แฮร์ คัลเลอร์ ครีม 0.88 บลู&lt;/p&gt;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</si>
  <si>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ANG-006</t>
  </si>
  <si>
    <t>น้ำยาย้อมผม เบอร์ 3.0 สีตาลเข้ม ANG-006</t>
  </si>
  <si>
    <t xml:space="preserve">&lt;p&gt;แองเจลิค แฮร์ คัลเลอร์ ครีม 3.0 ดาร์ก บราวน์&lt;/p&gt;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</si>
  <si>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ANG-007</t>
  </si>
  <si>
    <t>น้ำยาย้อมผม เบอร์ 6.0 สีบลอนด์เข้ม ANG-007</t>
  </si>
  <si>
    <t xml:space="preserve">&lt;p&gt;&lt;br /&gt;อุปกรณ์ในกล่องมีดังนี้&lt;br /&gt;1. หลอดสี ปริมาณ 100 มล. &lt;br /&gt;2. ไฮโดรเจน&lt;br /&gt; 3.ถุงมือ &lt;br /&gt;4.วิตามินบำรุง &lt;br /&gt;5.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</si>
  <si>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ANG-008</t>
  </si>
  <si>
    <t>น้ำยาย้อมผม เบอร์ 7.0 สีบลอนด์กลาง ANG-008</t>
  </si>
  <si>
    <t xml:space="preserve">&lt;p&gt;อุปกรณ์ในกล่องมีดังนี้&lt;br /&gt;1. หลอดสี ปริมาณ 100 มล. &lt;br /&gt;2. ไฮโดรเจน&lt;br /&gt; 3.ถุงมือ &lt;br /&gt;4.วิตามินบำรุง &lt;br /&gt;5.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</si>
  <si>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ANG-009</t>
  </si>
  <si>
    <t>น้ำยาย้อมผม เบอร์ 8.0 สีบลอนด์อ่อน ANG-009</t>
  </si>
  <si>
    <t xml:space="preserve">&lt;p&gt;สีบลอนด์อ่อนมาก &lt;br /&gt;อุปกรณ์ในกล่องมีดังนี้&lt;br /&gt;1. หลอดสี ปริมาณ 100 มล. &lt;br /&gt;2. ไฮโดรเจน&lt;br /&gt; 3.ถุงมือ &lt;br /&gt;4.วิตามินบำรุง &lt;br /&gt;5.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</si>
  <si>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ANG-010</t>
  </si>
  <si>
    <t>น้ำยาย้อมผม เบอร์ 9.0 สีบลอนด์อ่อนมาก ANG-010</t>
  </si>
  <si>
    <t>ANG-011</t>
  </si>
  <si>
    <t>น้ำยาย้อมผม เบอร์ 7.1 สีบลอนด์ประกายเทา ANG-011</t>
  </si>
  <si>
    <t xml:space="preserve">&lt;p&gt;แองเจลิค แฮร์ คัลเลอร์ ครีม 7.1 มีเดี่ยม แอช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</si>
  <si>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ANG-014</t>
  </si>
  <si>
    <t>น้ำยาย้อมผม เบอร์ 9.33 สีบลอนด์อ่อนประกายทองจัด ANG-014</t>
  </si>
  <si>
    <t xml:space="preserve">&lt;p&gt;แองเจลิค แฮร์ คัลเลอร์ ครีม 9.33 เวรี่ ไลท์ อินเทนส์ โกลด์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</si>
  <si>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ANG-015</t>
  </si>
  <si>
    <t>น้ำยาย้อมผม เบอร์ 7.37 สีบลอนด์กลางประกายทองเหลือบเขียว ANG-015</t>
  </si>
  <si>
    <t xml:space="preserve">&lt;p&gt;แองเจลิค แฮร์ คัลเลอร์ ครีม 7.37 มีเดี่ยม โกลด์ กรีน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</si>
  <si>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ANG-017</t>
  </si>
  <si>
    <t>น้ำยาย้อมผม เบอร์ 6.7 สีบลอนด์เข้มประกายหม่นเขียว ANG-017</t>
  </si>
  <si>
    <t xml:space="preserve">&lt;p&gt;แองเจลิค แฮร์ คัลเลอร์ ครีม 6.7 ดาร์ก กรีน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</si>
  <si>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น้ำยาย้อมผม เบอร์ 8.7 สีบลอนด์ประกายแดง ANG-018</t>
  </si>
  <si>
    <t xml:space="preserve">&lt;p&gt;สีบลอนด์กลางประกายแดงจัด อุปกรณ์ในกล่องมีดังนี้&lt;br /&gt;1. หลอดสี ปริมาณ 100 มล. &lt;br /&gt;2. ไฮโดรเจน &lt;br /&gt;3.ถุงมือ&lt;br /&gt;4.วิตามินบำรุง&lt;br /&gt;5. คู่มือการใช้ &lt;br /&gt;ปริมาณ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</si>
  <si>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ANG-021</t>
  </si>
  <si>
    <t>น้ำยาย้อมผม เบอร์ 0.44 แม่สีทองแดง ANG-021</t>
  </si>
  <si>
    <t xml:space="preserve">&lt;p&gt;แองเจลิค แฮร์ คัลเลอร์ ครีม 0.44 แม่สีทองแดง&lt;/p&gt;
 &lt;p&gt;แม่สีเทาอุปกรณ์ในกล่องมี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</si>
  <si>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ANG-024</t>
  </si>
  <si>
    <t>น้ำยาย้อมผม เบอร์ 4.0 สีน้ำตาลกลาง ANG-024</t>
  </si>
  <si>
    <t xml:space="preserve">&lt;p&gt;แองเจลิค แฮร์ คัลเลอร์ ครีม 4.0 มีเดี่ยม บราวน์&lt;/p&gt;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</si>
  <si>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ANG-025</t>
  </si>
  <si>
    <t>น้ำยาย้อมผม เบอร์ 4.22 มีเดี่ยม อินเทนส์ ไวโอเลท บราวน์ ANG-025</t>
  </si>
  <si>
    <t xml:space="preserve">&lt;p&gt;แองเจลิค แฮร์ คัลเลอร์ ครีม 4.22 มีเดี่ยม อินเทนส์ ไวโอเลท บราวน์&lt;/p&gt;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</si>
  <si>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ANG-029</t>
  </si>
  <si>
    <t>น้ำยาย้อมผม เบอร์ 5.0 สีน้ำตาลอ่อน ANG-029</t>
  </si>
  <si>
    <t xml:space="preserve">&lt;p&gt;แองเจลิค แฮร์ คัลเลอร์ ครีม 5.0 ไลท์ บราวน์&lt;/p&gt;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</si>
  <si>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ANG-041</t>
  </si>
  <si>
    <t>น้ำยาย้อมผม เบอร์ 7.3 สีบลอนด์กลางประกายทอง ANG-041</t>
  </si>
  <si>
    <t xml:space="preserve">&lt;p&gt;แองเจลิค แฮร์ คัลเลอร์ ครีม 7.3 มีเดี่ยม โกลด์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</si>
  <si>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ANG-043</t>
  </si>
  <si>
    <t>น้ำยาย้อมผม เบอร์ 7.7 สีบลอนด์กลางประกายหม่นเขียว ANG-043</t>
  </si>
  <si>
    <t xml:space="preserve">&lt;p&gt;แองเจลิค แฮร์ คัลเลอร์ ครีม 7.7 มีเดี่ยม กรีน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</si>
  <si>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ANG-044</t>
  </si>
  <si>
    <t>น้ำยาย้อมผม เบอร์7.56 สีบลอนด์กลางประกายแดงมาฮ๊อกกานี ANG-044</t>
  </si>
  <si>
    <t xml:space="preserve">&lt;p&gt;แองเจลิค แฮร์ คัลเลอร์ ครีม 7.56 มีเดี่ยม มาฮ็อกกานี เรด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</si>
  <si>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ANG-046</t>
  </si>
  <si>
    <t>น้ำยาย้อมผม เบอร์ 8.3 สีบอนด์อ่อนประกายทอง ANG-046</t>
  </si>
  <si>
    <t xml:space="preserve">&lt;p&gt;แองเจลิค แฮร์ คัลเลอร์ ครีม 8.3 ไลท์ โกลด์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</si>
  <si>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ANG-047</t>
  </si>
  <si>
    <t>น้ำยาย้อมผม เบอร์ 8.33 สีบรอนด์อ่อนประกายทองจัด ANG-047</t>
  </si>
  <si>
    <t xml:space="preserve">&lt;p&gt;แองเจลิค แฮร์ คัลเลอร์ ครีม 8.33 ไลท์ อินเทนส์ โกลด์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</si>
  <si>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ANG-049</t>
  </si>
  <si>
    <t>น้ำยาย้อมผม เบอร์ 8.66 สีบลอนด์อ่อนประกายทองเหลือบเขียว ANG-049</t>
  </si>
  <si>
    <t xml:space="preserve">&lt;p&gt;สีบลอนด์อ่อนประกายทองเหลือบเขียว&lt;/p&gt;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</si>
  <si>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น้ำยาย้อมผม เบอร์ 8.1 สีบลอนด์อ่อน ANG-070</t>
  </si>
  <si>
    <t xml:space="preserve">&lt;p&gt;แองเจลิค แฮร์ คัลเลอร์ ครีม 8.1 ไลท์ แอช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</si>
  <si>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น้ำยาย้อมผม เบอร์ 10.0 สีแพตตินัม ANG-071</t>
  </si>
  <si>
    <t xml:space="preserve">&lt;p&gt;แองเจลิค แฮร์ คัลเลอร์ ครีม 10.0 แพตตินัม&lt;/p&gt;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</si>
  <si>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ANG-016</t>
  </si>
  <si>
    <t>น้ำยาย้อมผม เบอร์ 9.37 สีบลอนด์อ่อนประกายทองเหลือบเขียว ANG-016</t>
  </si>
  <si>
    <t xml:space="preserve">&lt;p&gt;แองเจลิค แฮร์ คัลเลอร์ ครีม 9.37 เวรี่ ไลท์ โกลด์ กรีน บลอนด์&lt;/p&gt;
 &lt;p&gt;อุปกรณ์ในกล่องมี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</si>
  <si>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น้ำยาย้อมผม เบอร์ 0.11 สีเทา ANG-001</t>
  </si>
  <si>
    <t xml:space="preserve">&lt;p&gt;แองเจลิค แฮร์ คัลเลอร์ ครีม 0.11 แอช&lt;/p&gt;
 &lt;p&gt;แม่สีเทาอุปกรณ์ในกล่องมี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</si>
  <si>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น้ำยาย้อมผม เบอร์ 9.1 สีบลอนด์อ่อนประกายเทา ANG-012</t>
  </si>
  <si>
    <t xml:space="preserve">&lt;p&gt;แองเจลิค แฮร์ คัลเลอร์ ครีม 9.1 เวรี่ ไลท์ แอช บลอนด์&lt;/p&gt;
 &lt;p&gt;แม่สีเทาอุปกรณ์ในกล่องมี ดังนี้&lt;br /&gt; 1. หลอดสี ปริมาณ 100 มล. &lt;br /&gt; 2. ไฮโดรเจน &lt;br /&gt; 3.ถุงมือ &lt;br /&gt; 4.วิตามินบำรุง &lt;br /&gt; 5. คู่มือการใช้ ปริมาณ 100 มล.x2&lt;/p&gt;
 &lt;p&gt;*เหมาะสำหรับผู้ที่เปลี่ยนสีผมบ่อย และไม่ต้องการให้เส้นผม กรอบ หรือเกิดการแห้งเสีย &lt;br /&gt;*ผลลัพธ์ของสีผลที่ได้ขึ้นอยู่กับสภาพและสีผมก่อนทำ&lt;/p&gt;
 &lt;p&gt;วิธีใช้: &lt;br /&gt; ใช้ผสมกับ แฮร์ ดีเวลลอปเปอร์ครีม 6%, 9% หรือ 12% แล้วแต่ความต้องการในอัตราส่วน 1:1 &lt;br /&gt;ชโลมทิ้งไว้ ประมาณ 30 นาที (แล้วแต่สภาพเส้นผม) แล้วล้างออก &lt;br /&gt; *แฮร์ วิตามิน มีสารสกัดจาก "Dimethicone" ที่เข้ามาช่วยบำรุงเส้นผมและล็อคความชุ่มชื่นโดย&lt;br /&gt;สารสกัดจะทำหน้าที่เหมือนแผ่นฟิล์มบางๆ เคลือบล็อค ไม่ให้ความชุ่มชื่นระเหยออกจากเส้นผม &lt;br /&gt; *สารสกัดจากธรรมชาติอย่าง "Argan Oil" น้ำมันอาร์แกน รักษาความยืดหยุ่น ป้องกันไม่ให้ผม&lt;br /&gt;แห้งและสูญเสียความชุ่มชื้น และยังมีคุณสมบัติต้านลดอาการอักเสบ หรือแสบคันหลังจากการย้อมสีผม เป็นต้น&lt;/p&gt;</t>
  </si>
  <si>
    <t>ไฟหมุนสีดำ ขนาด 65 cm 2.1 kg รหัสสินค้า PKY-2233</t>
  </si>
  <si>
    <t>&lt;p&gt;&lt;img src="https://sv1.picz.in.th/images/2022/06/21/VKOyC1.md.jpg" /&gt;&lt;/p&gt;</t>
  </si>
  <si>
    <t>ไฟหมุน</t>
  </si>
  <si>
    <t>PKY-2234</t>
  </si>
  <si>
    <t>ไฟหมุนสีดำ ขนาด 75 cm 2.3 kg รหัสสินค้า PKY-2234</t>
  </si>
  <si>
    <t>ไฟหมุนสีดำ ขนาด 88 cm 2.5 kg รหัสสินค้า PKY-2235</t>
  </si>
  <si>
    <t>Barber Brain Comb หวีเซ็ตสไตล์วินเทจสีดำ รหัสสินค้า PKY-2230</t>
  </si>
  <si>
    <t>PKY-2231</t>
  </si>
  <si>
    <t>หวีหนีบผมตรง PKY-2231</t>
  </si>
  <si>
    <t>กิ๊ฟปากจรเข้สีพาสเทล 6 ชิ้น รหัสสินค้า PKY-2232</t>
  </si>
  <si>
    <t>วาเลนเต้ แปรงสำหรับทำเคมี 0.014g. VAL-1708</t>
  </si>
  <si>
    <t xml:space="preserve">&lt;p&gt;#แปรง #ย้อมสี #ทำสี #ย้อมผม &lt;br /&gt;#ผสมสี #น้ำยาเคมี #ยืดผม #ดัดผม&lt;/p&gt;
 &lt;p&gt;หวีแปรงสำหรับทำเคมี &lt;br /&gt;ขนาดกว้าง 6ซม. ยาว 20 ซม.&lt;/p&gt;</t>
  </si>
  <si>
    <t>ชุดกรรไกรตัดซอย Gradient Color ตัด 6 นิ้ว ฟันปลา ขนาด 5.5 นิ้ว 0.173 กรัม รหัสสินค้า C-5</t>
  </si>
  <si>
    <t xml:space="preserve">&lt;div dir="auto"&gt;กรรไกรตัดซอย Gradient Color C-5&lt;br /&gt;วัสดุมีคุณภาพ น้ำหนักเบาจับถนัดมือ ใช้สำหรับตัดแต่งทรงผม&lt;br /&gt;เหมาะสำหรับผู้เริ่มต้นใช้งานเเละช่างมืออาชีพ&lt;/div&gt;
 &lt;div dir="auto"&gt;&amp;nbsp;&lt;/div&gt;
 &lt;div dir="auto"&gt;- กรรไกรตัด&amp;nbsp;ขนาด 6 นิ้ว&lt;/div&gt;
 &lt;div dir="auto"&gt;- กรรไกรซอย (ฟันปลา) ขนาด 5.5 นิ้ว&lt;/div&gt;
 &lt;div dir="auto"&gt;- ความยาวใบมีด 2.25 นิ้ว&lt;/div&gt;
 &lt;div dir="auto"&gt;- น้ำหนัก 0.173 กรัม&amp;nbsp;&lt;/div&gt;
 &lt;div dir="auto"&gt;- มียางกันกระแทก&lt;/div&gt;
 &lt;div dir="auto"&gt;- คมกริบด้วยวัสดุคุณภาพ&lt;/div&gt;
 &lt;div dir="auto"&gt;- โดดเด่นด้วยการไล่เฉดสี Gradient Style&lt;/div&gt;
 &lt;div dir="auto"&gt;&amp;nbsp;&lt;/div&gt;
 &lt;div dir="auto"&gt;&lt;br /&gt; ใน 1 ชุด ประกอบไปด้วย: &lt;br /&gt;- กรรไกรตัด + กรรไกรซอย &lt;br /&gt;- FREE กระเป๋าเก็บกรรไกร&lt;/div&gt;
 &lt;div dir="auto"&gt;- FREE น้ำมันเช็ดกรรไกร&lt;/div&gt;
 &lt;div dir="auto"&gt;- FREE ผ้าเช็ดกรรไกร&lt;/div&gt;
 &lt;div dir="auto"&gt;- FREE ที่ไขกรรไกร&amp;nbsp;&lt;/div&gt;</t>
  </si>
  <si>
    <t>Barber Brain x Haris Styling Curl Control Cream for men ผลิตภัณฑ์จัดแต่งทรงผม 150 ml. รหัสสินค้า BB-511</t>
  </si>
  <si>
    <t xml:space="preserve">&lt;p&gt;Limited Edition Barber Brain x Haris&lt;/p&gt;
 &lt;p&gt;&lt;strong&gt;BARBER BRAIN HARIS CURL CONTROL CREAM&lt;/strong&gt;&lt;br /&gt;&lt;strong&gt;บาร์เบอร์ เบรน ฮาริส เคิร์ล คอนโทรล ครีม&lt;/strong&gt;&lt;br /&gt;&lt;strong&gt;ผลิตภัณฑ์จัดแต่งทรงผม ปริมาณสุทธิ 150 ml.&lt;/strong&gt;&lt;/p&gt;
 &lt;p&gt;&lt;br /&gt;ครีมจับสอนผมตัด จัดแต่งทรงผมให้ขัดเจน เพิ่มวอลลุ่มให้เส้นผมอ่อนนุ่ม พริ้วสลวยไม่แข็งกระด้าง ลอนสวยอยู่ทนอย่างเป็นธรรมชาตินานตลอดทั้งวัน&lt;/p&gt;
 &lt;p&gt;&lt;br /&gt;&lt;strong&gt;วิธีใข้ :&amp;nbsp;&lt;/strong&gt;บีบครีมลงบนผ้ามือพอประมาณ ขโลมให้ทั่วสอนผม&amp;nbsp;ให้มือขยุ้มสอนผมให้ทั่ว เซ็ทจัดแต่งสอนผมได้ตามต้องการ&lt;/p&gt;
 &lt;p&gt;&amp;nbsp;&lt;/p&gt;
 &lt;p&gt;&lt;strong&gt;ส่วนประกอบสำคัญ :&amp;nbsp;&lt;/strong&gt;&lt;/p&gt;
 &lt;p&gt;DEONIZED WATER, POLYGLYCERYL-2 STEARATE,&lt;br /&gt;GLYCERYL STEARATE, STEARYL ALCOHOL&lt;br /&gt;PROPYLENE GLYCOL, FRAGRANCE, PEG-65M,&lt;br /&gt;POLYURETHANE-34, POLYQUATERNIUM-7,&lt;br /&gt;PPG-3 CAPRYLYL ETHER, POLYQUATERNIUM-39,&lt;br /&gt;VINYL CAPROLACTAM/AP/DIMETHYLAMINOETHYL&lt;br /&gt;METHACRYLATE COPOLYMER, DMDM HYDANTOIN,&lt;br /&gt;CAPRYLYL GLYCOL, EDTA&lt;/p&gt;
 &lt;p&gt;&lt;strong&gt;ผลิตในปี 2022 LOT ใหม่ล่าสุด&lt;/strong&gt; !&lt;/p&gt;
 &lt;p&gt;&lt;strong&gt;ปลอดภัยมีใบรับแจ้งเลขที่ : 10-1-6500009764 !&lt;/strong&gt;&lt;/p&gt;
 &lt;p&gt;&lt;strong&gt;คำเตือน :&lt;/strong&gt;&amp;nbsp;ระวังอย่าให้เข้าตา, เก็บไว้ในอุณหภูมิปกติ,&amp;nbsp;เก็บให้พ้นมือเด็ก, ห้ามรับประทาน&lt;/p&gt;</t>
  </si>
  <si>
    <t>BOX-02-L</t>
  </si>
  <si>
    <t>วาเลนเต้ กระเป๋าใส่เครื่องสำอางค์ แบบหนัง ไซต์ L รหัสสินค้า BOX-02/L</t>
  </si>
  <si>
    <t>กระเป๋าอุปกรณ์ช่าง</t>
  </si>
  <si>
    <t>HP-3</t>
  </si>
  <si>
    <t>วาเลนเต้ ผมเทสสีและเคมีต่างๆ สีดำ 1 เซตมี30ช่อ รุ่น HP/3</t>
  </si>
  <si>
    <t>PS-29562-22</t>
  </si>
  <si>
    <t>โรลม้วนผมฟองน้ำ อุปกรณ์ทำผม โรลม้วนผม size 22 12 ชิ้น/แพค (โรลฟองน้ำเเกนรอบ,มีเเกน) รหัส PS-29562</t>
  </si>
  <si>
    <t>BOX-A</t>
  </si>
  <si>
    <t>กล่องพัสดุ ขนาด A</t>
  </si>
  <si>
    <t>Cosmix Supply</t>
  </si>
  <si>
    <t>อุปกรณ์แพ็คสินค้า</t>
  </si>
  <si>
    <t>กล่อง</t>
  </si>
  <si>
    <t>BOX-B</t>
  </si>
  <si>
    <t>กล่องพัสดุ ขนาด B</t>
  </si>
  <si>
    <t>BOX-C</t>
  </si>
  <si>
    <t>กล่องพัสดุ ขนาด C</t>
  </si>
  <si>
    <t>BOX-D</t>
  </si>
  <si>
    <t>กล่องพัสดุ ขนาด D</t>
  </si>
  <si>
    <t>BOX-E</t>
  </si>
  <si>
    <t>กล่องพัสดุ ขนาด E</t>
  </si>
  <si>
    <t>BAG-M</t>
  </si>
  <si>
    <t>ซองพัสดุ ขนาด M</t>
  </si>
  <si>
    <t>ซอง</t>
  </si>
  <si>
    <t>ZM-BB-108-BD-2</t>
  </si>
  <si>
    <t>ตัวครอบเครื่องด้านล่าง ปัตตาเลี่ยนรุ่น BB-108</t>
  </si>
  <si>
    <t>หวีลายการ์ตูน รหัส CB-610</t>
  </si>
  <si>
    <t>Barber Brain HAIR BRUSH แปรงปัดผมขนไนล่อน รหัสสินค้า VAL-G14</t>
  </si>
  <si>
    <t>บาร์เบอร์ เบรน หวีเซ็ทผม 3 ด้าน ขนาดพกพา จัดแต่งทรงผม ร้านตัดผมชาย หวีช่างผม รหัสสินค้า VAL-M01</t>
  </si>
  <si>
    <t>วาเลนเต้ กระดาษพันแกนดัน ดันเย็น อุปกรณ์ดัดผม จำนวน 380 แผ่น รหัสสินค้า Z-028</t>
  </si>
  <si>
    <t>HS-53039-B</t>
  </si>
  <si>
    <t>ถาดรองทำไฮไลท์ ขนาดใหญ่ รหัสสินค้า HS-53039/B</t>
  </si>
  <si>
    <t>HS-53039-S</t>
  </si>
  <si>
    <t>ถาดรองทำไฮไลท์ ขนาดเล็ก รหัสสินค้า HS-53039/S</t>
  </si>
  <si>
    <t>ผลิตภัณฑ์สำหรับโกนหนวด บาร์เบอร์ เบรน ซิลเวอร์ เบลด เชฟวิ่ง ครีม BB-512</t>
  </si>
  <si>
    <t xml:space="preserve">&lt;p&gt;Shaving Cream Grooming Product&lt;/p&gt;
 &lt;p&gt;สบู่ครีมโกนหนวด ปริมาณ 100 กรัม&lt;/p&gt;
 &lt;p&gt;&amp;nbsp;&lt;/p&gt;
 &lt;p&gt;สบู่โกนหนวกขึ้นฟองง่าย ฟองครีมละเอียด นุ่มนวลต่อผิวเลือกสรรส่วนผสมที่ช่วยลดการละคายเคือง และดีต่อผิว ช่วยเพิ่มความมั่นใจในวันของคุณ มีส่วนผสมของ coconut oil ช่วยให้โกนง่ายขึ้นแล้วยังทำให้ผิวนุ่มชุ่มชื้นอีกด้วย&lt;/p&gt;
 &lt;p&gt;&amp;nbsp;&lt;/p&gt;
 &lt;p&gt;&amp;nbsp;&lt;/p&gt;
 &lt;p&gt;วิธีใช้ 3 Step&lt;/p&gt;
 &lt;ol&gt;
 &lt;li&gt;ตักเนื้อครีมใส่ถ้วย&lt;/li&gt;
 &lt;li&gt;ใส่น้ำอุ่น&lt;/li&gt;
 &lt;li&gt;ตีให้เกิดฟอง&lt;/li&gt;
 &lt;/ol&gt;</t>
  </si>
  <si>
    <t>VAL-0921</t>
  </si>
  <si>
    <t>โมเดิร์นโรล วาเลนเต้ 18ชิ้น/กล่อง (VAL-0921)</t>
  </si>
  <si>
    <t>ชุดเจลน้ำยาดัดเย็น BB-703 และผง Down Perm BB-704</t>
  </si>
  <si>
    <t xml:space="preserve">&lt;p&gt;ชุดน้ำยาดัดผมแบบ Cold Perm (ดัดเย็น) ให้ลอนผมยาวนานและเป็นธรรมชาติ เส้นผมไม่แห้ง ลอนผมอ่อนนุ่ม จัดลอนง่าย&lt;/p&gt;
 &lt;p&gt;&amp;nbsp;&lt;/p&gt;
 &lt;p&gt;1 เซตประกอบไปด้วย&lt;/p&gt;
 &lt;ol&gt;
 &lt;li&gt;ชุดน้ำยาดัดเย็นสูตรเนื้อเจล Energy Perm ปริมาณ 150 g (01น้ำยาดัด , 02น้ำยาโกรก)&lt;/li&gt;
 &lt;li&gt;ผงผสมน้ำยาดัดเย็น Down Perm ปริมาณ 100 g&lt;/li&gt;
 &lt;/ol&gt;
 &lt;p&gt;&amp;nbsp;&lt;/p&gt;
 &lt;p&gt;&lt;img src="https://sv1.picz.in.th/images/2022/10/15/pLcnXQ.md.jpg" alt="" width="546" height="363" /&gt;&lt;/p&gt;
 &lt;p&gt;วิธีการใช้งานชุดน้ำยาดัดเย็น Energy Perm :&lt;br /&gt;1. สระผมให้สะอาด&lt;br /&gt;2. แบ่งผมออกเป็นช่อๆ แล้วพันผมเข้ากับแกนดัด&lt;br /&gt;3. ลงน้ำยาดัด (01) แลั่วทิ้งไว้ประมาณ 15-30 นาที&lt;br /&gt;(แล้วแต่สภาพเส้นผม)&lt;br /&gt;4. ลงน้ำยาโกรก (02) แล้วทิ้งไว้ประมาณ 10-30 นาที&lt;br /&gt;(แล้วแต่สภาพเส้นผม)&lt;br /&gt;5. ล้างออกให้สะอาดและเป่าให้แห้ง&lt;br /&gt;6. เซ็ทจัดแต่งทรงตามต้องการ&lt;/p&gt;
 &lt;p&gt;&amp;nbsp;&lt;/p&gt;
 &lt;p&gt;สามารถคลิกดูวิธีการใช้งานที่คลิปด้านล่างได้เลย&lt;/p&gt;</t>
  </si>
  <si>
    <t>Perming (ชุดน้ำยาดัด)</t>
  </si>
  <si>
    <t>ผงผสมน้ำยาดัดเย็น Down Perm Powder BB-704</t>
  </si>
  <si>
    <t>L-303-1</t>
  </si>
  <si>
    <t>แหนบลายดอไม้ ปากตรง L-303-1</t>
  </si>
  <si>
    <t>XL-108-1</t>
  </si>
  <si>
    <t>แกนดัดเย็นขนาด 20x125mm รหัสสินค้า XL-108/1</t>
  </si>
  <si>
    <t>XL-108-2</t>
  </si>
  <si>
    <t>แกนดัดเย็น ขนาด 25x125mm รหัสสินค้า XL-108/2</t>
  </si>
  <si>
    <t>XL-108-3</t>
  </si>
  <si>
    <t>แกนดัดเย็น ขนาด 17x125mm รหัสสินค้า XL-108/3</t>
  </si>
  <si>
    <t>XL-108-4</t>
  </si>
  <si>
    <t>แกนดัดเย็น ขนาด 15x125mm รหัสสินค้า XL-108/4</t>
  </si>
  <si>
    <t>ST-001</t>
  </si>
  <si>
    <t>สติ๊กเกอร์ระวังแตก ST-001</t>
  </si>
  <si>
    <t>PO-22</t>
  </si>
  <si>
    <t>PO-22 บาร์เบอร์ เบรน กระเป๋าใส่กรรไกรแบบสะพาย สีใส 236g.</t>
  </si>
  <si>
    <t>PKY-2280 วาเลนเต้ แกนดัดยกโคน ไซส์ใหญ่ 16 ชิ้น 278g</t>
  </si>
  <si>
    <t>PKY-2281 วาเลนเต้ แกนดัดยกโคน ไซส์เล็ก 20 ชิ้น 278g</t>
  </si>
  <si>
    <t>M-46 วาเลนเต้ กระดาษพันคอ 1 แพ็ค 5 ม้วน สีดำ 500g</t>
  </si>
  <si>
    <t>&lt;p&gt;วัสดุคุณภาพดี ยือหยุ่นได้ยาว กาวติดแน่น&lt;br /&gt;กันน้ำไหลซึม ไม่เปียกยุ่ยมากเวลาโดนน้ำ&lt;br /&gt;1 แพ็ค 5 ม้วน ม้วนละ 100 แผ่น &lt;br /&gt;ความยาว 33 ซม. สูง 33 กว้าง 10 ซม.&lt;br /&gt;กระดาษพันคอใช้แทนผ้าขนหนู&lt;br /&gt;แบบใช้แล้วทิ้ง มีแถบกาวไว้ประกบติด&lt;br /&gt;ใช้งานง่าย สะดวก ปรับขนาดได้&lt;br /&gt;สะอาด ไม่อึดอัดคอ ไม่ร้อนไม่คัน &lt;br /&gt;ช่วยซับเหงื่อ &lt;br /&gt;ลดโอกาสการติดเชื้อโรคจากผ้าคลุม&lt;/p&gt;</t>
  </si>
  <si>
    <t>HP-005-1</t>
  </si>
  <si>
    <t>HP-005-1 วาเลนเต้ แปรงไดร์ฟาร่าปลายแหลม 10 แถว 41.8g</t>
  </si>
  <si>
    <t>HP-006-1</t>
  </si>
  <si>
    <t>HP-006-1 วาเลนเต้ แปรงไดร์ฟาร่าปลายแหลม 12 แถว 51.6g</t>
  </si>
  <si>
    <t>HP-007-1</t>
  </si>
  <si>
    <t>HP-007-1 วาเลนเต้ แปรงไดร์ฟาร่าปลายแหลม 14 แถว 65.2g</t>
  </si>
  <si>
    <t>HP-008-1</t>
  </si>
  <si>
    <t>HP-008-1 วาเลนเต้ แปรงไดร์ฟาร่าปลายแหลม 14 แถว 91.8g</t>
  </si>
  <si>
    <t>BB-703-1</t>
  </si>
  <si>
    <t>BB-703-1 ขวดโฟม</t>
  </si>
  <si>
    <t>L'ANGEL Luxury Angelic Hair Color Cream น้ำยาย้อมผม เบอร์ 0.00 สีเคลียร์โทน ANG-019</t>
  </si>
  <si>
    <t>CAL2023</t>
  </si>
  <si>
    <t>ปฏิทินบาร์เบอร์ปี 2023 รหัส CAL2023</t>
  </si>
  <si>
    <t>PKY-2282 กระดาษพันแกนแบบเกาหลี 1000 แผ่น</t>
  </si>
  <si>
    <t>BB-514 บาร์เบอร์เบรน มูส กรูมมิ่ง ทอนนิค 100ml</t>
  </si>
  <si>
    <t xml:space="preserve">&lt;p&gt;BARBER BRAIN&lt;/p&gt;
 &lt;p&gt;MOUSSE GROOMING TONIC&lt;/p&gt;
 &lt;p&gt;บาร์เบอร์เบรน มูส กรูมมิ่ง ทอนนิค 100ml.&lt;/p&gt;
 &lt;p&gt;&amp;nbsp;&lt;/p&gt;
 &lt;p&gt;ผลิตภัณฑ์จัดแต่งทรงผม&lt;/p&gt;
 &lt;p&gt;ใช้เป็น Pre-Styler ช่วยปกป้องความร้อนจากการไดร์ผม&lt;/p&gt;
 &lt;p&gt;ยกโคนผม หรือ ใช้จัดแต่งทรงผมให้ความอยู่ทรงเบาสบาย&lt;/p&gt;
 &lt;p&gt;ช่วยให้ช่างสามารถตัดผมได้ง่ายขึ้นและช่วยเช็คกรอบทรงรายละเอียดต่างๆของทรงได้ดีขึ้น&lt;/p&gt;
 &lt;p&gt;มีวิตามิน B5 ให้ความชุ่มชื่นกับเส้นผมพร้อมบำรุงหนังศรีษะ&lt;/p&gt;
 &lt;p&gt;&amp;nbsp;&lt;/p&gt;
 &lt;p&gt;วิธีใช้ : บีบโฟมลงบนฝ่ามือลูบไล้ชะโลมจัดแต่งทรงตามสไตล์ที่ต้องการ&lt;/p&gt;</t>
  </si>
  <si>
    <t>BB-515 pre shave</t>
  </si>
  <si>
    <t xml:space="preserve">&lt;p&gt;BARBER BRAIN SILVER BLADE PRE SHAVE CREAM&lt;/p&gt;
 &lt;p&gt;บาร์เบอร์ เบรน ซิลเวอร์ เบลด พรี เชฟ ครีม 100g.&lt;/p&gt;
 &lt;p&gt;&amp;nbsp;&lt;/p&gt;
 &lt;p&gt;ผลิตภัณฑ์บำรุงผิวก่อนการโกนหนวด&lt;/p&gt;
 &lt;p&gt;ครีมบำรุงก่อนการโกนหนวด เหมาะสำหรับหนวดเครา และสภาพผิวทุกประเภท&lt;/p&gt;
 &lt;p&gt;ทำให้หนวดเคราอ่อนนุ่ม ใช้เตรียมผิวเพื่อการโกนที่เรียบเนียน&lt;/p&gt;
 &lt;p&gt;และสร้างเกราะป้องกันให้ผิวลดการระคายเคืองระหว่างผิวกับใบมีด&lt;/p&gt;
 &lt;p&gt;&amp;nbsp;&lt;/p&gt;
 &lt;p&gt;วิธีใช้ : ทาลงบริเวณที่จะโกนหนวด นวดวนเป็นวงกลม โดยไม่ต้องล้างออก ทาครีมหรือสบู่โกนหนวด และโกนตามปกติ&lt;/p&gt;
 &lt;p&gt;&amp;nbsp;&lt;/p&gt;
 &lt;p&gt;เลขที่ใบจดแจ้ง : 10-1-6500043264&lt;/p&gt;</t>
  </si>
  <si>
    <t>BB-513 after shave</t>
  </si>
  <si>
    <t xml:space="preserve">&lt;p&gt;Barber Brain Silver Blade After Shave&lt;/p&gt;
 &lt;p&gt;ผลิตภัณฑ์บำรุงผิวหน้าหลังการโกนหนวด ขนาด 85ml.&lt;/p&gt;
 &lt;p&gt;&amp;nbsp;&lt;/p&gt;
 &lt;p&gt;☑︎ ช่วยป้องกันการติดเชื้อที่เกิดจากการโกนหนวด&lt;/p&gt;
 &lt;p&gt;☑︎ เวลาที่มีดโกนหยวดไม่สะอาด หรือเกิดแผลขณะการโกน&lt;/p&gt;
 &lt;p&gt;☑︎ บำรุงผิวหน้าด้วยวิตามิน Vitamin B3 , B5&lt;/p&gt;
 &lt;p&gt;☑︎ ทำให้ผิวหน้าชุ่มชื้น ลดการระคายเคืองผิว&lt;/p&gt;
 &lt;p&gt;☑︎ กลิ่นหอมสดชื่น รู้สึกผ่อนคลายหลังจากการโกนหนวด&lt;/p&gt;
 &lt;p&gt;&amp;nbsp;&lt;/p&gt;
 &lt;p&gt;วิธีใช้ : เทลงบนฝ่ามือ ชโลมบริเวณที่โกนหนวดให้ทั่ว นวดคลึงเบาๆ&lt;/p&gt;
 &lt;p&gt;&amp;nbsp;&lt;/p&gt;
 &lt;p&gt;หมายเลขจดแจ้ง : 10-1-6500023588&lt;/p&gt;</t>
  </si>
  <si>
    <t>ZM-BB-108-S</t>
  </si>
  <si>
    <t>สวิตซ์ รุ่นใหม่ BB-108</t>
  </si>
  <si>
    <t>ZM-BB-110-3</t>
  </si>
  <si>
    <t>แผงวงจร BB-110</t>
  </si>
  <si>
    <t>แผงวงจร</t>
  </si>
  <si>
    <t>BOX-02-S</t>
  </si>
  <si>
    <t>กระเป๋าอุปกรณ์ช่าง แบบหนัง ลายหนังงู ไซต์ S รุ่น BOX-02/S</t>
  </si>
  <si>
    <t>BOX-01-S</t>
  </si>
  <si>
    <t>วาเลนเต้ กระเป๋าใส่เครื่องสำอางค์ แบบผ้า ไซต์ S รหัสสินค้า BOX-01/S</t>
  </si>
  <si>
    <t>20-NAVI</t>
  </si>
  <si>
    <t>BOX-01-L</t>
  </si>
  <si>
    <t>วาเลนเต้ กระเป๋าใส่เครื่องสำอางค์ แบบผ้า ไซต์ L รหัสสินค้า BOX-01/L</t>
  </si>
  <si>
    <t>HC-001-31</t>
  </si>
  <si>
    <t>โรลม้วนผมไฟฟ้า ขนาด 31 มม. รหัสสินค้า HC-001/31</t>
  </si>
  <si>
    <t>แกนดัดขนาดมาตรฐาน ขนาด 2.9 cm PRO-2</t>
  </si>
  <si>
    <t>แกนดัดขนาดมาตรฐาน ขนาด 2.7 cm PRO-3</t>
  </si>
  <si>
    <t>K-01</t>
  </si>
  <si>
    <t>K-01 คาตานะ ผลิตภัณฑ์เสริมอาหาร 10 แคปซูล ปริมาณสุทธิ 5 กรัม</t>
  </si>
  <si>
    <t xml:space="preserve">&lt;p&gt;KATANA (คาตานะ)&lt;/p&gt;
 &lt;p&gt;DIETARY SUPPLEMENT PRODUCT (ผลิตภัณฑ์อาหารเสริม)&lt;/p&gt;
 &lt;p&gt;&amp;nbsp;&lt;/p&gt;
 &lt;p&gt;ส่วนประกอบสำคัญ (Ingredients) :&amp;nbsp;&lt;/p&gt;
 &lt;p&gt;โสม : Ginseng&lt;/p&gt;
 &lt;p&gt;ขิง : Ginger&lt;/p&gt;
 &lt;p&gt;ซิงค์ อะมิโน แอซิค คีเลท : Zinc Amino Acid Chelate&lt;/p&gt;
 &lt;p&gt;เห็ดหลืนจือ : Reishi Mushroom&lt;/p&gt;
 &lt;p&gt;ถังเช่า : Cordyceps&lt;/p&gt;
 &lt;p&gt;กระชายดำ : Black Galingale&lt;/p&gt;
 &lt;p&gt;&amp;nbsp;&lt;/p&gt;
 &lt;p&gt;ขนาดและวิธีรับประทาน : รับประทานวันละ 1 แคปซูล (500 มิลลิกรัม)&lt;/p&gt;
 &lt;p&gt;Amoont and Usage : Take 1 Capsule (500 mg.) daily.&lt;/p&gt;
 &lt;p&gt;&amp;nbsp;&lt;/p&gt;
 &lt;p&gt;เลขที่อย. 73-1-02663-5-0126&lt;/p&gt;
 &lt;p&gt;ผ่านการตรวจสอบประเมินสถานที่ผลิตตาม ISO22000 , GHP , HACCP&lt;/p&gt;
 &lt;p&gt;&amp;nbsp;&lt;/p&gt;
 &lt;p&gt;คำเตือน&lt;/p&gt;
 &lt;p&gt;*ไม่มีผลในการป้องกันหรือรักษาโรค&lt;/p&gt;
 &lt;p&gt;*เด็กและสตรีมีครรภ์ไม่ควรรับประทาน&lt;/p&gt;</t>
  </si>
  <si>
    <t>KATANA</t>
  </si>
  <si>
    <t>Health and Beauty - สุขภาพและความงาม</t>
  </si>
  <si>
    <t>อาหารเสริม (Dietary)</t>
  </si>
  <si>
    <t>บริษัท ออกานิกส์ อินโนเวชั่นส์ จ</t>
  </si>
  <si>
    <t>K-02</t>
  </si>
  <si>
    <t>K-02 คาตานะ ผลิตภัณฑ์เสริมอาหาร 4 แคปซูล ปริมาณสุทธิ 2 กรัม</t>
  </si>
  <si>
    <t>ZM-BB-110-6</t>
  </si>
  <si>
    <t>มอเตอร์ BB-110</t>
  </si>
  <si>
    <t>มอเตอร์</t>
  </si>
  <si>
    <t>PVD_CS</t>
  </si>
  <si>
    <t>สินค้าลดล้างสต็อก</t>
  </si>
  <si>
    <t>สินค้าฝากขาย</t>
  </si>
  <si>
    <t>LST_418</t>
  </si>
  <si>
    <t>กระบอกฉีดน้ำเล็ก</t>
  </si>
  <si>
    <t>OHA-009</t>
  </si>
  <si>
    <t>OHA-009 มาร์คผมภูเขาไฟ</t>
  </si>
  <si>
    <t>HC-002-25</t>
  </si>
  <si>
    <t>HC-002 VALENTE Hair Iron Korea Technology แอร์ ไอรอน โคเรีย เทคโนโลยี ขนาด 25 นิ้ว</t>
  </si>
  <si>
    <t>HC-002-32</t>
  </si>
  <si>
    <t>HC-002 VALENTE Hair Iron Korea Technology แอร์ ไอรอน โคเรีย เทคโนโลยี ขนาด 32 นิ้ว</t>
  </si>
  <si>
    <t>หวีแปรงไดร์ 10 แถว HP-009</t>
  </si>
  <si>
    <t>หวีแปรงไดร์ 14 แถว HP-010</t>
  </si>
  <si>
    <t>ZM-BB-108-M</t>
  </si>
  <si>
    <t>มอเตอร์ BB-108</t>
  </si>
  <si>
    <t>หวีแปรงไดร์ 18 แถว HP-011</t>
  </si>
  <si>
    <t>หวีหางเหล็ก B-19</t>
  </si>
  <si>
    <t>หวีรองซอย B-14</t>
  </si>
  <si>
    <t>ถ้วยย้อมใส C-04</t>
  </si>
  <si>
    <t>&lt;p&gt;ถ้วยย้อมใส ลายกากเพชร&lt;br /&gt; ขนาด &lt;br /&gt;สูง 7.7 ซม.&lt;br /&gt;กว้าง 13.3 ซม.&lt;/p&gt;</t>
  </si>
  <si>
    <t>SET แปรงยัอมผม ND-02</t>
  </si>
  <si>
    <t>&lt;p&gt;ชุดแปรงย้อมผม ลายกากเพชร&lt;br /&gt;1. แปรง 2 หน้า &lt;br /&gt;ขนาด ยาว 22.2 ซม. กว้าง 7.2 ซม.&lt;br /&gt;2. แปรงหน้าเดียว อันใหญ่ &lt;br /&gt;ขนาด ยาว 22.2 ซม. กว้าง 6.3 ซม.&lt;br /&gt;3 แปรงหน้าเดียว อันเล็ก&lt;br /&gt;ขนาด ยาว 22 ซม. กว้าง 4.2 ซม.&lt;/p&gt;</t>
  </si>
  <si>
    <t>ฟรอยด์สั้น ขนาด 16 เมตร XZ-1</t>
  </si>
  <si>
    <t>&lt;p&gt;ฟรอยด์หน้าสั้น ฟอยล์ไฮไลต์ผม ย้อมสีผม ฟอกสีผมเป็นช่อๆ&lt;br /&gt;ขนาด &lt;br /&gt;กว้าง 15 ซม.&lt;br /&gt;ยาว 16 เมตร&lt;/p&gt;</t>
  </si>
  <si>
    <t>หัวหุ่นชาย H-004</t>
  </si>
  <si>
    <t>&lt;p&gt;ผมแท้ 100% &lt;br /&gt;ยาว 6&amp;rdquo;&lt;br /&gt;☑️ โดนความร้อนได้&lt;br /&gt;☑️ทำเคมีได้&lt;br /&gt;☑️ฟอก ทำสีได้&lt;/p&gt;</t>
  </si>
  <si>
    <t>หัวหุ่น</t>
  </si>
  <si>
    <t>หัวหุ่นหญิง H-005</t>
  </si>
  <si>
    <t xml:space="preserve">&lt;p&gt;หัวหุ่นหญิง ผมแท้ สามารถโดนความร้อน ฟอก ทำสี ได้ รหัส H-005&lt;br /&gt;ยาว 15&amp;rdquo;&lt;/p&gt;
 &lt;p&gt;ผมแท้ 100% &lt;br /&gt;☑️ โดนความร้อนได้&lt;br /&gt;☑️ทำเคมีได้&lt;br /&gt;☑️ฟอก ทำสีได้&lt;/p&gt;</t>
  </si>
  <si>
    <t>หวีแปรงเปียก โดนความร้อนได้ JX-1</t>
  </si>
  <si>
    <t>ZM-BB-107-7</t>
  </si>
  <si>
    <t>บอดี้ล่าง BB-107</t>
  </si>
  <si>
    <t>BB-517 บาร์เบอร์เบรน ดัสท์ พาวเดอร์ 4g สเปรย์ชนิดแป้งยกโคนผม</t>
  </si>
  <si>
    <t>BARBER BRUSH แปรงปัดผม พู่ปัดแป้ง 2in1 รุ่น G-33</t>
  </si>
  <si>
    <t>ถาดรองน้ำยาดัด พลาสติก ขอบผ้า รองน้ำยาดัด ขนาดใหญ่ หลุมลึก ไม่บาดคอ Q-71</t>
  </si>
  <si>
    <t>HP-009-1</t>
  </si>
  <si>
    <t>แปรงไดร์เกาหลี ขนหมู ลายตรง ขนาด 10 แถว รหัส HP-009-1</t>
  </si>
  <si>
    <t>HP-010-1</t>
  </si>
  <si>
    <t>หวีแปรงไดร์เกาหลี ขนหมูลายตรง ขนาด 12 แถว รหัส HP-010-1</t>
  </si>
  <si>
    <t>หวีแปรงไดร์เกาหลี ขนหมูลายตรง ขนาด 18 แถว รหัส HP-011-1</t>
  </si>
  <si>
    <t>แปรงไดร์เกาหลี ขนหมูลายเฉียง ขนาด 10 แถว รหัส HP-012</t>
  </si>
  <si>
    <t>แปรงไดร์เกาหลี ขนหมูลายเฉียง ขนาด 14 แถว รหัส HP-013</t>
  </si>
  <si>
    <t>แปรงไดร์เกาหลี ขนหมูลายเฉียง ขนาด 18 แถว รหัส HP-014</t>
  </si>
  <si>
    <t>ZM-BB-108-C</t>
  </si>
  <si>
    <t>แผงวงจร BB-108</t>
  </si>
  <si>
    <t>PS-2201</t>
  </si>
  <si>
    <t>กรรไกรตัด</t>
  </si>
  <si>
    <t>BB-A050</t>
  </si>
  <si>
    <t>เก้าอี้แคมป์ปิ้ง</t>
  </si>
  <si>
    <t>BB-WATER-S-WH</t>
  </si>
  <si>
    <t>กระบอกน้ำ สีขาว 350 ml.</t>
  </si>
  <si>
    <t>BB-WATER-M-WH</t>
  </si>
  <si>
    <t>กระบอกน้ำ สีขาว 500 ml.</t>
  </si>
  <si>
    <t>BB-WATER-S-GR</t>
  </si>
  <si>
    <t>กระบอกน้ำ สีเทา 350 ml.</t>
  </si>
  <si>
    <t>BB-WATER-M-GR</t>
  </si>
  <si>
    <t>กระบอกน้ำสีเทา 500 ml.</t>
  </si>
  <si>
    <t>VAL-601-M</t>
  </si>
  <si>
    <t>หวีแปรงนวดศรีษะด้ามไม้</t>
  </si>
  <si>
    <t>VALENTE Rechargeable Hair Clipper HT-002</t>
  </si>
  <si>
    <t>NOV-01</t>
  </si>
  <si>
    <t>Brazilian Keratin Shampoo (300ml) NOV-01</t>
  </si>
  <si>
    <t>NOVEX</t>
  </si>
  <si>
    <t>NOV-02</t>
  </si>
  <si>
    <t>NOVEX BRAZILIAN KERATIN DEEP HAIR MASK 400g NOV-02</t>
  </si>
  <si>
    <t>NOV-03</t>
  </si>
  <si>
    <t>NOVEX RECHARCE LEAVE IN 80g NOV-03</t>
  </si>
  <si>
    <t>อาหารบำรุงเส้นผม</t>
  </si>
  <si>
    <t>Valente Talent Titanium เครื่องหนีบผมไฟฟ้า 40mm รุ่น HF-013</t>
  </si>
  <si>
    <t>Valente Talent Titanium เครื่องหนีบผมไฟฟ้า 25mm รุ่น HF-017</t>
  </si>
  <si>
    <t>ชุดกรรไกรตัด-ซอยผม VAL-68/69</t>
  </si>
  <si>
    <t>กรรไกรชุด ตัด-ซอยผม VAL-70/71</t>
  </si>
  <si>
    <t>กรรไกรตัด Valente VAL-72</t>
  </si>
  <si>
    <t>กระจกส่อง 2 ด้าน สีเงิน SR-9973-11</t>
  </si>
  <si>
    <t>L-306</t>
  </si>
  <si>
    <t>แหนบสีเงิน</t>
  </si>
  <si>
    <t>PH-A18002-G</t>
  </si>
  <si>
    <t>BARBER BRAIN บาร์เบอร์เบรน กระบอกฉีดน้ำหัวกระโหลก 500ml. รุ่น PH-A18002/G</t>
  </si>
  <si>
    <t>PH-A18002-C</t>
  </si>
  <si>
    <t>BARBER BRAIN บาร์เบอร์เบรน กระบอกฉีดน้ำหัวกระโหลก 500ml. รุ่น PH-A18002/C</t>
  </si>
  <si>
    <t>PH-A18002-A</t>
  </si>
  <si>
    <t>BARBER BRAIN บาร์เบอร์เบรน กระบอกฉีดน้ำหัวกระโหลก 500ml. รุ่น PH-A18002/A</t>
  </si>
  <si>
    <t>VAL-1511B-1</t>
  </si>
  <si>
    <t>ผ้าคลุมซอย ลายทาง ไม่มีโลโก้รุ่น VAL-1511/B-1</t>
  </si>
  <si>
    <t>ผ้าคลุมซอย บาร์เบอร์เบรน VAL-1511</t>
  </si>
  <si>
    <t>เครื่องโอโซน</t>
  </si>
  <si>
    <t>กรรไกรตัดผม 6.5</t>
  </si>
  <si>
    <t>กรรไกรฟันปลา 6</t>
  </si>
  <si>
    <t>A-003</t>
  </si>
  <si>
    <t>หมวกพลาสติก สีแดง A-003</t>
  </si>
  <si>
    <t>A-153</t>
  </si>
  <si>
    <t>แปรงแต่งหน้า A-153</t>
  </si>
  <si>
    <t>B-01</t>
  </si>
  <si>
    <t>ฟองน้ำเช็ดหน้า (แพค2ชิ้น) B-01</t>
  </si>
  <si>
    <t>แกนดัด 20x175มม. BD-101</t>
  </si>
  <si>
    <t>แกนดัด 17x175มม. BD-102</t>
  </si>
  <si>
    <t>แกนดัด 14x175มม. BD-103</t>
  </si>
  <si>
    <t>DF-010</t>
  </si>
  <si>
    <t>ฟองน้ำแต่งหน้า DF-010</t>
  </si>
  <si>
    <t>E-33-046</t>
  </si>
  <si>
    <t>MAYA ขนตาปลอม 3 คู่ E-33(046)</t>
  </si>
  <si>
    <t>E-33-064</t>
  </si>
  <si>
    <t>MAYA ขนตาปลอม 3 คู่ E-33(064)</t>
  </si>
  <si>
    <t>E-33-Y3</t>
  </si>
  <si>
    <t>MAYA ขนตาปลอม 3 คู่ E-33(Y3)</t>
  </si>
  <si>
    <t>E-DLM-005</t>
  </si>
  <si>
    <t>ขนตาปลอม 005</t>
  </si>
  <si>
    <t>J007-1</t>
  </si>
  <si>
    <t>เอี๊ยมช่าง L'Angel J007-1</t>
  </si>
  <si>
    <t>PKY-1583-B</t>
  </si>
  <si>
    <t>หวีพับวินเทจ สีดำ</t>
  </si>
  <si>
    <t>LST-132-1</t>
  </si>
  <si>
    <t>SB-6702</t>
  </si>
  <si>
    <t>โรลขนคละไซส์</t>
  </si>
  <si>
    <t>ZJ-002-XL</t>
  </si>
  <si>
    <t>แกนดัดขยตา ไซส์ XL</t>
  </si>
  <si>
    <t>วาเลนเต้ หวีรองตัด คละสี VAL-100</t>
  </si>
  <si>
    <t>วาเลนเต้ กะบอกฉีดน้ำเล็ก 38ml. คละสี VAL-200</t>
  </si>
  <si>
    <t>วาเลนเต้ ถาดรองน้ำยา VAL-300</t>
  </si>
  <si>
    <t>วาเลนเต้ หมวกทำไฮไลท์ VAL-400</t>
  </si>
  <si>
    <t>VAL-500</t>
  </si>
  <si>
    <t>วาเลนเต้ ผ้าคลุมซอยสีขาวลายขวาง VAL-500</t>
  </si>
  <si>
    <t>กิ๊บปากเป็ดสั้น อลูมิเนียม คละสี (กิ๊บอลูมิเนียมคละสี) VAL-600</t>
  </si>
  <si>
    <t>VAL-700 วาเลนเต้ กระจกด้านเดียวสีดำ</t>
  </si>
  <si>
    <t>VAL-800 วาเลนเต้ กระจกด้านเดียวสีเงิน</t>
  </si>
  <si>
    <t>VAL-900 วาเลนเต้ ชุดหวีแปรง</t>
  </si>
  <si>
    <t>VAL-502 วาเลนเต้ ผ้าคลุมเด็กลายไดโนเสาร์</t>
  </si>
  <si>
    <t>VAL-3200</t>
  </si>
  <si>
    <t>VAL-3200 วาเลนเต้ กระบอกฉีดน้ำเล็ก</t>
  </si>
  <si>
    <t>VAL-3300 วาเลนเต้ กระบอกฉีดน้ำเล็กลายกรรไกรสีดำ</t>
  </si>
  <si>
    <t>YW-ZX36-NO.1</t>
  </si>
  <si>
    <t>Dazzle เล็บปลอมสําเร็จรูปดีไซต์เกาหลีแบบ 2 จำนวน 1 กล่องมี 30 เล็บ รุ่น YW-ZX36-No.1</t>
  </si>
  <si>
    <t>เล็บปลอม</t>
  </si>
  <si>
    <t>YW-ZX36-NO.2</t>
  </si>
  <si>
    <t>Dazzle เล็บปลอมสําเร็จรูปดีไซต์เกาหลีแบบ 2 จำนวน 1 กล่องมี 30 เล็บ รุ่น YW-ZX36-NO.2</t>
  </si>
  <si>
    <t>YW-ZX36-NO.3</t>
  </si>
  <si>
    <t>Dazzle เล็บปลอมสําเร็จรูปดีไซต์เกาหลีแบบ 2 จำนวน 1 กล่องมี 30 เล็บ รุ่น YW-ZX36-NO.3</t>
  </si>
  <si>
    <t>YW-ZX36-NO.4</t>
  </si>
  <si>
    <t>Dazzle เล็บปลอมสําเร็จรูปดีไซต์เกาหลีแบบ 2 จำนวน 1 กล่องมี 30 เล็บ รุ่น YW-ZX36-NO.4</t>
  </si>
  <si>
    <t>YW-ZX36-NO.5</t>
  </si>
  <si>
    <t>Dazzle เล็บปลอมสําเร็จรูปดีไซต์เกาหลีแบบ 2 จำนวน 1 กล่องมี 30 เล็บ รุ่น YW-ZX36-NO.5</t>
  </si>
  <si>
    <t>YW-ZX36-NO.6</t>
  </si>
  <si>
    <t>Dazzle เล็บปลอมสําเร็จรูปดีไซต์เกาหลีแบบ 2 จำนวน 1 กล่องมี 30 เล็บ รุ่น YW-ZX36-NO.6</t>
  </si>
  <si>
    <t>YW-ZX36-NO.7</t>
  </si>
  <si>
    <t>Dazzle เล็บปลอมสําเร็จรูปดีไซต์เกาหลีแบบ 2 จำนวน 1 กล่องมี 30 เล็บ รุ่น YW-ZX36-NO.7</t>
  </si>
  <si>
    <t>YW-ZX36-NO.8</t>
  </si>
  <si>
    <t>Dazzle เล็บปลอมสําเร็จรูปดีไซต์เกาหลีแบบ 2 จำนวน 1 กล่องมี 30 เล็บ รุ่น YW-ZX36-NO.8</t>
  </si>
  <si>
    <t>YW-ZX36-NO.9</t>
  </si>
  <si>
    <t>Dazzle เล็บปลอมสําเร็จรูปดีไซต์เกาหลีแบบ 2 จำนวน 1 กล่องมี 30 เล็บ รุ่น YW-ZX36-NO.9</t>
  </si>
  <si>
    <t>YW-ZX36-NO.10</t>
  </si>
  <si>
    <t>Dazzle เล็บปลอมสําเร็จรูปดีไซต์เกาหลีแบบ 2 จำนวน 1 กล่องมี 30 เล็บ รุ่น YW-ZX36-NO.10</t>
  </si>
  <si>
    <t>YW-VS34-NO.1</t>
  </si>
  <si>
    <t>VIVI STELLE เล็บปลอม ทรงปลายโค้งมน จำนวน 1 กล่องมี 30 เล็บ รุ่น YW-VS34-NO.1</t>
  </si>
  <si>
    <t>YW-VS34-NO.2</t>
  </si>
  <si>
    <t>VIVI STELLE เล็บปลอม ทรงปลายโค้งมน จำนวน 1 กล่องมี 30 เล็บ รุ่น YW-VS34-NO.2</t>
  </si>
  <si>
    <t>YW-VS34-NO.3</t>
  </si>
  <si>
    <t>VIVI STELLE เล็บปลอม ทรงปลายโค้งมน จำนวน 1 กล่องมี 30 เล็บ รุ่น YW-VS34-NO.3</t>
  </si>
  <si>
    <t>YW-VS34-NO.4</t>
  </si>
  <si>
    <t>VIVI STELLE เล็บปลอม ทรงปลายโค้งมน จำนวน 1 กล่องมี 30 เล็บ รุ่น YW-VS34-NO.4</t>
  </si>
  <si>
    <t>YW-VS34-NO.5</t>
  </si>
  <si>
    <t>VIVI STELLE เล็บปลอม ทรงปลายโค้งมน จำนวน 1 กล่องมี 30 เล็บ รุ่น YW-VS34-NO.5</t>
  </si>
  <si>
    <t>YW-VS34-NO.6</t>
  </si>
  <si>
    <t>VIVI STELLE เล็บปลอม ทรงปลายโค้งมน จำนวน 1 กล่องมี 30 เล็บ รุ่น YW-VS34-NO.6</t>
  </si>
  <si>
    <t>YW-VS34-NO.7</t>
  </si>
  <si>
    <t>VIVI STELLE เล็บปลอม ทรงปลายโค้งมน จำนวน 1 กล่องมี 30 เล็บ รุ่น YW-VS34-NO.7</t>
  </si>
  <si>
    <t>YW-VS34-NO.8</t>
  </si>
  <si>
    <t>VIVI STELLE เล็บปลอม ทรงปลายโค้งมน จำนวน 1 กล่องมี 30 เล็บ รุ่น YW-VS34-NO.8</t>
  </si>
  <si>
    <t>YW-VS34-NO.9</t>
  </si>
  <si>
    <t>VIVI STELLE เล็บปลอม ทรงปลายโค้งมน จำนวน 1 กล่องมี 30 เล็บ รุ่น YW-VS34-NO.9</t>
  </si>
  <si>
    <t>YW-VS29A-NO.1</t>
  </si>
  <si>
    <t>VIVI STELLE เล็บปลอมแบบมีกาวในตัว ทรงปลายโค้งมน จำนวน 1 กล่องมี 30 เล็บ รุ่น YW-VS29A-NO.1</t>
  </si>
  <si>
    <t>YW-VS29A-NO.2</t>
  </si>
  <si>
    <t>VIVI STELLE เล็บปลอมแบบมีกาวในตัว ทรงปลายโค้งมน จำนวน 1 กล่องมี 30 เล็บ รุ่น YW-VS29A-NO.2</t>
  </si>
  <si>
    <t>YW-VS29A-NO.3</t>
  </si>
  <si>
    <t>VIVI STELLE เล็บปลอมแบบมีกาวในตัว ทรงปลายโค้งมน จำนวน 1 กล่องมี 30 เล็บ รุ่น YW-VS29A-NO.3</t>
  </si>
  <si>
    <t>YW-VS29A-NO.4</t>
  </si>
  <si>
    <t>VIVI STELLE เล็บปลอมแบบมีกาวในตัว ทรงปลายโค้งมน จำนวน 1 กล่องมี 30 เล็บ รุ่น YW-VS29A-NO.4</t>
  </si>
  <si>
    <t>YW-VS29A-NO.5</t>
  </si>
  <si>
    <t>VIVI STELLE เล็บปลอมแบบมีกาวในตัว ทรงปลายโค้งมน จำนวน 1 กล่องมี 30 เล็บ รุ่น YW-VS29A-NO.5</t>
  </si>
  <si>
    <t>YW-VS29A-NO.6</t>
  </si>
  <si>
    <t>VIVI STELLE เล็บปลอมแบบมีกาวในตัว ทรงปลายโค้งมน จำนวน 1 กล่องมี 30 เล็บ รุ่น YW-VS29A-NO.6</t>
  </si>
  <si>
    <t>YW-VS29A-NO.7</t>
  </si>
  <si>
    <t>VIVI STELLE เล็บปลอมแบบมีกาวในตัว ทรงปลายโค้งมน จำนวน 1 กล่องมี 30 เล็บ รุ่น YW-VS29A-NO.7</t>
  </si>
  <si>
    <t>YW-VS29A-NO.8</t>
  </si>
  <si>
    <t>VIVI STELLE เล็บปลอมแบบมีกาวในตัว ทรงปลายโค้งมน จำนวน 1 กล่องมี 30 เล็บ รุ่น YW-VS29A-NO.8</t>
  </si>
  <si>
    <t>YW-VS29A-NO.9</t>
  </si>
  <si>
    <t>VIVI STELLE เล็บปลอมแบบมีกาวในตัว ทรงปลายโค้งมน จำนวน 1 กล่องมี 30 เล็บ รุ่น YW-VS29A-NO.9</t>
  </si>
  <si>
    <t>YW-VS29B-NO.1</t>
  </si>
  <si>
    <t>VIVI STELLE เล็บปลอมแบบมีกาวในตัว ทรงปลายโค้งมน จำนวน 1 กล่องมี 30 เล็บ รุ่น YW-VS29B-NO.1</t>
  </si>
  <si>
    <t>YW-VS29B-NO.2</t>
  </si>
  <si>
    <t>VIVI STELLE เล็บปลอมแบบมีกาวในตัว ทรงปลายโค้งมน จำนวน 1 กล่องมี 30 เล็บ รุ่น YW-VS29B-NO.2</t>
  </si>
  <si>
    <t>YW-VS29B-NO.3</t>
  </si>
  <si>
    <t>VIVI STELLE เล็บปลอมแบบมีกาวในตัว ทรงปลายโค้งมน จำนวน 1 กล่องมี 30 เล็บ รุ่น YW-VS29B-NO.3</t>
  </si>
  <si>
    <t>EH0030</t>
  </si>
  <si>
    <t>Lucky Sky Nail Art</t>
  </si>
  <si>
    <t>EH0030-BOX</t>
  </si>
  <si>
    <t>Lucky Sky Nail Art with Box</t>
  </si>
  <si>
    <t>GLUE</t>
  </si>
  <si>
    <t>กาวติดเล็บปลอม</t>
  </si>
  <si>
    <t>SETGLUE</t>
  </si>
  <si>
    <t>กาว+remover</t>
  </si>
  <si>
    <t>ปัตตาเลี่ยนไร้สาย Barber Brain รุ่น Stella BB-111</t>
  </si>
  <si>
    <t>&lt;p&gt;BB-111&lt;br /&gt;100-240V&lt;br /&gt;50/60Hz&lt;br /&gt;Power: 10W&lt;br /&gt;DLC Fade blade, Black Ceramic, 5 Level guide&lt;br /&gt;Battery: 2500mAh Lithium Rechargeable Battery&lt;br /&gt;Motor: 8000 RPM BLDC Motor&lt;br /&gt;Charge time: 210 Minutes, Running time: around 150 Minutes&lt;br /&gt;Charge light from red to blue after full charge&lt;br /&gt;Acc: 6comb (0.5,1.5,3,6,9 &amp;amp; 12mm)&lt;br /&gt;Type C Charging base, 1m USB Cable&lt;/p&gt;</t>
  </si>
  <si>
    <t>Barber Brain Trimmer ปัตตาเลี่ยนกันขอบไร้สาย รุ่น Stella BB-112</t>
  </si>
  <si>
    <t>&lt;p&gt;BB-112&lt;br /&gt;100-240V&lt;br /&gt;50/60Hz&lt;br /&gt;Power: 10W&lt;br /&gt;DLC Zero-Cut Fixed Blade, Black Ceramic&lt;br /&gt;Battery: 1500mAh Lithium Rechargeable Battery&lt;br /&gt;Motor: 7200 RPM BLDC Motor&lt;br /&gt;Charge time: 90 Minutes, Running time: around 150 Minutes&lt;br /&gt;Charge light from red to blue after full charge&lt;br /&gt;Acc: 4comb (1.5,3,6, &amp;amp; 9mm)&lt;br /&gt;Type C Charging base, 1m USB Cable&lt;/p&gt;</t>
  </si>
  <si>
    <t>ผ้าคลุม Stella VAL-1516</t>
  </si>
  <si>
    <t>CMSPRO-45</t>
  </si>
  <si>
    <t>BB-111+BB-112+VAL-1516</t>
  </si>
  <si>
    <t>Promotion - สินค้าราคาพิเศษ</t>
  </si>
  <si>
    <t>SET สุดคุ้ม</t>
  </si>
  <si>
    <t>VAl-850B-10</t>
  </si>
  <si>
    <t>ZM-BB-112-4</t>
  </si>
  <si>
    <t>ชุดอะไหล่ฟันกันขอบ BB-112</t>
  </si>
  <si>
    <t>กระดาษพันคอ</t>
  </si>
  <si>
    <t>ZM-BB-110-2-3</t>
  </si>
  <si>
    <t>ถ่านชาร์จพร้อมแผงวงจร BB-110</t>
  </si>
  <si>
    <t>PVD-004</t>
  </si>
  <si>
    <t>ค่าส่ง</t>
  </si>
  <si>
    <t>PVD-001</t>
  </si>
  <si>
    <t>ค่าลับคมปัตตาเลี่ยน</t>
  </si>
  <si>
    <t>PVD-002</t>
  </si>
  <si>
    <t>ค่าลับคมกรรไกร</t>
  </si>
  <si>
    <t>AD-2287-X16</t>
  </si>
  <si>
    <t>ชุดขนตาปลอมแบบแม่เหล็ก X-16</t>
  </si>
  <si>
    <t>MAYA</t>
  </si>
  <si>
    <t>ขนตาปลอมแบบแม่เหล็ก Magnetic Eyelashes</t>
  </si>
  <si>
    <t>L'ANGEL Infinity Hair Colors PRO 3.0 Dark Brown Natural</t>
  </si>
  <si>
    <t>L'ANGEL Infinity Hair Colors PRO 5.0 Light Brown Natural</t>
  </si>
  <si>
    <t>L'ANGEL Infinity Hair Colors PRO 5.11 Light Brown Ash Intensive</t>
  </si>
  <si>
    <t>L'ANGEL Infinity Hair Colors PRO 5.035 Light Brown Warm Brown</t>
  </si>
  <si>
    <t>L'ANGEL Infinity Hair Colors PRO 7.0 Medium Blonde Natural</t>
  </si>
  <si>
    <t>L'ANGEL Infinity Hair Colors PRO 7.11 Medium Blonde Ash Intensive</t>
  </si>
  <si>
    <t>L'ANGEL Infinity Hair Colors PRO 7.16 Medium Blode Ash Violet</t>
  </si>
  <si>
    <t>L'ANGEL Infinity Hair Colors PRO 7.036 Medium Blonde Light Brown</t>
  </si>
  <si>
    <t>L'ANGEL Infinity Hair Colors PRO 8.0 Light Blonde Natural</t>
  </si>
  <si>
    <t>L'ANGEL Infinity Hair Colors PRO 8.11 Light Blonde Ash Intensive</t>
  </si>
  <si>
    <t>L'ANGEL Infinity Hair Colors PRO 9.0 Extra Light Blonde Natural</t>
  </si>
  <si>
    <t>L'ANGEL Infinity Hair Colors PRO 9.82 Extra Light Blonde Blue Violet</t>
  </si>
  <si>
    <t>L'ANGEL Infinity Hair Colors PRO 9.171 Extra Light Blonde Ash Green</t>
  </si>
  <si>
    <t>L'ANGEL Infinity Hair Colors PRO 9.182 Extra Light Blonde Ash Blue Violet</t>
  </si>
  <si>
    <t>L'ANGEL Infinity Hair Colors PRO 10.0 Very Extra Light Blonde Natural</t>
  </si>
  <si>
    <t>L'ANGEL Infinity Hair Colors PRO 10.1 Very Extra Light Blonde Ash</t>
  </si>
  <si>
    <t>L'ANGEL Infinity Hair Colors PRO 12.1 Special Blonde Ash</t>
  </si>
  <si>
    <t>L'ANGEL Infinity Hair Colors PRO 0.11 Ash Special Mix</t>
  </si>
  <si>
    <t>AD-2287-X13</t>
  </si>
  <si>
    <t>ชุดขนตาปลอมแบบแม่เหล็ก X-13</t>
  </si>
  <si>
    <t>AD-2287-W2</t>
  </si>
  <si>
    <t>ชุดขนตาปลอมแบบแม่เหล็ก W2</t>
  </si>
  <si>
    <t>AD-2287-S3</t>
  </si>
  <si>
    <t>ชุดขนตาปลอมแบบแม่เหล็ก S3</t>
  </si>
  <si>
    <t>AD-2287-S2</t>
  </si>
  <si>
    <t>ชุดขนตาปลอมแบบแม่เหล็ก S2</t>
  </si>
  <si>
    <t>ZM-BB-100-4</t>
  </si>
  <si>
    <t>มอเตอร์ BB-100</t>
  </si>
  <si>
    <t>STELLA-M</t>
  </si>
  <si>
    <t>เสื้อ Stella</t>
  </si>
  <si>
    <t>เสื้อ</t>
  </si>
  <si>
    <t>Stella</t>
  </si>
  <si>
    <t>STELLA-XL</t>
  </si>
  <si>
    <t>PK-1155</t>
  </si>
  <si>
    <t>กระเป๋าใบเล็กสีดำ Barber Brain</t>
  </si>
  <si>
    <t>กระเป๋า</t>
  </si>
  <si>
    <t>STELLA-3XL</t>
  </si>
  <si>
    <t>เสื้อ stella</t>
  </si>
  <si>
    <t>STELLA-L</t>
  </si>
  <si>
    <t>วาเลนเต้แปรงไดรยกโคนผมแบบเก็บความร้อน</t>
  </si>
  <si>
    <t>วาเลนเต้ ถ้วยผสมสี สีฟ้า</t>
  </si>
  <si>
    <t>แปรงยกโคนเก็บความร้อน 14 แถว</t>
  </si>
  <si>
    <t>แปรงยกโคนเก็บความร้อน 16 แถว</t>
  </si>
  <si>
    <t>VAL-1510W-2</t>
  </si>
  <si>
    <t>ขาวล้วน ไม่มีลาย</t>
  </si>
  <si>
    <t>Barber Brain Prime Hair Spray สเปรย์น้ำนมกันความร้อน สร้างวอลลุ่มยกโคนผม</t>
  </si>
  <si>
    <t>กรรไกรตัด 6 นิ้ว</t>
  </si>
  <si>
    <t>กรรไกรฟันปลา 6 นิ้ว</t>
  </si>
  <si>
    <t>VAL-A3-55</t>
  </si>
  <si>
    <t>กรรไกรตัด 5.5 นิ้ว</t>
  </si>
  <si>
    <t>VAL-GTN-60L</t>
  </si>
  <si>
    <t>VAL-CK8-60</t>
  </si>
  <si>
    <t>กรรไกรตัด 6 นิ้ว สีดำ</t>
  </si>
  <si>
    <t>VAL-CK8-630</t>
  </si>
  <si>
    <t>VAL-11202-3</t>
  </si>
  <si>
    <t>วาเลนเต้แกนดัดผมญี่ปุ่นสลับสี 8 มม.</t>
  </si>
  <si>
    <t>VAL-11202-6</t>
  </si>
  <si>
    <t>วาเลนเต้แกนดัดผมญี่ปุ่นสลับสี 16 มม.</t>
  </si>
  <si>
    <t>VAL-11202-5</t>
  </si>
  <si>
    <t>วาเลนเต้แกนดัดผมญี่ปุ่นสลับสี 14 มม.</t>
  </si>
  <si>
    <t>VAL-11202-4</t>
  </si>
  <si>
    <t>วาเลนเต้แกนดัดผมญี่ปุ่นสลับสี 10 มม.</t>
  </si>
  <si>
    <t>แกนดัดผมญี่ปุ่น 8.5 มม. 1 แพค 12 ชิ้น</t>
  </si>
  <si>
    <t>แกนดัดผมญี่ปุ่น 10 มม. 1 แพค 12 ชิ้น</t>
  </si>
  <si>
    <t>วาเลนเต้แกนดัดผมญี่ปุ่นสลับสี 12 มม.</t>
  </si>
  <si>
    <t>Reverse กรรไกรฟันปลา 6 นิ้ว</t>
  </si>
  <si>
    <t>ผ้าคลุมลายทาง ไม่มีโลโก้</t>
  </si>
  <si>
    <t>แกนดัดผมญี่ปุ่น 6 มม. 1 แพค 12 ชิ้น</t>
  </si>
  <si>
    <t>แกนดัดผมญี่ปุ่น 7.5 มม. 1 แพค 12 ชิ้น</t>
  </si>
  <si>
    <t>A-015-13</t>
  </si>
  <si>
    <t>วาเลนเต้ แกนดัดเย็ยแบบมงกุฏ ขนาด 1.1 cm.</t>
  </si>
  <si>
    <t>A-015-12</t>
  </si>
  <si>
    <t>วาเลนเต้ แกนดัดเย็ยแบบมงกุฏ ขนาด 1.2 cm.</t>
  </si>
  <si>
    <t>A-015-6</t>
  </si>
  <si>
    <t>A-015-6 แกนดัดเย็นแบบมงกุฎขนาด1.8 cm.</t>
  </si>
  <si>
    <t>A-015-4</t>
  </si>
  <si>
    <t>A-015-4 แกนดัดเย็นแบบมงกุฎขนาด 2.2 cm.</t>
  </si>
  <si>
    <t>A-015-11</t>
  </si>
  <si>
    <t>A-015-11 แกนดัดเย็นแบบมงกุฎขนาด 1.3 cm.</t>
  </si>
  <si>
    <t>A-015-10</t>
  </si>
  <si>
    <t>A-015-10 แกนดัดเย็นแบบมงกุฎขนาด1.4 cm.</t>
  </si>
  <si>
    <t>A-015-5</t>
  </si>
  <si>
    <t>A-015-5 แกนดัดเย็นแบบมงกุฎขนาด 2 cm.</t>
  </si>
  <si>
    <t>A-015-7</t>
  </si>
  <si>
    <t>A-015-7 แกนดัดเย็นแบบมงกุฎขนาด 1.7 cm.</t>
  </si>
  <si>
    <t>A-015-8</t>
  </si>
  <si>
    <t>A-015-8 แกนดัดเย็นแบบมงกุฎขนาด 1.6 cm.</t>
  </si>
  <si>
    <t>A-015-9</t>
  </si>
  <si>
    <t>A-015-9 แกนดัดเย็นแบบมงกุฎขนาด1.5 cm.</t>
  </si>
  <si>
    <t>ชุดฟันปัตตาเลี่ยน Stella</t>
  </si>
  <si>
    <t>ZM-BB-108-3</t>
  </si>
  <si>
    <t>บอดี้ส่วนล่าง รุ่นเก่า BB-108</t>
  </si>
  <si>
    <t>KBPP001</t>
  </si>
  <si>
    <t>KOBO Peptidpro Repair Leave-In Hair Mask อาหารผมสูตรเปปไทด์ ช่วยฟื้นฟูผมเสียใน 5 นาที KBPP001</t>
  </si>
  <si>
    <t xml:space="preserve">&lt;p&gt;&lt;strong data-start="162" data-end="183"&gt;KOBO PROFESSIONAL&lt;/strong&gt;&lt;br data-start="183" data-end="186" /&gt; &lt;strong data-start="186" data-end="200"&gt;PEPTIDEPRO&lt;/strong&gt;&lt;br data-start="200" data-end="203" /&gt; &lt;strong data-start="203" data-end="232"&gt;REPAIR LEAVE-IN HAIR MASK&lt;/strong&gt;&lt;/p&gt;
 &lt;p&gt;ผลิตภัณฑ์บำรุงเส้นผมแบบไม่ต้องล้างออก&lt;/p&gt;
 &lt;p data-start="1546" data-end="1713"&gt;ลีฟอินมาส์กชนิดเข้มข้น ไม่ต้องล้างออก ช่วยฟื้นฟูผมที่แห้งเสีย บำรุงเส้นผมให้แข็งแรง เรียบลื่น เงางาม ลดปัญหาผมพันกัน และลดผมแตกปลาย ให้ผมนุ่มลื่น จัดทรงง่าย ไม่ชี้ฟู&lt;/p&gt;
 &lt;p data-start="1715" data-end="1845"&gt;&lt;strong data-start="1715" data-end="1727"&gt;วิธีใช้:&lt;/strong&gt; หลังสระผม ใช้ในขณะที่ผมหมาด ชโลมให้ทั่วเส้นผม โดยเฉพาะบริเวณกลางถึงปลายผม ไม่ต้องล้างออก แล้วจัดแต่งทรงผมตามต้องการ&lt;/p&gt;
 &lt;p data-start="1847" data-end="1939"&gt;&lt;strong data-start="1847" data-end="1863"&gt;ข้อควรระวัง:&lt;/strong&gt; ระวังอย่าให้เข้าตา หากเข้าตาให้ล้างด้วยน้ำสะอาดทันที หยุดใช้หากระคายเคือง&lt;/p&gt;
 &lt;p data-start="1941" data-end="2438"&gt;&lt;strong data-start="1941" data-end="1961"&gt;ส่วนประกอบสำคัญ:&lt;/strong&gt;&lt;br data-start="1961" data-end="1964" /&gt; AQUA, ALCOHOL, PROPYLENE GLYCOL, CETEARYL ALCOHOL, GLYCERYL STEARATE, PEG-100 STEARATE, PHENOXYETHANOL, FRAGRANCE, PYRROLIDONE HCL, TRIETHANOLAMINE, DIMONIUM CHLORIDE, WHEAT AMINO ACIDS, AMINO ACIDS, ACRYLAMIDOPROPYLTRIMONIUM CHLORIDE/ACRYLAMIDE COPOLYMER, COPPER TRIPEPTIDE-1, GLYCINE, GLUTAMIC ACID, SERINE, PHENYLALANINE, THREONINE, METHYLPROPANEDIOL, ISOPROPYL ALCOHOL, HYDROLYZED QUINOA SEED EXTRACT, CAPRYLYL GLYCOL, BENZYL ALCOHOL, POTASSIUM SORBATE, SODIUM BENZOATE.&lt;/p&gt;
 &lt;p data-start="2622" data-end="2736"&gt;&lt;strong data-start="2622" data-end="2644"&gt;ใบรับจดแจ้งเลขที่:&lt;/strong&gt; 10-2-6800015660&lt;br data-start="2660" data-end="2663" /&gt; &lt;strong data-start="2663" data-end="2679"&gt;ปริมาณสุทธิ:&lt;/strong&gt; 100 มล.&lt;/p&gt;</t>
  </si>
  <si>
    <t>KOBO Professional</t>
  </si>
  <si>
    <t>KBPP002</t>
  </si>
  <si>
    <t>KOBO Peptidpro pH Shielding Shampoo แชมพูสูตรเปปไทด์ ล้างสารตกค้างก่อนการทำสี KBPP002</t>
  </si>
  <si>
    <t xml:space="preserve">&lt;p data-start="183" data-end="242"&gt;&lt;strong data-start="183" data-end="204"&gt;KOBO PROFESSIONAL&lt;/strong&gt;&lt;br data-start="204" data-end="207" /&gt; &lt;strong data-start="207" data-end="242"&gt;PEPTIDEPRO PH SHIELDING SHAMPOO&lt;/strong&gt;&lt;/p&gt;
 &lt;p data-start="183" data-end="242"&gt;&amp;nbsp;&lt;/p&gt;
 &lt;p data-start="270" data-end="329"&gt;&lt;strong data-start="270" data-end="329"&gt;โคโบ โปรเฟสชั่นแนล เปปไทด์โปร พีเอช ชิลดิ้ง แชมพู สระผม&lt;/strong&gt;&lt;/p&gt;
 &lt;p data-start="331" data-end="699"&gt;ล้างสารตกค้างต่างๆ อย่างล้ำลึก &amp;ndash; ล็อกสีผม &amp;ndash; ปรับสมดุล &amp;ndash; ปกป้องหนังศีรษะ&lt;br data-start="402" data-end="405" /&gt; ช่วยขจัดสิ่งสกปรก สารตกค้าง คลอรีน หรือโลหะหนักที่ติดอยู่บนเส้นผม&lt;br data-start="470" data-end="473" /&gt; บำรุงรากผม ปรับสภาพเส้นผมให้สมดุลค่า pH ให้รู้สึกนุ่ม ชุ่มชื้น&lt;br data-start="535" data-end="538" /&gt; เหมาะสมกับผมทำสี ล้างสารตกค้างก่อนทำเคมีทุกประเภท ช่วยขจัดสิ่งสกปรก&lt;br data-start="605" data-end="608" /&gt; หรือสารเคมีที่ตกค้างจากผลิตภัณฑ์อื่นๆ ฟื้นบำรุงเส้นผมให้พร้อมสำหรับการบำรุงในขั้นตอนต่อไป&lt;/p&gt;
 &lt;p data-start="331" data-end="699"&gt;&amp;nbsp;&lt;/p&gt;
 &lt;p data-start="331" data-end="699"&gt;&lt;strong data-start="706" data-end="718"&gt;วิธีใช้:&lt;/strong&gt;&lt;br data-start="718" data-end="721" /&gt; ชโลมแชมพูบนผมเปียก นวดเบาๆ ให้เกิดฟองทั่วศีรษะ แล้วล้างออกด้วยน้ำสะอาด&lt;br data-start="791" data-end="794" /&gt; แนะนำใช้คู่กับ Peptidepro Shielding Conditioner เพื่อผลลัพธ์ที่ดีที่สุด&lt;/p&gt;
 &lt;p data-start="331" data-end="699"&gt;&amp;nbsp;&lt;/p&gt;
 &lt;p data-start="331" data-end="699"&gt;&lt;strong data-start="874" data-end="890"&gt;ข้อควรระวัง:&lt;/strong&gt;&lt;br data-start="890" data-end="893" /&gt; ใช้ภายนอกเท่านั้น เก็บให้พ้นมือเด็ก&lt;br data-start="928" data-end="931" /&gt; ระวังอย่าให้เข้าตา หากเข้าตาให้ล้างด้วยน้ำสะอาดทันที&lt;/p&gt;
 &lt;p data-start="331" data-end="699"&gt;&amp;nbsp;&lt;/p&gt;
 &lt;p data-start="331" data-end="699"&gt;&lt;strong data-start="992" data-end="1012"&gt;ส่วนประกอบสำคัญ:&lt;/strong&gt;&lt;br data-start="1012" data-end="1015" /&gt; AQUA, SODIUM LAUROYL SARCOSINATE, SODIUM C14-16 OLEFIN SULFONATE, COCAMIDE MEA, COCAMIDOPROPYL BETAINE, COCAMIDE DEA, GLYCOL DISTEARATE, SODIUM LAUROAMPHOACETATE, GLYCERIN, STYRENE/ACRYLATES COPOLYMER, POLYQUATERNIUM-10, GUAR HYDROXYPROPYLTRIMONIUM CHLORIDE, CITRIC ACID, COPPER TRIPEPTIDE-1, GLYCINE, GLUTAMIC ACID, SERINE, TYROSINE, ARGININE HCL, DISODIUM EDTA, METHYLPROPANEDIOL, CHENOPODIUM QUINOA SEED EXTRACT, CAPRYLYL HYDROXAMIC ACID, SODIUM BENZOATE&lt;/p&gt;
 &lt;p data-start="331" data-end="699"&gt;&amp;nbsp;&lt;/p&gt;
 &lt;p data-start="331" data-end="699"&gt;&lt;strong data-start="1657" data-end="1679"&gt;ใบรับจดแจ้งเลขที่:&lt;/strong&gt; 10-2-6800015657&lt;br data-start="1695" data-end="1698" /&gt; &lt;strong data-start="1698" data-end="1714"&gt;ปริมาณสุทธิ:&lt;/strong&gt; 250 มล.&lt;/p&gt;</t>
  </si>
  <si>
    <t>KBPP003</t>
  </si>
  <si>
    <t>KOBO Peptidpro Repair Hair Oil ออยล์บำรุงสูตรเปปไทด์เข้มข้น บำรุงลึกถึงแกนผม KBPP003</t>
  </si>
  <si>
    <t xml:space="preserve">&lt;p&gt;&lt;strong data-start="111" data-end="132"&gt;KOBO PROFESSIONAL&lt;/strong&gt;&lt;br data-start="132" data-end="135" /&gt; &lt;strong data-start="135" data-end="165"&gt;PEPTIDEPRO REPAIR HAIR OIL&lt;/strong&gt;&lt;/p&gt;
 &lt;p&gt;&amp;nbsp;&lt;/p&gt;
 &lt;p data-start="193" data-end="267"&gt;&lt;strong data-start="193" data-end="242"&gt;โคโบ โปรเฟสชั่นแนล เปปไทด์โปร รีแพร์ แฮร์ ออย&lt;/strong&gt;&lt;br data-start="242" data-end="245" /&gt; ผลิตภัณฑ์บำรุงเส้นผม&lt;/p&gt;
 &lt;p data-start="269" data-end="472"&gt;ออยล์บำรุงสูตรเข้มข้นเปปไทด์เข้มข้น บำรุงลึกถึงแกนผม&lt;br data-start="321" data-end="324" /&gt; และเคลือบผมปกป้องให้ผมนุ่มเงางาม ลดผมชี้ฟูแตกปลาย&lt;br data-start="373" data-end="376" /&gt; เสริมการจัดทรงง่ายขึ้น ให้ผมเงางาม ไม่เหนียวเหนอะหนะ&lt;br data-start="428" data-end="431" /&gt; เหมาะใช้ได้ทั้งก่อนหรือหลังจัดแต่งทรงผม&lt;/p&gt;
 &lt;p data-start="269" data-end="472"&gt;&amp;nbsp;&lt;/p&gt;
 &lt;p data-start="269" data-end="472"&gt;&lt;strong data-start="479" data-end="491"&gt;วิธีใช้:&lt;/strong&gt;&lt;br data-start="491" data-end="494" /&gt; กดออยล์ 2&amp;ndash;3 ปั๊มลงบนฝ่ามือ ลูบให้ทั่วปลายผม&lt;br data-start="537" data-end="540" /&gt; และเส้นผมจนถึงกึ่งกลางความยาวเส้นผม สามารถใช้ได้ทั้งผมแห้งหรือผมหมาด&lt;/p&gt;
 &lt;p data-start="269" data-end="472"&gt;&amp;nbsp;&lt;/p&gt;
 &lt;p data-start="269" data-end="472"&gt;&lt;strong data-start="617" data-end="633"&gt;ข้อควรระวัง:&lt;/strong&gt;&lt;br data-start="633" data-end="636" /&gt; ใช้ภายนอกเท่านั้น เก็บให้พ้นมือเด็ก&lt;br data-start="671" data-end="674" /&gt; ระวังอย่าให้เข้าตา หากเข้าตาให้ล้างด้วยน้ำสะอาดทันที&lt;/p&gt;
 &lt;p data-start="269" data-end="472"&gt;&amp;nbsp;&lt;/p&gt;
 &lt;p data-start="735" data-end="1039"&gt;&lt;strong data-start="735" data-end="755"&gt;ส่วนประกอบสำคัญ:&lt;/strong&gt;&lt;br data-start="755" data-end="758" /&gt; CYCLOPENTASILOXANE, DIMETHICONE, CAPRYLIC/CAPRIC TRIGLYCERIDE, PARFUM, TRIMETHYLSILOXYSILICATE, ARGANIA SPINOSA KERNEL OIL, FRAGRANCE, COPPER TRIPEPTIDE-1, GLYCINE, GLUTAMIC ACID, SERINE, TYROSINE, ARGININE HCL, DIETHYLHEXYL SYRINGYLIDENEMALONATE, CHENOPODIUM QUINOA SEED EXTRACT&lt;/p&gt;
 &lt;p data-start="735" data-end="1039"&gt;&amp;nbsp;&lt;/p&gt;
 &lt;p data-start="735" data-end="1039"&gt;&lt;strong data-start="1220" data-end="1242"&gt;ใบรับจดแจ้งเลขที่:&lt;/strong&gt; 10-2-6800015661&lt;br data-start="1258" data-end="1261" /&gt; &lt;strong data-start="1261" data-end="1277"&gt;ปริมาณสุทธิ:&lt;/strong&gt; 80 มล.&lt;/p&gt;</t>
  </si>
  <si>
    <t>ออยบำรุงผม</t>
  </si>
  <si>
    <t>KBPP004</t>
  </si>
  <si>
    <t>KOBO Peptidpro Shielding Conditioner ครีมนวดผมสูตรเปปไทด์ บำรุงลึก ฟื้นฟูเส้นผมที่อ่อนแอ KBPP004</t>
  </si>
  <si>
    <t xml:space="preserve">&lt;p data-start="141" data-end="272"&gt;&lt;strong data-start="141" data-end="162"&gt;KOBO PROFESSIONAL&lt;/strong&gt;&lt;br data-start="162" data-end="165" /&gt; &lt;strong data-start="165" data-end="195"&gt;PEPTIDEPRO REPAIR HAIR OIL&lt;/strong&gt;&lt;br data-start="195" data-end="198" /&gt; &lt;strong data-start="198" data-end="247"&gt;โคโบ โปรเฟสชั่นแนล เปปไทด์โปร รีแพร์ แฮร์ ออย&lt;/strong&gt;&lt;br data-start="247" data-end="250" /&gt; ผลิตภัณฑ์บำรุงเส้นผม&lt;/p&gt;
 &lt;p data-start="274" data-end="481"&gt;ออยล์บำรุงสูตรเข้มข้นเปปไทด์เข้มข้น บำรุงลึกถึงแกนผม&lt;br data-start="326" data-end="329" /&gt; และเคลือบเส้นผมปกป้องให้ผมนุ่มเงางาม ลดผมชี้ฟูแตกปลาย&lt;br data-start="382" data-end="385" /&gt; เสริมการจัดทรงง่ายขึ้น ให้ผมเงางาม ไม่เหนียวเหนอะหนะ&lt;br data-start="437" data-end="440" /&gt; เหมาะใช้ได้ทั้งก่อนหรือหลังจัดแต่งทรงผม&lt;/p&gt;
 &lt;p data-start="483" data-end="614"&gt;&lt;strong data-start="483" data-end="495"&gt;วิธีใช้:&lt;/strong&gt;&lt;br data-start="495" data-end="498" /&gt; กดออยล์ 2&amp;ndash;3 ปั๊มลงบนฝ่ามือ ลูบให้ทั่วปลายผม&lt;br data-start="541" data-end="544" /&gt; และเส้นผมจนถึงกึ่งกลางความยาวเส้นผม สามารถใช้ได้ทั้งผมแห้งหรือผมหมาด&lt;/p&gt;
 &lt;p data-start="616" data-end="727"&gt;&lt;strong data-start="616" data-end="632"&gt;ข้อควรระวัง:&lt;/strong&gt;&lt;br data-start="632" data-end="635" /&gt; ใช้ภายนอกเท่านั้น เก็บให้พ้นมือเด็ก&lt;br data-start="670" data-end="673" /&gt; ระวังอย่าให้เข้าตา หากเข้าตาให้ล้างด้วยน้ำสะอาดทันที&lt;/p&gt;
 &lt;p data-start="729" data-end="1039"&gt;&lt;strong data-start="729" data-end="749"&gt;ส่วนประกอบสำคัญ:&lt;/strong&gt;&lt;br data-start="749" data-end="752" /&gt; CYCLOPENTASILOXANE, DIMETHICONE, CAPRYLIC/CAPRIC TRIGLYCERIDE,&lt;br data-start="814" data-end="817" /&gt; PARFUM, TRIMETHYLSILOXYSILICATE, ARGANIA SPINOSA KERNEL OIL, FRAGRANCE,&lt;br data-start="888" data-end="891" /&gt; COPPER TRIPEPTIDE-1, GLYCINE, GLUTAMIC ACID, SERINE, TYROSINE, ARGININE HCL,&lt;br data-start="967" data-end="970" /&gt; DIETHYLHEXYL SYRINGYLIDENEMALONATE, CHENOPODIUM QUINOA SEED EXTRACT&lt;/p&gt;
 &lt;p data-start="1041" data-end="1101"&gt;&amp;nbsp;&lt;/p&gt;
 &lt;p data-start="1215" data-end="1326"&gt;&lt;strong data-start="1215" data-end="1237"&gt;ใบรับจดแจ้งเลขที่:&lt;/strong&gt; 10-2-6800015661&lt;br data-start="1253" data-end="1256" /&gt; &lt;strong data-start="1256" data-end="1272"&gt;ปริมาณสุทธิ:&lt;/strong&gt; 80 มล.&lt;/p&gt;</t>
  </si>
  <si>
    <t>BOX-01</t>
  </si>
  <si>
    <t>กางเกงมวย S / M / L</t>
  </si>
  <si>
    <t>กางเกง</t>
  </si>
  <si>
    <t>BOX-01/S</t>
  </si>
  <si>
    <t>BOX-01/M</t>
  </si>
  <si>
    <t>BOX-01/L</t>
  </si>
  <si>
    <t>ANG-067-1</t>
  </si>
  <si>
    <t>ผงฟอก(ใหม่) ซอง</t>
  </si>
  <si>
    <t>ANG-067_ANG-610_INFINITY</t>
  </si>
  <si>
    <t>สีผม2โหล ผงฟอก2กล่อง แชมพูม่วง 2ขวด</t>
  </si>
  <si>
    <t>PRO1_ANG-610-ANG-067-INFINITY</t>
  </si>
  <si>
    <t>ANG-610 1 ANG-067 1 INFINITY-1โหล</t>
  </si>
  <si>
    <t>PRO_ANG-608-ANG-613</t>
  </si>
  <si>
    <t>ซื้อคู่ 699 ANG-608 ANG-613</t>
  </si>
  <si>
    <t>PRO_ANG-401-3</t>
  </si>
  <si>
    <t>โปร จับลอน ANG-401 3ขวด</t>
  </si>
  <si>
    <t>PRO_ANG-401-6</t>
  </si>
  <si>
    <t>โปร จับลอน ANG-401 6ขวด</t>
  </si>
  <si>
    <t>PRO_ANG-401-12</t>
  </si>
  <si>
    <t>โปร จับลอน ANG-401 12ขวด</t>
  </si>
  <si>
    <t>GAD-002-1</t>
  </si>
  <si>
    <t>ไม่มีกล่อง</t>
  </si>
  <si>
    <t>ไม่ระบุซัพพลายเออร์</t>
  </si>
  <si>
    <t>ANG-091-1</t>
  </si>
  <si>
    <t>ANG-092-1</t>
  </si>
  <si>
    <t>LST-070-C</t>
  </si>
  <si>
    <t>แกนดัดขนาด 13x85mm.</t>
  </si>
  <si>
    <t>LST-0704-B</t>
  </si>
  <si>
    <t>แกนดัดขนาด 18x85mm.</t>
  </si>
  <si>
    <t>ZM-BB-108-B</t>
  </si>
  <si>
    <t>ถ่านชาร์จ 2600mAh BB-108</t>
  </si>
  <si>
    <t>Barber Brain Pomade Gold</t>
  </si>
  <si>
    <t>โพเมดสูตรน้ำ พลังจัดทรงสูง ล้างออกง่าย ไม่เหนียวเหนอะหนะ จัดแต่งทรงผมวินเทจได้ยาวนานตลอดวัน</t>
  </si>
  <si>
    <t>8851234567890</t>
  </si>
  <si>
    <t>L'Angel Luxury Hair Color Cream 8.1</t>
  </si>
  <si>
    <t>ครีมเปลี่ยนสีผมสีบลอนด์อ่อนประกายหม่น เม็ดสีแน่น ติดทนนาน บำรุงล้ำลึกด้วยเคราตินเข้มข้น ปลอดภัยต่อหนังศีรษะ</t>
  </si>
  <si>
    <t>8852345678901</t>
  </si>
  <si>
    <t>Valente Professional Hair Dryer Ionic-2000</t>
  </si>
  <si>
    <t>ไดร์เป่าผมระดับมืออาชีพ พลังลมแรง 2000W ปล่อยประจุไอออนลบเพื่อช่วยถนอมเส้นผม ลดการชี้ฟูและไฟฟ้าสถิต ปรับความแรงได้ 3 ระดับ</t>
  </si>
  <si>
    <t>8853456789012</t>
  </si>
  <si>
    <t>Barber Brain Matte Clay</t>
  </si>
  <si>
    <t>แว็กซ์ดินน้ำมันเนื้อแมทท์ ให้ลุคเป็นธรรมชาติ ไม่เงา พลังอยู่ทรงสูง เหมาะสำหรับผมสั้นหรือการเซ็ตทรงที่ต้องการเทกเจอร์เด่นชัด</t>
  </si>
  <si>
    <t>8854567890123</t>
  </si>
  <si>
    <t>L'Angel Hair Treatment Keratin Mask</t>
  </si>
  <si>
    <t>ทรีทเมนท์มาส์กสูตรเคราตินเข้มข้นพิเศษ ฟื้นบำรุงผมเสียจากการทำเคมี ทำสี และความร้อน ช่วยให้เส้นผมกลับมานุ่มสลวย มีน้ำหนัก</t>
  </si>
  <si>
    <t>8855678901234</t>
  </si>
  <si>
    <t>ชื่อสินค้า*</t>
  </si>
  <si>
    <t>คำอธิบาย/คุณสมบัติ</t>
  </si>
  <si>
    <t>หมวดหมู่</t>
  </si>
  <si>
    <t>น้ำหนัก                (กิโลกรัม)</t>
  </si>
  <si>
    <t>บวกนน.กล่อง 50 กรัม</t>
  </si>
  <si>
    <t xml:space="preserve"> ขนาด</t>
  </si>
  <si>
    <t>ใส่กล่องเบอร์อะไร</t>
  </si>
  <si>
    <t>BRAND</t>
  </si>
  <si>
    <t>link review</t>
  </si>
  <si>
    <t>เงื่อนไข</t>
  </si>
  <si>
    <t>ระยะเวลารับประกัน</t>
  </si>
  <si>
    <t>ตัวกระจายลม วาเลนเต้ ใช้คู่กับไดร์เป่าผม ปากไดร์ขนาด 2.5 นิ้ว คละสี รุ่น A-040</t>
  </si>
  <si>
    <t xml:space="preserve">🚫  ไม่ควรใช้กับไดร์ขนาดเล็กหรือไดร์ที่มีปากไดร์อ้วนและสั้น 🚫
**************ไม่รับเปลี่ยนคืนทุกกรณี*****************
          วาเลนเต้ ตัวกระจายลมไดร์เป่าผม สามารถใส่ได้กับไดร์ที่มีปากไดร์ขนาดประมาน 4.5 cm. 
หรือสามารถใช้ได้กับไดร์ทุกรุ่น ขนาดตัวกระจายลม 15*14 cm.
** คละสี **
คุณสมบัติ: 
          ✔︎ สำหรับเป่าผมลอน หรือ ผมดัด
          ✔︎ ให้ลอนสวย ไม่แตกกระจาย
          ✔︎ใช้งานได้สะดวก
          ✔︎แข็งแรง ทนทาน
          ✔︎ ช่วยกระจายลมให้ทั่วศรีษะ                                              
          ✔︎ ช่วยให้ผมแห้งเร็ว                                                    
          ✔︎ หรือสามารถใช้ได้กับไดร์ทุกรุ่น </t>
  </si>
  <si>
    <t>https://youtu.be/4B6VXbsa8DM</t>
  </si>
  <si>
    <t>A14004/1</t>
  </si>
  <si>
    <t>ถ้วยผสมสี+แปรงย้อมเรนโบว์ 7 สี</t>
  </si>
  <si>
    <t xml:space="preserve">#ถ้วย พร้อม #แปรง #ย้อมสี #ทำสี #ย้อมผม 
#ผสมสี  #น้ำยาเคมี #ยืดผม #ดัดผม
ชุดถ้วย + แปรงย้อม สีเรนโบว์  
 ถ้วย ขนาด 13x5x6 CM  
 แปรง ขนาด21x4.3 cm 
ขนาดเหมาะสำหรับการแบ่งสีทำไฮไลท์ </t>
  </si>
  <si>
    <t>A14004/1-SET</t>
  </si>
  <si>
    <t>ชุดถ้วยผสมสี+แปรงย้อมเรนโบว์ 7 สี</t>
  </si>
  <si>
    <t xml:space="preserve">
#ถ้วย พร้อม #แปรง #ย้อมสี #ทำสี #ย้อมผม 
#ผสมสี  #น้ำยาเคมี #ยืดผม #ดัดผม
ชุดถ้วย + แปรงย้อม สีเรนโบว์  
 ถ้วย ขนาด 13x5x6 CM  
 แปรง ขนาด21x4.3 cm 
ขนาดเหมาะสำหรับการแบ่งสีทำไฮไลท์ 
1 ชุดมี 7 สี 7ชิ้น หรือ
สามารถซื้อแยกชิ้นแยกสีได้ค่ะ 
(ซื้อรวมประหยัดตังถึง save 140.-)</t>
  </si>
  <si>
    <t>A-946</t>
  </si>
  <si>
    <t>ตัวกระจายลม วาเลนเต้ ใช้คู่กับไดร์เป่าผม ปากไดร์ขนาด 2.5 นิ้ว รุ่น A-946</t>
  </si>
  <si>
    <t xml:space="preserve">**************ไม่รับเปลี่ยนคืนทุกกรณี*****************
          วาเลนเต้ ตัวกระจายลมไดร์เป่าผม สามารถใส่ได้กับไดร์ที่มีปากไดร์ขนาดประมาน 4 cm. 
ขนาดตัวกระจายลม 14*12 cm.
คุณสมบัติ: 
          ✔︎ สำหรับเป่าผมลอน หรือ ผมดัด
          ✔︎ ให้ลอนสวย ไม่แตกกระจาย
          ✔︎ใช้งานได้สะดวก
          ✔︎แข็งแรง ทนทาน
          ✔︎ ช่วยกระจายลมให้ทั่วศรีษะ                                              
          ✔︎ ช่วยให้ผมแห้งเร็ว                                                    
          ✔︎ หรือสามารถใช้ได้กับไดร์ทุกรุ่น </t>
  </si>
  <si>
    <t>https://www.youtube.com/watch?v=I6BlLGUjZxI&amp;list=PLGjfh_21bFBeTNSSYIIjGfKXLP2npOZvj&amp;index=5</t>
  </si>
  <si>
    <t>แองเจลิค แฮร์ คัลเลอร์ ครีม 0.11 แอช</t>
  </si>
  <si>
    <t xml:space="preserve">แม่สีเทาอุปกรณ์ในกล่องมีดังนี้1.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</si>
  <si>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สีทำผม</t>
  </si>
  <si>
    <t>L'ANGEL</t>
  </si>
  <si>
    <t>https://www.youtube.com/watch?v=oJDykUKFm-U&amp;list=PLGjfh_21bFBf6ETntZfATucDTeL7dj-70&amp;index=8</t>
  </si>
  <si>
    <t>ANG-003</t>
  </si>
  <si>
    <t>แองเจลิค แฮร์ คัลเลอร์ ครีม 0.66 เรด</t>
  </si>
  <si>
    <t xml:space="preserve">แม่สีแดงอุปกรณ์ในกล่องมีดังนี้1.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</si>
  <si>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0.88 บลู</t>
  </si>
  <si>
    <t xml:space="preserve">แม่สีน้ำเงินอุปกรณ์ในกล่องมีดังนี้1.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</si>
  <si>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3.0 สีน้ำตาลเข้ม</t>
  </si>
  <si>
    <t xml:space="preserve">แองเจลิค แฮร์ คัลเลอร์ ครีม 3.0 ดาร์ก บราวน์
แม่สีเทาอุปกรณ์ในกล่องมี ดังนี้
          1. หลอดสี ปริมาณ 100 มล. 
          2. ไฮโดรเจน 
          3.ถุงมือ 
          4.วิตามินบำรุง 
          5. คู่มือการใช้  ปริมาณ 100 มล.x2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 ที่เข้ามาช่วยบำรุงเส้นผมและล็อคความชุ่มชื่นโดย
สารสกัดจะทำหน้าที่เหมือนแผ่นฟิล์มบางๆ เคลือบล็อค ไม่ให้ความชุ่มชื่นระเหยออกจากเส้นผม  
       *สารสกัดจากธรรมชาติอย่าง "Argan Oil" น้ำมันอาร์แกน รักษาความยืดหยุ่น ป้องกันไม่ให้ผม
แห้งและสูญเสียความชุ่มชื้น และยังมีคุณสมบัติต้านลดอาการอักเสบ หรือแสบคันหลังจากการย้อมสีผม เป็นต้น</t>
  </si>
  <si>
    <t>แองเจลิค แฮร์ คัลเลอร์ ครีม 6.0 บรอนด์เข้ม</t>
  </si>
  <si>
    <t xml:space="preserve">สีบลอนด์เข้ม 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</si>
  <si>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7.0 มีเดี่ยม บลอนด์</t>
  </si>
  <si>
    <t xml:space="preserve">สีบลอนด์กลาง 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</si>
  <si>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8.0 ไลท์ บลอนด์</t>
  </si>
  <si>
    <t xml:space="preserve">สีบลอนด์อ่อน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</si>
  <si>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9.0 เวรี่ ไลท์ บลอนด์</t>
  </si>
  <si>
    <t xml:space="preserve">สีบลอนด์อ่อนมาก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</si>
  <si>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7.1 มีเดี่ยม แอช บลอนด์</t>
  </si>
  <si>
    <t xml:space="preserve">สีบลอนด์กลางประกายเทา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</si>
  <si>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9.1 เวรี่ ไลท์ แอช บลอนด์</t>
  </si>
  <si>
    <t xml:space="preserve">สีบลอนด์อ่อนมากประกายเทา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</si>
  <si>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ANG-013</t>
  </si>
  <si>
    <t>แองเจลิค แฮร์ คัลเลอร์ ครีม 7.33 สีบลอนด์กลางประกายทองจัด</t>
  </si>
  <si>
    <t xml:space="preserve">แองเจลิค แฮร์ คัลเลอร์ ครีม 7.33 มีเดี่ยม อินเทนส์ โกลด์ บลอนด์
แม่สีเทาอุปกรณ์ในกล่องมี ดังนี้
          1. หลอดสี ปริมาณ 100 มล. 
          2. ไฮโดรเจน 
          3.ถุงมือ 
          4.วิตามินบำรุง 
          5. คู่มือการใช้  ปริมาณ 100 มล.x2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 ที่เข้ามาช่วยบำรุงเส้นผมและล็อคความชุ่มชื่นโดย
สารสกัดจะทำหน้าที่เหมือนแผ่นฟิล์มบางๆ เคลือบล็อค ไม่ให้ความชุ่มชื่นระเหยออกจากเส้นผม  
       *สารสกัดจากธรรมชาติอย่าง "Argan Oil" น้ำมันอาร์แกน รักษาความยืดหยุ่น ป้องกันไม่ให้ผม
แห้งและสูญเสียความชุ่มชื้น และยังมีคุณสมบัติต้านลดอาการอักเสบ หรือแสบคันหลังจากการย้อมสีผม เป็นต้น
</t>
  </si>
  <si>
    <t>แองเจลิค แฮร์ คัลเลอร์ ครีม 9.33 เวรี่ ไลท์ อินเทนส์ โกลด์ บลอนด์</t>
  </si>
  <si>
    <t xml:space="preserve">แองเจลิค แฮร์ คัลเลอร์ ครีม 9.33 เวรี่ ไลท์ อินเทนส์ โกลด์ บลอนด์
แม่สีเทาอุปกรณ์ในกล่องมี ดังนี้
          1. หลอดสี ปริมาณ 100 มล. 
          2. ไฮโดรเจน 
          3.ถุงมือ 
          4.วิตามินบำรุง 
          5. คู่มือการใช้  ปริมาณ 100 มล.x2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 ที่เข้ามาช่วยบำรุงเส้นผมและล็อคความชุ่มชื่นโดย
สารสกัดจะทำหน้าที่เหมือนแผ่นฟิล์มบางๆ เคลือบล็อค ไม่ให้ความชุ่มชื่นระเหยออกจากเส้นผม  
       *สารสกัดจากธรรมชาติอย่าง "Argan Oil" น้ำมันอาร์แกน รักษาความยืดหยุ่น ป้องกันไม่ให้ผม
แห้งและสูญเสียความชุ่มชื้น และยังมีคุณสมบัติต้านลดอาการอักเสบ หรือแสบคันหลังจากการย้อมสีผม เป็นต้น</t>
  </si>
  <si>
    <t>แองเจลิค แฮร์ คัลเลอร์ ครีม 7.37 มีเดี่ยม โกลด์ กรีน บลอนด์</t>
  </si>
  <si>
    <t xml:space="preserve">สีบลอนด์กลางประกายทองเหลือบเขียว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</si>
  <si>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9.37 เวรี่ ไลท์ โกลด์ กรีน บลอนด์</t>
  </si>
  <si>
    <t xml:space="preserve">สีบลอนด์อ่อนมากประกายทองเหลือบเขียว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</si>
  <si>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6.7 ดาร์ก กรีน บลอนด์</t>
  </si>
  <si>
    <t xml:space="preserve">สีบลอนด์เข้มประกายหม่นเขียว 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</si>
  <si>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8.7 ไลท์ กรีน บลอนด์</t>
  </si>
  <si>
    <t xml:space="preserve">สีบลอนด์อ่อนประกายหม่นเขียว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</si>
  <si>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0.00 เคลียร์ โทน</t>
  </si>
  <si>
    <t xml:space="preserve">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</si>
  <si>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ANG-020</t>
  </si>
  <si>
    <t>แองเจลิค แฮร์ คัลเลอร์ ครีม 0.22 ไวโอเลท</t>
  </si>
  <si>
    <t xml:space="preserve">แม่สีม่วงอุปกรณ์ในกล่องมีดังนี้1.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</si>
  <si>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0.44 คอปเปอร์ โกลด์</t>
  </si>
  <si>
    <t xml:space="preserve">แม่สีทองแดงอุปกรณ์ในกล่องมีดังนี้1.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</si>
  <si>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ANG-022</t>
  </si>
  <si>
    <t>แองเจลิค แฮร์ คัลเลอร์ ครีม 2.0 แบล็ค</t>
  </si>
  <si>
    <t>สีดำอุปกรณ์ในกล่องมีดังนี้1. หลอดสี ปริมาณ 100 มล. 2. ไฮโดรเจน 3.ถุงมือ 4.วิตามินบำรุง 5. คู่มือการใช้ ปริมาณ 100 มล.x2 40 เฉดสี</t>
  </si>
  <si>
    <t>แองเจลิค แฮร์ คัลเลอร์ ครีม 4.00 สีน้ำตาลกลาง</t>
  </si>
  <si>
    <t xml:space="preserve">แองเจลิค แฮร์ คัลเลอร์ ครีม 4.0 มีเดี่ยม บราวน์ 
แม่สีเทาอุปกรณ์ในกล่องมี ดังนี้
          1. หลอดสี ปริมาณ 100 มล. 
          2. ไฮโดรเจน 
          3.ถุงมือ 
          4.วิตามินบำรุง 
          5. คู่มือการใช้  ปริมาณ 100 มล.x2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 ที่เข้ามาช่วยบำรุงเส้นผมและล็อคความชุ่มชื่นโดย
สารสกัดจะทำหน้าที่เหมือนแผ่นฟิล์มบางๆ เคลือบล็อค ไม่ให้ความชุ่มชื่นระเหยออกจากเส้นผม  
       *สารสกัดจากธรรมชาติอย่าง "Argan Oil" น้ำมันอาร์แกน รักษาความยืดหยุ่น ป้องกันไม่ให้ผม
แห้งและสูญเสียความชุ่มชื้น และยังมีคุณสมบัติต้านลดอาการอักเสบ หรือแสบคันหลังจากการย้อมสีผม เป็นต้น</t>
  </si>
  <si>
    <t>แองเจลิค แฮร์ คัลเลอร์ ครีม 4.22 มีเดี่ยม อินเทนส์ ไวโอเลท บราวน์</t>
  </si>
  <si>
    <t xml:space="preserve">สีน้ำตาลกลางประกายม่วงจัดอุปกรณ์ในกล่องมีดังนี้1.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</si>
  <si>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5.0 ไลท์ บราวน์</t>
  </si>
  <si>
    <t xml:space="preserve">สีน้ำตาลอ่อนอุปกรณ์ในกล่องมีดังนี้1. หลอดสี ปริมาณ 100 มล. 2. ไฮโดรเจน 3.ถุงมือ 4.วิตามินบำรุง 5. คู่มือการใช้ ปริมาณ 100 มล.x2 40 เฉดสี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</si>
  <si>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7.3 มีเดี่ยม โกลด์ บลอนด์</t>
  </si>
  <si>
    <t xml:space="preserve">สีบลอนด์กลางประกายทอง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</si>
  <si>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7.7 มีเดี่ยม กรีน บลอนด์</t>
  </si>
  <si>
    <t xml:space="preserve">สีบลอนด์กลางประกายหม่นเขียว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</si>
  <si>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7.56 มีเดี่ยม มาฮ็อกกานี เรด บลอนด์</t>
  </si>
  <si>
    <t xml:space="preserve">สีบลอนด์กลางประกายแดงมาฮ๊อกกานี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</si>
  <si>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8.3 ไลท์ โกลด์ บลอนด์</t>
  </si>
  <si>
    <t xml:space="preserve">สีบลอนด์อ่อนประกายทอง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</si>
  <si>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8.33 ไลท์ อินเทนส์ โกลด์ บลอนด์</t>
  </si>
  <si>
    <t xml:space="preserve">สีบลอนด์อ่อนประกายทองจัด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</si>
  <si>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ANG-048</t>
  </si>
  <si>
    <t>แองเจลิค แฮร์ คัลเลอร์ ครีม 8.37 ไลท์ โกลด์ กรีน บลอนด์</t>
  </si>
  <si>
    <t xml:space="preserve">สีบลอนด์อ่อนประกายทองเหลือบเขียว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</si>
  <si>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8.66 ไลท์ อินเทนส์ เรด บลอนด์</t>
  </si>
  <si>
    <t xml:space="preserve">สีบลอนด์กลางประกายแดงจัด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</si>
  <si>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แองเจลิค แฮร์ คัลเลอร์ ครีม 8.1 สีบลอนด์</t>
  </si>
  <si>
    <t xml:space="preserve">แองเจลิค แฮร์ คัลเลอร์ ครีม 8.1 ไลท์ แอช บลอนด์
แม่สีเทาอุปกรณ์ในกล่องมี ดังนี้
          1. หลอดสี ปริมาณ 100 มล. 
          2. ไฮโดรเจน 
          3.ถุงมือ 
          4.วิตามินบำรุง 
          5. คู่มือการใช้  ปริมาณ 100 มล.x2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 ที่เข้ามาช่วยบำรุงเส้นผมและล็อคความชุ่มชื่นโดย
สารสกัดจะทำหน้าที่เหมือนแผ่นฟิล์มบางๆ เคลือบล็อค ไม่ให้ความชุ่มชื่นระเหยออกจากเส้นผม  
       *สารสกัดจากธรรมชาติอย่าง "Argan Oil" น้ำมันอาร์แกน รักษาความยืดหยุ่น ป้องกันไม่ให้ผม
แห้งและสูญเสียความชุ่มชื้น และยังมีคุณสมบัติต้านลดอาการอักเสบ หรือแสบคันหลังจากการย้อมสีผม เป็นต้น
</t>
  </si>
  <si>
    <t>แองเจลิค แฮร์ คัลเลอร์ ครีม 10.0 แพตตินัม</t>
  </si>
  <si>
    <t xml:space="preserve">สีแพตตินัม อุปกรณ์ในกล่องมีดังนี้1. หลอดสี ปริมาณ 100 มล. 2. ไฮโดรเจน 3.ถุงมือ 4.วิตามินบำรุง 5. คู่มือการใช้ ปริมาณ 100 มล.x2 วิธีใช้: ใช้ผสมกับ แฮร์ ดีเวลลอปเปอร์ครีม 6%, 9% หรือ 12% แล้วแต่ความต้องการในอัตราส่วน 1:1 ชโลมทิ้งไว้ ประมาณ 30 นาที (แล้วแต่สภาพเส้นผม) แล้วล้างออก *แฮร์ วิตามิน มีสารสกัดจาก Dimethiconeที่เข้ามาช่วยบำรุงเส้นผมและล็อคความชุ่มชื่นโดยสารสกัดจะทำหน้าที่เหมือนแผ่นฟิล์มบางๆ เคลือบล็อค ไม่ให้ความชุ่มชื่นระเหยออกจากเส้นผม และสารสกัดจากธรรมชาติอย่าง Argania spinosa หรือ Argan Oil น้ำมันอาร์แกน รักษาความยืดหยุ่น ป้องกันไม่ให้ผมแห้งและสูญเสียความชุ่มชื้น และยังมีคุณสมบัติต้านลดอาการอักเสบ หรือแสบคันหลังจากการย้อมสีผม เป็นต้น
   วิตามิน 3 ขั้นตอนง่ายๆ เพียงแค่บิด หลังสระผมเช็ดผมให้แห้ง บีบ เม็ดวิตามินลงบนฝ่ามือ และลูบปลายเส้นผม โดยไม่ต้องล้างออก</t>
  </si>
  <si>
    <t>แอลแองเจลผงฟอกสีผม</t>
  </si>
  <si>
    <t xml:space="preserve">แอลแองเจลผงฟอกสีผม คุณสมบัติ ยกระดับความสว่างบของเส้นผมได้มีประสิทธิภาพมากยิ่งขึ้น ปริมาณ 500 กรัม "คณสมบัติ:  สามารถใช้ได้ทุกสภาพเส้นผม ให้ผลการฟอกที่เร็ว ล้างออกง่าย
  ผงฟอกสีผมกลิ่นไม่เหม็นฉุน เห็นผลไว เหมาะสำหรับทุกสภาพผิว
 วิธีการใช้: ผสมผงฟอก กับดีเวลลอปเปอร์คลีม 6%, 9% หรือ 12% แล้วแต่ความต้องการของระดับความสว่างของสีผม ชโลมผงฟอกที่ผสมแล้วให้ทั่วเส้นผมบริเวณที่ต้องการฟอกสีทิ้งไว้ประมาณ 30-35 นาที (ระยะเวลาขึ้นอยู่กับสภาพของเส้นผมและสีผมเดิมก่อนการฟอก) แล้วล้างออกให้สะอาด วิธีทดสอบอาการแพ้; ทำความสะอาดบริเวณกกหูด้วยสบู่ และนำครีมฟอกสีผมที่ผสมทาทิ้งไว้ 48ชม. ถ้ามีปฏิกิริยา เช่น ผื่นแดงหรือบวม ห้ามใช้ผลิตภัณฑ์"</t>
  </si>
  <si>
    <t>ผลิตภัณฑ์เคมี</t>
  </si>
  <si>
    <t>https://www.youtube.com/watch?v=x3Y7YdCiysk&amp;list=PLGjfh_21bFBf6ETntZfATucDTeL7dj-70&amp;index=55</t>
  </si>
  <si>
    <t>แอลแองเจลผงฟอกสีผม คุณสมบัติ ยกระดับความสว่างบของเส้นผมได้มีประสิทธิภาพมากยิ่งขึ้น ปริมาณ 400 กรัม คุณสมบัติ: ผลิตภัณฑ์ฟอกสีผม แอลเองเจล ลัคช์ชูรีย์ แองเจลิค ไนน์ เลเวลส์ แฮร์ บลีชชิ่ง พาวเดอร์ สามารถใช้ได้กับทุกสภาพเส้นผม ให้ผลการฟองที่รวดเร็วตั้งเเต่ครั้งเเรกที่ทำการฟอกผม วิธีใช้: ผสมผงฟอก แอลเองเจล ลัคช์ชูรีย์ แองเจลิค ไนน์ เลเวลส์ แฮร์ บลีชชิ่ง พาวเดอร์ กับ ดีเวลลอปเปอร์ครีม 6% 9% หรือ 12% แล้วแต่ความต้องการของระดับความสว่างของสีผม ชโลมผงฟอกที่ผสมแล้วให้ทั่วเส้นผมบริเวณที่ต้องการฟองสีทิ้งไว้ประมาณ 30-35 นาที (ระยะเวลาขึ้นอยู่กับสภาพเส้นผมและสีผมเดิมก่อนการฟอก) แล้วล้างออกด้วยแชมพูให้สะอาด</t>
  </si>
  <si>
    <t>https://www.youtube.com/watch?v=SjbC5NBvI7Q&amp;list=PLGjfh_21bFBf6ETntZfATucDTeL7dj-70&amp;index=4</t>
  </si>
  <si>
    <t>แอล แองเจล ไอคัลเลอร์ แอเมทิสต์ (เบอร์ 1)</t>
  </si>
  <si>
    <t xml:space="preserve">รายละเอียดสินค้า 
  L'ANGEL LUXURY iCOLOR 
  แอล แองเจล ไอคัลเลอร์ อเมทิสต์ (เบอร์ 1) สีม่วงอ่อน ปริมาณ 100 ml.
  สร้างสีสรรค์สีผมให้หลากหลาย ไร้ขีดจำกัด ไม่ทำให้ผมแห้งเสียเป็นผลิตภัณฑ์เปลี่ยนสีผมกึ่งถาวร  
คุณสมบัติ:      
✔︎  ใช้ง่าย ไม่ต้องผสมสีและไม่ต้องผสมไฮโดรเยน                                                                                 
✔︎  สีอยู่ได้นานถึง 4 สัปดาห์ 
✔︎  เมื่อต้องการเปลี่ยนสี ไม่ต้องกังวลเรื่องล้างสีเดิมออกเพราะสีไอคัลเลอร์สามารถล้างออกง่าย 
✔︎  แม้เลอะเสื้อผ้าก็ล้างออกง่ายไม่เหมือนกับสีแว๊กซ์เลอะเสื้อผ้า 
    (เม็ดสีของแว๊กจะฝั่งลึกเข้าเส้นผมไม่สามารถล้างออกได้)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วิธีทดสอบการแพ้:  ใช้สำลีชุบน้ำยาปริมาณเล็กน้อยทาที่ข้อพับเเขนทิ้งไว้ 48 ซม. 
ถ้ามีปฎิติกิริยาที่ผิวหนัง เช่น เป็นผื่นแดงหรือบวม ห้ามใช้ภัณฑ์นี้</t>
  </si>
  <si>
    <t>แอล แองเจล ไอคัลเลอร์ ไวโอเล็ต (เบอร์ 2)</t>
  </si>
  <si>
    <t xml:space="preserve">รายละเอียดสินค้า 
  L'ANGEL LUXURY iCOLOR 
  แอล แองเจล ไอคัลเลอร์ ไวโอเล็ต (เบอร์ 2) สีม่วง ปริมาณ 100 ml.
  สร้างสีสรรค์สีผมให้หลากหลาย ไร้ขีดจำกัด ไม่ทำให้ผมแห้งเสียเป็นผลิตภัณฑ์เปลี่ยนสีผมกึ่งถาวร  
คุณสมบัติ:      
✔︎  ใช้ง่าย ไม่ต้องผสมสีและไม่ต้องผสมไฮโดรเยน                                                                                 
✔︎  สีอยู่ได้นานถึง 4 สัปดาห์ 
✔︎  เมื่อต้องการเปลี่ยนสี ไม่ต้องกังวลเรื่องล้างสีเดิมออกเพราะสีไอคัลเลอร์สามารถล้างออกง่าย 
✔︎  แม้เลอะเสื้อผ้าก็ล้างออกง่ายไม่เหมือนกับสีแว๊กซ์เลอะเสื้อผ้า 
    (เม็ดสีของแว๊กจะฝั่งลึกเข้าเส้นผมไม่สามารถล้างออกได้)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วิธีทดสอบการแพ้:  ใช้สำลีชุบน้ำยาปริมาณเล็กน้อยทาที่ข้อพับเเขนทิ้งไว้ 48 ซม. 
ถ้ามีปฎิติกิริยาที่ผิวหนัง เช่น เป็นผื่นแดงหรือบวม ห้ามใช้ภัณฑ์นี้</t>
  </si>
  <si>
    <t>แอล แองเจล ไอคัลเลอร์ สกายบลู (เบอร์ 3)</t>
  </si>
  <si>
    <t xml:space="preserve">สีฟ้าเป็นผลิตภัณฑ์เปลี่ยนสีผมกึ่งถาวร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</si>
  <si>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https://www.youtube.com/watch?v=zJ4mpWE46V4&amp;list=PLGjfh_21bFBf6ETntZfATucDTeL7dj-70&amp;index=9</t>
  </si>
  <si>
    <t>แอล แองเจล ไอคัลเลอร์ แลพิส (เบอร์ 4)</t>
  </si>
  <si>
    <t xml:space="preserve">สีน้ำเงินเป็นผลิตภัณฑ์เปลี่ยนสีผมกึ่งถาวร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</si>
  <si>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https://www.youtube.com/watch?v=28pI3VduBJI&amp;list=PLGjfh_21bFBcDfXdOBNgHc9COOJNtG0dK&amp;index=10</t>
  </si>
  <si>
    <t>แอล แองเจล ไอคัลเลอร์ แชมรอท (เบอร์ 5)</t>
  </si>
  <si>
    <t xml:space="preserve">สีเขียวเป็นผลิตภัณฑ์เปลี่ยนสีผมกึ่งถาวร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</si>
  <si>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ฟิวเซีย (เบอร์ 6)</t>
  </si>
  <si>
    <t xml:space="preserve">รายละเอียดสินค้า 
  L'ANGEL LUXURY iCOLOR
  แอล แองเจล ไอคัลเลอร์ ฟิวเซีย (เบอร์ 6) สีชมพู ปริมาณ 100 ml.
  สร้างสีสรรค์สีผมให้หลากหลาย ไร้ขีดจำกัด ไม่ทำให้ผมแห้งเสียเป็นผลิตภัณฑ์เปลี่ยนสีผมกึ่งถาวร  
คุณสมบัติ:      
✔︎  ใช้ง่าย ไม่ต้องผสมสีและไม่ต้องผสมไฮโดรเยน                                                                                 
✔︎  สีอยู่ได้นานถึง 4 สัปดาห์ 
✔︎  เมื่อต้องการเปลี่ยนสี ไม่ต้องกังวลเรื่องล้างสีเดิมออกเพราะสีไอคัลเลอร์สามารถล้างออกง่าย 
✔︎  แม้เลอะเสื้อผ้าก็ล้างออกง่ายไม่เหมือนกับสีแว๊กซ์เลอะเสื้อผ้า 
    (เม็ดสีของแว๊กจะฝั่งลึกเข้าเส้นผมไม่สามารถล้างออกได้) 
*เหมาะสำหรับผู้ที่เปลี่ยนสีผมบ่อย และไม่ต้องการให้เส้นผม กรอบ หรือเกิดการแห้งเสีย  
*ผลลัพธ์ของสีผลที่ได้ขึ้นอยู่กับสภาพและสีผมก่อนทำ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วิธีทดสอบการแพ้:  ใช้สำลีชุบน้ำยาปริมาณเล็กน้อยทาที่ข้อพับเเขนทิ้งไว้ 48 ซม. 
ถ้ามีปฎิติกิริยาที่ผิวหนัง เช่น เป็นผื่นแดงหรือบวม ห้ามใช้ภัณฑ์นี้</t>
  </si>
  <si>
    <t>แอล แองเจล ไอคัลเลอร์ มะเจนทะ (เบอร์ 7)</t>
  </si>
  <si>
    <t xml:space="preserve">สีบานเย็นเป็นผลิตภัณฑ์เปลี่ยนสีผมกึ่งถาวร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</si>
  <si>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คริมซันเรด (เบอร์ 8)</t>
  </si>
  <si>
    <t xml:space="preserve">สีแดงเป็นผลิตภัณฑ์เปลี่ยนสีผมกึ่งถาวร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</si>
  <si>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รูบี (เบอร์ 9)</t>
  </si>
  <si>
    <t xml:space="preserve">สีแดงเข้มเป็นผลิตภัณฑ์เปลี่ยนสีผมกึ่งถาวร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</si>
  <si>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ไดรูท (เบอร์ 10)</t>
  </si>
  <si>
    <t xml:space="preserve">สีขาว เบอร์10คือสีทำละลาย เมื่อนำไปผสมในอัตราส่วน 1:1 กับสีอื่นๆ สันั้นจะกลายเป็นสีโทนพาสเทลเป็นผลิตภัณฑ์เปลี่ยนสีผมกึ่งถาวร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</si>
  <si>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แทงเจอรีน(เบอร์ 11)</t>
  </si>
  <si>
    <t xml:space="preserve">สีส้มเป็นผลิตภัณฑ์เปลี่ยนสีผมกึ่งถาวร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</si>
  <si>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บัมเบิลบี (เบอร์ 12)</t>
  </si>
  <si>
    <t xml:space="preserve">สีเหลืองเป็นผลิตภัณฑ์เปลี่ยนสีผมกึ่งถาวร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</si>
  <si>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แอล แองเจล ไอคัลเลอร์ เกรย์ (เบอร์ 13)</t>
  </si>
  <si>
    <t xml:space="preserve">สีเทา เป็นผลิตภัณฑ์เปลี่ยนสีผมกึ่งถาวร ข้อดีของสีไอคัลเลอร์-ใช้ง่าย -ไม่ต้องผสมสีและไม่ต้องผสมไฮโดรเยน -สีอยู่ได้นาน 4สัปดาห์ -เมื่อต้องการเปลี่ยนสี ไม่ต้องกังวลเรื่องล้างสีเดิมออกเพราะสีไอคัลเลอร์ สามารถล้างออกง่าย -สีไอคัลเลอร์สร้างนำไปใช้เป็นสีไฮไลท์เพื่อสร้างสไตล์และสามารถใช้ร่วมกับสีถาวรได้เป็นอย่างดีข้อแตกต่างระหว่างสีไอคัลเลอร์และสีแว๊กซ์- สีแว๊กซ์เลอะเสื้อผ้า -เม็ดสีของแว๊กจะฝั่งลึกเข้าเส้นผมไม่สามารถล้างออกได้ ปริมาณ 100 มล ปริมาณ 100 มล "คุณสมบัติ: 
  สร้างสีสรรค์สีผมให้หลากหลาย ไร้ขีดจำกัด ไม่ทำให้ผมแห้งเสีย สีฟ้าเป็นผลิตภัณฑ์เปลี่ยนสีผมกึ่งถาวร 
 ข้อดีของสีไอคัลเลอร์ ใช้ง่าย ไม่ต้องผสมสีและไม่ต้องผสมไฮโดรเยน สีไอคัลเลอร์สามารถนำไปใช้เป็นสีไฮไลท์เพื่อสร้างสไตล์และสามารถใช้ร่วมกับสีถาวรได้เป็นอย่างดีข้อแตกต่างระหว่างสีไอคัลเลอร์และสีแว๊กซ์
 ✔︎ เหมาะสำหรับผู้ที่เปลี่ยนสีผมบ่อย และไม่ต้องการให้เส้นผม กรอบ หรือเกิดการแห้งเสีย 
 ✔︎ สีอยู่ได้นาน 4 สัปดาห์ 
 ✔︎ เมื่อต้องการเปลี่ยนสี ไม่ต้องกังวลเรื่องล้างสีเดิมออกเพราะสีไอคัลเลอร์ สีไอคัลเลอร์ สามารถล้างออกง่าย 
 วิธีใช้: 
 ชโลมเนื้อครีมลงบนเส้นผม และทิ้งไว้ 30 นาที(หรือแล้วแต่สภาพเส้นผม) และล้างออก
 *หมายเหตุ 
 ควรทดสอบการแพ้ก่อนใช้ เมื่อมีอาการคัน ปวดแสบ ปวดร้อน ควรหยุดใช้ทันที
 *ห้ามใช้ในบุคคลที่มีอาการแพ้ผลิตภัณฑ์เปลี่ยนสีผม*
 *ผลลัพธ์ของสีผลที่ได้ขึ้นอยู่กับสภาพและสีผมก่อนทำ"</t>
  </si>
  <si>
    <t>ANG-103</t>
  </si>
  <si>
    <t>ชุดครีมยืดผมถาวร</t>
  </si>
  <si>
    <t xml:space="preserve">แอลแองเจล ชุดครีมยืดผมถาวร สูตรอโรม่า เหมาะสำหรับผมอ่อนแอและผมเคยผ่านการทำเคมี กลิ่นอ่อนโยน มีเบอร์ A ,B ,C ปริมาณ 1,000 มล.x3 (กระปุก)น้ำยาโกรกผมนางฟ้า สูตรอโรม่า เหมาะสำหรับสภาพผมที่ผ่านการทำเคมีมาก่อน กลิ่นอ่อนโยนไม่ฉุน ให้เส้นผมที่ตรง เงางามและมีน้ำหนักอย่างเป็นธรรมชาติ (ขวดปั๊ม)ทรีทเม้นส์บำรุงเส้นผม สูตรอโรม่า บำรุงเส้นผมล้ำลึกจากภายในรักษาเส้นผมที่แห้งเสียจากการทำเคมีให้กลับมาแข็งแรง นุ่มสลวยเงางาม มีน้ำหนักอย่างเป็นธรรมชาติ "(กระปุก)น้ำยาโกรกผมนางฟ้า สูตรอโรม่า
 วิธีการใช้: 1. สระผมมให้สะอาด
 2. แบ่งเส้นผมออกเป็นช่อ ๆ 
 3. ชโลมน้ำยายืด A ให้ทั่วทุกช่อ ทิ้งไว้ประมาณ 15-20 นาที จากนั้นล้างออกด้วยน้ำเปล่า 
 4. เป่าผมให้แห้งแล้วจึงทำการยืดผมตามต้องการ
 5. แบ่งผมออกเป็นช่อ ๆ เพื่อเตรียมการโกรก
 6.ชโลมน้ำยาโกรก B ให้ทั่วทุกช่อ ทิ้วไว้ประมาณ 20 นาที
 7. ล้างน้ำ ยาโกรก B ออกด้วยน้ำเปล่า จากนั้นใช้ทรีทเม้นท์ C นวดให้ทั่วเพื่อปรับสภาพเส้นผมหลังการยืด 
 (ขวดปั๊ม)ทรีทเม้นส์บำรุงเส้นผม สูตรอโรม่า
 วิธีการใช้: ใช้หลังสระผมแทนครีมนวดผมหรือหลังจากการทำเคมี ชโลมทรีทเม้นส์ให้ทั่วศรีษะนวดเบาๆ แล้วทิ้งไว้ประมาณ 10 นาที (หรืออบไอน้ำ) แล้วล้างออกด้วยน้ำสะอาด"</t>
  </si>
  <si>
    <t xml:space="preserve">แอลแองเจล ชุดครีมยืดผมถาวร สูตรชาเขียว เหมาะสำหรับผมไม่เคยผ่านการทำเคมี ผมหยิก ยักศก ผมเส้นใหญ่ มีเบอร์ A และ B ปริมาณ 600 มล.x2 "L'ANGEL แอลแองเจล ชุดครีมยืดผมถาวร สูตรชาเขียว 
 มีเบอร์ A และ B ปริมาณ 600 มล.x2 
 คุณสมบัติ: 
  น้ำยายืดสูตรชาเขียว กลิ่นอ่อนโยนไม่ฉุน ยืดผมได้ตรง มีน้ำหนักอย่างเป็นธรรมชาติบวกกับ
 สารสกัดจากชาเขียวที่มีส่วนช่วยให้เส้นผมมีความเงางามมากยิ่งขึ้น เหมาะสำหรับผมแข็งแรง
 เหมาะสำหรับผมไม่เคยผ่านการทำเคมี ผมหยิก หยักศก ผมเส้นใหญ่
 วิธีใช้:
 1.สระผมให้สระอาด 
 2.แบ่งเส้นผมออกเป็นช่อๆ
 3.ชโลมน้ำยายืด A ให้ทั่วทุกช่อ ทิ้วไว้ประมาณ 15-20 นาที จากนั้นล้างอออกด้วยน้ำเปล่า 
 4.เป่าผมให้แห้งแล้งจึงทำการยืดผมตามต้องการ
 5.แบ่งผมออกเป็นช่อๆ เพื่อเตรียมการโกรก
 6.ชโลมน้ำยาโกรก B ให้ทั่วทุกช่อ ทิ้งไว้ประมาณ 20 นาที
 7.ล้างน้ำยาโกรก B ออกด้วยน้ำเปล่า"</t>
  </si>
  <si>
    <t>แอลแองเจล ชุดครีมยืดผมถาวร สูตรอโรม่า เหมาะสำหรับผมเคยผ่านการทำเคมี กลิ่นอ่อนโยน มีเบอร์ A และ B ปริมาณ 600 มล.x2 คุณสมบัติ:  น้ำยายืดสูตรอโรม่า เหมาะสำหรับสภาพเส้นผมที่ผ่านการทำเคมีมาก่อน กลิ่นอ่อนโยน ไม่ฉุน ให้ผมตรง เงางาม มีน้ำหนักอย่างเป็นธรรมขาติ</t>
  </si>
  <si>
    <r>
      <rPr>
        <u/>
        <color rgb="FF1155CC"/>
        <sz val="8"/>
        <rFont val="Arial"/>
      </rPr>
      <t>https://www.youtube.com/watch?v=LySkSXFd3VE&amp;list=PLGjfh_21bFBf6ETntZfATucDTeL7dj-70&amp;index=6</t>
    </r>
    <r>
      <rPr>
        <color rgb="FFFF0000"/>
        <sz val="8"/>
        <rFont val="Arial"/>
      </rPr>
      <t>6</t>
    </r>
  </si>
  <si>
    <t>แอลแองเจล แชมพูสระผมอาร์แกนิค</t>
  </si>
  <si>
    <t xml:space="preserve">แอลแองเจล ครีมนวดผมอาร์แกนิค ฟื้นฟูสภาพเส้นผมที่แห้งเสีย และมีส่วนผสมของน้ำมันเมล็ดอาร์แกน ปริมาณ 268 มล. สูตรสำหรับผมทำสีและแห้งเสีย 
 ด้วยสารสะกัดจาก น้ำมันเมล็ดอาร์แกนบริสุทธิ์ ช่วยฟื้นฟูสภาพเส้นผมที่แห้งเสียเเละผมทำสี 
 ให้กลับมาชุ่มชื้น มีสุขภาพดี  คุณสมบัติ: ✔︎ ฟื้นฟูสภาพเส้นผมที่แห้งเส้น มีส่วนผสมของน้ำมันเมล็ดอาร์แกน
 ✔︎ คอนดิชันเนอร์บำรุงเส้นผมอย่างอ่อนโยน ✔︎ ช่วยฟื้นฟูสภาพเส้นผมที่ทำสีให้กลับมาชุ่มชื่น มึสุขภาพดี
   วิธีใช้: หลังสระ ชโลมคอนดิชันเนอร์ลงบนผม นวดผมโดยเน้นที่ปลายผม ทิ้งไว้ประมาณ 5-10 นาที แล้วล้างน้ำให้สะอาด
 Warning*อย่าให้เข้าตา*</t>
  </si>
  <si>
    <t>ผลิตภัณฑ์บำรุงผมเส้นผม</t>
  </si>
  <si>
    <t>https://www.youtube.com/watch?v=YrzHA6zgJeU&amp;list=PLGjfh_21bFBf6ETntZfATucDTeL7dj-70&amp;index=3</t>
  </si>
  <si>
    <t>แอลแองเจล มาส์คบำรุงผมอาร์แกนิค</t>
  </si>
  <si>
    <t xml:space="preserve">L'ANGEL ARGANIC HAIR MASQUE 500 ml.
  สารสะกัดจากอาร์แกนออย สูตรสำหรับผมทำสีและแห้งเสีย
 คุณสมบัติ:
  แอลแองเจลมาส์กบำรุงเส้นผม ด้วยพลังน้ำมันสกัดเย็น จากผลอาร์แกน จึงได้น้ำมันอาร์แกนที่มีคุณประโยชน์สูงสุด 
 เป็นส่วนผสมใน แอล แองเจล อาร์แกนิค แฮร์มาสก ช่วยบำรุงเส้นผมอย่างล้ำลึกสุดขั้ว ทำให้ผมมีน้ำหนัก 
 เงางาม เป็นธรรมชาติ ผมสลวยอย่างที่ไม่เคยรู้สึกมาก่อน สามารถนำไปใช้อบไอน้ำได้ เพื่อประสิทธิภาพที่ดียิ่งขึ้น 
 วิธีใช้ : ใช้หลังสระผม เช็ดผมให้แห้งหมาด ตักครีม อาร์แกนิค แฮร์ มาสก ใส่ในมือ พอประมาณ หลังจากนั้น ชโลมให้ทั้วศีรษะ ทิ้งไว้ประมาณ 5-10 นาที จากนั้น ล้างออกด้วยน้ำสะอาด Warning*อย่าให้เข้าตา*</t>
  </si>
  <si>
    <t xml:space="preserve"> ALOE VERA HAIR MARK</t>
  </si>
  <si>
    <t>L'ANGEL NATURAL ALOE VERA HAIR MARK รุ่น ANG-220 ทรีทเม้นท์ซุปเปอร์ไชนี่แว๊กซ์ ด้วยสารสกัดจากว่านหางจระเข้ และสารสกัดจากผงทอง ช่วยให้ผมมีความเงางามเปล่งประกายมากยิ่งขึ้น คุณสมบัติ: ✔︎ ใช้บำรุงเส้นผมหลังสระผม ✔︎ ทรีทเม้นท์ซุปเปอร์ไชนี่แว๊กซ์ ✔︎ ช่วยฟื้นฟูสภาพเส้นผมให้แข็งแรง นุ่มสลวย ✔︎ ช่วยให้เส้นผมมีน้ำหนัก จัดทรงง่าย</t>
  </si>
  <si>
    <t>แอลแองเจล กลอสเคลือบเส้นผมอาร์แกนิค</t>
  </si>
  <si>
    <t xml:space="preserve">แอลแองเจล กลอสเคลือบเส้นผมอาร์แกนิค ช่วยปิดเกร็ดผมทำให้เส้นผมเงางาม และมีส่วนผสมของน้ำมันเมล็ดอาร์แกน ปริมาณ 500 มล. ทรีทเมนส์สูตรเข้มข้น เพื่อเพิ่มความเงางามให้เส้นผม เหมาะสำหรับผมทำสีและผมแห้งเสีย คุณสมบัติ: จากส่วนผสมของอาร์แกนออย ช่วยปิดเกร็ดผมทำให้เส้นผมเงางาม ลดอาการพันกันทำให้เส้นผมทิ้งตัวสลวย ช่วยบำรุงให้เส้นผมมีความชุ่มชื่น มีคุณสมบัติเฉพาะทางที่สามารถกักเก็บความชุ่มชื่นได้ยาวนาน ทำให้ผมไม่หยาบกระด้างสัมผัสได้ถึงความนุ่มลื้น 
  วิธีการใช้: หลังสระผม ชโลมบนผมเปียกหมาดๆ ให้ทั่วทั้งศรีษะ ทิ่งไว้ประมาณ 5-10 นาที แล้วล้างออกด้วยน้ำให้สะอาด
 Warning*อย่าให้เข้าตา*</t>
  </si>
  <si>
    <t>https://youtu.be/T6b-iW5cZVk</t>
  </si>
  <si>
    <t>แอลแองเจล เซรั่มเข้มข้นอาร์แกนิค</t>
  </si>
  <si>
    <t xml:space="preserve">แอลแองเจล เซรั่มเข้มข้นอาร์แกนิค ฟื้นฟูสภาพเส้นผมที่แห้งเสีย และมีส่วนผสมของน้ำมันเมล็ดอาร์แกน ปริมาณ 50 มล.                                                                  คุณสมบัติ: 
  สารสะกัดจากอาร์แกนออย สูตรสำหรับผมทำสีและแห้งเสีย ช่วยให้ลดอาการผมแตกปลาย
 ✔︎ เพิ่มความเงางาม 
 ✔︎ ลดการชี้ฟูของเส้นผม 
 ✔︎ พร้อมบำรุงผม
 วิธีใช้: ใช้เพียง1-2หยดลงบนฝ่ามือ ลูบเบาๆบนเส้นผม โดยเน้นที่บริเวณปลายเส้นผม
 ะทำให้เส้นผม ดูดซึมคุณค่าของน้ำมันอาร์แกน ได้อย่างเต็มที่ ใช้ได้ทุกวัน อ่อนโยน</t>
  </si>
  <si>
    <t>https://www.youtube.com/watch?v=O0RmhUiGd3s&amp;list=PLGjfh_21bFBf6ETntZfATucDTeL7dj-70&amp;index=2</t>
  </si>
  <si>
    <t>น้ำยาบำรุงหนังศีรษะ</t>
  </si>
  <si>
    <t xml:space="preserve">เซรั่มเข้มข้นบำรุงหนังศีรษะเพื่อลดอาการหลุดร่วงของเส้นผม สูตรหนังศีรษะและเส้นผมที่แห้งเสีย ปริมาณ 10 มล.x12ชิ้น Head: น้ำยาบำรุงหนังศีรษะ แฮร์ เซรั่ม *สูตรบำรุงหนังศรีษะและเส้นผมที่แห้งเสีย 
 1กล่องมี 12ชิ้น ปริมาณ 10ml. คุณสมบัติ: เซรั่มเข้มข้น ช่วยบำรุงศรีษะพร้อมช่วยบำรุงเส้นผมที่แห้งเสีย มีส่วนผสมจากวิตามิน "แพนทีนอล (Panthenol)" วิตามินที่ช่วยบำรุงเส้นผม จากการถูกทำลายด้วยสารเคมี ป้องกันความแห้งกรอบ ที่ถูกกัดกร่อนโดยน้ำยาดัด น้ำยายืด และความร้อนจากการอบ ไดร์ผม ช่วยเสริมสร้างเส้นผมให้มีเงางาม 
 วิธีการใช้: ชโลมบนเส้นผมที่เปียกหมาดหลังจากการสระผม นวดให้ทั่วหนังศรีษะและเส้นผมแล้วล้างออกด้วยน้ำสะอาด หรือจะใช้ผสมทรีทเม้นท์เพื่อประสิทธิภาพในการบำรุง</t>
  </si>
  <si>
    <t>https://www.youtube.com/watch?v=RHa5AvSVwUw&amp;list=PLGjfh_21bFBf6ETntZfATucDTeL7dj-70&amp;index=7</t>
  </si>
  <si>
    <t xml:space="preserve">เซรั่มเข้มข้นบำรุงหนังศีรษะเพื่อลดอาการหลุดร่วงของเส้นผม สูตรควบคุมความมัน ปริมาณ 10 มล.x12ชิ้น คุณสมบัติ: น้ำยาบำรุงหนังศีรษะ *สูตรควบคุมความมัน เซรั่มเข้มข้น ช่วยบำรุงศรีษะพร้อมช่วยบำรุงเส้นผมที่แห้งเสีย แตกปลาย มีส่วนผสมจากวิตามิน "แพนทีนอล (Panthenol)" วิตามินที่ช่วยบำรุงเส้นผม จากการถูกทำลายด้วยสารเคมี ป้องกันความแห้งกรอบ ที่ถูกกัดกร่อนโดยน้ำยาดัด น้ำยายืด และความร้อนจากการอบ ไดร์ผม ช่วยเสริมสร้างเส้นผมให้มีเงางาม
 วิธีการใช้: ชโลมบนเส้นผมที่เปียกหมาดหลังจากการสระผม นวดให้ทั่วหนังศรีษะและเส้นผมแล้วล้างออกด้วยน้ำสะอาด หรือจะใช้ผสมทรีทเม้นท์เพื่อประสิทธิภาพในการบำรุง</t>
  </si>
  <si>
    <t xml:space="preserve">เซรั่มเข้มข้นบำรุงหนังศีรษะเพื่อลดอาการหลุดร่วงของเส้นผม สูตรขจัดรังแค ปริมาณ 10 มล.x12ชิ้น Head: น้ำยาบำรุงหนังศีรษะ แฮร์ เซรั่ม *สูตรบำรุงหนังศรีษะและเส้นผมที่แห้งเสีย 
 1กล่องมี 12ชิ้น ปริมาณ 10ml. คุณสมบัติ: น้ำยาบำรุงหนังศีรษะ *สูตรขจัดรังแค
 เซรั่มเข้มข้น ช่วยบำรุงศรีษะพร้อมช่วยบำรุงเส้นผมที่แห้งเสีย มีส่วนผสมจากวิตามิน "แพนทีนอล (Panthenol)" วิตามินที่ช่วยบำรุงเส้นผม จากการถูกทำลายด้วยสารเคมี ป้องกันความแห้งกรอบ ที่ถูกกัดกร่อนโดยน้ำยาดัด น้ำยายืด และความร้อนจากการอบ ไดร์ผม ช่วยเสริมสร้างเส้นผมให้มีเงางาม และยังป้องกันการเกิดรังแคด้วย
   วิธีการใช้: ชโลมบนเส้นผมที่เปียกหมาดหลังจากการสระผม นวดให้ทั่วหนังศรีษะและเส้นผมแล้วล้างออกด้วยน้ำสะอาด หรือจะใช้ผสมทรีทเม้นท์เพื่อประสิทธิภาพในการบำรุง</t>
  </si>
  <si>
    <t>แอลแองเจลเคิร์ลดาวน์ คอนโทรล (จับลอน)</t>
  </si>
  <si>
    <t xml:space="preserve">แอลแองเจลเคิร์ลดาวน์ คอนโทรล (จับลอน) คุณสมบัติ 1. ช่วยให้ลอนผมดัดแน่น เด้งมีสปริง สลวย 2. ลอนเด่นชัด อยู่ทรงตลอดทั้งวัน ปริมาณ 260มล. "คุณสมบัติ: ครีมจับลอนผมดัด ที่มีลักษณะเป็น fibre จัดแต่งลอนผมให้ชัดเจน เพิ่มวอลลุ่ม ลอนผมอ่อนนุ่ม พริ้วสวยไม่แข็งกระด้าง ลอนสวยอยู่ทรงอย่างเป็นธรรมชาตินานตลอดวัน 
  วิธีใช้: บีบครีมลงบนฝ่ามือพอประมาณ ชโลมให้ทั่วลอนผม ใช้มือยกขยุ้มลอนผมขึ้นจากด้านล่าง เซ็ทจัดแต่งทรงผมตามต้องการ"</t>
  </si>
  <si>
    <t>จัดแต่งทรงผม</t>
  </si>
  <si>
    <t>https://youtu.be/lkj9zc7iy-E</t>
  </si>
  <si>
    <t>ซิลกี้เซรั่ม</t>
  </si>
  <si>
    <t xml:space="preserve">ซิลกี้เซรั่ม คุณสมบัติ 1. ช่วยฟื้นฟูเส้นผมที่แห้งเสียจากการทำเคมี 2. ป้องกันรังสี UV ให้เส้นผม ปริมาณ 60 มล. "คุณสมบัติ: ป้องกันและบำรุงเส้นผม ช่วยป้องกันรังสี uv ให้ผมนุ่มลื่น พริ้วสสวยเงางาม มีน้ำหนัก ไม่แตกปลาย 
   วิธีการใช้: บีบซิลกี้ เซรั่ม ลงบนฝ่ามือ 2-3 หยดลูบไล้ให้ทั่วเส้นผม"</t>
  </si>
  <si>
    <t>https://youtu.be/ciPqgTBwI9s</t>
  </si>
  <si>
    <t>แอลแองเจล สเปรย์กันความร้อนอาร์แกนิค</t>
  </si>
  <si>
    <t xml:space="preserve">แอลแองเจล สเปรย์กันความร้อนอาร์แกนิค ป้องกันความร้อนจากอุปกรณ์ทำผมไฟฟ้า และมีส่วนผสมของน้ำมันเมล็ดอาร์แกน ปริมาณ 175 มล. คุณสมบัติ: ✔︎ สเปรย์ช่วยปกป้องเส้นผมจากความร้อน ใช้การหนีบผมหรือไดร์ผม ✔︎ ไม่ทำให้ผมแห้งเสียและชี้ฟู ✔︎ พร้อมบำรุงเส้นผม
 วิธีการใช้: ฉีดบนผมเปียกหมาดๆ ให้ทั่วทั่งศรีษะไดร์หรือทำความร้อน
 Warning*อย่าให้เข้าตา*</t>
  </si>
  <si>
    <t>แอลแองเจล บอนด์ ครีเอเตอร์</t>
  </si>
  <si>
    <t xml:space="preserve">แอลแองเจล บอนด์ ครีเอเตอร์ เบอร์ 1มี1ขวด เบอร์2มี2 ขวด คุณสมบัติ 1. ฟื้นฟูสภาพเส้นผมตั้งแต่แกนผมชั้นใน 2. ป้องกันไม่ให้แกนผมเนื้อผมโดนทำลาย ปริมาณ 300x3มล. เบอร์ 1มี1ขวด เบอร์2มี2 ขวด  -แอลแองเจล ลัคซ์ซูรีย์ บอนด์ ครีเอเตอร์ โปรเฟสชั่นนอล ซาลอน คิต- เหมาะสำหรับผมทุกชนิดที่ผ่านการทำเคมี จะช่วยเชื่อมต่ออนุภาคของเส้นผมที่ถูกทำลายในระหว่างการทำเคมี เช่น การฟอกผม การทำสร ช่วยซ่อมแซมและคืนความชุ่มชื้นให้กับเส้นผม; ใช้ แอลแองเจลลัคซ์ซูรีย์ บอนด์ ครีเอเตอร์ ได้ทั้งระหว่างและหลังการฟอกสีผมหรือใช้ในการบำรุงรักษาเส้นผม เส้นผมจะแข็งแรงขึ้น เงางาม ไม่ชี้ฟูสุขภาพดีขึ้นกว่าที่เคย  -แอลแองเจล ลัคซ์ซูรีย์ บอนด์ ครีเอเตอร์ นัมเบอร์ วัน ครีเอเตอร์-เป็นสูตรที่จะช่วยเชื่อมต่ออนุภาคของเส้นผมที่ถูกทำลายจากโครงสร้างภายในจากการทำเคมีต่าง ๆ ฟอกผม ทำสี ยืดผม ดัดผม อย่างถาวร ทำให้เส้นผมแข็งแรงขึ้น สุภาพดีขึ้นเงางามอย่างเห็นได้ชัดในทันที   -แอลแองเจล ลัคซ์ซูรีย์ บอนด์ ครีเอเตอร์ นัมเบอร์ ทู อินครีสเซอร์- ช่วยซ่อมแซมและคืนความชุ่มชื่นให้กับเส้นผมที่ถูกเคมีทำลายทำให้ผมมีสุขภาพดีขึ้น แข็งแรงขึ้น 1.แอลแองเจล ลัคซ์ซูรีย์ บอนด์ ครีเอเตอร์ โปรเฟสชั่นนอล ซาลอน คิต 2. แอลแองเจล ลัคซ์ซูรีย์ บอนด์ ครีเอเตอร์ นัมเบอร์ วัน ครีเอเตอร์
   วิธีใช้: ผสมนัมเบอร์วัน ครีเอเตอร์ กับน้ำ แล้วนำไปชโลมให้ทั่วเส้นผมที่แห้งหรือหมาดๆ จากโคนจรดปลาย ใช้หวีหวีให้น้ำ ยาโดนเส้นผมทั่วทุกเส้นทิ้งไว้ 5-10 นาที (ไม่ต้องล้างออก) แล้วนำนัมเบอร์ทู อินครีสเซอร์ มาฉโลมจากโคนจรดปลาย 
   3. แอลแองเจล ลัคซ์ซูรีย์ บอนด์ ครีเอเตอร์ นัมเบอร์ ทู อินครีสเซอร์ 
   วิธีใช้: ใช้นวดเส้นผมหลังการใช่ นัมเบอร์วัน ครีเอเตอร์ ลูบไล้ให้ทั่วศรีษะจากโคนจรดปลายทิ้งไว้ 10-20 นาที แล้วล้างออกด้วยแชมพูและคอนดิชันเนอร์</t>
  </si>
  <si>
    <t>https://www.youtube.com/watch?v=4nxGOh16LpU&amp;feature=youtu.be</t>
  </si>
  <si>
    <t>ANG-410+ANG-411</t>
  </si>
  <si>
    <t>แอลแองเจล ชุดบอนด์ ครีเอเตอร์</t>
  </si>
  <si>
    <t>แอลแองเจล บอนด์ ครีเอเตอร์ เบอร์ 1มี1ขวด เบอร์2มี2 ขวด คุณสมบัติ 1. ฟื้นฟูสภาพเส้นผมตั้งแต่แกนผมชั้นใน 2. ป้องกันไม่ให้แกนผมเนื้อผมโดนทำลาย ปริมาณ 300x3มล. และ แอลแองเจล บอนด์ ครีเอเตอร์ เอนฮานเซอร์ คุณสมบัติ 1. ฟื้นฟูสภาพเส้นผมตั้งแต่แกนผมชั้นใน 2.เพิ่มประสิทธิภาพการฟื้นฟู ปริมาณ 300 มล</t>
  </si>
  <si>
    <t>แอลแองเจล บอนด์ ครีเอเตอร์ เอนฮานเซอร์</t>
  </si>
  <si>
    <t xml:space="preserve">"L'ANGEL Bond Creator บอนด์ ครีเอเตอร์ 300ml. (No.3 ENHANCER)
 แอลแอง เจล ลัคซ์ซูรีย์ บอนด์ ครีเอเตอร์ นัมเบอร์ ทรี เอนฮานเซอร์ 
 คุณสมบัติ: 
  นัมเบอร์ ทรี เอนฮานซ์เซอร์ ช่วยรักษาเส้นผมอย่างต่อเนื่อง ที่คุณสามารถทำเองง่ายๆ ได้ด้วยตัวเอง 
 ใช้เพียงสัปดาห์ละครั้งเพื่อเพิ่มความแข็งแรงให้เส้นผม ช่วยให้เส้นผมมีสุขภาพดี ไม่ชี้ฟู 
 ✔︎ High Quality
 ✔︎ Good Product
 ✔︎ Good Material 
 ✔︎ เพิ่มความแข็งแรงให้เส้นผม 
 ✔︎ ช่วยให้เส้นผมมีสุขภาพดี ไม่ชี้ฟู 
  วิธีใช้: สระผมด้วยแชมพู ชโลมแอลแอง เจล ลัคซ์ซูรีย์ บอนด์ ครีเอเตอร์ นัมเบอร์ ทรี เอนฮานเซอร์ (ประมาณ 15 มล.)
  ลงบนเส้นผมให้ทั่ว นวดเพื่อให้แน่ใจว่าเนื้อครีมได้ซึมเข้าเส้นผม ทิ้งไว้ 10-30 นาที แล้วล้างออกด้วยแชมพู 
 *ควรเก็บรักษาไว้บริเวณที่มีอากาศถ่ายเทและไม่โดนแสงแดด*
 *สำหรับลูกค้าใช้ต่อเนื่อง*"</t>
  </si>
  <si>
    <t xml:space="preserve">แอลแองเจล ครีมนวดผมอาร์แกนิค ช่วยรักษาสีผมพร้อมฟื้นฟูสภาพเส้นผม และมีส่วนผสมของน้ำมันเมล็ดอาร์แกน ปริมาณ 268 มล.  ด้วยสารสะกัดจากน้ำมัน เมล็ดอาร์แกนบริสุทธิ์ ช่วยฟื้นฟูสภาพเส้นผมที่แห้งเสีย และผมทำสีให้กลับมาชุ่มชื่น มีสุขภาพดี คุณสมบัติ: ✔︎ สารสะกัดจากอาร์แกนออย ✔︎ สูตรสำหรับผมทำสีและแห้งเสีย ✔︎ ช่วยรักษาสีผมพร้อมฟื้นฟูสภาพเส้นผม ✔︎ ทำความสะอาดเส้นผมอย่างอ่อนโยน 
 วิธีใช้: ชโลมแชมพูลงบนเส้นผมขณะเปียก นวดจนเกิดฟอง แล้วล้างออกด้วยน้ำสะอาด</t>
  </si>
  <si>
    <t>https://youtu.be/YrzHA6zgJeU</t>
  </si>
  <si>
    <t>ANG-606+ANG-208</t>
  </si>
  <si>
    <t>แอลแองเจล แชมพูสระผมอาร์แกนิคและแอลแองเจล แชมพูสระผมอาร์แกนิค</t>
  </si>
  <si>
    <t>แอลแองเจล ครีมนวดผมอาร์แกนิค ช่วยรักษาสีผมพร้อมฟื้นฟูสภาพเส้นผม และมีส่วนผสมของน้ำมันเมล็ดอาร์แกน ปริมาณ 268 มล. และ แอลแองเจล ครีมนวดผมอาร์แกนิค ฟื้นฟูสภาพเส้นผมที่แห้งเสีย และมีส่วนผสมของน้ำมันเมล็ดอาร์แกน ปริมาณ 268 มล.</t>
  </si>
  <si>
    <t>ANG-607+608 หมด</t>
  </si>
  <si>
    <t>แอลแองเจลชุดเพอร์เฟคเคราตินและแอลแองเจลแชมพู+ครีมนวดเคราติน</t>
  </si>
  <si>
    <t xml:space="preserve">แอลแองเจลชุดเพอร์เฟคเคราติน คุณสมบัติ 1. ฟื้นฟูสภาพเส้นผมที่แห้งเสีย ลดการชี้ฟู 2.สูตรเข้มข้น ปริมาณ 258 มล. x 2 และ แอลแองเจล แชมพูและครีมนวดผมเคราติน คุณสมบัติ ใช้ต่อเนื่องเพื่อรักษาเคราตินในเส้นผม ปริมาณ 258มล.x2 "607Xคุณสมบัติ: 
  แชมพูและทรีทเม้นท์เคราติน เป็นสารอาหารที่ช่วยบำรุงและเข้ามาสร้างเคราตินให้แก่เส้นผม 
 ช่วยให้เส้นผมมีความแข็งแรงเพิ่มยิ่งขึ้น 
  ✔︎ ฟื้นฟูสภาพเส้นผมแห้งเสียช่วยลดความหยิก หยักศกของเส้นผม
 ✔︎ ช่วยให้เส้นผมเรียบตรง 
 ✔︎ ลดการชี้ฟู เส้นผมนุ่ม เงางาม มีน้ำหนัก 
 ✔︎ และยังช่วยให้การจัดแต่งทรงผมง่ายยิ่งขึ้น 
 ✔︎ ให้ผลลัพธ์ยาวนานประมาณ 3 เดือน 
 วิธีใช้: สระผมด้วยแชมพู (1) ล้างออกและเป่าให้แห้ง แบ่งผมออกเป็นส่วน ใชแปรงทาทรีทเม้นท์ 
 (2) โดยเว้นช่วงโคนของเส้นผมทาจนถึงปลายผม ทิ้งไว้ประมาณ 20 นาที เป่าผมให้แห้งและ
 หนีบด้วยเครื่องหนีบผม  (608) แอลแองเจล แชมพูและครีมนวดผมเคราติน บำรุง กล่องขาว แชมพูและคอนดิชันเนอร์ บำรุงเส้นผมหลังการทำเคราตินทรีทเม้นท์ให้เส้นผมอ่อนนุ่ม เงางาม มีน้ำหนัก เส้นผมตรง เรียบลื่น หวีง่ายไม่พันกัน
  *ควรใช้เป็นประจำอย่างต่อเนื่องเพื่อช่วยรักษาผลของการทำเคราตินทรีทเม้นท์ให้ยาวนานยิ่งขึ้น 
 วิธีการใช้: ใช้สมูธเดลี่แชมพู (3) สระผมแล้วล้างออก จากนั้นใช้คอนดิชั่นเนอร์ (4) นวดบำรุงให้ทั่วศรีษะ ทิ้งไว้ 5-10 นาที แล้วล้างออกให้สะอาด"
</t>
  </si>
  <si>
    <t>ผลิตภัณฑ์บำรุงผมเส้นผม+ผลิตภัณฑ์เคมี</t>
  </si>
  <si>
    <t>8858890716073 8858890716080</t>
  </si>
  <si>
    <t>https://youtu.be/dk3_Bdxxnw4</t>
  </si>
  <si>
    <t>แอลแองเจล แชมพูและครีมนวดผมเคราติน</t>
  </si>
  <si>
    <t xml:space="preserve">แอลแองเจล แชมพูและครีมนวดผมเคราติน คุณสมบัติ ใช้ต่อเนื่องเพื่อรักษาเคราตินในเส้นผม ปริมาณ 258มล.x2 “เคราติน” หากคุณไม่อยากให้เส้นผมของตนเองแตกแห้ง ชี้ฟูไม่เป็นทรง หรือมีผิวแห้ง แตก หรือลอกจนเป็นขุยและมีเล็บที่ไม่แข็งแรง คุณจึงควรหาสารอาหารมาบำรุงและสร้างเคราตินให้แก่เส้นผม และยังมีโปรตีนที่แป็นสารอาหารที่เส้นผมต้องการที่สุด ยังช่วยให้เส้นผมมีความแข็งแรงเพิ่มยิ่งขึ้น 
   คุณสมบัติ: แชมพูและคอนดิชันเนอร์ บำรุงเส้นผมหลังการทำเคราตินทรีทเม้นท์ให้เส้นผมอ่อนนุ่ม เงางาม มีน้ำหนัก เส้นผมตรง เรียบลื่น หวีง่ายไม่พันกัน
 *ควรใช้เป็นประจำอย่างต่อเนื่องเพื่อช่วยรักษาผลของการทำเคราตินทรีทเม้นท์ให้ยาวนานยิ่งขึ้น 
 วิธีการใช้: ใช้สมูธเดลี่แชมพู (3) สระผมแล้วล้างออก จากนั้นใช้คอนดิชั่นเนอร์ (4) นวดบำรุงให้ทั่วศรีษะ ทิ้งไว้ 5-10 นาที แล้วล้างออกให้สะอาด</t>
  </si>
  <si>
    <t>https://youtu.be/wFA_8h15J74</t>
  </si>
  <si>
    <t>แอลแองเจล สเปรย์เคราตินกันความร้อน</t>
  </si>
  <si>
    <t xml:space="preserve">แอลแองเจล สเปรย์เคราตินกันความร้อน ป้องกันความร้อนจากอุปกรณ์ทำผมไฟฟ้า และเติมเคราตินให้เส้นผม ปริมาณ 175 มล. คุณสมบัติ: ✔︎ สเปรย์ป้องกันความร้อน ✔︎ บำรุงเส้นผมก่อนและหลังทำเคราติน ✔︎ ช่วยปกป้องเส้นผมจากการไดร์ผม, หนีบผม, ม้วนผม, ดัดสปาเพิร์ม  ✔︎ ให้เส้นผมชุ่มชื่น ไม่แห้งกรอบและแตกปลาย ✔︎ ช่วยบำรุงเส้นผมให้มีสุขภาพดีและคงผลของการทำเคราตินนานยิ่งขึ่น 
   วิธีการใช้: เขย่าขวดก่อนการใช้งานจากนั้นฉีดพรมให้ทั่วเส้นผมก่อนการทำเคราตินและก่อนทำการจัดแต่งทรงผมด้วยอุปกรณ์ไฟฟ้าต่าง ๆ</t>
  </si>
  <si>
    <t>แอลแองเจลซิลเวอร์ แชมพู</t>
  </si>
  <si>
    <t xml:space="preserve">Silver shampoo แอลแองเจลซิลเวอร์ ปริมาณ 250 ml.
 คุณสมบัติ: 
  แชมพูหักล้างเม็ดสีเหลืองช่วยลดโทนสีเหลืองบนเส้นผม ทำความสะอาดเส้นผมอย่างอ่อนโยน
 ให้สีผมของคุณยังคงสีสวยเป็นประกาย สีผมติดทนยาวนานยิ่งขึ้น 
 วิธีการใช้: 
 ชโลมแชมพูลงบนเส้นผมที่เปียกนวดเบาๆจนเกิดฟองทั่วศรีษะ ล้างออกให้สะอาด
 Warning: ระวังอย่าให้เข้าตา</t>
  </si>
  <si>
    <t>https://www.youtube.com/watch?v=Ru7SFlTtiUk&amp;list=PLGjfh_21bFBf6ETntZfATucDTeL7dj-70</t>
  </si>
  <si>
    <t>แอลแองเจลชุดสมาร์เคราติน</t>
  </si>
  <si>
    <t xml:space="preserve">แอลแองเจลชุุดสมาร์เคราติน คุณสมบัติ 1. ฟื้นฟูสภาพเส้นผมที่แห้งเสีย ลดการชี้ฟู 2. กลิ่นอ่อนโยน ปริมาณ 258 มล.x2 "คุณสมบัติ: แชมพูและทรีทเม้นท์เคราติน คุณสมบัติฟื้นฟูสภาพเส้นผมที่แห้งเสียและช่วยลดความหยิก และหยักศกของเส้นผม ช่วยให้ผมเรียบตรง ลดการชี้ฟู เส้นผมนุ่ม เงางาม มีน้ำหนัก ยังช่วยให้จัดแต่งทรงผมได้ง่ายยิ่งขึ้น และกลิ่นที่อ่อนโยน ให้ผลลัพธ์ยาวนานประมาณ 3 เดือน (ผลิตภัณฑ์ดูแลหลังการทำมีผลช่วยให้ผลลัพธ์อยู่นานยิ่งขึ้น)
 วิธีใช้: สระผมด้วยแชมพู (1) ล้างออกและเป่าให้แห้ง แบ่งผมออกเป็นส่วนๆ ใช้แปรงทาทรีทเม้นท์ (2) โดยเว้นช่วงโคนของเส้นผมทาจนถึงปลายผม ทิ้งไว้ประมาณ 20 นาที เป่าผมให้แห้งและหนีบด้วยเครื่องหนีบผมโดยใช้อุณภูมิไม่เกิน 200 องศา หรือขึ้นอยู่กับสภาพเส้นผม แล้วจัดทรงตามต้องการ"</t>
  </si>
  <si>
    <t>https://youtu.be/oGJRrKpaxD0</t>
  </si>
  <si>
    <t>ANG-613+608</t>
  </si>
  <si>
    <t>แอลแองเจลชุุดสมาร์เคราตินและแอลแองเจลแชมพู+ครีมนวดเคราติน</t>
  </si>
  <si>
    <t xml:space="preserve">แอลแองเจลชุุดสมาร์เคราติน คุณสมบัติ 1. ฟื้นฟูสภาพเส้นผมที่แห้งเสีย ลดการชี้ฟู 2. กลิ่นอ่อนโยน ปริมาณ 258 มล.x2 และ แอลแองเจล แชมพูและครีมนวดผมเคราติน คุณสมบัติ ใช้ต่อเนื่องเพื่อรักษาเคราตินในเส้นผม ปริมาณ 258มล.x2 "“เคราติน” หากคุณไม่อยากให้เส้นผมของตนเองแตกแห้ง ชี้ฟูไม่เป็นทรง หรือมีผิวแห้ง แตก หรือลอกจนเป็นขุยและมีเล็บที่ไม่แข็งแรง คุณจึงควรหาสารอาหารมาบำรุงและสร้างเคราตินให้แก่เส้นผม และยังมีโปรตีนที่แป็นสารอาหารที่เส้นผมต้องการที่สุด ยังช่วยให้เส้นผมมีความแข็งแรงเพิ่มยิ่งขึ้น (613)Details: แชมพูและทรีทเม้นท์เคราติน คุณสมบัติฟื้นฟูสภาพเส้นผมที่แห้งเสียและช่วยลดความหยิก และหยักศกของเส้นผม ช่วยให้ผมเรียบตรง ลดการชี้ฟู เส้นผมนุ่ม เงางาม มีน้ำหนัก ยังช่วยให้จัดแต่งทรงผมได้ง่ายยิ่งขึ้น และกลิ่นที่อ่อนโยน ให้ผลลัพธ์ยาวนานประมาณ 3 เดือน (ผลิตภัณฑ์ดูแลหลังการทำมีผลช่วยให้ผลลัพธ์อยู่นานยิ่งขึ้น)
 วิธีการใช้: สระผมด้วยแชมพู (1) ล้างออกและเป่าให้แห้ง แบ่งผมออกเป็นส่วนๆ ใช้แปรงทาทรีทเม้นท์ (2) โดยเว้นช่วงโคนของเส้นผมทาจนถึงปลายผม ทิ้งไว้ประมาณ 20 นาที เป่าผมให้แห้งและหนีบด้วยเครื่องหนีบผมโดยใช้อุณภูมิไม่เกิน 200 องศา แล้วจัดทรงตามต้องการ (608) แอลแองเจล แชมพูและครีมนวดผมเคราติน (บำรุง)  แชมพูและคอนดิชันเนอร์ บำรุงเส้นผมหลังการทำเคราตินทรีทเม้นท์ให้เส้นผมอ่อนนุ่ม เงางาม มีน้ำหนัก เส้นผมตรง เรียบลื่น หวีง่ายไม่พันกัน
 *ควรใช้เป็นประจำอย่างต่อเนื่องเพื่อช่วยรักษาผลของการทำเคราตินทรีทเม้นท์ให้ยาวนานยิ่งขึ้น 
 วิธีการใช้: ใช้สมูธเดลี่แชมพู (3) สระผมแล้วล้างออก จากนั้นใช้คอนดิชั่นเนอร์ (4) นวดบำรุงให้ทั่วศรีษะ ทิ้งไว้ 5-10 นาที แล้วล้างออกให้สะอาด"
</t>
  </si>
  <si>
    <t>8858890716134 8858890716080</t>
  </si>
  <si>
    <t>L'ANGEL ผ้าคลุมซอยสำหรับซาลอน รุ่น  B-012</t>
  </si>
  <si>
    <t xml:space="preserve">ผ้าคลุมซอยสำหรับซาลอน
            พื้นเขียวขนาด 120x140ซม. 
คุณสมบัติ:                                                                                                                                
✔︎ ยืนยันราคาถูกที่สุด                                                
✔︎ วัสดุใช้เนื้อผ้าระบายความร้อนได้ดี                         
✔︎ สกรีนชื่อแบรนด์ L'ANGEL LUXURY                          
✔︎ ด้านหลังเป็นตะขอเกี่ยวสามารถปรับสายได้
*เหมาะสำหรับร้านบาร์เบอร์และซาลอน</t>
  </si>
  <si>
    <t>120x140 ซม.</t>
  </si>
  <si>
    <t>BARBER BRAIN Hair Trimmer บาร์เบอร์เบรนปัตตาเลี่ยนกันขอบ แกะลาย T-Blade ไร้สาย รุ่น BB-100</t>
  </si>
  <si>
    <t xml:space="preserve">🏷 ทางร้านลับคมให้ฟรีไม่เสียค่าใช้จ่ายเพิ่ม
       ✅ไม่ลับคมใส่รองฟันได้✅
       ❌ลับคมใส่รองฟันไม่ได้❌
คณสมบัติ: 
       ปัตตาเลี่ยนตัดผมไร้สาย สามารถชาร์จไฟได้ ตัวเครื่องมีขนาดเล็กกระทัดรัดน้ำหนักเบา 
ออกแบบมาเพื่อให้จับถนัดมือ และตัดแต่งทรงผมอย่างคล่องตัว ใช้งานได้โดยไม่ต้องเสียบปลั๊ก   
✔︎ ปัตตาเลี่ยนใบมีดคมและเสียงเครื่องเบา                      
✔︎ สามารถตัดผมและกันจอนผม                               
✔︎ เหมาะกับผมที่มีลักษณะเป็นขนอ่อนจะใช้ได้ดี                
✔︎ ใช้สำหรับตัดแต่งทรงผม                                            
✔︎ ระยะเวลาการใช้งาน 60 นาที
วิธีใช้: 
       ปัตตาเลี่ยนตัวเล็ก เหมาะสำหรับ การใช้กันขอบ แกะลาย 
เก็บงาน แต่งหนวดเครา เพราะขนาดฟันเล็ก เข้าซอกมุมได้ง่าย
การชาร์จ:
ระยะเวลาชาร์จ 1.30 - 2 ชม
❤️ไฟสีแดง=กำลังชาร์จ ครบระยะเวลาใช้งานได้เลย
❤️เต็ม=ไม่เปลี่ยนสี
❌ข้อควรระวัง ❌
ไม่ควรนำสายชาร์จรุ่นอื่นมาเสียบร่วมกัน 
จะทำให้เกิดอาการติดๆดับๆ หรือทำให้แบตเสื่อมสภาพ</t>
  </si>
  <si>
    <t>BARBER BRAIN</t>
  </si>
  <si>
    <t>https://www.youtube.com/watch?v=eUqhBNh-dno</t>
  </si>
  <si>
    <t>BARBER BRAIN ฟันรองปัตตาเลี่ยน เบอร์ 0.5 และ 1.5 รุ่น BB-103</t>
  </si>
  <si>
    <t xml:space="preserve">คุณสมบัติ : 
✔︎ เบอร์ 0.5 ความหนา 1.5 mm
✔︎ เบอร์ 1.5 ความหนา 4.5 mm
✔︎ คลิปเหล็ก ล็อกแน่น คุณภาพพรีเมี่ยม
✔︎ งานวินเทจ ไล่เฟด</t>
  </si>
  <si>
    <t>เบอร์ 0.5 หนา 5 , 1.5 หนา 4.6</t>
  </si>
  <si>
    <t>https://www.youtube.com/watch?v=fZYKa8gPbDk&amp;t=57s</t>
  </si>
  <si>
    <t xml:space="preserve">รองฟันแม่เหล็กบาร์เบอร์เบรน รหัส BB-104 </t>
  </si>
  <si>
    <t xml:space="preserve">         รองฟันชนิดแม่เหล็ก Barber Brain Magnetic Cutting Guide 
สุดคุ้มรองฟันปัตตาเลี่ยน มีทั้งหมด 5 เบอร์ดังนี้
         เบอร์ 0 - 1/16" ขนาด 1.5 mm
         เบอร์ 1 - 1/8" ขนาด 3 mm
         เบอร์ 2 - 1/4" ขนาด 6 mm
         เบอร์ 3 - 3/8" ขนาด 10 mm
         เบอร์ 4 - 1/2" ขนาด 13 mm                                                      
        วิธีใช้:  รองฟัน เปรียบเสมือน หวีใหญ่-เล็ก สามารถใช้แทนหวีได้เลย 
แล้วแต่ความถนัดออกแบบมาให้มีน้ำหนักเบา ใช้งานง่ายและถอดประกอบง่าย</t>
  </si>
  <si>
    <t>เบอร์ 0-4 ขนาด 1.5-13 mm.</t>
  </si>
  <si>
    <r>
      <rPr>
        <u/>
        <color rgb="FF1155CC"/>
        <sz val="8"/>
        <rFont val="Arial"/>
      </rPr>
      <t>https://www.youtube.com/watch?v=VA-KoIpHatQ&amp;list=PLX10pjRah52OzPpR1qgFtJ8-5xCenxqmm&amp;index=19</t>
    </r>
    <r>
      <rPr>
        <color rgb="FF000000"/>
        <sz val="8"/>
        <rFont val="Arial"/>
      </rPr>
      <t>9</t>
    </r>
  </si>
  <si>
    <t>BB-106/BL</t>
  </si>
  <si>
    <t>หวีรองซอย แบบเดี่ยว</t>
  </si>
  <si>
    <t>หวีรองซอย ขนาด ยาว 20ซม. กว้าง 3.7ซม.สีฟ้า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</si>
  <si>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อุปกรณ์ทั่วไป</t>
  </si>
  <si>
    <t>กว้าง 3.7 ซม. ยาว 20 ซม.</t>
  </si>
  <si>
    <t>BB-106/BR</t>
  </si>
  <si>
    <t>หวีรองซอย ขนาด ยาว 20ซม. กว้าง 3.7ซม. สีน้ำตาล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</si>
  <si>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BB-106/G</t>
  </si>
  <si>
    <t>หวีรองซอย ขนาด ยาว 20ซม. กว้าง 3.7ซม. สีเขียวมะนาว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</si>
  <si>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BB-106/O</t>
  </si>
  <si>
    <t>หวีรองซอย ขนาด ยาว 20ซม. กว้าง 3.7ซม. สีส้ม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</si>
  <si>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BB-106/R</t>
  </si>
  <si>
    <t>หวีรองซอย ขนาด ยาว 20ซม. กว้าง 3.7ซม. สีแดง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</si>
  <si>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BB-106/Y</t>
  </si>
  <si>
    <t>หวีรองซอย ขนาด ยาว 20ซม. กว้าง 3.7ซม. สีเหลือง คุณสมบัติ:  ✔︎ หวีรองซอยสามารถใช้แบ่งผม ✔︎ รองผมได้ ✔︎ ขนาดพอดีมือ ใช้งานง่าย ถนัดมือ   ✔︎ ช่วยให้การตัดผมง่ายยิ่งขึ้น  วิธีใช้ : ใช้สำหรับรองตัดบัตตาเลี่ยน หวีรองทรง</t>
  </si>
  <si>
    <t>BB-106-SET</t>
  </si>
  <si>
    <t>หวีรองซอย แบบเซ็ต</t>
  </si>
  <si>
    <t xml:space="preserve">Barber Brain Comb Box Set 6 in 1 
หวีรองซอยผมไซด์ใหญ่ 6 ชิ้น 6 สี
มี6สี: แดง,เหลือง,ส้ม,ฟ้าคราม,เขียวมะนาว,น้ำตาล
ขนาด ยาว 20ซม. กว้าง 3.7ซม.
-----------* สุดคุ้ม ซื้อยกเซต save ถึง 140.- บาท *------------
คุณสมบัติ:                                                               
✔︎ เซทหวีรองซอยสามารถใช้แบ่งผม                                     
✔︎ รองผมได้                                                                   
✔︎ ขนาดพอดีมือ ใช้งานง่าย ถนัดมือ                                            
วิธีใช้ : ใช้สำหรับรองตัดบัตตาเลี่ยน หวีรองทรง 
*เหมาะสำมือใหม่และมืออาชีพ </t>
  </si>
  <si>
    <t>T-Blade Trimmer 2 ปัตตาเลี่ยนกันขอบของ Barber Brain รุ่น 2 BB-107</t>
  </si>
  <si>
    <t xml:space="preserve">ปัตตาเลี่ยนไซด์เล็กที่ประสิทธิภาพใหญ่เกินตัว!!!! 
ช่วยทำงานกันขอบผม (hair line) ออกมาแบบมีเอกลักษณ์และโดดเด่น 
.................................. สินค้ารับประกัน 1 ปี (ใบรับประกันมีทุกกล่อง)  ..................................
รายละเอียดสินค้า
- Perfect design รูปแบบกระชับมือ เข้ากับสรีระ anatomy  
- น้ำหนักเบา 130 กรัม 
- เสียงเบา 50/60Hz
- ประสิทธิภาพสูง 3.7 V DC Ni-mh 600 mAh
- มีแสงไฟแจ้งการทำงาน และหากชาร์จเต็มไฟจะเปลี่ยนเป็นสีเขียว
- ใช้เวลาในการซาร์จ 5hr.
- ระยะเวลาในการใช้ : 1-2hr ชั่วโมง
❤️ไฟขณะชาร์จ = สีแดง
💚ชาร์จเต็ม = สีเขียว
ในกล่องประกอบไปด้วย
      สายชาร์จ 1  ชิ้น
      ฟันรองปัตตาเลี่ยน (3 ชิ้น) 1mm 2mm 3mm
      แปรงปัดทำความสะอาด และน้ำมัน
คุณสมบัติ 
✔︎ ด้วยดีไซน์และเทคโนโลยีที่ทันสมัย ใช้งานง่าย 
✔︎ ตัวเล็ก พกพาสะดวก 
✔︎ ตัดลื่น ไม่กินผม 
✔︎ </t>
  </si>
  <si>
    <t>130 g</t>
  </si>
  <si>
    <t>https://www.youtube.com/watch?v=znEck_Vf52M&amp;list=PLX10pjRah52OzPpR1qgFtJ8-5xCenxqmm&amp;index=42</t>
  </si>
  <si>
    <t>BARBER BRAIN Black Beast ll ปัตตาเลี่ยนไร้สายสีดำแบล็คท์ บีซท์ รุ่น 2 BB-108</t>
  </si>
  <si>
    <t xml:space="preserve">บาร์เบอร์เบรน ปัตตาเลี่ยนไฟฟ้าไร้สาย เดอะแบล็คท์ บีซท์ รุ่น2 
คุณสมบัติ:                                                             
• กำลังไฟ 220V  50Hz 6w                                            
• ใบมีดฟันคู่ micro teeth blade หรือที่ช่างผม เรียกว่าฟันเฟด                                                                     
• ปรับระดับฟันได้ถึง 4 ขั้น ความเร็วรอบมอเตอร์ไฟฟ้า6,000 mAh แบตลิเที่ยม 2,600 mAh                                         
• เมื่อชาร์จไฟเต็มสามรถเปิดเครื่องติดต่อได้นาน 2:30 ชม.                                
• ในกล่องประกอบไปด้วย สายชาร์จ 1 ชิ้น ฟันรองปัตตาเลี่ยน (6ชิ้น)
 0.5 mm, 1.5mm , 3mm , 6mm , 9mm , 12mm  หวีรองซอยผม (คละสี) 1ชิ้น                                                                    
ในกล่องประกอบไปด้วย
สายชาร์จ 1  ชิ้น
ฟันรองปัตตาเลี่ยน (6 ชิ้น) 0.5mm, 1.5mm, 3mm, 6mm, 9mm,12mm
หวีซอยผม (คละสี) 1 ชิ้น
———————————
ขอแนะนำการใช้งานปัตตาเลี่ยน
-ห้ามทำปัตตาเลี่ยนตก
-ในกรณีที่ปัตตาเลี่ยนมีปัญหา ห้ามเปิดหรือแกะปัตตาเลี่ยนเอง
-ควรหยอดน้ำมันที่ฟันปัตตาเลี่ยนอย่างสม่ำเสมอ
-ทำความสะอาดปัตตาเลี่ยนทุกครั้งทั้งก่อนและหลังการใช้งาน
-เมื่อใช้งานไปสักระยะ ผู้ใช้งานควรส่งให้ช่างลับคม ลับฟันปัตตาเลี่ยนและเรียงฟันใหม่อย่างสม่ำเสมอ
———————————
บริการหลังการขาย
บริษัทฯรับประกันสินค้าในกรณี
-สินค้ามีประกัน 1 ปี
-สินค้าบกพร่องเนื่องจากความบ่งพร่องของสินค้า เช่นมอเตอร์ไม่ทำงาน ความผิดพลาดของระบบแผงวงจร ฯลฯ
วิธีใช้:
• เมื่อชาร์จไฟเต็มสามรถเปิดเครื่องติดต่อได้นาน 2:30 ชม.
• ใช้เวลาในการชาร์จไฟ 6 ชั่วโมง
• เหมาะสำหรับการตัดและไล่เฟด
สีไฟของตัวเครื่อง
สีเขียว = เปิดใช้งานเครื่อง และสัญญาณเมื่อชาร์จแบตเต็ม
สีแดง = แบตเตอรี่ใกล้หมด และแสงขณะชาร์จไฟ
❌ข้อควรระวัง ไม่ควรนำสายชาร์จรุ่นอื่นมาเสียบร่วมกัน จะทำให้เกิดอาการติดๆดับๆ หรือทำให้แบตเสื่อมสภาพ❌
FB: Barber Brain Pomade Official
Line@: @BarBerBrain
Youtube: BarBerBrainTV</t>
  </si>
  <si>
    <t>https://youtu.be/WavBKNZadq4</t>
  </si>
  <si>
    <t>บาร์เบอร์เบรน เครื่องโกนหนวด ไร้สาย shaver trimmer รุ่น II BB-109</t>
  </si>
  <si>
    <t xml:space="preserve">*********	มีการรับประกันจากผู้ขาย 1 ปี  *********	
 คุณสมบัติ :
✔︎ ใช้ได้ทั้งโกนหนวดและโกนเครา 
✔︎ น้ำหนักเบา เสียงเบา
✔︎ ขนาดเล็ก พกพาง่าย
รายละเอียดสินค้า :
แรงดันไฟฟ้า : 220-240V
ไฟฟ้ากระแสสลับ : 50-60Hz
พลังงานวัตน์ : 3W
การชาร์จ : Port Adapter หัวชาร์จไร้สาย
ตะแกรงใบมีดแบบรังผึ้ง
รายการของของแถมมีดังนี้
1.หัวใบมีดสำรอง 2. ตะแกรงรังผึ้งสำรอง3. แปรงปัดทำความสะอาด 4. หัวชาร์จ
ชาร์จไฟ 3-4 ชั่วโมง 
❤️ไฟสีแดง=สัญญาณบอกว่ากำลังชาร์จไฟ 
เมื่อชาร์จครบเวลาแล้วไฟจะไม่เปลี่ยนสี สามารถนำมาใช้ได้เลยครับ
❌ข้อควรระวัง ไม่ควรนำสายชาร์จรุ่นอื่นมาเสียบร่วมกัน จะทำให้เกิดอาการติดๆดับๆ หรือทำให้แบตเสื่อมสภาพ❌</t>
  </si>
  <si>
    <t>https://www.youtube.com/watch?v=nzHadzcgPZE&amp;list=PLX10pjRah52OzPpR1qgFtJ8-5xCenxqmm&amp;index=47</t>
  </si>
  <si>
    <t>ปัตตาเลี่ยนไร้สาย LEO (เลโอ) Barber Brain Professional Hair Clipper รหัส BB-110</t>
  </si>
  <si>
    <t xml:space="preserve">บาร์เบอร์เบรนภูมิใจนำเสนอปัตตาเลี่ยน LEO (เลโอ) ที่ได้รับแรงบันดาลใจจากแสงเหนือสีเขียว Aurora Borealis
ฟัน Taper ฟันที่เน้นเปิดทรงผม ขั้นทรงผม ทำงาน Fade ได้แต่ไม่ดีเท่า Fade ที่มีความบางกว่า
แต่เมื่อนำฟัน Fade มาขึ้นทรงก็จประสิทธิภาพไม่เทียบเท่าฟัน Taper
———————————
คุณสมบัติ
ปรับฟันได้ 4 ระดับ
น้ำหนัก 300 กรัม
เนื้อเหล็ก 440C
ปัตตาเลี่ยน Lithium 2600 mAh
10 W 3.7 V มอเตอร์ DC 100-240V 50/60HZ
ความเร็ว 6000 RPM
ชาร์จ 2 ชั่วโมง ใช้งาน 240 นาที
ตอนเปิดใช้งาน = ไม่มีไฟ
💙ตอนชาร์จ = ไฟสีฟ้า
💙ชาร์จเต็ม = ไฟจะตัดดับ
———————————
ในกล่องประกอบไปด้วย
สายชาร์จ 1 ชิ้น
ฟันรองปัตตาเลี่ยน (6 ชิ้น) 0.5mm, 1.5mm, 3mm, 6mm, 9mm,12mm
หวีซอยผม (คละสี) 1 ชิ้น
น้ำมันแปรงปัด
———————————
ขอแนะนำการใช้งานปัตตาเลี่ยน
-ห้ามทำปัตตาเลี่ยนตก
-ในกรณีที่ปัตตาเลี่ยนมีปัญหา ห้ามเปิดหรือแกะปัตตาเลี่ยนเอง
-ควรหยอดน้ำมันที่ฟันปัตตาเลี่ยนอย่างสม่ำเสมอ
-ทำความสะอาดปัตตาเลี่ยนทุกครั้งทั้งก่อนและหลังการใช้งาน
-เมื่อใช้งานไปสักระยะ ผู้ใช้งานควรส่งให้ช่างลับคม ลับฟันปัตตาเลี่ยนและเรียงฟันใหม่อย่างสม่ำเสมอ
———————————
บริการหลังการขาย
บริษัทฯรับประกันสินค้าในกรณี
-สินค้ามีประกัน 1 ปี
-สินค้าบกพร่องเนื่องจากความบ่งพร่องของสินค้า เช่นมอเตอร์ไม่ทำงาน ความผิดพลาดของระบบแผงวงจร ฯลฯ
บริษัทฯไม่รับประกันสินค้าในกรณี
-อุปกรณ์สินค้าหักชำรุดเนื่องจากการใช้งานของผู้ใช้เอง เช่น ปัตตาเลี่ยนตก แกนเปิดปิดหัก แกนปรับฟันหัก แกนชาร์จไฟชำรุด
-เมื่อปัตตาเลี่ยนถูกเปิดโดยผู้ใช้งาน ถือว่าเป็นการสิ้นสุดประกัน
-ประกันไม่ครอบคลุมแบตลิเที่ยม
———————————
❌ข้อควรระวัง ไม่ควรนำสายชาร์จรุ่นอื่นมาเสียบร่วมกัน จะทำให้เกิดอาการติดๆดับๆ หรือทำให้แบตเสื่อมสภาพ❌</t>
  </si>
  <si>
    <t>https://www.youtube.com/watch?v=2hxvST0rxek&amp;list=PLX10pjRah52OzPpR1qgFtJ8-5xCenxqmm&amp;index=544</t>
  </si>
  <si>
    <t>บาร์เบอร์เบรนโพเมด</t>
  </si>
  <si>
    <t xml:space="preserve">คุณสมบัติ ผลิตภัณฑ์จัดแต่งทรงผม สำหรับผู้ที่ชื่นชอบทรงลุคเนี๊ยบ เท่ๆหรือทรงผมแนวย้อมยุควินเทจโดยเฉพาะให้ทรงผมอยู่ทรงทั้งวัน พร้อมให้ความเงาสูง ช่วยให้คุณจัดแต่งทรงผมได้หลากหลายสไตล์ ล้างทำความสะอาดง่ายไม่เหนียวเหนอะหนะเพราะ มีส่วนผสมลักษณะ (Water-Based Pomade) ขนาด 80 กรัม "คุณสมบัติ
 ✔︎ ใช้สำหรับจัดแต่งทรงผมชาย แนววินเทจ หวีเรียบ ✔︎ อยู่ทรงทั้งวัน และปรับแต่งทรงผมได้ตลอดทั้งวัน ✔︎ หล่อ ดูดี มีชีวิตชีวา ✔︎ เนื้อครีมโพเมดเป็นเนื้อลิควิดทำให้ง่ายต่อการเกลี่ยจัดแต่งทรงผม วิธีใช้: สามารถทำได้ด้วยตนเอง เพียงแค่ควักเนื้อครีม ปริมาณ 1 ข้อนิ้ว แล้วทาลงบนบริเวณที่ต้องการจะจัดแต่งเส้นผมให้อยู่ทรง Warning*สำหรับใช้กับเส้นผมเท่านั้น โปรดเก็บไว้ในที่ร่มและพ้นมือเด็ก ห้ามใช้กับเด็กที่มีอายุต่ำกว่า 3 ขวบ และระวังอย่าให้เข้าตา"</t>
  </si>
  <si>
    <t>80 กรัม</t>
  </si>
  <si>
    <t>https://www.youtube.com/watch?v=SYGOiUwmsdI</t>
  </si>
  <si>
    <t>บาร์เบอร์เบรนโพเมด เฟิร์มโฮลด์</t>
  </si>
  <si>
    <t>บาร์เบอร์เบรนกลู เจล</t>
  </si>
  <si>
    <t xml:space="preserve">เจลจัดแต่งทรงผม สำหรับผู้ที่ชื่นชอบทรงผมลุคเนี๊ยบ เท่ๆ หรือทรงผมแนวย้อนยุควินเทจโดยเฉพาะ ให้ทรงผมอยู่ทรงทั้งวันพร้อมให้ความเงาสูง ช่วยให้คุณจัดแต่งทรงผมได้หลากหลายสไตล์ ล้างทำความสะอาดง่ายไม่เหนียวเหนอะหนะ และไม่ทำให้เกิดขุย ขนาด 80 กรัม "คุณสมบัติ
 ✔︎ ใช้สำหรับจัดแต่งทรงผมชาย ได้หลายทางหรือแม้แต่หวีเรียบ ✔︎ อยู่ทรงทั้งวัน และปรับแต่งทรงผมได้ตลอดทั้งวัน ✔︎ หล่อ ดูดี มีชีวิตชีวา ✔︎ เนื้อเจลเป็นเนื้อแบบกลูเจลทำให้ง่ายต่อการเกลี่ยจัดแต่งทรงผมแลุอยู่ติดทนยาวนานยิ่งขึ้น วิธีใช้: สามารถทำได้ด้วยตนเอง เพียงแค่ควักเนื้อครีม ปริมาณ 1 ข้อนิ้ว แล้วทาลงบนบริเวณที่ต้องการจะจัดแต่งเส้นผมให้อยู่ทรง  Warning*สำหรับใช้กับเส้นผมเท่านั้น โปรดเก็บไว้ในที่ร่มและพ้นมือเด็ก ห้ามใช้กับเด็กที่มีอายุต่ำกว่า 3 ขวบ และระวังอย่าให้เข้าตา"</t>
  </si>
  <si>
    <t>บาร์เบอร์เบรนซุปเปอร์ แฮร์ แว๊กซ์</t>
  </si>
  <si>
    <t xml:space="preserve">แว๊กซ์จัดแต่งทรงผม สำหรับผู้ที่ชื่นชอบทรงผมลุคเซอๆ เท่ๆ หรือทรงผมแนวย้อนยุควินเทจโดยเฉพาะ ให้ทรงผมอยู่ทรงทั้งวันดูเป็นธรรมชาติ ช่วยให้คุณจัดแต่งทรงผมได้หลากหลายสไตล์ ล้างทำความสะอาดง่ายไม่เหนียวเหนอะหนะ และไม่ทำให้เกิดขุย ขนาด 80 กรัม "คุณสมบัติ
 ✔︎ ใช้สำหรับจัดแต่งทรงผมชาย ได้หลายทางหรือแม้แต่หวีเรียบ ✔︎ อยู่ทรงทั้งวัน และปรับแต่งทรงผมได้ตลอดทั้งวัน ✔︎ หล่อ ดูดี มีชีวิตชีวา ✔︎ เนื้อเแว๊กซ์ทำให้ง่ายต่อการเกลี่ยจัดแต่งทรงผมแลุอยู่ติดทนยาวนานยิ่งขึ้น วิธีใช้: สามารถทำได้ด้วยตนเอง เพียงแค่ควักเนื้อครีม ปริมาณ 1 ข้อนิ้ว แล้วทาลงบนบริเวณที่ต้องการจะจัดแต่งเส้นผมให้อยู่ทรง  Warning*สำหรับใช้กับเส้นผมเท่านั้น โปรดเก็บไว้ในที่ร่มและพ้นมือเด็ก ห้ามใช้กับเด็กที่มีอายุต่ำกว่า 3 ขวบ และระวังอย่าให้เข้าตา"</t>
  </si>
  <si>
    <t>บาร์เบอร์เบรน ซิลเวอร์ เบลด เซฟ เจล</t>
  </si>
  <si>
    <t xml:space="preserve">Barber Brain | Sliver Blade Shave Gel | Grooming Products 
บาร์เบอร์เบรน ซิลเวอร์ เบลด เซฟ 
ปริมาณ 140 ml.
ขวดปั๊ม ง่ายต่อการใช้งาน
    เจลโกนหนวด เนื้อเจลซึมผ่านขนได้อย่างรวดเร็ว ช่วยปรับเส้นขนให้อ่อนนุ่มลงสามารถตกแต่งหนวดให้ได้ตามที่ต้องการพร้อมคืนความชุ่มชื้นให้กับผิว เนื้อเจลให้ความลื่น โกนง่าย และช่วยลดการเสียดสีของใบมีดโกนกับผิวหน้ามีส่วนผสมจากคาโมมายล์ที่ช่วยปลอบประโลมผิวช่วยลดอาการระคายเคืองของผิวหลังโกนหนวด
เจลโกนหนวด บาร์เบอร์ เบรน ซิลเวอร์ เบลด
- เนื้อเจลใส มองเห็นชัดเจนเวลาโกน
- เนื้อเจลชุ่มชื่น แห้งช้า
- ลดความกระด้างเวลาโกน
- กลิ่นหอมสดชื่น
- ล้างออกง่าย
- ใช้ได้ทั้งการโกนหนวด และ กันขอบ
🪒วิธีใช้: ทาเจลให้ทั่วบริเวณที่ต้องการโกนหนวดหลังโกนหนวดให้ล้างออกด้วยน้ำสะอาด
คำเตือน: หากมีอาการระคายเคืองควรหยุดใช้และปรึกษาแพทย์
🪒ส่วนประกอบ : Water(Aqua) , Glycerin, Propylene Glycol, PEG-12 Dimethicone, Triethanolamine ,Phenoxyethanol, Carborner, PEG-40 Hydrogenates Castor Oil, Fragrance, Polyquaternium-39, Caprylyl Glycol, Sodium Benzoate, Anthemis Nobils (Chamomile) Flower Extract.
📍สินค้าผลิตในไทย
📍Made in Thailand</t>
  </si>
  <si>
    <t>สำหรับโกนหนวด</t>
  </si>
  <si>
    <t>180 กรัม</t>
  </si>
  <si>
    <t>https://www.youtube.com/watch?v=yFRuMVR-acA&amp;list=PLX10pjRah52OzPpR1qgFtJ8-5xCenxqmm&amp;index=70</t>
  </si>
  <si>
    <t>ชุดโกนหนวด กันขอบ บาร์เบอร์ เบรน BB-600</t>
  </si>
  <si>
    <t xml:space="preserve">รายละเอียดสินค้า 
ชุดโกนกันขอบวิทเทจ สีดำ พร้อมขาตั้ง 
 1 ชุดประกอบด้วย : 
1. มีดโกน 1 ด้าม 
2. ถ้วยรองใส่น้ำยาโกนหนวด 
3. พู่โกนหนวด
4. ขาตั้งสำหรับแขวนเก็บอุปกรณ์
คุณสมบัติ:                                                          
        ✔︎ ชุดโกนกันขอบ                                                     
        ✔︎ ช่วยเก็บงานจากการตัดผมจากปัตตาเลี่ยนเพื่อความเรียบร้อย                                                                
        ✔︎ โกนจัดแต่งทรงผม                                                   
        ✔︎ สามารถใช้มีดโกนกับหนวดได้เช่นกัน </t>
  </si>
  <si>
    <t>บาร์เบอร์เบรน เท็คเจอร์ &amp; วอลลุ่ม แฮร์สเปรย์</t>
  </si>
  <si>
    <t xml:space="preserve">บาร์เบอร์ เบรน เท็กซ์เจอร์ แอนด์ วอลลุ่ม แฮร์ สเปรย์ คุณสมบัติ 1. เพิ่มเท็กซ์เจอร์และวอลลุ่มให้เส้นผม 2. ช่วยให้การไดร์ยกโคนผมง่ายขึ้น 3. ทรงผมเป็นธรรมชาติอย่างมีสไตล์ ปริมาณ 200 มล. "BARBER BRAIN Texture &amp; Volume Hair Spray 200 ml.
 บาร์เบอร์ เบรน เท็กซ์เจอร์ &amp; วอลลุ่ม แฮร์ สเปรย์ 
 คุณสมบัติ: 
  สเปรย์ที่สามารถช่วยสร้างเท็กซ์เจอร์และเพิ่มวอลลุ่มให้กับเส้นผม 
 โดยที่เส้นผมยังคงดูมีความพริ้วไหวอย่างเป็นธรรมชาติสามารถนำไป
 สร้างสรรค์ทรงผมได้หลากหลายทุกที่ทุกเวลา
 ✔︎เพิ่มเท็กซ์เจอร์และวอลลุ่มให้เส้นผม 
 ✔︎ ช่วยให้การไดร์ยกโคนผมง่ายขึ้น 
 ✔︎ ทรงผมเป็นธรรมชาติอย่างมีสไตล์
 วิธีการใช้: 
  หลังจากสระผมเช็ดผมให้แห้งผมให้แห้งหมาดชโลมสเปรย์ลงบน
 เส้นผมแล้วใช้หวีหรือเป่าไดร์ให้ทั่วทั้งศรีษะ"</t>
  </si>
  <si>
    <t>200 ml</t>
  </si>
  <si>
    <t>https://www.youtube.com/watch?v=3Fd9K18YmAo</t>
  </si>
  <si>
    <t>กระบอกฉีดน้ำบาร์เบอร์เบรน BARBER BRAIN 490ml. รุ่น BB-PH-A16025</t>
  </si>
  <si>
    <t xml:space="preserve">กระบอกฉีดน้ำ บาร์์เบอร์เบรน ทรงสีเหลี่ยมปริมาณ 100 กรัม ขนาด กว้าง 8 ซม. ยาว 25ซม.
คุณสมบัติ:                                                                 
✔︎ กระบอกฉีดน้ำ หัวฟ้อกกี้ ดีไซส์สวย 
✔︎ วัสดุทำจากพลาสติกชั้นดี มีคุณภาพ
✔︎ สามารถประยุกต์ใช้ได้หลากหลาย ไม่ว่าจะใช้ในบ้าน ในร้านบาร์เบอร์ ร้านซาลอน                            
✔︎ สะดวกสบาย ใช้งานง่าย  
✔︎ บรรจุได้ถึง 490 ml.</t>
  </si>
  <si>
    <t>490 ml</t>
  </si>
  <si>
    <t>หวีหาง ฟันห่าง</t>
  </si>
  <si>
    <t xml:space="preserve">หวีหางแบบฟันห่าง "หวีหางแบบฟันห่าง (BD-050)
  หวีหางแบบฟันห่าง มี 2 สี: สีส้ม BD-050/OR และสีดำ BD-050/B ขนาด 25.7*3.5 cm หวีฟันห่าง เหมาะสำหรับสาวผมยาว ดัดผม เพราะหวีฟันห่างจะช่วยถนอมเส้นผมของคนดัดผมได้เป็นอย่างดี 
 ระยะความห่างของหวีจะไม่ทำให้ลอนผมแตก 
 **คุณสมบัติ 
 ✔︎ มีน้ำหนักเบา 
 ✔︎ วัสดุทำจากพลาสติกแข็งแรง ทนทาน
 ✔︎ หวีรองซอยสามารถใช้แบ่งผม 
 ✔︎ รองผมได้ 
 ✔︎ ขนาดพอดีมือ ใช้งานง่าย ถนัดมือ 
 ✔︎ ส่วนหาง จะช่วยในการจัดแต่งทรงผม การแบ่งผม"</t>
  </si>
  <si>
    <t>25.7x3 ซม.</t>
  </si>
  <si>
    <t>https://www.youtube.com/watch?v=x5i0fmDAI6w&amp;list=PLGjfh_21bFBeTNSSYIIjGfKXLP2npOZvj&amp;index=88</t>
  </si>
  <si>
    <t>หวีอีโต้ใหญ่</t>
  </si>
  <si>
    <t>หวีอีโต้ฟันห่างใหญ่ (BD-093) หวีฟันห่าง เหมาะสำหรับสาวผมยาว ดัดผม เพราะหวีฟันห่างจะช่วยถนอมเส้นผมของคนดัดผมได้เป็นอย่างดี ระยะความห่างของหวีจะไม่ทำให้ลอนผมแตก **คุณสมบัติ ✔︎ มีน้ำหนักเบา ✔︎ วัสดุทำจากพลาสติกแข็งแรง ทนทาน ✔︎ ขนาดพอดีมือ ใช้งานง่าย ถนัดมือ</t>
  </si>
  <si>
    <t>https://youtu.be/pwNiaGDHxQY</t>
  </si>
  <si>
    <t xml:space="preserve">กระเป๋าใส่กรรไกรวาเลนเต้ ลายหมากรุก สีน้ำตาล 
ขนาดกว้าง 12ซม. ยาว21 ซม. หนา 3.5ซม.
คุณสมบัติ:
✔︎ กระเป๋าใส่อุปกรณ์บาร์เบอร์และเสริมสวย                                  
✔︎ ใส่กรรไกรหรือหวี อุปกรณ์ช่าง                                                          
✔︎ วัสดุหนังชั้นดี ตกแต่งด้วยลวยลายตาราง                         
✔︎ กระเป๋าอุปกรณ์ช่างสามารถคาดเอวได้ 
✔︎ มีสายยาวเป็นแบบฝาปิด สามารถปรับระดับได้ </t>
  </si>
  <si>
    <t>กว้าง 12 ซม. ยาว 21 ซม.</t>
  </si>
  <si>
    <t>https://www.youtube.com/watch?v=6JXVpWqCkeM&amp;list=PLGjfh_21bFBeTNSSYIIjGfKXLP2npOZvj&amp;index=99</t>
  </si>
  <si>
    <t xml:space="preserve">กระเป๋าใส่กรรไกรวาเลนเต้สีน้ำตาล  
ขนาด 16x21ซม.  
คุณสมบัติ:
✔︎ กระเป๋าใส่อุปกรณ์บาร์เบอร์และซาลอน                                  
✔︎ ใส่กรรไกรหรือหวี อุปกรณ์ช่าง                                                         
✔︎ วัสดุหนังชั้นดี ตกแต่งด้วยลวยลายตาราง                         
✔︎ กระเป๋าอุปกรณ์ช่างสามารถคาดเอวได้
✔︎ มีสายยาว สามารถปรับระดับได้                                    
✔︎ สกรีนชื้อแบรนด์ VELENTE วาเลนเต้ ของแท้ 100%</t>
  </si>
  <si>
    <t>16x21 ซม.</t>
  </si>
  <si>
    <r>
      <rPr>
        <u/>
        <color rgb="FF1155CC"/>
        <sz val="8"/>
        <rFont val="Arial"/>
      </rPr>
      <t>https://www.youtube.com/watch?v=BqRm9LYyUho&amp;list=PLGjfh_21bFBeTNSSYIIjGfKXLP2npOZvj&amp;index=10</t>
    </r>
    <r>
      <rPr>
        <color rgb="FF071924"/>
        <sz val="8"/>
        <rFont val="Arial"/>
      </rPr>
      <t>0</t>
    </r>
  </si>
  <si>
    <t>VALENTE  กระเป๋าใส่กรรไกร สีน้ำตาล รุ่น BD-19</t>
  </si>
  <si>
    <t xml:space="preserve">กระเป๋าใส่กรรไกรวาเลนเต้สีน้ำตาล 
มีสายยาว สามารถปรับระดับได้ ขนาด 11x25 ซม.  
กระเป๋าใส่กรรไกร สีน้ำตาล 
✔︎ ทำจากวัสดุดีมีคุณภาพ 
✔︎ สามารถใช้ได้หลายช่อง 
✔︎ สามารถใส่กรรไกรได้ 2-3 เล่ม                                   
✔︎ หวีอีก 2-3 ชิ้น 
✔︎ เสริมความเป็นมืออาชีพ </t>
  </si>
  <si>
    <t>11x25 ซม.</t>
  </si>
  <si>
    <t>https://www.youtube.com/watch?v=Br8e5h40IOw&amp;list=PLGjfh_21bFBeTNSSYIIjGfKXLP2npOZvj&amp;index=111</t>
  </si>
  <si>
    <t xml:space="preserve">VALENTE วาเลนเต้ กระเป๋าใส่กรรไกร รุ่น BD-19A
กระเป๋าใส่อุปกรณ์ช่าง 
✔︎ ทำจากวัสดุดีมีคุณภาพ สามารถใช้ได้หลายช่อง 
✔︎ สามารถใส่กรรไกรได้ 2-3 เล่ม                                  
✔︎ ใส่หวีได้อีก 2-3 ชิ้น 
✔︎ เสริมความเป็นมืออาชีพ 
✔︎ ช่วยจัดระเบียบ 
✔︎ หยิบใช้งานอุปกรณ์ได้ง่ายยิ่งขึ้น</t>
  </si>
  <si>
    <t>กรรเป๋าเครื่องสำอาง แบบผ้า ไซต์ S ใบเล็ก</t>
  </si>
  <si>
    <t xml:space="preserve">กระเป๋าเครื่องสำอาง สีกรมแบบผ้า
ขนาด กว้าง 23 ซม. ยาว 18.5 ซม. สูง 13.5 ซม.
     กระเป๋าเครื่องสำอาง professtional สำหรับช่างแต่งหน้า
 เพิ่มพื้นที่ให้กับเครื่องสำอางได้อีก 2 ชั้น หรือถึง 4 ถาด  
คุณสมบัติ:                                                 
✔︎ มีน้ำหนักเบาและจุของได้เยอะ
✔︎ ตัดเย็บด้วยวัสดุคุณภาพและสามารถกันน้ำได้
✔︎ แข็งแรง ทนทาน
✔︎ สะดวกสบายในการใช้งานสามารถบรรจุของได้เยอะ
✔︎ จัดระบบให้กับเครื่องสำอางให้หยิบง่ายขึ้น
✔︎ ซิปแข็งแรง ทนทาน
✔︎ ดีไซน์ สวยงาม ทันสมัย</t>
  </si>
  <si>
    <t>กว้าง 23 ซม. ยาว 18.5 ซม. สูง 13.5 ซม.</t>
  </si>
  <si>
    <t>กรรเป๋าเครื่องสำอาง แบบผ้า ไซต์ L ใบใหญ่</t>
  </si>
  <si>
    <t xml:space="preserve">กระเป๋าเครื่องสำอาง สีเขียวแบบผ้า 
ขนาด23*18.5*13.5 CM
มีสายสะพายข้าง
      กระเป๋าเครื่องสำอาง professtional สำหรับช่างแต่งหน้า 
เพิ่มพื้นที่ให้กับเครื่องสำอางได้อีก 2 ชั้น หรือถึง 4 ถาด                                                                    
คุณสมบัติ:                                                               
✔︎ มีน้ำหนักเบาและจุของได้เยอะ
✔︎ ตัดเย็บด้วยวัสดุคุณภาพและสามารถกันน้ำได้
✔︎ แข็งแรง ทนทาน
✔︎ สะดวกสบายในการใช้งานสามารถบรรจุของได้เยอะ
✔︎ จัดระบบให้กับเครื่องสำอางให้หยิบง่ายขึ้น
✔︎ ซิปแข็งแรง ทนทาน
✔︎ ดีไซน์ สวยงาม ทันสมัย
✔︎ พกพาสะดวก สวยงาม เรียบหรู
*เหมาะสำหรับช่างแต่งหน้า หรือผู้ที่ต้องการพกพาเครื่องสำอางได้สะดวกยิ่งขึ้น</t>
  </si>
  <si>
    <t>กว้าง 27 ซม. ยาว 19 ซม. สูง 25.5 ซม.</t>
  </si>
  <si>
    <t>BOX-02/S</t>
  </si>
  <si>
    <t>กรรเป๋าเครื่องสำอาง แบบหนังไซต์ S ใบเล็ก</t>
  </si>
  <si>
    <t xml:space="preserve">ขนาด 14.5x24x21 CM
มีสายสะพายข้าง
      กระเป๋าเครื่องสำอาง professtional สำหรับช่างแต่งหน้า 
เพิ่มพื้นที่ให้กับเครื่องสำอางได้อีก 2 ชั้น หรือถึง 4 ถาด                                                                    
คุณสมบัติ:                                                               
✔︎ มีน้ำหนักเบาและจุของได้เยอะ
✔︎ ตัดเย็บด้วยวัสดุคุณภาพและสามารถกันน้ำได้
✔︎ แข็งแรง ทนทาน
✔︎ สะดวกสบายในการใช้งานสามารถบรรจุของได้เยอะ
✔︎ จัดระบบให้กับเครื่องสำอางให้หยิบง่ายขึ้น
✔︎ ซิปแข็งแรง ทนทาน
✔︎ ดีไซน์ สวยงาม ทันสมัย
✔︎ พกพาสะดวก สวยงาม เรียบหรู
*เหมาะสำหรับช่างแต่งหน้า หรือผู้ที่ต้องการพกพาเครื่องสำอางได้สะดวกยิ่งขึ้น</t>
  </si>
  <si>
    <t>BOX-02/L</t>
  </si>
  <si>
    <t>กรรเป๋าเครื่องสำอาง แบบหนังไซต์ L ใบใหญ่</t>
  </si>
  <si>
    <t xml:space="preserve">
กระเป๋าเครื่องสำอาง สีชมพูแบบหนัง 
ขนาด กว้าง 20 ซม. ยาว 29 ซม. สูง 21 ซม.
มีสายสะพายข้าง
      กระเป๋าเครื่องสำอาง professtional สำหรับช่างแต่งหน้า 
เพิ่มพื้นที่ให้กับเครื่องสำอางได้อีก 2 ชั้น หรือถึง 4 ถาด                                                                    
คุณสมบัติ:                                                               
✔︎ มีน้ำหนักเบาและจุของได้เยอะ
✔︎ ตัดเย็บด้วยวัสดุคุณภาพและสามารถกันน้ำได้
✔︎ แข็งแรง ทนทาน
✔︎ สะดวกสบายในการใช้งานสามารถบรรจุของได้เยอะ
✔︎ จัดระบบให้กับเครื่องสำอางให้หยิบง่ายขึ้น
✔︎ ซิปแข็งแรง ทนทาน
✔︎ ดีไซน์ สวยงาม ทันสมัย
✔︎ พกพาสะดวก สวยงาม เรียบหรู
*เหมาะสำหรับช่างแต่งหน้า หรือผู้ที่ต้องการพกพาเครื่องสำอางได้สะดวกยิ่งขึ้น</t>
  </si>
  <si>
    <t>ผ้าคลุมซอย แบบพลาสติกใส ตัด ซอย กันเคมี รุ่น CAPE-1 มี 50ชิ้น</t>
  </si>
  <si>
    <t xml:space="preserve">ผ้าคลุมซอยพลาสติกใส  (CAPE-1)
✔︎ ผ้าคลุมพลาสติก1แพ็ค มี50ชิ้น 
✔︎ ใช้คลุมซอย ทำเคมี 
✔︎ ขนาด กว้าง 131 ซม. สูง 105 ซม.
*เหมาะสำหรับร้านบาร์เบอร์และซาลอน</t>
  </si>
  <si>
    <t>กว้าง 131 ซม. สูง 105 ซม.</t>
  </si>
  <si>
    <t>หวีลายการ์ตูน</t>
  </si>
  <si>
    <t xml:space="preserve">หวีอีโต้ไฟเบอร์ ยการ์ตูน ขนาดกว้าง 4ซม ยาว 19.5ซม "รายละเอียดสินค้า
 - หวีลายการ์ตูน ทนความร้อน
 - ใช้สำหรับหวีผม ไม่เจ็บหัว 
 - เเข็งเเรง ทนทาน 
 - สีไม่รอกง่าย
 - น้ำหนังเบามือ
 - ราคาถูก ของดี คุณภาพ"</t>
  </si>
  <si>
    <t>กว้าง 4 ซม. ยาว 19.5 ซม.</t>
  </si>
  <si>
    <t>CFC-75639</t>
  </si>
  <si>
    <t>Barberbrain Secondary Comb หวีรองซอยบาร์เบอร์เบรน ขนาดเล็ก รุ่น CFC-75639</t>
  </si>
  <si>
    <t>หวีรองซอย สีดำ ขนาด ยาว 17ซม. กว้าง 3.3ซม. น้ำหนัก 18 กรัม หวีรองซอยขนาดเล็ก   ✔︎ ใช้สำหรับรองซอย - ขนาด 18*3.2 cm - ซี่หวี 2 ระดับ วิธีใช้ : หวีรองซอย สามารถใช้คู่กับกรรไกร เวลาทำการตัดหรือซอยผม</t>
  </si>
  <si>
    <t>18x3.2 ซม.</t>
  </si>
  <si>
    <t>https://www.youtube.com/watch?v=_CflRaDlIDE&amp;list=PLX10pjRah52OzPpR1qgFtJ8-5xCenxqmm&amp;index=10</t>
  </si>
  <si>
    <t>Barberbrain Secondary Comb หวีรองซอยบาร์เบอร์เบรน รุ่น CFC-75339</t>
  </si>
  <si>
    <t xml:space="preserve">Barberbrain Secondary Comb หวีรองซอยบาร์เบอร์เบรน รุ่น CFC-75339
หวีรองซอยขนาดใญ่                                                 
✔︎ ใช้สำหรับรองซอย                                                               
✔︎ ขนาด 20*3.5 cm                                                   
✔︎ ซี่หวี 2 ระดับ                                                   
วิธีใช้ : หวีรองซอย สามารถใช้คู่กับกรรไกร เวลาทำการตัดหรือซอยผม</t>
  </si>
  <si>
    <t>20x3.5 ซม.</t>
  </si>
  <si>
    <t>Secondary comb barberbrain หวีบาเบอร์เบรน รุ่น CFC-70739</t>
  </si>
  <si>
    <t xml:space="preserve">ใช้หวีผมหรือรองซอยผม
หวีอีโต้                                                                   
✔︎ ใช้หวีผมหรือรองซอยผม  
✔︎ ขนาด 20x4 cm                                                      
✔︎ ซี่หวี 1 ระดับ                                                  
วิธีใช้ : หวีรองซอย สามารถใช้คู่กับกรรไกร เวลาทำการตัดหรือซอยผม
*เหมาะสำมือใหม่และมืออาชีพ </t>
  </si>
  <si>
    <t>20x4 ซม.</t>
  </si>
  <si>
    <t>CFC</t>
  </si>
  <si>
    <t>BARBER BRAIN หวีเซต 3ชิ้น  CFC-7</t>
  </si>
  <si>
    <t xml:space="preserve">     หวี 3 ชิ้น ได้แก่ 
     เซทหวีรองซอย:                                 
                  1. หวีอีโต้ : ขนาด 20x4 cm ซี่หวี 1 ระดับ                                             
                  2. หวีรองซอยขนาดเล็ก                                                    
                     : ขนาด 18*3.2 cm ซี่หวี 2 ระดับ                                                
                  3. หวีรองซอยขนาดใหญ่                                                     
                     : ขนาด 20*3.5 cm ซี่หวี 2 ระดับ                                                         
 วิธีใช้: หวีรองซอย สามารถใช้คู่กับกรรไกร เวลาทำการตัดหรือซอยผม          </t>
  </si>
  <si>
    <t>หวีกระดูก</t>
  </si>
  <si>
    <t>หวีกระดูก รุ่น (CH-1200) หวีกระดูกทำให้ผมดูหนาขึ้น เป็นแปรงที่มีขนแปรงแบบด้านหลังโปร่งมีซี่ห่างกัน ถ้าพลิกดูด้านหลังจะคล้ายกับกระดูกสันหลังของคนเรา แปรงชนิดนี้จะใช้เมื่อตอนที่คุณกำลังใช้ไดร์เป่าผมค่ะ เพราะความร้อนจะไล่ผ่านอย่างสะดวก จะทำให้ผมดูหนาและดำขึ้นอีกด้วย และช่วยดูดความร้อนจากการเป่าผมทำให้ผมแห้งเร็วอีกด้วย</t>
  </si>
  <si>
    <t>https://youtu.be/pFrhulRkzRw</t>
  </si>
  <si>
    <t>COMB 3</t>
  </si>
  <si>
    <t>วาเลนเต้ หวีรองซอยแอมเบอร์ชุด 3 ชิ้น</t>
  </si>
  <si>
    <t xml:space="preserve">หวีรองซอยแอมเบอร์ 
น้ำหนักเบา แข็งแรง ใช้งานได้นาน
       1 ชุด มี 3 ชิ้น 3 ขนาด
- เล็ก ขนาด 12.5 cm
- กลาง ขนาด 16.5 cm
- ใหญ่ ขนาด 19 cm
วิธีใช้ : ใช้สำหรับรองตัดบัตตาเลี่ยน หวีรองทรง หวีรอง 
</t>
  </si>
  <si>
    <t>เล็ก 12.5 กลาง 16.5 ใหญ่ 19 (ซม.)</t>
  </si>
  <si>
    <t xml:space="preserve">CUTTING APRON เอี้ยมช่าง รุ่น CTP-002
คุณสมบัติ:
- มีช่องใส่กรรไกร ได้ 3ช่อง 
- ด้านหลัง เป็นตีนตุ๊กแก สามารถรับระดับได้ 
- มีที่คอ และเอว 
- 60*90</t>
  </si>
  <si>
    <t>กว้าง 60 ซม. ยาว 90 ซม.</t>
  </si>
  <si>
    <t>https://youtu.be/Huu1FBct8U0</t>
  </si>
  <si>
    <t>VALENTE เอี้ยมช่าง ซาลอน รุ่น CTP-200</t>
  </si>
  <si>
    <t xml:space="preserve">VALENTE เอี้ยมช่าง รุ่น CTP-200
คุณสมบัติ:
- เอี๊ยมช่างเนื้อผ้าดี 
- สามารถปรับขนาดผูกหลังได้
-  มีขนาด 69x76ซม.</t>
  </si>
  <si>
    <t>กว้าง 69 ซม. ยาว 76 ซม.</t>
  </si>
  <si>
    <t xml:space="preserve">อุปกรณ์ทำสีผม CPS 3D Colour PERFECTION อุปกรณ์ช่วยแบ่งผมทำสี จาก Valente รุ่น CPS-001 เหมาะสำหรับมือใหม่
</t>
  </si>
  <si>
    <t xml:space="preserve">3D Colour PERFECTION by VALENTE
การทำสีผมโดยใช้อุปกรณ์ช่วยแบ่งผม ทำให้เกิดรูปแบบของสีผมสไตล์ใหม่ๆโดยไร้ข้อจำกัด  *เหมาะสำหรับมือใหม่ </t>
  </si>
  <si>
    <t>https://youtu.be/Q6D8EBO7g8U</t>
  </si>
  <si>
    <t>กรรไกรวาเลนเต้</t>
  </si>
  <si>
    <t>กรรไกร ตัด ขนาด6นิ้ว คุณสมบัติ: ✔︎ กรรไกรตัด สัมผัสลื่น ✔︎ ใบมีดคม ✔︎ ทำจากวัสดุชั้นดีแข็งแรงทนทาน ✔︎ โลหะคุณภาพดี  ✔︎ ใช้สำหรับตัดแต่งทรงผม **สามารถดูวิธีใช้เพิ่มเติมได้ที่ QR code บนกล่อง</t>
  </si>
  <si>
    <t>กรรไกรตัด+ซอย</t>
  </si>
  <si>
    <t>6 นิ้ว</t>
  </si>
  <si>
    <t>https://youtu.be/ryVsq2fgMhQ</t>
  </si>
  <si>
    <t>EF-60+630</t>
  </si>
  <si>
    <t xml:space="preserve">กรรไกร ตัด+ซอย ขนาด6นิ้ว คุณสมบัติ: ✔︎ ชุดกรรไกรตัด+ซอย ✔︎ น้ำหนักเบา จับถนัดมือ  ✔︎ ใช้สำหรับตัดแต่งทรงผม **สามารถดูวิธีใช้เพิ่มเติมได้ที่ QR code บนกล่อง
</t>
  </si>
  <si>
    <t xml:space="preserve">กรรไกร ซอย ขนาด6นิ้ว "คุณสมบัติ: ✔︎ พกพาสะดวก ใช้งานง่าย
 ✔︎ ผลิตจากวัสดุที่คงทน ✔︎ ใบมีดคม ✔︎ ใช้สำหรับตัดแต่งทรงผม **สามารถดูวิธีใช้เพิ่มเติมได้ที่ QR code บนกล่อง"</t>
  </si>
  <si>
    <t>G-133/B</t>
  </si>
  <si>
    <t>VALENTE HAIR BRUSH แปรงปัดผม อุปกรณ์บาร์เบอร์ ขนสีดำ รุ่น G-133</t>
  </si>
  <si>
    <t xml:space="preserve">     แปรงปัดผมแบบสวมนิ้ว มีขน 2 สี สีดำ และสีเนื้อ 
ขนาดด้ามจับถึงขน 5.5ซม. ขนาดความยาวขน 2ซม. ความกว้าง 6.5ซม.
คุณสมบัติ:                                                            
✔︎ เป็นแปรงปัดเศษผม 
✔︎ ที่จับถนัดมือ ใช้งานง่าย น้ำหนักเบา
✔︎ เป็นขนหมูนุ่ม                                                       
วิธีใช้: 
       ใช้หลังการตัดผม ปัดเศษผมเพื่อเก็บรายละเอียด และความสะอาด 
หรือแปรงลักษณะนี้ ใช้ปัดเศษผมขนาดเล็กๆที่ติดตามหนังหัว(โดยเฉพาะเวลาตัดทรงนักเรียน)</t>
  </si>
  <si>
    <t>กว้าง 6 ซม. สูง 6 ซม.</t>
  </si>
  <si>
    <t>https://youtu.be/vDWlOPdIZIk</t>
  </si>
  <si>
    <t>G-133/C</t>
  </si>
  <si>
    <t>VALENTE HAIR BRUSH แปรงปัดผม อุปกรณ์บาร์เบอร์ ขนสีครีม รุ่น G-133</t>
  </si>
  <si>
    <t xml:space="preserve">VALENTE HAIR BRUSH
แปรงปัดผมแบบสวมนิ้ว
     แปรงปัดผมแบบสวมนิ้ว มีขน 2 สี สีดำ และสีเนื้อ 
ขนาดด้ามจับถึงขน 5.5ซม. ขนาดความยาวขน 2ซม. ความกว้าง 6.5ซม.
คุณสมบัติ:                                                            
✔︎ เป็นแปรงปัดเศษผม 
✔︎ ที่จับถนัดมือ ใช้งานง่าย น้ำหนักเบา
✔︎ เป็นขนหมูนุ่ม                                                       
วิธีใช้: 
       ใช้หลังการตัดผม ปัดเศษผมเพื่อเก็บรายละเอียด และความสะอาด 
หรือแปรงลักษณะนี้ ใช้ปัดเศษผมขนาดเล็กๆที่ติดตามหนังหัว(โดยเฉพาะเวลาตัดทรงนักเรียน)</t>
  </si>
  <si>
    <t>กู๊ด ออล เดย์ เจนเทิลแมนโพเมด 80 g.</t>
  </si>
  <si>
    <t xml:space="preserve">GOOD ALL DAY ผลิตภัณฑ์จัดแต่งทรงผม สัญชาติไทย ระดับพรีเมี่ยม Premuim grade !!!
GOOD ALL DAY:GENTLEMAN POMADE สีฟ้า
กู๊ด ออล เดย์ เจนเทิลแมนโพเมด 80 g.
💙 สูตรโพเมด water based  กล่องสีน้ำเงิน 💙
ได้ลุคเรียบเท่ห์ย้อนยุค วินเทจหน่อยๆ ผมไม่ชี้ แข็งอยู่ทรง หล่อแลลคลาสสิค ช่วยให้ผมอยู่ทรงยาวนานตลอดทั้งวัน
👍🏻 ช่วยให้เส้นผมเงางามตลอดทั้งวัน
💬 สูตรล้างออกง่าย ไม่เหนียวเหนอะหนะ พร้อมกลิ่นหอม
วิธีใช้. นำโพเมดมาถูบนฝ่ามือให้อ่อนตัวลงเเล้วใช้จัดเเต่งทรงผมตามต้องการ
warning: ใช้กับผมเท่านั้น</t>
  </si>
  <si>
    <t>กู๊ด ออล เดย์ เจนเทิลแมนไฟเบอร์ แว๊ก 80 g.</t>
  </si>
  <si>
    <t xml:space="preserve">
GOOD ALL DAY ผลิตภัณฑ์จัดแต่งทรงผม สัญชาติไทย ระดับพรีเมี่ยม Premuim grade !!!
GOOD ALL DAY: Gentleman Fiber Wax สีเหลือง
กู๊ด ออล เดย์ เจนเทิลแมนไฟเบอร์ แว๊ก 80 g.
💛 สูตรไฟเบอร์ แว๊กซ์ กล่องสีเหลือง 💛
 เซ็ทแล้วไม่เงา ได้ลุคเซอร์ๆ แต่ทรงทุกทิศทาง ทั้งเท่ห์และมีสไตล์ ช่วยให้ผมอยู่ทรงยาวนานตลอดทั้งวัน
💬 สูตรล้างออกง่าย ไม่เหนียวเหนอะหนะ พร้อมกลิ่นหอม
วิธีใช้: นำเเว็กซ์มาถูบนฝ่ามือให้อ่อนตัวลงแล้วใช้จัดเเต่งทรงผมตามต้องการ
warning: ใช้กับผมเท่านั้น</t>
  </si>
  <si>
    <t>กู๊ด ออล เดย์ เจนเทิลแมนออลแบล็คเครย์ 80 ml.</t>
  </si>
  <si>
    <t xml:space="preserve">GOOD ALL DAY 
ผลิตภัณฑ์จัดแต่งทรงผม สัญชาติไทย ระดับพรีเมี่ยม Premuim grade !!! 
GOOD ALL DAY: Gentleman All Black Clay สีดำ
กู๊ด ออล เดย์ เจนเทิลแมนออลแบล็คเครย์ 80 ml.
🖤 สูตรออลแบล็ค เคลย์ เนื้อแมท กล่องสีดำ 🖤
จัดแต่งทรงได้ทุกสไตล์ เนื้อดินน้ำมัน ซึบซาบสู่เส้นผมได้ดี ทำให้เส้นผมเรียงซ้อนกัน ดูแน่น หน้าและมีวอลลุ่ม หมดปัญหา "ผมลีบแบน" เพิ่มแท๊กซ์เจอร์และให้ลุคทรงผม ด้านไม่เงา ผมอยู่ทรงนานตลอดทั้งวัน จัดแต่งทรงผมได้หลากหลายสไตล์ทั้งแนววินเทจและแฟชั่น เพิ่มความมั่นใจ หมดห่วงเรื่องผมตลอดทั้งวัน
💬 สูตรล้างออกง่าย ไม่เหนียวเหนอะหนะ พร้อมกลิ่นหอม 
👍🏻 เหมาะสำหรับสุภาพบุรุษที่มีผิวแผลง่าย ไม่ก่อให้เกิดสิวอุดตันบริเวณหน้าผาก
วิธีใช้: นำเครย์มาถูบนฝ่ามือให้อ่อนตัวลงเเล้วใช้จัดเเต่งทรงผมตามต้องการ
warning: ใช้กับผมเท่านั้น</t>
  </si>
  <si>
    <t xml:space="preserve">ขนาด 
กว้าง : 11 cm.
ยาว   : 6 cm.
หนา.  : 0.5 mm
ทำจากวัสดุดีมีคุณภาพ
เหมาะสำหรับร้านเสริมสวน ร้านซาลอน 
ช่างมืออาชีพ </t>
  </si>
  <si>
    <t>กว้าง 11 ซม. ยาว 6 ซม.</t>
  </si>
  <si>
    <t>https://youtu.be/Ceq1j8jSE4c</t>
  </si>
  <si>
    <t xml:space="preserve">กิ๊บดำวาเลนเต้ ตุ้มใหญ่ ห่อใหญ่ วาเลนเต้ ขนาด 450g. </t>
  </si>
  <si>
    <t xml:space="preserve">กิ๊บดำตุ้มใหญ่ ยี่ห้อวาเลนเต้ จำนวน 450 กรัม / แพ็ค 
มากกว่าหรือเท่ากับ 200 ชิ้น เยอะมาก ๆ ค่ะ คุ้มสุดด
        สามารถนำไปใช้ประโยชน์ได้มากมาย เด็กใช้ได้ไม่กินผม ไม่เจ็บหนังศรีษะ 
เนื่องจากมีตุ้มใหญ่ไว้รองรับ สามารถใช้ติดไปงานไปที่ต่างๆได้สบาย ติดทนแน่นทั้งวัน
ใช้ได้ทั้งเด็กและผู้ใหญ่ ทุกเพศทุกวัย สาวผมสั้นผมยาว 
-----  ซื้อไปคุ้มสุดๆมีทั้งหมด 450 กรัม เยอะมากใน1แพ็ค ------
คุณสมบัติ:                                                                       
          ✔︎ วัสดุดี คุณภาพ 100%                                                       
          ✔︎ แข็งแรง หนา ทนทาน                                            
          ✔︎ ใช้ได้นาน                                                                
          ✔︎ ไม่บอบบาง 
**เหมาะสำหรับช่างทำผม ร้านเสริมสวย ซาลอน</t>
  </si>
  <si>
    <t>450 กรัม</t>
  </si>
  <si>
    <t>https://youtu.be/HsKN_g7B_I4</t>
  </si>
  <si>
    <t>Coloring Apron ผ้าคลุมย้อม รองเคมี ผ้าร่ม รุ่น H-001/2</t>
  </si>
  <si>
    <t xml:space="preserve">
ผ้าคลุมย้อม ผ้าร่ม สีดำ (ทรงเหลี่ยม)
ขนาด 70*70cm
คุณสมบัติ:
✔︎ สินค้าดีมีคุณภาพ                                                                       
✔︎ ผ้าคลุมรองย้อม ผ้าร่ม                                                       
✔︎ ง่ายต่อการล้างทำความสะอาด                                             
✔︎ เป็นตีนตุ๊กแก สามารถเลื่อนขยับไซต์ได้
✔︎ นิยมในร้านซาลอน
วิธีใช้:                                                                                
   ใช้สำหรับรองคอเวลาทำสีผม ยืดผมหรือทำเคมี หมดปัญหาสีหกเลอะเทอะ </t>
  </si>
  <si>
    <t>70x70 ซม.</t>
  </si>
  <si>
    <t>Coloring Apron ผ้าคลุมย้อม ผ้าร่ม สีดำ รุ่น H-002/2</t>
  </si>
  <si>
    <t xml:space="preserve">ผ้าคลุมย้อม สีดำ 
ขนาด กว้าง 70 สูง 70 
คุณสมบัติ:                                                                       
✔︎ ผ้าคลุมรองย้อม ผ้าร่ม                                                       
✔︎ ง่ายต่อการล้างทำความสะอาด                                             
✔︎ เป็นตีนตุ๊กแก สามารถเลื่อนขยับไซต์ได้
วิธีใช้:                                                                               
    ใช้สำหรับรองคอเวลาทำสีผม ยืดผมหรือทำเคมี หมดปัญหาสีหกเลอะเทอะ สินค้าคุณภาพดี</t>
  </si>
  <si>
    <t xml:space="preserve">ผ้าคลุมย้อม แบบโปร่ง </t>
  </si>
  <si>
    <t xml:space="preserve">ใช้คลุมเวลาย้อมผม มี 2 สี สีดำ และสีม่วง กันน้ำอย่างดี 
คุณสมบัติ:                                                                       
✔︎ ผ้าคลุมรองย้อม เนื้อพลาสติก สีใส                                                      
✔︎ ง่ายต่อการล้างทำความสะอาด                                             
✔︎ กว้าง 82cm. ยาวจากบ่า 62 cm. ยาวจากคอ 42 cm
วิธีใช้: 
ใช้สำหรับรองคอเวลาทำสีผม ยืดผมหรือทำเคมี หมดปัญหาสีหกเลอะเทอะ สินค้าคุณภาพดี</t>
  </si>
  <si>
    <t>กว้าง 82 ซม. ยาว 62 ซม.</t>
  </si>
  <si>
    <t>https://youtu.be/8BMk7Z9k2I8</t>
  </si>
  <si>
    <t>HA-A7118</t>
  </si>
  <si>
    <t xml:space="preserve">ถุงมือยาง สีดำ </t>
  </si>
  <si>
    <t xml:space="preserve">ถุงมือสีดำ 1กล่องมี 10 คู่ มีไซร์ S / M / L  
        ถุงมือย้อมผม (ยาง) 20ชิ้น / กล่อง ใช้ใส่เวลาย้อมผม 
สามารถล้างทำความสะอาดแล้วมาใช้ครั้งต่อไปได้ 
คุณสมบัติ:
- ใช้ในงานสัก
- ใช้ในงานเสริมสวย เช่น ย้อมผม
- งานสวน
- งานทำอาหาร
             ✔︎ ใส่ป้องกันเชื้อโรค ไม่มีแป้ง                                                
             ✔︎ ถุงมือยางอเนกประสงค์ กล่องสีขาวล้วน 100 ชิ้น
             ✔︎ ยืดหยุ่นมาก
             ✔︎ ไม่ระคายเคือง                                                               
             ✔︎ ใช้สัมผัสเคมีได้                                                          
             ✔︎ ป้องกันเชื้อโรค</t>
  </si>
  <si>
    <t>ขวดใส่น้ำยาดัดผม ขนาด200มล.</t>
  </si>
  <si>
    <t xml:space="preserve">ขวดผสมน้ำยาไดอาร์ ขวดเปล่าสำหรับใส่ของเหลว น้ำยาดัด หรือสารเคมีต่างๆ รุ่นหัวบิดขึ้นลงได้                              
คุณสมบัติ:
✔︎ ขวดใส่น้ำยาดัดขนาด 200 มล.
✔︎ ใช้สำหรับใส่น้ำยาดัด เพื่อที่จะเตรียมดัดผม
✔︎ จับถนัดมือ
✔︎ ใช้งานง่าย
✔︎ แข็งแรง ทนทาน</t>
  </si>
  <si>
    <t>กิ๊บดำวาเลนเต้ ตุ้มใหญ่ วาเลนเต้ ห่อเล็ก ขนาด 200 g.</t>
  </si>
  <si>
    <t xml:space="preserve">กิ๊บดำตุ้มใหญ่ ยี่ห้อวาเลนเต้ จำนวน 200 กรัม / แพ็ค 
มากกว่าหรือเท่ากับ 100 ชิ้น เยอะมาก ๆ ค่ะ คุ้มสุดด
        สามารถนำไปใช้ประโยชน์ได้มากมาย เด็กใช้ได้ไม่กินผม ไม่เจ็บหนังศรีษะ 
เนื่องจากมีตุ้มใหญ่ไว้รองรับ สามารถใช้ติดไปงานไปที่ต่างๆได้สบาย ติดทนแน่นทั้งวัน
ใช้ได้ทั้งเด็กและผู้ใหญ่ ทุกเพศทุกวัย สาวผมสั้นผมยาว 
-----  ซื้อไปคุ้มสุดๆมีทั้งหมด 200 กรัม เยอะมากใน1แพ็ค ------
คุณสมบัติ:                                                                       
          ✔︎ วัสดุดี คุณภาพ 100%                                                       
          ✔︎ แข็งแรง หนา ทนทาน                                            
          ✔︎ ใช้ได้นาน                                                                
          ✔︎ ไม่บอบบาง 
**เหมาะสำหรับช่าง ร้านเสริมสวย ซาลอน </t>
  </si>
  <si>
    <t>200 กรัม</t>
  </si>
  <si>
    <t>ขวดใส่น้ำยาดัดผม ขนาด150มล.</t>
  </si>
  <si>
    <t xml:space="preserve">   ขวดผสมน้ำยาไดอาร์ ขวดเปล่าสำหรับใส่ของเหลว น้ำยาดัด 
หรือสารเคมีต่างๆ รุ่นหัวบิดขึ้นลงได้   
ขนาด กว้าง 5ซม  สูง  20ซม   
คุณสมบัติ:
✔︎ ขนาดบรรจุ 150 มล.
✔︎ ใช้สำหรับใส่น้ำยาดัด เพื่อที่จะเตรียมดัดผม
✔︎ จับถนัดมือ
✔︎ ใช้งานง่าย
✔︎ แข็งแรง ทนทาน</t>
  </si>
  <si>
    <t>150 ml</t>
  </si>
  <si>
    <t>HC-001/25</t>
  </si>
  <si>
    <t>Valente โรลม้วนผมไฟฟ้า รุ่น The Classic HC-001 ไซส์ 25 มม.</t>
  </si>
  <si>
    <t xml:space="preserve">ผ่านมาตราฐานมอก. 2549-1985 
คุณสมบัติ
- ให้ความร้อนถึง 250°C
- พร้อมใช้ภายใน 60 วินาที
- ไม่ทำร้ายผมเสีย ด้วยวัสดุคุณภาพดีเยี่ยม
- สายไฟหมุนได้ 360 องศา ป้องกันสายพันกัน
- สายไฟยาวถึง 2 เมตร เพื่อความคล่องตัว สูงสุดในการใช้งาน</t>
  </si>
  <si>
    <t>25 ซม.</t>
  </si>
  <si>
    <t>https://www.youtube.com/watch?v=VzW1ZocwebM&amp;list=PLGjfh_21bFBeTNSSYIIjGfKXLP2npOZvj&amp;index=2</t>
  </si>
  <si>
    <t>HC-001/28</t>
  </si>
  <si>
    <t>VALENTE โรลม้วนผมไฟฟ้า รุ่น The Classic HC-001 ไซส์ 28 มม</t>
  </si>
  <si>
    <t xml:space="preserve">ผ่านมาตราฐานมอก. 2549-1985 
VALENTE (วาเลนเต้) แกนม้วนผมขนาด 28mm                    
คุณสมบัติ:                                                                 
- แกนม้วนถนอมเส้นผม                                                          
- สามารถทำได้ด้วยตัวเอง                                                       
- ใช้สำหรับลอนคลื่นผม
- ให้ความร้อนถึง 250°C
- พร้อมใช้ภายใน 60 วินาที
- ไม่ทำร้ายผมเสีย ด้วยวัสดุคุณภาพดีเยี่ยม
- สายไฟหมุนได้ 360 องศา ป้องกันสายพันกัน
- สายไฟยาวถึง 2 เมตร เพื่อความคล่องตัว สูงสุดในการใช้งาน </t>
  </si>
  <si>
    <t>28 ซม.</t>
  </si>
  <si>
    <t>วาเลนเต้ เครื่องม้วนผมไฟฟ้า</t>
  </si>
  <si>
    <t xml:space="preserve">วาเลนเต้ เครื่องม้วนผมไฟฟ้า สีทอง มีให้เลือก 2ขนาด มีขนาด28 และ 37 "**คุณสมบัติ**
 - ปรับอุณภูมิความร้อน ได้ 5 ระดับ ตั้งแต่ 120 องศา - 200 องศา
 - ม้วนผมได้ง่ายและเป็นลอนสวยงาม
 - ทำความร้อนได้เร็วไม่ต้องรอนาน
 - ด้ามจับแข็งแรงทนทาน และ จับถนัดมือ
 - สายไฟหมุนได้ 360 องศา และ ยาว 3 เมตร ผ่านมาตราฐานมอก. 2549-1984"</t>
  </si>
  <si>
    <t>อุปกรณ์ทำผมไฟฟ้า</t>
  </si>
  <si>
    <t>https://www.youtube.com/watch?v=FeyoRYh5VPg&amp;list=PLGjfh_21bFBeTNSSYIIjGfKXLP2npOZvj</t>
  </si>
  <si>
    <t xml:space="preserve">วาเลนเต้ เครื่องม้วนผมไฟฟ้า สีทอง มีให้เลือก 2ขนาด มีขนาด28 และ 38  "**คุณสมบัติ**
 - ปรับอุณภูมิความร้อน ได้ 5 ระดับ ตั้งแต่ 120 องศา - 200 องศา
 - ม้วนผมได้ง่ายและเป็นลอนสวยงาม
 - ทำความร้อนได้เร็วไม่ต้องรอนาน
 - ด้ามจับแข็งแรงทนทาน และ จับถนัดมือ
 - สายไฟหมุนได้ 360 องศา และ ยาว 3 เมตร ผ่านมาตราฐานมอก. 2549-1985"</t>
  </si>
  <si>
    <t>38 ซม.</t>
  </si>
  <si>
    <t>วาเลนเต้ หวีแปรงม้วนไฟฟ้า</t>
  </si>
  <si>
    <t xml:space="preserve">วาเลนเต้ เครื่องม้วนผมไฟฟ้า-อินฟาเรด ใช้ในการม้วนผม "ช่วยเสริมสร้างบุคลิกภาพให้คุณมั่นใจมากยิ่งขึ้น จากการมีทรงผมที่อยู่ทรง แม้จะเป็นมือใหม่ก็สามารถใช้ได้ง่าย ๆ โดยเครื่องม้วนผมไฟฟ้าจาก VALENTE (วาเลนเต้) ถูกออกเเบบมาให้สามารถใช้งานได้ง่าย ใช้สำหรับทำวอลลุ่มจัดแต่งทรงผม เหมือนการใช้หวีแปรงธรรมดาและยังสามารถพกพาได้อย่างสะดวก **คุณสมบัติ** - เร่งความร้อนได้เร็ว
 - แผ่นอินฟาเรด คุณภาพ
 - ปรับอุณหภูมิ ได้สูงสุดถึง 210 องศา
 - ซี่ฟันหวี คุณภาพ   - ผมไม่พันกัน
 - ใช้หวีผมตรงได้ผมไม่แห้งเสีย
 - ทำลอน สร้างวอลลุ่มให้ผมที่เเห้งเสียดูมีสปริง เเก้ปัญหาผมลีบเเบนลอนเป็นธรรมชาติ
 - ใช้ได้ทั้งผมสั้นเเละผมยาว ทำได้ทั้งลอนและลอนสูง
 - ใช้งานง่าย สะดวก ปลอดภัย น้ำหนักเบา"</t>
  </si>
  <si>
    <t>https://youtu.be/YvKnAOWxCPg</t>
  </si>
  <si>
    <t>วาเลนเต้ เครื่องม้วนผมไฟฟ้า-อินฟาเรด</t>
  </si>
  <si>
    <t>วาเลนเต้ เครื่องม้วนผมไฟฟ้า-อินฟาเรด ใช้ในการม้วนผม ช่วยเสริมสร้างบุคลิกภาพให้คุณมั่นใจมากยิ่งขึ้น จากการมีทรงผมที่อยู่ทรง แม้จะเป็นมือใหม่ก็สามารถใช้ได้ง่าย ๆ ดดยเครื่องม้วนผมไฟฟ้าจาก VALENTE (วาเลนเต้) ถูกออกเเบบมาให้สามารถใช้งานได้ง่าย ใช้สำหรับทำวอลลุ่มจัดแต่งทรงผม เหมือนการใช้หวีแปรงธรรมดาและยังสามารถพกพาได้อย่างสะดวก **คุณสมบัติ** - แปรงหวีม้วนผมจาก VALENTE (วาเลนเต้) - ตัวเครื่องทำจากวัสดุอย่างดี ทนความร้อนสูง - ช่วยแก้ปัญหาผมสั้นปะบ่า งอนเป็นตูดเป็ด ช่วยให้ผมงุ้มสวยเป็นทรงมากขึ้น   - ช่วยแก้ปัญหาโคนผมลีบหรือแบนมากๆ ทั้งทำให้ผมงุ้มและยังม้วนยกโคนผมเป็นวอลลุ่มได้ เคล็ดลับของความเก๋ๆ จบในเครื่องเดียว หวีแปรงม้วนผม นวัตกรรมจากประเทศอิตาลีสู่มือคนไทย ผ่านมาตราฐานมอก. 2549-1985</t>
  </si>
  <si>
    <r>
      <rPr>
        <u/>
        <color rgb="FF1155CC"/>
        <sz val="8"/>
        <rFont val="Arial"/>
      </rPr>
      <t>https://www.youtube.com/watch?v=or6rHMGX9-0&amp;list=PLGjfh_21bFBeTNSSYIIjGfKXLP2npOZvj&amp;index=4</t>
    </r>
    <r>
      <rPr>
        <color rgb="FFFF0000"/>
        <sz val="8"/>
        <rFont val="Arial"/>
      </rPr>
      <t>4</t>
    </r>
  </si>
  <si>
    <t>วาเลนเต้ ไดร์เป่าผมไฟฟ้า</t>
  </si>
  <si>
    <t xml:space="preserve">วาเลนเต้ ไดร์เป่าผมไฟฟ้า 1600 วัตต์ สีดำ แถม ปากไดร์ 2 ชิ้น ตัวเล็ก 1 ชิ้น ตัวใหญ่ 1 ชิ้น "**คุณสมบัติ**
 - วาเลนเต้ ไดร์เป่าผม
 - คุณภาพดี ลมร้อนแรง เป่าผมแห้งได้อย่างรวดเร็ว
 - ดีไซน์สวย จับถนัดมือ
 - แข็งแรงทนทาน เสียงเบา ผ่านมาตราฐานมอก. 2549-1985"</t>
  </si>
  <si>
    <t>https://youtu.be/fRIKD3mWVzA</t>
  </si>
  <si>
    <t xml:space="preserve">วาเลนเต้ ไดร์เป่าผมไฟฟ้า 2000 วัตต์ สีดำ เเรงดันไฟฟ้า - 220-240V
 ไฟฟ้ากระเเสสลับ 50/60Hz "รายละเอียดสินค้า
  - เเรงดันไฟฟ้า - 220-240V
  - ไฟฟ้ากระเเสสลับ 50/60Hz
  - กำลังไฟ 2000 W
  - ปลั๊กใหญ่แบบ Safty สายไฟยาวมาตราฐาน 2.5 เมตร 
  **คุณสมบัติ**
 ✔︎ วัสดุดีมีคุณภาพ แข็งแรงทนทาน
 ✔︎ ร้อนเร้ว / แห้งไว ไม่ทำให้ผมเสียแห้งกรอบ
 ✔︎ รุ่นยอดนิยม ร้านซาลอนเลือกใช้ ดีไซดืหรูหราน่าใช้
 ✔︎ สามารถเป่าได้ทั้งลมร้อนและลมเย็น
 ✔︎ สินค้ารับประกัน 1 ปี การดูแลเก็บรักษา
   ** ห้ามจุ่มไดร์เป่าผมลงในน้ำ **
 1. ปิดสวิตช์และถอดปลั๊กออก
 2. ทำความสะอาดตัวเครื่องด้วยผ้าแห้ง
 3. ก่อนทำความสะอาดหัวเป่าปรับทิศทางลม ให้ถอดหัวเป่าออกจากตัวเครื่อง
 4. ทำความสะอาดหัวเป่าปรับทิศทางลม ด้วยผ้าชุบน้ำบิดพอหมาดหรือเปิดให้น้ำก๊อกไหลผ่าน
 (ตรวจดูว่าหัวเป่าปรับทิศทางลมนั้นแห้งเเล้วก่อนใช้หรือจัดเก็บ) ผ่านมาตราฐานมอก. 2549-1985"</t>
  </si>
  <si>
    <t>https://youtu.be/JpXi-a0v5D0</t>
  </si>
  <si>
    <t xml:space="preserve">วาเลนเต้ ไดร์เป่าผมไฟฟ้า 2200 วัตต์ สีทอง รายละเอียดสินค้า เเรงดันไฟฟ้า 220-240V ไฟฟ้ากระเเสสลับ 50/60Hz "**คุณสมบัติ**
 - วัสดุดีมีคุณภาพ แข็งแรงทนทาน
 - ร้อนเร้ว / แห้งไว ด้วยพลังเป่า 2200w ไม่ทำให้ผมเสียแห้งกรอบ
 - รุ่นยอดนิยม ร้านซาลอนเลือกใช้ ดีไซดืหรูหราน่าใช้
 - สามารถเป่าได้ทั้งลมร้อนและลมเย็น
 - ปลั๊กใหญ่แบบ Safty สายไฟยาว .. เมตร - หัวเป่าสามารถปรับทิศทางการออกของลมหรือสามารถหวีโดยตรงขณะจัดแต่งทรงผม
 - สามารถเป่าได้ทั้งลมร้อนและลมเย็น
 - ในการประกอบหัวเป่าปรับทิศทางลม เพียงสวมเข้ากับตัวเครื่อง
 - ในการถอดหัวเป่าปรับทิศทางลมอก ให้ดึงหัวเป่าออกจากตัวเครื่องในเเนวตรงลมเย็นลมร้อน"</t>
  </si>
  <si>
    <r>
      <rPr>
        <u/>
        <color rgb="FF1155CC"/>
        <sz val="8"/>
        <rFont val="Arial"/>
      </rPr>
      <t>https://www.youtube.com/watch?v=tvWo-IRP7w0&amp;list=PLGjfh_21bFBeTNSSYIIjGfKXLP2npOZvj&amp;index=6</t>
    </r>
    <r>
      <rPr>
        <color rgb="FF000000"/>
        <sz val="8"/>
        <rFont val="Arial"/>
      </rPr>
      <t>6</t>
    </r>
  </si>
  <si>
    <t>วาเลนเต้ เครื่องม้วน-รีดผมตรงไฟฟ้า</t>
  </si>
  <si>
    <t xml:space="preserve">วาเลนเต้ เครื่องม้วน-รีดผมตรงไฟฟ้า สีดำ "**คุณสมบัติ**
 - แผ่นเซรามิคชั้นดี ที่กระจายความร้อนได้ทั่วถึง
 - ปรับระดับความร้อน ได้ถึง 5 ระดับ
 - พร้อมใช้งานภายใน 60 วินาที
 - สายไฟหมุนได้ 360 องศา ป้องกันสายพันกัน
 - สายไฟยาวถึง 2 เมตร เพื่อความ คล่องตัวสูงสุดในการใช้งาน"</t>
  </si>
  <si>
    <t>https://youtu.be/Wr9OfoSMrcs</t>
  </si>
  <si>
    <t xml:space="preserve">วาเลนเต้ เครื่องม้วน-รีดผมตรงไฟฟ้า สีทอง "**คุณสมบัติ**
 - โรลม้วน+หนีบผมไฟฟ้า วาเลนเต้
 - ร้อนเร็ว ใช้งานง่าย
 - ปรับอุณภูมิได้
 - รีดผมตรง และ ม้วนลอนโค้ง ได้ในเครื่องเดียว
 - สีสันสวยงาม แฟชั่น อินเทรนด์"</t>
  </si>
  <si>
    <t>https://www.youtube.com/watch?v=AVuX2-nsLf0&amp;list=PLGjfh_21bFBd9mAvK7-VGQp4qqkkRbL2-&amp;index=22</t>
  </si>
  <si>
    <t>วาเลนเต้ เครื่องรีดผมตรงไฟฟ้า</t>
  </si>
  <si>
    <t xml:space="preserve">วาเลนเต้ เครื่องรีดผมตรงไฟฟ้า "**คุณสมบัติ**
 - เครื่องหนีบผมตรง วาเลนเต้
 - ทำความร้อนได้เร็ว ภายใน 10 วินาที
 - หนีบผมได้ตรงสวย เงางาม
 - จับถนัดมือ น้ำหนักเบา
 - ปรับอุณหภูมิ ได้ หลายระดับ ตามต้องการ"</t>
  </si>
  <si>
    <t>https://www.youtube.com/watch?v=iem5Had7Sgg&amp;list=PLGjfh_21bFBeTNSSYIIjGfKXLP2npOZvj&amp;index=144</t>
  </si>
  <si>
    <t>กระเป๋าใส่กรรไกร บาร์เบอร์ ตัดผม แบบคาดเอว รุ่น HL-910/A</t>
  </si>
  <si>
    <t xml:space="preserve">กระเป๋าใส่กรรไกร รุ่นHL-910/A สีดำ 
มีสายยาว สามารถปรับระดับได้ : ขนาดโดยประมาณ17x25x9ซม. 
ขนาดกระเป๋า
กว้าง 11.5 cm.  
ยาว 25 cm. 
ส่วนกระบอกติดข้างกระเป๋ามีขนาด
กว้าง 10 cm. 
ยาว 24 cm.
ฐานกว้าง 7 cm. 
มีสายเป็นผ้า สามารถปรับระดับได้ หนัง PVC น้ำหนัก 0.25
✔︎ มีช่องใส่กรรไกรถึง 5 ช่อง                                      
✔︎ กระเป๋าเสริมสามารถจุใส่อุปกรณ์เช่นหวีได้เพิ่มเติม
✔︎ มีสายสามารถ คาดเอวในตัว</t>
  </si>
  <si>
    <t>กว้าง 17 ซม. สูง 25 ซม.</t>
  </si>
  <si>
    <t xml:space="preserve">กระเป๋าใส่กรรไกร สีดำ 
 มีสายยาว สามารถปรับระดับได้ 
ขนาดกว้าง 12ซม. ยาว 23ซม.
✔︎ ทำจากวัสดุอย่างดี
✔︎ มีคาดคาดเอว 
✔︎ สามารถใส่กรรไกรและหวีได้
✔︎ มีห่วงไว้คาดเอว                                                                                              
✔︎ ช่วยให้หยิบใช้อุปกรณ์ได้ถนัดมือมากขึ้น </t>
  </si>
  <si>
    <t>กว้้าง 12 ซม. ยาว 23 ซม.</t>
  </si>
  <si>
    <r>
      <rPr>
        <u/>
        <color rgb="FF1155CC"/>
        <sz val="8"/>
        <rFont val="Arial"/>
      </rPr>
      <t>https://www.youtube.com/watch?v=OCGbCgAl2eg&amp;list=PLGjfh_21bFBeTNSSYIIjGfKXLP2npOZvj&amp;index=15</t>
    </r>
    <r>
      <rPr>
        <color rgb="FF000000"/>
        <sz val="8"/>
        <rFont val="Arial"/>
      </rPr>
      <t>5</t>
    </r>
  </si>
  <si>
    <t xml:space="preserve">       กระเป๋าใส่กรรไกร รุ่น HL-923 
กระเป๋าใส่กรรไกรวาเลนเต้สีดำ มีสายยาว สามารถปรับระดับได้ 
ขนาดกว้าง 12 ซม. ยาว 21ซม.
ดีไซน์สวยงาม แต่งกระดุมและตราปืนคู่  
✔︎ ใส่อุปกรณ์ช่าง กรรไกร หวี 
✔︎ มีสายคาดเอว  
✔︎ ช่วยให้หยิบใช้อุปกรณ์ได้ถนัดมือมากขึ้น</t>
  </si>
  <si>
    <t>กว้าง 12 ซม. ยาว 20 ซม.</t>
  </si>
  <si>
    <r>
      <rPr>
        <u/>
        <color rgb="FF1155CC"/>
        <sz val="8"/>
        <rFont val="Arial"/>
      </rPr>
      <t>https://www.youtube.com/watch?v=HTIlsQl7QqQ&amp;list=PLGjfh_21bFBeTNSSYIIjGfKXLP2npOZvj&amp;index=16</t>
    </r>
    <r>
      <rPr>
        <color rgb="FF000000"/>
        <sz val="8"/>
        <rFont val="Arial"/>
      </rPr>
      <t>6</t>
    </r>
  </si>
  <si>
    <t>แปรงไดร์กลม</t>
  </si>
  <si>
    <t xml:space="preserve">แปรงไดร์กลม (เบอร์1) ขนาด กว้าง5ซม.ยาว25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</si>
  <si>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4.5 ซม. ยาว 25 ซม.</t>
  </si>
  <si>
    <t xml:space="preserve">แปรงไดร์กลม (เบอร์2) ขนาด กว้าง 5ซม.ยาว 26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</si>
  <si>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(เบอร์3) ขนาดกว้าง5ซม. ยาว26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</si>
  <si>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(เบอร์4) ขนาดกว้าง 6ซม. ยาว 26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</si>
  <si>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แปรงไดร์ฟาร่า #10</t>
  </si>
  <si>
    <t xml:space="preserve">VALENTE  หวีแปรงกลมลายตรง 
แปรงไดร์ฟาร่า ด้ามไม้ แปรงไดร์ลอนเกาหลี ทนความร้อน ขนาด 10-16 แถว
รายละเอียดสินค้า
      HP-005 (10เถว) 
      HP-006 (12เเถว)  
      HP-007 (14เเถว)
      HP-008 (16เเถว)
คุณสมบัติ: 
       ✔︎ ตัวแปรงไดร์กลม มีหลายขนาด สามารถลอนเกาหลีได้ โดยไม่ต้องใช้เครื่องม้วน
       ✔︎ หวีด้ามไม้ จะทนความร้อนได้ดี แต่หากเป็นหวีแปรงแกนโลหะจะสามารถนำความร้อนได้ดีทำให้เซ็ทผมได้เร็วกว่า   </t>
  </si>
  <si>
    <t>10 แถว</t>
  </si>
  <si>
    <t>https://youtu.be/4WxLmv3JG8E</t>
  </si>
  <si>
    <t>แปรงไดร์ฟาร่า #12</t>
  </si>
  <si>
    <t>12 แถว</t>
  </si>
  <si>
    <t>แปรงไดร์ฟาร่า #14</t>
  </si>
  <si>
    <t>14 แถว</t>
  </si>
  <si>
    <t>แปรงไดร์ฟาร่า #16</t>
  </si>
  <si>
    <t>16 แถว</t>
  </si>
  <si>
    <t xml:space="preserve">แปรงไดร์กลม 8 แถว ขนาดความยาว 5x26.5 ซม. "**คุณสมบัติ
 -แปรงกลม ไดร์ผม HP-201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</si>
  <si>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5 ซม. ยาว 26.5 ซม.</t>
  </si>
  <si>
    <t>HS-98439/B</t>
  </si>
  <si>
    <t>กระปุกแป้ง พู่ปัดแป้ง แปรงปัดผม สีฟ้า HS-98439</t>
  </si>
  <si>
    <t xml:space="preserve">แปรงปัดผมเป็นตลับ มี2สี - สีฟ้า สีชมพู   -
สามารถใส่แป้งได้ ขนาดประมาน 7.5x9 ซม.
ใช้ปัดเศษผมพู่ตลับแป้ง
คุณสมบัติ:                                                                 
✔︎ พู่ปัดแป้งและกระปุกใส่แป้ง                                        
✔︎ ใช้ทาแป้งที่คอ                                            
✔︎ เพื่อป้องกันผมติดหลังคอ เวลาตัดผม
✔︎ นิยมใช้ในร้านบาร์เบอร์และซาลอน 
วิธีใช้: 
       ใช้หลังการตัดผม ปัดเศษผมเพื่อความสะอาด หรือแปรงอ่อน 
ใช้ในการปัดเศษผม ที่ติดตามหน้าและคอ</t>
  </si>
  <si>
    <t>กว้าง 9 ซม. สูง 7.5 ซม.</t>
  </si>
  <si>
    <t>https://youtu.be/pOrt385k3Mg</t>
  </si>
  <si>
    <t>HS-98439/P</t>
  </si>
  <si>
    <t>กระปุกแป้ง พู่ปัดแป้ง แปรงปัดผม สีชมพู HS-98439</t>
  </si>
  <si>
    <t>เอี้ยมช่าง ซาลอน รุ่น J001-1</t>
  </si>
  <si>
    <t xml:space="preserve">ผ้าคลุมช่างแอลแองเจล (เอี๊ยม) สีดำ
 - เนื้อผ้าอย่างดี 
 - สามารถปรับระดับมีสายผูกด้านหลัง 
 - มีขนาด 60x70 ซม.                                                     
วิธีใช้: ใช้สำหรับกันเปื้อนเสื้อผ้า</t>
  </si>
  <si>
    <t>กว้าง 60 ซม. ยาว 70 ซม.</t>
  </si>
  <si>
    <t>J-007</t>
  </si>
  <si>
    <t>เอี๊ยมช่าง สำหรับร้านซาลอน J-007</t>
  </si>
  <si>
    <t xml:space="preserve">คุณสมบัติ:
- เป็นเชือกผูกข้างทั้ง2ด้าน
- มีช่องใส่ของ
- ขนาด 47x88 ซม.                                                          
 **วิธีใช้: ใช้สำหรับกันเปื้อนเสื้อผ้า  </t>
  </si>
  <si>
    <t>กว้าง 50 ซม. สูง 90 ซม.</t>
  </si>
  <si>
    <t>กรรไกร ตัด+ซอย ขนาด 6นิ้ว 1 ชุดประกอบไปด้วย: - กรรไกรตัด+ซอย  - กระเป๋าใส่กรรไกร - ผ้า1ผืน - น้ำมัน 1ขวด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 สามารถดูวิธีใช้เพิ่มเติมได้ที่ QR code บนกล่อง</t>
  </si>
  <si>
    <t>กรรไกร ตัด+ซอย ขนาด6นิ้ว ชุุดกรรไกรตัด+ซอย 1 ประกอบไปด้วย: - กรรไกรตัด+ซอย    - กระเป๋าเก็บกรรไกร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**วัสดุมีคุณภาพ น้ำหนักเบาจับถนัดมือ ใช้สำหรับตัดแต่งทรงผม **สามารถดูวิธีใช้เพิ่มเติมได้ที่ QR code บนกล่อง</t>
  </si>
  <si>
    <t>https://youtu.be/Iaqm3qJT-o0</t>
  </si>
  <si>
    <t>หวีแปรงเปียก</t>
  </si>
  <si>
    <t>หวีแปรงเปียก ขนาดกว้าง 4 ซม. ยาว 21 ซม. การหวีผมในขณะที่เปียก ทำให้เส้นผมขาดหลุดล่วง แต่หากเลือกใช้หวีที่ถูกลักษณะ เส้นผมขณะเปียกก็จะไม่หลุดล่วง คุณสมบัติ: หวีแปรงเปียก วิธีใช้: ใช้หวีศรีษะขณะเส้นผมเปียก หลังสระผม</t>
  </si>
  <si>
    <t>กว้าง 4 ซม. ยาว 21 ซม.</t>
  </si>
  <si>
    <t>https://youtu.be/NouM0V4sWdQ</t>
  </si>
  <si>
    <t xml:space="preserve">หวีแปรงเปียก ใช้สำหรับหวีเวลาผมเปียกได้ดี เหมาะสำหรับทุกเพศ ทุกวัย 
  " การหวีผมในขณะที่เปียก ทำให้เส้นผมขาดหลุดล่วง 
 แต่หากเลือกใช้หวีที่ถูกลักษณะ เส้นผมขณะเปียกก็จะไม่หลุดล่วง
  โดยนวัตกรรม "แปรงหวีผมเปียก" ช่วยหวีผมเปียกให้ไม่พันกัน 
 และไม่ขาด อีกทั้งหลังผมแห้งยังลดอาการชี้ฟูของผมได้อย่างดี 
 แม้ไม่ได้ไดร์ผม มีด้ามจับถนัดมือ ใช้งานสะดวก สามารถใช้กับผมได้ทุกประเภท "
  คุณสมบัติ: 
 - ลดผมหลุดร่วงขณะผมเปียก
 - หลังผมแห้งแล้วลดการชี้ฟูแม้ไม่ได้ไดร์ผม
 - ซี่หวีนวดหนังศีรษะให้รู้สึกผ่อนคลายได้เป็นอย่างดี
 - ด้ามจับถนัดมือ สะดวกสบายในการใช้
 - ใช้ได้นาน ล้างทำความสะอาดได้ง่ายมาก
 - ลดอาการชี้ฟูของเส้นผม 
  วิธีใช้: 
 ใช้หวีศรีษะขณะเส้นผมเปียก หลังสระผม</t>
  </si>
  <si>
    <t>กว้าง 5 ซม. ยาว 21 ซม.</t>
  </si>
  <si>
    <t>หวีขึ้นทรง</t>
  </si>
  <si>
    <t xml:space="preserve">หวีโค้งรองซอย-ตัด เหมาะสำหรับตัดผมด้วยตนเอง เข้ากับรูปศรีษะ รุ่น JM-701
รุ่น : JM-701
มี 2 สี
✔︎ ชมพู
✔︎ ขาว
ขนาด : ยาว 22.2cm  กว้าง 5cm
✔︎ หวีโค้งรับกับศรีษะ
✔︎รองซอย
✔︎ขึ้นทรง ด้วยตัวเอง</t>
  </si>
  <si>
    <t>กว้าง 4.5 ซม. สูง 22.5 ซม.</t>
  </si>
  <si>
    <t>K-003/BLU</t>
  </si>
  <si>
    <t>ผ้าคลุมซอยสำหรับซาลอน รุ่น K-003</t>
  </si>
  <si>
    <t xml:space="preserve">ผ้าคลุมซอยสำหรับซาลอน (K-003)
ขนาด กว้าง 130x สูง 140 ซม.
- ผ้าคลุมซอยลายการ์ตูน มี3สี สีเทา / สีม่วง / สีฟ้า -
คุณสมบัติ:                                                            
ผ้าคลุมซอยสำหรับบาร์เบอร์และซาลอน ลายการ์ตูน                                                                        
✔︎ ยืนยันราคาถูกที่สุด                                                
✔︎ ของแท้ 100%                                                      
✔︎ วัสดุใช้เนื้อผ้าระบายความร้อนได้ดี                             
✔︎ สามารถปรับสายได้
✔︎ นิยมมากในร้านทำผม
*เหมาะสำหรับร้านบาร์เบอร์และซาลอน</t>
  </si>
  <si>
    <t>กว้าง 130 ซม. สูง 140 ซม.</t>
  </si>
  <si>
    <t>K-011/1</t>
  </si>
  <si>
    <t>CUTTING APRON ：ผ้าคลุมซอย K-011/1</t>
  </si>
  <si>
    <t xml:space="preserve">ผ้าคลุมซอยสีม่วง ขนาด 130 x 140ซม.
    ด้านหลังเป็นตะขอเกี่ยวสามารถปรับระดับได้
ผ้าเคลือบสาร "ฮายโดรโพรบิค" หรือ "สารน้ำกลิ้ง" 
กันน้ำได้ 100% 
เนื้อสัมผัสหยาบนิดหน่อย ทำความสะอาดง่าย
คุณสมบัติ:                                                            
ผ้าคลุมซอยสำหรับบาร์เบอร์และซาลอน                                                                 
✔︎ ยืนยันราคาถูกที่สุด                                               
✔︎ ของแท้ 100%                                                      
✔︎ วัสดุใช้เนื้อผ้าระบายความร้อนได้ดี                            
✔︎ สามารถปรับสายได้</t>
  </si>
  <si>
    <t>CUTTING APRON ผ้าคลุมซอย K-011/2</t>
  </si>
  <si>
    <t xml:space="preserve">ผ้าคลุมซอยสีกรม ขนาด 123 x 140ซม. 
    ด้านหลังเป็นตะขอเกี่ยวสามารถปรับระดับได้
ผลิตจากวัสดุ :
ผ้าเคลือบสาร "ฮายโดรโพรบิค" หรือ "สารน้ำกลิ้ง" 
กันน้ำได้ 100% 
เนื้อสัมผัสหยาบนิดหน่อย ทำความสะอาดง่าย
คุณสมบัติ:                                                            
ผ้าคลุมซอยสำหรับบาร์เบอร์และซาลอน                                                                   
✔︎ ยืนยันราคาถูกที่สุด                                               
✔︎ ของแท้ 100%                                                      
✔︎ วัสดุใช้เนื้อผ้าระบายความร้อนได้ดี                            
✔︎ สามารถปรับสายได้</t>
  </si>
  <si>
    <t>K-028/1-BL</t>
  </si>
  <si>
    <t>BARBER BRUSH แปรงปัดผม พู่ปัดแป้ง 2in1 รุ่น  K-028/1 สีฟ้า</t>
  </si>
  <si>
    <t xml:space="preserve">BARBER BRUSH พู่ปัดแป้งแบบบรรจุแป้งด้านใน
แปรงปัดผมขน มี5สี สีชมพู -  มีสี ฟ้า ส้ม ชมพู เทา ทอง   -  
สามารถบรรจุแป้งด้านในได้ ขนาดสินค้า 5x16 ซม. ใช้ปัดเศษผม
คุณสมบัติ:                                                        
✔︎ 2in1 พู่ปัดแป้ง ปัดเส้นผม                               
✔︎ ขนาดแปรงจับถนัดมือ                                    
✔︎ ใช้งานง่าย เพียงกดปุ่มเพื่อให้แป้งออกมาขณะปัดเศษผม    
✔︎ แปรงปัดแป้งฝุ่นทรงโดมพุ่มใหญ่หนานุ่มที่มีเอกลักษณ์เฉพาะตัว
✔︎ ผลิตจากวัสดุขนสังเคราะห์เกรดพรีเมียมคุณภาพดี และไม่บาดผิวหน้า
✔︎ ขนแปรงสามารถเกาะผงแป้งได้อย่างดี ช่วยให้คุณปัดแป้งได้อย่างรวดเร็ว
✔︎ ด้วยพุ่มขนขนาดใหญ่และหนานุ่มให้ความรู้สึกนุ่มละมุนทุกครั้งที่แต่งหน้า
✔︎ มีขนาดกำลังพอดี  จับถนัดมือ น้ำหนักเบา เหมาะสำหรับพกพา                                              
วิธีใช้: 
    ใช้หลังการตัดผม ปัดเศษผมเพื่อเก็บรายละเอียด และความสะอาด 
หรือแปรงอ่อน ใช้ในการปัดเศษผม ที่ติดตามหน้าและคอ</t>
  </si>
  <si>
    <t>กว้าง 5.5 ซม. สูง 7.5 ซม.</t>
  </si>
  <si>
    <t>https://youtu.be/NeLrZZqcpLo</t>
  </si>
  <si>
    <t>K-028/1-GR</t>
  </si>
  <si>
    <t>BARBER BRUSH แปรงปัดผม พู่ปัดแป้ง 2in1 รุ่น  K-028/1 สีเขียว</t>
  </si>
  <si>
    <t>K-028/1-P</t>
  </si>
  <si>
    <t>BARBER BRUSH แปรงปัดผม พู่ปัดแป้ง 2in1 รุ่น  K-028/1 สีชมพู</t>
  </si>
  <si>
    <t>K-028/1-R</t>
  </si>
  <si>
    <t>BARBER BRUSH แปรงปัดผม พู่ปัดแป้ง 2in1 รุ่น  K-028/1 สีแดง</t>
  </si>
  <si>
    <t>K-028/1-V</t>
  </si>
  <si>
    <t>BARBER BRUSH แปรงปัดผม พู่ปัดแป้ง 2in1 รุ่น  K-028/1 สีม่วง</t>
  </si>
  <si>
    <t>K-050/B</t>
  </si>
  <si>
    <t>ผ้าคลุมซอย เจาะช่องใส่ สำหรับเล่นมือถือหรืออ่านหนังสือ VALENTE รุ่น K-050 สีฟ้า</t>
  </si>
  <si>
    <t xml:space="preserve">ผ้าคลุมซอยมีช่องใสมี5สี 
- สีเขียวอ่อน สีน้ำเงิน สีส้ม สีเหลือง สีชมพู -
 ขนาด กว้าง 130x สูง 140ซม. 
ด้านหลังเป็นตะขอเกี่ยวสามารถปรับระดับได้
ผลิตจากวัสดุ :
 ผ้าเสอร์ช กันน้ำได้ 80% 
 เนื้อนุ่มมาก ระบายความร้อนได้ดี
คุณสมบัติ:                                                          
         (พิเศษ) ผ้าคลุมซอย เว้นบริเวณหน้าท้อง เป็นช่องใส สามารถให้ลูกค้าอ่านหนังสือนิตยสาร
หรือเล่นโทรศัพท์มือถือรอระหว่างขณะทำบาร์เบอร์และซาลอน                                                                        
✔︎ ยืนยันราคาถูกที่สุด                                                
✔︎ ของแท้ 100%                                                      
✔︎ วัสดุใช้เนื้อผ้าระบายความร้อนได้ดี                          
✔︎ ผ้าลื่น ตัดผมแล้วผมไม่ติดผ้า                                     
✔︎ สามารถปรับสายได้
✔︎ สะดวกแก่การบริการมากยิ่งขึ้น </t>
  </si>
  <si>
    <t>กว้าง 130 ซม. สููง 140 ซม.</t>
  </si>
  <si>
    <t>K-050/G</t>
  </si>
  <si>
    <t>ผ้าคลุมซอย เจาะช่องใส่ สำหรับเล่นมือถือหรืออ่านหนังสือ VALENTE รุ่น K-050 สีเชียวมิ้น</t>
  </si>
  <si>
    <t>K-050/P</t>
  </si>
  <si>
    <t>ผ้าคลุมซอย เจาะช่องใส่ สำหรับเล่นมือถือหรืออ่านหนังสือ VALENTE รุ่น K-050 สีีชมพู</t>
  </si>
  <si>
    <t>K-050/Y</t>
  </si>
  <si>
    <t>ผ้าคลุมซอย เจาะช่องใส่ สำหรับเล่นมือถือหรืออ่านหนังสือ VALENTE รุ่น K-050 สีเหลือง</t>
  </si>
  <si>
    <t>K-078/B</t>
  </si>
  <si>
    <t>ผ้าคลุมซอย ลายดอกไม้ L'ANGEL สีฟ้า รุ่น K-078</t>
  </si>
  <si>
    <t xml:space="preserve">ผ้าคลุมซอยลายแอลแองเจล 
ขนาด :   
กว้าง148 ซม  สูง 163ซม. 
ผลิตจากวัสดุ : 
ผ้าเคลือบสาร "ฮายโดรโพรบิค" หรือ "สารน้ำกลิ้ง" 
กันน้ำได้ 100% 
เนื้อสัมผัสหยาบนิดหน่อย ทำความสะอาดง่าย
คุณสมบัติ:                                                            
✔︎ ผ้าคลุมซอยสำหรับซาลอน 
✔︎ สกรีนโลโก้ L'ANGEL ตกแต่วด้วยลายดอกไม้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</si>
  <si>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กว้าง 150 ซม. สูง 165 ซม.</t>
  </si>
  <si>
    <t>K-078/P</t>
  </si>
  <si>
    <t>ผ้าคลุมซอย ลายดอกไม้ L'ANGEL สีชมพู รุ่น K-078</t>
  </si>
  <si>
    <t>แผ่นฟอยด์ลูมิเนียมทำช่อไฮไลท์ แบบยาว</t>
  </si>
  <si>
    <t xml:space="preserve">ใช้พันช่อผม เพื่อทำไฮไลท์  เพื่อกระจายความร้อน 
คุณสมบัติ:                                                                        
          ✔︎ แผ่นฟอยล์ อะลูมิเนียม 
          ✔︎ พร้อมที่ตัดในตัว 
          ✔︎ ใช้ในการพันช่อผม  เพื่อทำไฮไลท์  
          ✔︎ เพื่อกระจายความร้อน  
          ✔︎ ใช้งานสะดวก ดึงแล้วตัดจากกล่องได้เลย</t>
  </si>
  <si>
    <t>https://youtu.be/sH6bqMLx3Is</t>
  </si>
  <si>
    <t>แผ่นฟอยด์ลูมิเนียมทำช่อไฮไลท์ แบบสั้น</t>
  </si>
  <si>
    <t>กว้าง 9 ซม.</t>
  </si>
  <si>
    <t>https://youtu.be/EsCjVVXgZVI</t>
  </si>
  <si>
    <t xml:space="preserve">VALENTE Wood Brush / Clamping Brush แปรงไม้หนีบผมขนหมูป่า ด้ามไม้วาเลนเต้ หวีหนีบผม ทนความร้อนได้ </t>
  </si>
  <si>
    <t xml:space="preserve">VALENTE Wood Brush / Clamping Brush
แปรงไม้หนีบผมขนหมูป่าด้ามไม้วาเลนเต้ 
รุ่น LU-1702
ขนาดกว้าง 3.5cm ยาว 22cm
✅ รับประกันคุณภาพ
✅ ขนม้า
✅ วัสดุสีไม้ ด้ามไม้
✅ แปรงหนีบผม
✅ ใช้ขณะหนีบผม เป็นตัวช่วยในการหนีบผม
✅ หวีหนีบ หวีสาง ใช้เป็นตัวช่วยในการหนีบผม </t>
  </si>
  <si>
    <t>กว้้าง 3.5 ซม. ยาว 22 ซม.</t>
  </si>
  <si>
    <t>https://youtu.be/bET0RH4s-UM</t>
  </si>
  <si>
    <t xml:space="preserve">กิ๊ฟปากจระเข้ กิ๊ฟปากเป็ด </t>
  </si>
  <si>
    <t xml:space="preserve">กิ๊ฟหนีบผมปากจระเข้ มี 5ชิ้น ต่อ1แพ็ค
1แพ็คมี 5 ชิ้น ขนาดกว้าง 1.5ซม. ยาว 12ซม. 
กิ๊บหนีบผมปากจรเข้ ใช้แบ่งผม ขนาดใหญ่แบบร้านเสริมสวยใช้                                                                
คุณสมบัติ:
          ✔︎ กิ๊บปากจระเข้ ใหญ่มาก ใช้หนีบผม                                                          
          ✔︎ มี 4 สี น้ำเงิน ดำ แดง ม่วง 
          ✔︎ ผมยาวปะบ่า สามารถหนีบได้ทั้งหัว
          ✔︎ อุปกรณ์ช่างทำผม          
         ✔︎ ร้านเสริมสวยใช้
วิธีใช้: 
ใช้หนีบผม แบ่งช่อ จัดระเบียบ ทรงผม </t>
  </si>
  <si>
    <t>กว้าง 1.5 ซม. ยาว 12 ซม.</t>
  </si>
  <si>
    <t>https://youtu.be/1mTjcUYdmfE</t>
  </si>
  <si>
    <t>NECKERCHIEF กระดาษรองคอ กันเส้นผมเข้าเสื้อผ้าขณะตัดผม รุ่น  M-45</t>
  </si>
  <si>
    <t xml:space="preserve">กระดาษรองคอ 1 แพ็ค  มี 5 ม้วน 
1 ม้วน มี 100 แผ่น
ใช้พันคอเพื่อป้องกันไม่ให้เศษผมตกไปที่ซอกคอ 
คุณสมบัติ:
✔︎ ใช้พันบริเวณลำคอเพื่อป้องกันไม่ให้เศษผมตกไปที่ซอกคอขณะตัดผม                                                     
✔︎ กาวเหนียวแน่นกระดาษยืดหยุ่นไม่ขาดง่าย                  
วิธีใช้: ใช้ขณะการตัดผมโกนหนวด </t>
  </si>
  <si>
    <t>https://youtu.be/eEUNyIUmfkw</t>
  </si>
  <si>
    <t>หมองรองมือหนัง</t>
  </si>
  <si>
    <t>หมองรองมือหนัง ขนาดกว้าง 7 ซม. ยาว 29 ซม. คุณสมบัติ: ✔︎ วัสดุุทำจาก PVC หรือพลาสติกแปรรูป ✔︎ ใช้สำหรับรองมือขณะทำเล็บ ✔︎ ป้องกันอาการเมื่อยข้อมือของลูกค้า วิธีใช้: ใช้สำหรับการทำเล็บหรือการทำสปามือ คุณสมบัติ: ✔︎ วัสดุุทำจาก PVC หรือพลาสติกแปรรูป ✔︎ ใช้สำหรับรองมือขณะทำเล็บ ✔︎ ป้องกันอาการเมื่อยข้อมือของลูกค้า วิธีใช้: ใช้สำหรับการทำเล็บหรือการทำสปามือ</t>
  </si>
  <si>
    <t>อุปกรณ์ทำเล็บ</t>
  </si>
  <si>
    <t>กว้าง 9.5 ซม. ยาว 29.5 ซม. สูง 6 ซม.</t>
  </si>
  <si>
    <t>ตะไบขัดส้นเท้า</t>
  </si>
  <si>
    <t xml:space="preserve">ตะไบขัดส้นเท้า ขนาดกว้าง 6 ซม. ยาว 26 ซม "ตะไบขัดส้นเท้าลดอาการ ""ส้นเท้าแตก"" เป็นร่องจนเจ็บเวลาเดิน หรือมีเลือดซึมๆ ออกมาด้วยก็มี ดังนั้นการรักษา ""ส้นเท้าแตก"" ทำได้ง่ายๆได้ด้วยตนองทั้งจากการใช้น้ำอุ่น+หรือการใช้หินในการขัดเท้า คุณสมบัติ:
 ✔︎ ตะไบขัดส้นเท้า 
 ✔︎ ที่ขัดส้นเท้า 
 ✔︎ ขจัดร่องส้นเท้าแตก
 ✔︎ ขัดเซลล์ผิวที่ตายแล้ว
 ✔︎ สามารถใช้ในการทำสปา
  วิธีการใช้งาน:
 1.นำเท้าแช่ในน้ำอุ่นประมาณ 10-15 นาที จนบริเวณหนังส้นเท้านิ่ม
 2.ใช้ด้านหยาบมาก ขัดบริเวณส้นเท้าที่แตก 
 3.หลังจากนั้น สามารถบำรุงด้วยการทาครีมเพื่อบำรุงเพิ่มความชุ่มชื่นให้กับส้นเท้า **สามารถทำได้สัปดาห์ละ 2-3 ครั้ง ต่อเนื่องประมาณ 1 เดือน ก็จะเห็นผลที่ดีขึ้น**"</t>
  </si>
  <si>
    <t>กว้าง 6 ซม. ยาว 26 ซม.</t>
  </si>
  <si>
    <t>ที่คีบแบบงอ</t>
  </si>
  <si>
    <t>ที่คีบแบบงอ ขนาดยาว 13ซม. คุณสมบัติ: ✔︎ อุปกรณ์จัดแต่งเล็บ ✔︎ วัสดุทำจากสแตนเลสคุณภาพ ✔︎ น้ำหนักเบา จับถนัดมือ ✔︎ ใช้สำหรับงานเพ้นท์เล็บตกแต่งเล็บ วิธีใช้: ใช้สำหรับการเพ้นท์เล็บ</t>
  </si>
  <si>
    <t>ที่คีบแบบตรง</t>
  </si>
  <si>
    <t>ที่คีบแบบตรงขนาดยาว 14 ซม. คุณสมบัติ: ✔︎ อุปกรณ์จัดแต่งเล็บ ✔︎ วัสดุทำจากสแตนเลสคุณภาพ ✔︎ น้ำหนักเบา จับถนัดมือ ✔︎ ใช้สำหรับงานเพ้นท์เล็บตกแต่งเล็บ วิธีใช้: ใช้สำหรับการเพ้นท์เล็บ</t>
  </si>
  <si>
    <t>กรรไกรตัดหนัง</t>
  </si>
  <si>
    <t xml:space="preserve">กรรไกรตัดหนัง ขนาดยาว 10 ซม. "คุณสมบัติ:
 ✔︎ กรรไกรตัดหนัง 
 ✔︎ ใช้ตัดหนังได้ทั้งมือและเท้า 
 ✔︎ กรรไกรคมมาก คุณภาพดี
 วิธีใช้: ใช้สำหรับการทำเล็บหรือการทำสปามือ ข้อควรระวัง ใบมีดมีความคมควรตัดอย่างระมัดระวัง"</t>
  </si>
  <si>
    <t>หมอนรองมือลายเสือดาว</t>
  </si>
  <si>
    <t>ยาว 20.5 ซม. กว้าง 11 ซม.</t>
  </si>
  <si>
    <t>OY-926</t>
  </si>
  <si>
    <t>เข็มจิ้มอุปกรณ์ตกแต่งเล็บ</t>
  </si>
  <si>
    <t>เข็มจิ้มอุปกรณ์ตกแต่งเล็บ ขนาด ยาว 13 ซม. คุณสมบัติ: ✔︎ อุปกรณ์จัดแต่งเล็บ ✔︎ วัสดุทำจากสแตนเลสคุณภาพ ✔︎ น้ำหนักเบา จับถนัดมือ ✔︎ ใช้สำหรับงานเพ้นท์เล็บตกแต่งเล็บ วิธีใช้: ใช้สำหรับการเพ้นท์เล็บ</t>
  </si>
  <si>
    <t>ยาว 13 ซม.</t>
  </si>
  <si>
    <t>OY-934</t>
  </si>
  <si>
    <t>ตะไบแบบหนา เหลี่ยม</t>
  </si>
  <si>
    <t xml:space="preserve">ตะไบแบบหนา ทรงเหลี่ยม
ขนาดกว้าง 3 ซม. ยาว 18 ซม.
วิธีใช้:                                                    
✔︎ ตะไบแบบหนา หม่น                             
✔︎ใช้สำหรับจัดแต่งหรือเก็บงานของทรงเล็บ 
✔︎สามารถตะไบทรงหลังต่อเล็บเจลหรือต่ออะคลิลิค                                                
✔︎ ใช้ตะไบเตรียมหน้าเล็บเพื่อทาสีเจล </t>
  </si>
  <si>
    <t>กว้าง 3 ซม. ยาว 18 ซม.</t>
  </si>
  <si>
    <t>OY-934/1</t>
  </si>
  <si>
    <t>ตะไบแบบหนา หม่น</t>
  </si>
  <si>
    <t>ตะไบแบบหนา หม่น ขนาด กว้าง 2 ซม. ยาว 14 ซม. วิธีใช้:  ✔︎ ตะไบแบบหนา หม่น ✔︎ใช้สำหรับจัดแต่งหรือเก็บงานของทรงเล็บ ✔︎สามารถตะไบทรงหลังต่อเล็บเจลหรือต่ออะคลิลิค  ✔︎ ใช้ตะไบเตรียมหน้าเล็บเพื่อทาสีเจล</t>
  </si>
  <si>
    <t>กว้าง 2 ซม. ยาว 14 ซม.</t>
  </si>
  <si>
    <t>OY-937</t>
  </si>
  <si>
    <t>แผงโชว์เล็บ</t>
  </si>
  <si>
    <t>แผ่งโชว์เล็บ ขนาดกว้าง 3 ซม. ยาว 10 ซม. คุณสมบัติ : ✔︎ วัสดุทำจากแผ่นอะคริลิคคุณภาพดี ✔︎ แข็งแรง ทนทาน ✔︎ สามารถใส่ลายเล็บหรือเล็บปลอมได้ถึง 50 ช่อง ✔︎ ช่วยจัดระเบียบและสะดวกสบาย ดูง่าย วิธีใช้: ใช้สำหรับใส่เล็บปลอม</t>
  </si>
  <si>
    <t>กล่องพลาสติกใส่เล็บปลอม</t>
  </si>
  <si>
    <t xml:space="preserve">กล่องพลาสติกใส่เล็บปลอม ขนาด กว้าง 3 ซม. ยาว 18 ซม. "คุณสมบัติ: ✔︎ กล่องใส่สำหรับอะไหล่ / เล็บปลอม PVC หรืออุปกรณ์ชิ้นเล็กๆ ✔︎ 10 ช่อง สามารถบรรจุได้ถึง 500 ชิ้น
 ✔︎ ใช้เก็บเล็บปลอมตามขนาด พร้อมเบอร์หน้ากล่อง 0-9 ✔︎ ช่วยในการจัดระเบียบไซต์เล็บ วิธีใช้: ใช้สำหรับจัดเก็บเล็บปลอม PVC หรืออุปกรณ์ตกแต่งเล็บ"</t>
  </si>
  <si>
    <t xml:space="preserve">ตะไบขัดส้นเท้า ขนาดกว้าง 6 ซม. ยาว 23 ซม. "ตะไบขัดส้นเท้าลดอาการ ""ส้นเท้าแตก"" เป็นร่องจนเจ็บเวลาเดิน หรือมีเลือดซึมๆ ออกมาด้วยก็มี ดังนั้นการรักษา ""ส้นเท้าแตก"" ทำได้ง่ายๆได้ด้วยตนองทั้งจากการใช้น้ำอุ่น+หรือการใช้หินในการขัดเท้า คุณสมบัติ:
 ✔︎ ตะไบขัดส้นเท้า 
 ✔︎ ที่ขัดส้นเท้า 
 ✔︎ ขจัดร่องส้นเท้าแตก
 ✔︎ ขัดเซลล์ผิวที่ตายแล้ว
 ✔︎ สามารถใช้ในการทำสปา
  วิธีการใช้งาน:
 1.นำเท้าแช่ในน้ำอุ่นประมาณ 10-15 นาที จนบริเวณหนังส้นเท้านิ่ม
 2.ใช้ด้านหยาบมาก ขัดบริเวณส้นเท้าที่แตก 
 3.หลังจากนั้น สามารถบำรุงด้วยการทาครีมเพื่อบำรุงเพิ่มความชุ่มชื่นให้กับส้นเท้า **สามารถทำได้สัปดาห์ละ 2-3 ครั้ง ต่อเนื่องประมาณ 1 เดือน ก็จะเห็นผลที่ดีขึ้น**"""</t>
  </si>
  <si>
    <t>ยาว 23 ซม. กว้าง 5.5 ซม.</t>
  </si>
  <si>
    <t>OY-957</t>
  </si>
  <si>
    <t>กรรไกรตัดเล็บปลอม</t>
  </si>
  <si>
    <t xml:space="preserve">กรรไกรตัดเล็บปลอม ขนาด ยาว 13 ซม. "คุณสมบัติ: ✔︎ กรรไกรตัดเล็บปลอม คีมตัดเล็บปลอม คีมตัดแต่งเล็บปลอม
 ✔︎ คีมตัดเล็บปลอม. สามารถตัดแต่งขนาดเล็บปลอมให้ได้ตามขนาดความต้องการ สีชมพูน่ารัก ขนาดเหมาะมือ
 วิธีใช้: ใช้สำหรับงานตัดปลายเล็บปลอม PVC เท่านั้น ไม่แนะนำใช้ตัดเล็บมือ"</t>
  </si>
  <si>
    <t>พู่กันปั้นดอก</t>
  </si>
  <si>
    <t>พู่กันปั้นดอก เบอร์ 2 ขนาดยาว 17 ซม. คุณสมบัติ: ✔︎ พู่กันเกรดปานกลางเหมาะกับผู้เรียนที่กำลังฝึกหัดต่อหรือปั้น ✔︎ ปั้นดอกไม้ ปั้นตุ๊กตาตัวการ์ตูน ปั้นโบว์ ✔︎ เป็นพู่กันที่ใช้ต่อง่าย ปั้นง่ายเเละราคาไม่เเพง เพราะเวลาฝึกหัดต่อผู้เรียนส่วนใหญ่ยังไม่ชินกับการต่อเเละการจุ่มน้ำยาตักผง ทำให้พู่กันแตกปลายและเสียง่าย วิธีใช้: ใช้งานไม่ควรให้ผงติดพู่กันเพราะจะทำให้ตัวขนของพู่กันมีความเหนียวหนืดและพอเเห้งเเล้วจะเเข็ง ทำให้พู่กันเสียทรงแล้วล้างออกยาก ควรจุ่มน้ำยาแล้วเช็ดกับกระดาษทิชชู่เเบบเเข็ง ต่อไปเช็ดไป เช็ดบ่อยๆจะช่วยถนอมทรงของพู่กันค่ะ</t>
  </si>
  <si>
    <t>ยาว 17 ซม.</t>
  </si>
  <si>
    <t>แผ่นทดลองเพ้นท์ลาย</t>
  </si>
  <si>
    <t xml:space="preserve">แผ่นทดลองเพ้นท์ลาย ขนาด 21 ซม. ยาว 30 ซม. "คุณสมบัติ: 
 ✔︎ ทำจากวัสดุดีมีคุณภาพ 
 ✔︎ แผ่นฝึกเพ้นท์ลวดลาย สามารถทำความสะอาดและใช้ซ้ำได้ 
 ✔︎ ใช้สำหรับในการฝึกเพ้นเล็บท์ได้หลากหลายลวดลาย 
 ✔︎ ช่วยให้โต๊ะเพ้นท์เล็บสะอาดและเป็นระเบียนยิ่งขึ้น 
 วิธีใช้: ใช้ฝึกเพ้นท์ลวดลายและใช้เป็นแผ่นลองพู่กันหรือใช้ลองเทียบสี
 **ใช้ได้ทั้งมือใหม่และมืออาชีพ**"</t>
  </si>
  <si>
    <t>พู่กันจีนเพ้นท์เล็บ</t>
  </si>
  <si>
    <t xml:space="preserve">พู่กันจีนเพ้นท์เล็บ ขนาดยาว 17 ซม. "คุณสมบัติ:
 ✔︎ วัสดุทำจากอะคริลิค ✔︎ เหมาะสำหรับการเพ้นท์เล็บ ✔︎ เหมาะสำหรับเล็บธรรมชาติ,เล็บปลอมและการทำสามมิติ 3D 
 ✔︎ ใช้งานง่าย ✔︎ สามารถใช้ได้ทั้งร้านค้าที่ทำเกี่ยวกับการทำเล็บและเหมาะสำหรับการทำด้วยตนเอง วิธีใช้: ใช้สำหรับเพ้นท์ลวดลาย"</t>
  </si>
  <si>
    <t>ขวดใส่น้ำยาล้างเล็บ</t>
  </si>
  <si>
    <t xml:space="preserve">ขวดใส่น้ำยาล้างเล็บ ขนาด กว้าง 6 ซม. ยาว 11 ซม. "คุณสมบัติ:
 ✔︎ สามารถบรรจุได้ 150-200 ml.
 ✔︎ วัสดุทำจากพลาสติกชั้นดี ทนทาน ✔︎ สามารถใส่ได้ทั้งน้ำยาล้างเล็บ น้ำยาถอดเล็บ และคลีนซิ่งเช็ดเครื่องสำอางค์ วิธีใช้: ใช้สำหรับใส้น้ำยาล้างเล็บ น้ำนาถอดเล็บ และคลีนซิ่งเช็ดเครื่องสำอางค์ เพียงแค่ใช้สำลีกดลงไปบนฝาปั๊ม น้ำยาก็จะซึมเข้าสำลี ทำให้ง่ายและสะดวกต่อการใช้งาน"</t>
  </si>
  <si>
    <t xml:space="preserve">ถุงมือพลาสติกใส </t>
  </si>
  <si>
    <t xml:space="preserve">Disposable Gloves ถุงมือพลาสติกใส ถุงมืออเนกประสงค์ ถุงมือแบบใช้แล้วทิ้ง  มีไซต์ S,M,L รหัส OY-983
ถุงมือพีวีซีแบบใช้แล้วทิ้ง
 - ถุงมือเกรดอาหาร ถุงมือแพทย์ โปรโกลฟ  ถุงมือทำครัว 
 - ทุกขนาด S,M,L
S: ขนาด 6-7 นิ้ว
M: ขนาด 7.5-8 นิ้ว
L : ขนาด 8.5-9 นิ้ว
📍วิธีการวัด:
เหยียดฝ่ามือวัดจุดเชื่อมต่อของนิ้วโป้งและนิ้วชี้ไปที่ขอบฝ่ามือ
ได้รับความกว้างฝ่ามือแล้วเลือกขนาดที่สอดคล้องกัน</t>
  </si>
  <si>
    <t>S 6-7 นิ้ว M 7.5-8 นิ้ว L 8.5-9 นิ้ว</t>
  </si>
  <si>
    <t>OY-987</t>
  </si>
  <si>
    <t>ชุดพู่กันสำหรับแต่งเจล</t>
  </si>
  <si>
    <t xml:space="preserve">ชุดพู่กันสำหรับแต่งเจล ขนาดยาว 18 ซม. "คุณสมบัติ:
 ตอบสนองทุกความต้องการของคุณสำหรับการทำเล็บ ชุดพู่กันสำหรับแต่งเล็บเจล ความยาว 18 ซม.
 1. สามารถถูกใช้สำหรับภาพวาดดอกไม้ผีเสื้อใบคลื่นและอื่นๆ
 2. เหมาะสำหรับใช้ในบ้านและซาลอนทำเล็บมืออาชีพ 
 3. สามารถถูกใช้แปรงเจลขัดบนเล็บธรรมชาติ, เล็บปลอม, เล็บอะคริลิค"</t>
  </si>
  <si>
    <t>ยาว 18 ซม.</t>
  </si>
  <si>
    <t>ตะไบหยาบแบบบางมาก</t>
  </si>
  <si>
    <t>ตะไบหยาบแบบบางมาก ขนาดกว้าง 2 ซม. ยาว 18 ซม. วิธีใช้: ✔︎ตะไบหยาบ แบบบางมาก ✔︎ สำหรับใช้ตะไบทรงเล็บอคิลิคและเล็บเจล</t>
  </si>
  <si>
    <t>ยาว 18 ซม. กว้าง 2 ซม.</t>
  </si>
  <si>
    <t xml:space="preserve">- 1แพ็คมี2ชิ้น
- ขนาด5x11ซม.
       ลักษณะอุปกรณ์แบ่งผมคล้ายตีนตุ๊กแก ใช้แบ่งผมแทนกิ๊บ 
เป็นตัวเลือกที่ทำให้ผมไม่หัก และไดร์ง่าย 
คุณสมบัติ 
✔︎ ช่วยจัดผมไม่ให้ผมเสียทรง 
✔︎ ใช้แปะหน้าม้าไม่ให้ปิดบังใบหน้า  
✔︎ ใช้แปะผมขณะแต่งหน้า 
✔︎ ใช้ง่าย แต่งหน้าสะดวก ผมไม่เป็นรอย 
✔︎ ใช้ได้บ่อยตามต้องการเหมาะกับคนผมไม่เยอะหรือหนามาก 
มีมันก็ช่วยให้เป็นประโยชน์มากกว่าโดยปกติ และนำมาติดก่อนแต่งหน้าได้ด้วย</t>
  </si>
  <si>
    <t>5x11 ซม.</t>
  </si>
  <si>
    <t>https://youtu.be/NTWug1MvIaQ</t>
  </si>
  <si>
    <t>PH-A18002/B</t>
  </si>
  <si>
    <t>กระบอกฉีดน้ำรูปหัวกระโหลกบาร์เบอร์เบรน รหัส PH-A18002/B</t>
  </si>
  <si>
    <t xml:space="preserve">กระบอกฉีดน้ำ บาร์เบอร์ เบรน ลายหัวกะโหลก 
มี3 สี สีดำ สีส้ม สีขาว  กว้าง 9ซม. ยาว 22 ซม.
คุณสมบัติ:                                                                 
✔︎ กระบอกฉีดน้ำ หัวฟ้อกกี้ ดีไซส์สวย 
✔︎ วัสดุทำจากพลาสติกชั้นดี มีคุณภาพ
✔︎ สามารถประยุกต์ใช้ได้หลากหลาย ไม่ว่าจะใช้ในบ้าน ในร้านบาร์เบอร์ ร้านซาลอน                            
✔︎ สะดวกสบาย ใช้งานง่าย  
✔︎ บรรจุได้ถึง 500 ml.  </t>
  </si>
  <si>
    <t>กว้าง 10 ซม. สูง 24 ซม.</t>
  </si>
  <si>
    <t>https://www.youtube.com/watch?v=yTz8t8RCnvE&amp;list=PLX10pjRah52OzPpR1qgFtJ8-5xCenxqmm&amp;index=17</t>
  </si>
  <si>
    <t>PH-A18002/O</t>
  </si>
  <si>
    <t>กระบอกฉีดน้ำรูปหัวกระโหลกบาร์เบอร์เบรน รหัส PH-A18002/O</t>
  </si>
  <si>
    <t>PH-A18002/W</t>
  </si>
  <si>
    <t>กระบอกฉีดน้ำรูปหัวกระโหลกบาร์เบอร์เบรน รหัส PH-A18002/W</t>
  </si>
  <si>
    <t xml:space="preserve">กระจกเหลี่ยม 
มีขนาดถึงปลายด้ามจับ 31*22.5 ซม. 
ขนาดไม่รวมด้ามจับ 20ซม.หนา 1ซม. 
คุณสมบัติ:                                                              
✔︎ กระจกเหลี่ยม บาร์เบอร์เบรน                                   
✔︎ ใช้สำหรับส่องให้ลูกค้าสามารถเห็นทรงผมด้านหลังหรือสามารถใช้ส่องเวลาตัดผมด้วยตนเอง                            
✔︎ วัสดุดีมีคุณภาพ แข็งแรงทนทาน                             
✔︎ กระจกไม่มัว ไม่หลอกตาแน่นอน</t>
  </si>
  <si>
    <t>กว้าง 22.5 ซม. ยาว 31 ซม.</t>
  </si>
  <si>
    <t>https://youtu.be/Mk3c-IkXjV4</t>
  </si>
  <si>
    <t>กระจกทรงกลม</t>
  </si>
  <si>
    <t xml:space="preserve">กระจกทรงกลม 
ขนาด 38*25.5ซม. หนา 1ซม.
คุณสมบัติ:                                                                 
✔︎ กระจกกลม                                                                 
✔︎ ใช้สำหรับส่องเวลาตัดผมด้วยตนเอง                                
✔︎ วัสดุดีมีคุณภาพ แข็งแรงทนทาน                                
✔︎ กระจกไม่มัว ไม่หลอกตาแน่นอน</t>
  </si>
  <si>
    <t>กว้าง 38 ซม ยาว 25.5 ซม หนา 1 ซม.</t>
  </si>
  <si>
    <t>https://youtu.be/M_mZx3ecRwQ</t>
  </si>
  <si>
    <t xml:space="preserve">หน้ากากกันสเปรย์ สีใส </t>
  </si>
  <si>
    <t xml:space="preserve">หน้ากากกันสเปรย์  PK-0554
คุณสมบัติ:    
✔︎ หน้ากากสเปรย์                                                                
✔︎ กันละอองสเปรย์ขณะจัดแต่งทรงผม ตัดผม                              
✔︎ ใช้ได้ทุกรูปแบบ สามารถประยุกต์ใช้ได้ตามวัตถุประสงค์ของลูกค้า</t>
  </si>
  <si>
    <t>PK-358/20</t>
  </si>
  <si>
    <t xml:space="preserve">โรลขนญี่ปุ่น ขนาด 20 มม.  </t>
  </si>
  <si>
    <t xml:space="preserve">โรลขนญี่ปุ่น ขนาด 20 มม.  6ชิ้น/แพ็ค PK-358/20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</si>
  <si>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20 มม.</t>
  </si>
  <si>
    <t>https://youtu.be/quiX6SzJ9QA</t>
  </si>
  <si>
    <t>PK-358/24</t>
  </si>
  <si>
    <t>โรลขนญี่ปุ่น ขนาด 24มม.</t>
  </si>
  <si>
    <t xml:space="preserve">โรลขนญี่ปุ่น ขนาด 24มม.  6ชิ้น/แพ็ค PK-358/24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</si>
  <si>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24 มม.</t>
  </si>
  <si>
    <t>PK-358/28</t>
  </si>
  <si>
    <t>โรลขนญี่ปุ่น ขนาด 28 มม.</t>
  </si>
  <si>
    <t xml:space="preserve">โรลขนญี่ปุ่น ขนาด 28 ม.ม. (PK-358/28) 6ชิ้น/แพ็ค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</si>
  <si>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28 มม.</t>
  </si>
  <si>
    <t>PK-358/32</t>
  </si>
  <si>
    <t xml:space="preserve">โรลขนญี่ปุ่น ขนาด 32มม. </t>
  </si>
  <si>
    <t xml:space="preserve">โรลขนญี่ปุ่น ขนาด 32มม. 6ชิ้น/แพ็ค PK-358/32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</si>
  <si>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32 มม.</t>
  </si>
  <si>
    <t>PK-358/36</t>
  </si>
  <si>
    <t>โรลขนญี่ปุ่น ขนาด 36มม.</t>
  </si>
  <si>
    <t xml:space="preserve">โรลขนญี่ปุ่น ขนาด 36มม.  6ชิ้น/แพ็ค PK-358/36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</si>
  <si>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36 มม.</t>
  </si>
  <si>
    <t>PK-358/40</t>
  </si>
  <si>
    <t>โรลขนญี่ปุ่น ขนาด 40 มม.</t>
  </si>
  <si>
    <t xml:space="preserve">โรลขนญี่ปุ่น ขนาด 40 มม. (PK-358/40) 6ชิ้น/แพ็ค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</si>
  <si>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40 มม.</t>
  </si>
  <si>
    <t>PK-358/45</t>
  </si>
  <si>
    <t>โรลขนญี่ปุ่น ขนาด 45 มม.</t>
  </si>
  <si>
    <t xml:space="preserve">โรลขนญี่ปุ่น ขนาด 45 มม. (PK-358/45) 6ชิ้น/แพ็ค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</si>
  <si>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45 มม.</t>
  </si>
  <si>
    <t>PK-358/50</t>
  </si>
  <si>
    <t>โรลขนญี่ปุ่น ขนาด 50 มม.</t>
  </si>
  <si>
    <t xml:space="preserve">โรลขนญี่ปุ่น ขนาด 50 มม. 6ชิ้น/แพ็ค (PK-358/50)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</si>
  <si>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50 มม.</t>
  </si>
  <si>
    <t>PK-358/55</t>
  </si>
  <si>
    <t>โรลขนญี่ปุ่น ขนาด 55มม.</t>
  </si>
  <si>
    <t xml:space="preserve">โรลขนญี่ปุ่น ขนาด 55มม. 6ชิ้น/แพ็ค PK-358/55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</si>
  <si>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55 มม.</t>
  </si>
  <si>
    <t>PK-358/60</t>
  </si>
  <si>
    <t>โรลขนญี่ปุ่น ขนาด 60มม.</t>
  </si>
  <si>
    <t xml:space="preserve">โรลขนญี่ปุ่น ขนาด 60มม. 6ชิ้น/แพ็ค PK-358/60
โรลม้วนผม อุปกรณ์ทำผม                                                      
คุณสมบัติ: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 แถบเหล็กจะช่วยกักความร้อนให้เส้นผมอุ่น คือลอนจะแน่นและอยู่ทรงเป็นพิเศษ                                                        
✔︎ โรลขนญี่ปุ่นนี้สามารถกระชับลอน                                        
✔︎ เพิ่มโวลุ่ม จัดการกับปลายผมที่ชี้ฟูให้ทิ้งตัวแต่ไม่ลีบแบน         
วิธีใช้: ใช้สำหรับม้วนลอนผม
    *เหมาะสำหรับทุกเพศทุกวัย*</t>
  </si>
  <si>
    <t>60 มม.</t>
  </si>
  <si>
    <t>ยางรัดผมวาเลนเต้</t>
  </si>
  <si>
    <t xml:space="preserve">ยางรัดผม อย่างหนา 30 กรัม ขนาดยาว 3 ซม.
คุณสมบัติ:                                                                 
         ✔︎ เกรดพรีเมี่ยม เส้นหนา ทนทาน                                   
         ✔︎ ใช้ได้นาน มัดจัดแต่งทรงผม                                       
         ✔︎ แน่น ออกงานได้ ทั้งวัน</t>
  </si>
  <si>
    <t>30 กรัม</t>
  </si>
  <si>
    <t>https://youtu.be/PUCQRr1BVuQ</t>
  </si>
  <si>
    <t xml:space="preserve">ไม้ตีสี </t>
  </si>
  <si>
    <t xml:space="preserve">#ตะกร้อมือ #อุปกรณ์ช่าง #ไม้ผสมสี 
#ย้อมผม #ผสมเคมี
คุณสมบัติ:                                                       
✔︎ สามารถใช้งานได้หลากหลาย                                       
✔︎ ผสมสีย้อมผม ผสมเคมี
*เหมาะสำหรับร้านบาร์เบอร์และซาลอน</t>
  </si>
  <si>
    <t>ยาว 18.5 ซม. กว้าง 2.5 ซม.</t>
  </si>
  <si>
    <t>https://youtu.be/31QGY_oMMJQ</t>
  </si>
  <si>
    <t xml:space="preserve">อุปกรณ์สำหรับย้อมผม ถ้วยผสมสี + แปรง </t>
  </si>
  <si>
    <t xml:space="preserve">ถ้วยผสมสี + แปรง เป็นเซตที่คุ้มมาก 
ใช้ในการผสมสีย้อมผม                   
คุณสมบัติ:                                                                     
✔︎ ชุดถ้วยผสมสีและแปรงย้อม                                                                         
✔︎ วัสดุดีมีคุณภาพ คงทน                                                   
✔︎ ล้างทำความสะอาดง่าย                                                
✔︎ สามารถทำได้ด้วยตนเอง</t>
  </si>
  <si>
    <t>ยาว 21.5 ซม. กว้าง 12 ซม.</t>
  </si>
  <si>
    <t>หวี 3D 360 องศา</t>
  </si>
  <si>
    <t xml:space="preserve">3D หวีหมุนได้ 360 องศา (สีชมพู) "3D หวีหมุนได้ 360 องศา (สีชมพู)
 เริ่ดสุดๆ..มาแรงมาก หวี 360 3D จัดแต่งทรงผมให้เป็นลอนสวยได้ ไม่ต้องง้อแกนม้วนผมอีกต่อไป ด้ามเดียวทำลอนได้หลายแบบ ใช้ง่าย ประหยัดเวลา ผมไม่เสีย แถมได้ทรงสวยธรรมชาติฝุดๆ แค่หมุนก็ได้ลอนสวยฟรุ้งฟริ้ง ใช้ได้ทั้งผมสั้นและยาว
 หวีแปรงจัดทรงผม หวีม้วนผม ทรงลูกบอลกลม หวีจัดลอนและเซ็ทผมด้วยตัวเองรุ่นใหม่ เพียงแค่นำหวีแปรงนี้ พันม้วนเข้าที่ปลายผม แล้วม้วนให้ได้ลอนผมที่ต้องการ จากนั้น ให้ใช้ไดร์เป่าช่วยในการจัดทรงผม ม้วนแล้วค่อยดึงลงทีละช่อ จะได้ลอนผมที่สวยงาม ควรใส่เจลหรือสเปร์ที่ผมก่อนทำการจัดทรง 
 เมื่อจัดได้ทรงที่ต้องการแล้ว ให้เซ็ทผมให้ดีและฉีดสเปร์อีกครั้ง เพื่อทรงผมจะได้อยู่ทนนานขึ้น หวีม้วนผมตัวนี้จะจับถนัดมือเพราะเหมือนหวีแปรงทั่วไป แล้วคุณจะรู้ว่ามันสามารถ ช่วยให้คุณประหยัดเวลาในการทำผมได้อีกมาก"</t>
  </si>
  <si>
    <t>กว้าง 10.5 ซม. ยาว 21.5 ซม.</t>
  </si>
  <si>
    <t xml:space="preserve"> กระบอกฉีดน้ำ</t>
  </si>
  <si>
    <t xml:space="preserve">VALENTE กระบอกฉีดน้ำ มี 2 สี: สีดำ สีแดง PKY-1571
กระบอกฉีดน้ำ 
ขนาดสูง13.5ซม. กว้าง 7ซม. 
คุณสมบัติ:
✔︎ ผลิตจากพลาสติกคุณภาพดี
✔︎ หัวปรับรูปแบบละอองของน้ำได้ตามความต้องการ
✔︎ ใช้พ่นยาในรูปแบบกระบอกฉีดน้ำแบบอัดอากาศ
✔︎ ใช้สำหรับพรมหรือฉีดน้ำต้นไม้ได้
✔︎ มีความแข็งแรง ทนทานต่อการใช้งาน
✔︎ ล้างทำความสะอาดง่าย
 ✔︎ ขนาดความจุ 108 ml.</t>
  </si>
  <si>
    <t>สูง 13.5 ซม. กว้าง 7 ซม.</t>
  </si>
  <si>
    <t>กรรไกรตัด+ซอย ขนาด 5.5 นิ้ว ใบมีดมีความยาว 2.5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</si>
  <si>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5.5 นิ้ว</t>
  </si>
  <si>
    <t>PKY-1577/1</t>
  </si>
  <si>
    <t>กรรไกรตัดวาเลนเต้</t>
  </si>
  <si>
    <t>กรรไกรตัด ขนาด 5.5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</si>
  <si>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PKY-1577/2</t>
  </si>
  <si>
    <t>กรรไกรซอย วาเลยเต้</t>
  </si>
  <si>
    <t>กรรไกรซอย ขนาด 5.5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</si>
  <si>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กรรไกรตัดขนาด6.5นิ้ว ใบมีดมีความยาว 3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</si>
  <si>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6.5 นิ้ว</t>
  </si>
  <si>
    <t>PKY-1701/S</t>
  </si>
  <si>
    <t>กระบอกฉีดน้ำนาโน ละอองละเอียด กระจายทั่ว ขนาด 150 ml. SIZE:S PKY-1701/S</t>
  </si>
  <si>
    <t xml:space="preserve">กระบอกฉีดน้ำ นาโน ไซร์ S 
✔︎ ฟ้อกกี้นาโน ละอองละเอียดนุ่ม กระจายตัวทั่วถึง
✔︎ น้ำหนักเบา ทนทาน แข็งแรง
✔︎ พกพาง่าย เล็กกระทันรัด ขนาด 150 ml.                              
     ความสูง 18.8ซม. 
วิธีใช้: ใช้ฉีดน้ำก่อนซอยผม</t>
  </si>
  <si>
    <t>https://youtu.be/UkfXUhtF-TI</t>
  </si>
  <si>
    <t>POM-74539/B</t>
  </si>
  <si>
    <t>หวีหางสีดำ</t>
  </si>
  <si>
    <t xml:space="preserve">หวีหาง รุ่น POM-74539 
มี 2 สี : สีดำและสีเทา
 ขนาดกว้าง 2.5ซม ยาว 21ซม
คุณสมบัติ :                                                          
✔︎ มีน้ำหนักเบา                                                            
✔︎ วัสดุทำจากพลาสติกแข็งแรง ทนทาน
✔︎ หวีรองซอยสามารถใช้แบ่งผม                                 
✔︎ รองผมได้                                                           
✔︎ ขนาดพอดีมือ ใช้งานง่าย ถนัดมือ                             
✔︎ ส่วนหาง จะช่วยในการจัดแต่งทรงผม การแบ่งผม</t>
  </si>
  <si>
    <t>กว้าง 2.5 ซม. ยาว 21 ซม.</t>
  </si>
  <si>
    <t>แกนดัดผม มาตรฐาน สไตล์ญี่ปุน PRO-1-6 pro-1 ขนาด 3.1 cm</t>
  </si>
  <si>
    <t xml:space="preserve">แกนดัดขนาดมาตรฐาน
        pro-1 ขนาด 3.1 cm
        pro-2 ขนาด 2.9 cm
        pro-3 ขนาด 2.7 cm
        pro-4 ขนาด 2.5 cm
        pro-5 ขนาด 2.3 cm
        pro-6 ขนาด 2.1 cm
คุณสมบัติ:
✔︎ แกนดัดสไตล์สาวญี่ปุ่น 
✔︎ ใช้ในการดัดผม 
✔︎ ทำจากพลาสติกกันเคมีกัด 
✔︎ แข็งแรง ทนทาน 
✔︎ 1แพ็ค มี 6ชิ้น 
✔︎ ใช้กับน้ำยาดัด
✔︎ ลอนเล็ก ให้ลอนแน่นๆ กระชับ
*เหมาะสำหรับร้านซาลอน</t>
  </si>
  <si>
    <t>3.1 CM</t>
  </si>
  <si>
    <t>https://youtu.be/BwBM5mdqTAI</t>
  </si>
  <si>
    <t>แกนดัดผม มาตรฐาน สไตล์ญี่ปุน PRO-1-6  pro-2 ขนาด 2.9 cm</t>
  </si>
  <si>
    <t>2.9 cm</t>
  </si>
  <si>
    <t>แกนดัดผม มาตรฐาน สไตล์ญี่ปุน PRO-1-6 pro-3 ขนาด 2.7 cm</t>
  </si>
  <si>
    <t>2.7 cm</t>
  </si>
  <si>
    <t>PRO-4</t>
  </si>
  <si>
    <t>แกนดัดผม มาตรฐาน สไตล์ญี่ปุน PRO-1-6 pro-4 ขนาด 2.5 cm</t>
  </si>
  <si>
    <t>2.5 cm</t>
  </si>
  <si>
    <t>แกนดัดผม มาตรฐาน สไตล์ญี่ปุน PRO-1-6 pro-5 ขนาด 2.3 cm</t>
  </si>
  <si>
    <t>2.3 cm</t>
  </si>
  <si>
    <t>แกนดัดผม มาตรฐาน สไตล์ญี่ปุน PRO-1-6   pro-6 ขนาด 2.1 cm</t>
  </si>
  <si>
    <t>2.1 cm</t>
  </si>
  <si>
    <t xml:space="preserve">แกนดัดผม ไม้แกนดัดผม 5ชิ้น/แพค นิยมในร้านเสริมสวย ซาลอน  รุ่น PW-12822
          ......................    นิยมในร้านเสริมสวย ซาลอน    .....................   
ขนาด 
ยาว 13.5 cm
กว้าง 1.6 cm
วัสดุ
ทำจากพลาสติกชั้นดี</t>
  </si>
  <si>
    <t>ยาว 13.5 ซม. กว้าง 1.6 ซม.</t>
  </si>
  <si>
    <t>หวีอีโต้แอมเบอร์ซี่ห่าง</t>
  </si>
  <si>
    <t xml:space="preserve">หวีแอม วาเลนเต้ เบอร์ 21
คุณสมบัติ:   
         หวีซี่แบบห่างจะช่วยสางผมเวลาผมพันกัน หรือใช้หวีตอนผมเปียก เพราะจะช่วยลดการเสียดสี 
ช่วยถนอมเส้นผมได้ดีกว่าหวีซี่เล็ก และเหมาะสำหรับคนที่ผมยาวหรือคนที่ดัดผม เพราะหวีประเภท
นี้จะถนอมเส้นผมของคนดัดผมได้เป็นอย่างดี ระยะความห่างของหวีจะไม่ทำให้ลอนผมของเราแตกง่ายค่ะ 
✔︎ หวีอีโต้ ฟันห่าง ขนาด 21*5 cm 
✔︎ ใช้หวีผม
✔︎ แข็งแรง ทนทาน ใช้งานได้นาน
*เหมาะสำหรับทุกเพศทุกวัย</t>
  </si>
  <si>
    <t>ยาว 21 ซม. กว้าง 5 ซม.</t>
  </si>
  <si>
    <t>หวีแอม เบอร์20ซม.</t>
  </si>
  <si>
    <t xml:space="preserve">หวีแอม เบอร์20ซม. ขนาดกว้าง 5 ซม. ยาว 20 ซม. "**คุณสมบัติ -หวีอีโต้ ฟันห่าง ขนาด 21.2*4 cm
 -ใช้หวีผม
 -แข็งแรง ทนทาน ใช้งานได้นาน"</t>
  </si>
  <si>
    <t xml:space="preserve">ด้ามมีดโกน แบบพับได้ สีดำ 
ความยาวทั้งหมดประมาน 21.5 ซม.ใช้ใบมีดหักครึ่ง
คุณสมบัติ:                                                         
✔︎ วัสดุทนทาน                                                   
✔︎ น้ำหนักเบาใช้งานง่าย                                              
✔︎ เปลี่ยนใบมีดได้                                                   
✔︎ ด้ามมีดโกน กันจอน โกนหนวด ตัดผมหางเหล็ก     </t>
  </si>
  <si>
    <t>ความยาว 21.5 ซม.</t>
  </si>
  <si>
    <t>https://www.youtube.com/watch?v=dZGAwEwoc1g&amp;list=PLGjfh_21bFBeTNSSYIIjGfKXLP2npOZvj&amp;index=288</t>
  </si>
  <si>
    <t>กระจก 2 ด้าน</t>
  </si>
  <si>
    <t xml:space="preserve">กระจกแบบพับ กระจก2ด้าน
น้ำหนัก 1.2kg ขนาด 31 x 21 ซม. หนา2ซม.  
คุณสมบัติ:  
✔︎ ทำจากวัสดุอย่างดี                                                            
✔︎ กระจก2ด้าน บาร์เบอร์เบรน                                               
✔︎ ใช้สำหรับส่องให้ลูกค้าสามารถเห็นทรงผมด้านหลังได้180องศาอย่างทั่วถึง                                                       
✔︎ วัสดุดีมีคุณภาพ แข็งแรงทนทาน                                     
✔︎ กระจกไม่มัว ไม่หลอกตาแน่นอน
ขอบคุณภาพ จากบอยบาร์เบอร์ เชียงใหม่ครับ</t>
  </si>
  <si>
    <t>1.2 kg</t>
  </si>
  <si>
    <t xml:space="preserve">31x21 ซม. </t>
  </si>
  <si>
    <t>https://youtu.be/3Txnk1LyD4Q</t>
  </si>
  <si>
    <t>CUTTING APRON ผ้าทับซอย แบบโปร่ง สีม่วง  รุ่น SRF-064</t>
  </si>
  <si>
    <t xml:space="preserve">CUTTING APRON ：ผ้าทับซอย สีม่วง
 ผ้าคลุมย้อมแบบแม่เหล็ก ขนาด กว้าง 46 ซม. ยาว 71 ซม.
✔︎ ด้านหลังยึดด้วยแม่เหล็ก สามารถปรับขนาดได้                                   
✔︎ ใช้ในการตัดหรือซอยเส้นผม
✔︎ ป้องกันไม่ให้เส้นผมเข้าเสื้อผ้า 
*เหมาะสำหรับร้านบาร์เบอร์และซาลอน</t>
  </si>
  <si>
    <t>กว้าง 45 ซม. สูง 70 ซม.</t>
  </si>
  <si>
    <t>SRF-065</t>
  </si>
  <si>
    <t>CUTTING APRON ผ้าคลุมย้อมแบบแม่เหล็ก ทับซอย รองสระ ซาลอน สีดำ รุ่น SRF-065</t>
  </si>
  <si>
    <t xml:space="preserve">
คุณสมบัติ:
✔︎ ผ้าคลุมย้อมแบบแม่เหล็ก แอลแองเจล
✔︎ ใช้คลุมย้อมเคมี 
✔︎ ใช้รองซอย
✔︎ ใช้รองสระได้
✔︎ ขนาด ยาว 85 ซม. กว้าง 56 ซม.
*เหมาะสำหรับร้านบาร์เบอร์และซาลอน</t>
  </si>
  <si>
    <t>กว้าง 56 ซม. ยาว 85 ซม.</t>
  </si>
  <si>
    <t>แปรงหวี (ลดไฟฟ้าสถิต)</t>
  </si>
  <si>
    <t>แปรงหวี (ลดไฟฟ้าสถิต) TAN-002 แปรงหวีผมรุ่นนี้ทำมาเพื่อ เอาใจสาวๆแฟชั่นนิสต้า กับหวีสุดชิคที่เหมาะแก่การพกพา ด้วยคุณสมบัติของขนแปรงที่สั้นยาวไม่เท่ากัน จึงทำให้ไม่ดึงผมขณะแปรง และไม่ทำให้ผมขาดหลุดร่วง สามารถใช้ได้กับเส้นผมของเด็กเล็กและผมของผู้ใหญ่ที่พันกัน ไม่ว่าจะเป็นผมเปียกหรือผมแห้ง อีกทั้งยังช่วยลดไฟฟ้าสถิต ซึ่งเป็นสาเหตุของผมชี้ฟูอย่างได้ผล</t>
  </si>
  <si>
    <t>วาเลนเต้วิตามินใส่ผม</t>
  </si>
  <si>
    <t xml:space="preserve">-ใช้ใส่ผมหลังสระผมเสร็จ
 -เพิ่มความเงางามให้กับเส้นผม
 -ลดการชี้ฟูของเส้นผม
 -1 แพ็ค มี 25 เม็ด</t>
  </si>
  <si>
    <t>1 ห่อ 25 เม็ด</t>
  </si>
  <si>
    <t xml:space="preserve">แปรงหวีกลม (16 แถว) ขนาด กว้าง 4.5ซม. ยาว 27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1.หวีแปรงกลม ไดร์ผมได้แห้งเร็วขึ้น
 2.แข็งแรงทนทาน ใช้งานได้นาน
 3.แปรงกลม 16 แถว
 4.เพื่อผมสวยและสุขภาพดี 5.เซททรงผมให้เป็นทรง"</t>
  </si>
  <si>
    <t>ยาว 26 ซม. กว้าง 4.5 ซม.</t>
  </si>
  <si>
    <t>https://www.youtube.com/watch?v=lG6MyN18XYo&amp;list=PLGjfh_21bFBeTNSSYIIjGfKXLP2npOZvj&amp;index=3</t>
  </si>
  <si>
    <t xml:space="preserve">แปรงหวีกลม (10 แถว) ขนาดกว้าง 5 ซม. ยาว 27ซม.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1.หวีแปรงกลม ไดร์ผมได้แห้งเร็วขึ้น
 2.แข็งแรงทนทาน ใช้งานได้นาน
 3.แปรงกลม 16 แถว
 4.เพื่อผมสวยและสุขภาพดี 5.เซททรงผมให้เป็นทรง"</t>
  </si>
  <si>
    <t xml:space="preserve">แปรงหวีกลม (12 แถว) ขนาด กว้าง 6 ซม.ยาว 27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1.หวีแปรงกลม ไดร์ผมได้แห้งเร็วขึ้น
 2.แข็งแรงทนทาน ใช้งานได้นาน
 3.แปรงกลม 16 แถว
 4.เพื่อผมสวยและสุขภาพดี 5.เซททรงผมให้เป็นทรง"</t>
  </si>
  <si>
    <t xml:space="preserve">แปรงหวีกลม (14 แถว) ขนาด กว้าง 6ซม. ยาว 27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1.หวีแปรงกลม ไดร์ผมได้แห้งเร็วขึ้น
 2.แข็งแรงทนทาน ใช้งานได้นาน
 3.แปรงกลม 16 แถว
 4.เพื่อผมสวยและสุขภาพดี 5.เซททรงผมให้เป็นทรง"</t>
  </si>
  <si>
    <t>ยาว 26 ซม. กว้าง 5 ซม.</t>
  </si>
  <si>
    <t>VAL-0182/32</t>
  </si>
  <si>
    <t xml:space="preserve"> โรลขนพลาสติกมีฟองน้ำ #32</t>
  </si>
  <si>
    <t xml:space="preserve">วาเลนเต้ โรล โรลขนพลาสติกมีฟองน้ำ 
  VAL-0182 ขนาด 32"mm
  VAL-0183 ขนาด 36"mm
  VAL-0184 ขนาด 40"mm
  VAL-0185 ขนาด 45"mm
  VAL-0186 ขนาด 50"mm
โรลม้วนผม อุปกรณ์ทำผม 
ใช้ม้วนผมให้เป็นลอน 1 ขนาด = 1 แพ็ค มี 6 ชิ้น 
คุณสมบัติ:                                                                      
        ✔︎ วัสดุทำจากพลาสติก ฟองน้ำ                                               
        ✔︎ ตัวขนช่วยในการยึดติดโรลกับเส้นผมให้จับลอนอย่างเป็นธรรมชาติยาวนานยิ่งขึ้น                                                       
        ✔︎ ลอนเล็กลอนใหญ่ขึ้นอยู่กับขนาดโรล                                                                           
        ✔︎ สามารถใช้ได้ทั้งหน้าม้าและปลายผม                                                                                  
        ✔︎ สามารถทำทิ้งไว้ตอนกลางคืนหรือตอนนอนได้  ไม่เจ็บหรือดึงหนังศรีษะ                                                                
วิธีใช้: ใช้สำหรับม้วนลอนผม ม้วนปลายผมให้ดูมีวอลลุ่ม สวยๆ ม้วนได้ทั้งก่อนนอนหรือระหว่างวัน </t>
  </si>
  <si>
    <t>32 mm</t>
  </si>
  <si>
    <t>VAL-0183/36</t>
  </si>
  <si>
    <t xml:space="preserve"> โรลขนพลาสติกมีฟองน้ำ #36</t>
  </si>
  <si>
    <t>"</t>
  </si>
  <si>
    <t>36 mm</t>
  </si>
  <si>
    <t>VAL-0184/40</t>
  </si>
  <si>
    <t xml:space="preserve"> โรลขนพลาสติกมีฟองน้ำ #40</t>
  </si>
  <si>
    <t>40 mm</t>
  </si>
  <si>
    <t>VAL-0185/45</t>
  </si>
  <si>
    <t xml:space="preserve"> โรลขนพลาสติกมีฟองน้ำ #45</t>
  </si>
  <si>
    <t>45 mm</t>
  </si>
  <si>
    <t>VAL-0186/50</t>
  </si>
  <si>
    <t xml:space="preserve"> โรลขนพลาสติกมีฟองน้ำ #50</t>
  </si>
  <si>
    <t>50 mm</t>
  </si>
  <si>
    <t>VALENTE ตัวกระจายลมไดร์เป่าผม ใช้กับปากไดร์ขนาดไม่เกิน 1.8-2 นิ้ว รุ่น VAL-038</t>
  </si>
  <si>
    <t xml:space="preserve">  🚫ไม่ควรใช้กับไดร์ขนาดเล็กหรือไดร์ที่มีปากไดร์อ้วนและสั้น🚫
**************ไม่รับเปลี่ยนคืนทุกกรณี*****************
        วาเลนเต้ ตัวกระจายลมไดร์เป่าผม สามารถใส่ได้กับไดร์ที่มีปากไดร์ขนาดประมาน 4.5 cm. 
หรือสามารถใช้ได้กับไดร์ทุกรุ่น 
คุณสมบัติ: 
          ✔︎ สำหรับเป่าผมลอน หรือ ผมดัด
          ✔︎ ให้ลอนสวย ไม่แตกกระจาย
          ✔︎ใช้งานได้สะดวก
          ✔︎แข็งแรง ทนทาน
          ✔︎ ช่วยกระจายลมให้ทั่วศรีษะ                                              
          ✔︎ ช่วยให้ผมแห้งเร็ว                                                    
          ✔︎ หรือสามารถใช้ได้กับไดร์ทุกรุ่น </t>
  </si>
  <si>
    <t>ใส่กับปากไดร์ 3.5-4.5 cm</t>
  </si>
  <si>
    <t>https://www.youtube.com/watch?v=JffjGajN2VA&amp;list=PLGjfh_21bFBeTNSSYIIjGfKXLP2npOZvj&amp;index=17</t>
  </si>
  <si>
    <t>VAL-1000/BIU</t>
  </si>
  <si>
    <t>หวี-มีดโกนสไลด์ผมสีน้ำเงิน</t>
  </si>
  <si>
    <t xml:space="preserve">VALENTE หวี-มีดโกนสไลด์ผม รุ่น VAL-1000 มีทั้งมด 6 สี  
ขนาดกว้าง 4ซม.ยาว 21 ซม.
คุณสมบัติ:
      ✔︎ หวีซอยผม
      ✔︎ กรรไกรซอยผม
      ✔︎ ใช้ง่าย
      ✔︎ ราคาสุดคุ้ม
      ✔︎ พกพาสะดวก
      ✔︎ หวีซอยผม 1 ด้าม (แรนดอมสี)
      ✔︎ หวีซอยผมสามารถเปลี่ยนใบมีดได้</t>
  </si>
  <si>
    <t>https://youtu.be/4cHi--DbEZ0</t>
  </si>
  <si>
    <t>VAL-1000/G</t>
  </si>
  <si>
    <t>หวี-มีดโกนสไลด์ผมสีเขียว</t>
  </si>
  <si>
    <t>VAL-1000/P</t>
  </si>
  <si>
    <t>หวี-มีดโกนสไลด์ผมสีชมพู</t>
  </si>
  <si>
    <t>VAL-1000/R</t>
  </si>
  <si>
    <t>หวี-มีดโกนสไลด์ผมสีแดง</t>
  </si>
  <si>
    <t>VAL-1000/S</t>
  </si>
  <si>
    <t>หวี-มีดโกนสไลด์ผมสีฟ้า</t>
  </si>
  <si>
    <t>VAL-1000/V</t>
  </si>
  <si>
    <t>หวี-มีดโกนสไลด์ผมสีม่วง</t>
  </si>
  <si>
    <t>หวีแปรงสำหรับทำเคมี สองด้าน</t>
  </si>
  <si>
    <t xml:space="preserve">มี 4 สี ดำ แดง น้ำเงิน ส้ม 
หวีทำเคมีย้อมผมสองด้าน
หวีและแปรง
ขนาด :
กว้าง 7ซม. xยาว 21ซม. 
#ถ้วย พร้อม #แปรง #ย้อมสี #ทำสี #ย้อมผม #ผสมสี  #น้ำยาเคมี #ยืดผม #ดัดผม</t>
  </si>
  <si>
    <t>กว้าง 7 ซม. ยาว 21 ซม.</t>
  </si>
  <si>
    <t>https://youtu.be/tP-FWF-Qt9Q</t>
  </si>
  <si>
    <t>VALENTE หวีรองซอยสีขาว  เล็ก -123</t>
  </si>
  <si>
    <t xml:space="preserve">
คุณสมบัติ:                                                               
✔︎ หวีรองซอย สีขาว                                                   
✔︎ ขนาด 20*2.5 cm                                                 
✔︎ ซี่หวี 2 ระดับ                                                        
✔︎ ใช้รองซอยเวลาตัดผม                                              
วิธีใช้: หวีซอย สามารถใช้คู่กับกรรไกร เวลาทำการตัดหรือซอยผม</t>
  </si>
  <si>
    <t>กว้าง 2.5 ซม. ยาว 16 ซม.</t>
  </si>
  <si>
    <t>https://www.youtube.com/watch?v=arMpdlheRg4&amp;list=PLGjfh_21bFBeTNSSYIIjGfKXLP2npOZvj&amp;index=188</t>
  </si>
  <si>
    <t xml:space="preserve">Valente Secondary Comb หวีรอวซอยสีขาว รุ่น VAL-124
คุณสมบัติ:                                                         
✔︎ ขนาด 20*4.2 cm
✔︎ หวีเกาะเส้นผม ทำให้ง่ายต่อการตัดและจัดทรง
✔︎ เช็ดล้างทำความสะอาดได้ โดยไม่ทำลายคุณภาพของหวี   
วิธีใช้: หวีซอย สามารถใช้คู่กับกรรไกร เวลาทำการตัดหรือซอยผม</t>
  </si>
  <si>
    <t>กว้าง 4.2 ซม. ยาว 20 ซม.</t>
  </si>
  <si>
    <t>https://www.youtube.com/watch?v=3dX1_Zkwe6M&amp;list=PLGjfh_21bFBeTNSSYIIjGfKXLP2npOZvj&amp;index=199</t>
  </si>
  <si>
    <t>หวีหางเหล็ก</t>
  </si>
  <si>
    <t xml:space="preserve">VALENTE COMB วาเลนเต้ หวีหางเหล็ก รุ่น VAL-125 "วาเลนเต้ หวีหางเหล็ก สีดำ 
 -ขนาด 11.5-2.5 cm **คุณสมบัติ ✔︎ มีน้ำหนักเบา ✔︎ ทำจากวัสดุแข็งแรง ทนทาน
 ✔︎ หวีรองซอยสามารถใช้แบ่งผม ✔︎ รองผมได้ ✔︎ ขนาดพอดีมือ ใช้งานง่าย ถนัดมือ ✔︎ ส่วนหาง จะช่วยในการจัดแต่งทรงผม การแบ่งผม"</t>
  </si>
  <si>
    <t>กว้าง 2.5 ซม. ยาว 11.5 ซม.</t>
  </si>
  <si>
    <t>https://youtu.be/qxVjxyPBe-E</t>
  </si>
  <si>
    <t xml:space="preserve">ขนาด
ใหญ่ขนาดประมาณ 19x4 cm
เล็กขนาดประมาณ 16x2.5 cm
คุณสมบัติ :
✔️หวีเล็กใหญ่ 1 คู่
✔️ซีหวีถี่ช้อนเนื้อผมได้เป็นอย่างดี
✔️ความเหนียวแน่นของหวีและมวลน้ำหนักพอดีมือ
✔️การทนความร้อน
✔️การโค้งงอให้เข้ารูปของหลัก anatomy
✔️ยืดหยุ่นง่าย</t>
  </si>
  <si>
    <t>ใหญ่ขนาด 19x4 cm เล็ก 16x2.5 cm</t>
  </si>
  <si>
    <r>
      <rPr>
        <u/>
        <color rgb="FF1155CC"/>
        <sz val="8"/>
        <rFont val="Arial"/>
      </rPr>
      <t>https://www.youtube.com/watch?v=UUckMgecBrc&amp;list=PLX10pjRah52OzPpR1qgFtJ8-5xCenxqmm&amp;index=44</t>
    </r>
    <r>
      <rPr>
        <color rgb="FF071924"/>
        <sz val="8"/>
        <rFont val="Arial"/>
      </rPr>
      <t>4</t>
    </r>
  </si>
  <si>
    <t xml:space="preserve">HAIR CLIP กิ๊บหนีบผมวาเลนเต้ คละสี </t>
  </si>
  <si>
    <t xml:space="preserve">กิ๊ฟหบีบผม 1แพ็คมี 12ชิ้น 
ขนาด กว้าง1ซม. ยาว 10ซม.
คุุณสมบัติ:                                                           
          ✔︎ ทำจากสแตนเลส + พลาสติกดีมีคุณภาพ
          ✔︎ มีหลายสี ไม่ใช่สีเคลือบ ไม่ลอกแน่นอน
          ✔︎ แข็งแรง ทนทาน ใช้ได้นาน
          ✔︎ ร้านเสริมสวยใช้
วิธีใช้: 
ใช้หนีบผม แบ่งช่อ จัดระเบียบ ทรงผม </t>
  </si>
  <si>
    <t>กว้าง 1 ซม. ยาว 10 ซม.</t>
  </si>
  <si>
    <t>HAIR CLIP กิ๊บหนีบผมวาเลนเต้</t>
  </si>
  <si>
    <t xml:space="preserve">กิ๊บหนีบผม ใช้หนีบผม 1 แพ็ค มี 12 ชิ้น
ขนาด ยาว 10.5ซม  
คุุณสมบัติ:                                                           
          ✔︎ ทำจากสแตนเลส + พลาสติกดีมีคุณภาพ
          ✔︎ มีหลายสี ไม่ใช่สีเคลือบ ไม่ลอกแน่นอน
          ✔︎ แข็งแรง ทนทาน ใช้ได้นาน
          ✔︎ ร้านเสริมสวยใช้
วิธีใช้: 
ใช้หนีบผม แบ่งช่อ จัดระเบียบ ทรงผม </t>
  </si>
  <si>
    <t>ยาว 10.5 ซม.</t>
  </si>
  <si>
    <t>VAL-1417/A</t>
  </si>
  <si>
    <t>กิ๊บหนีบผมวาเลนเต้ สีน้ำเงิน</t>
  </si>
  <si>
    <t xml:space="preserve">กิ๊ฟหนีบผมสีน้ำหนัก VAL-1417/A/BL
กิ๊๊บหบีบผม 1แพ็คมี 6 ชิ้น 
ขนาด กว้าง1.5ซม. ยาว 12ซม
คุุณสมบัติ:                                                           
          ✔︎ ทำจากสแตนเลส + พลาสติกดีมีคุณภาพ
          ✔︎ มีหลายสี ไม่ใช่สีเคลือบ ไม่ลอกแน่นอน
          ✔︎ ติดผมดี ไม่หลุดง่ายแน่นอน 
          ✔︎ แข็งแรง ทนทาน ใช้ได้นาน
          ✔︎ ร้านเสริมสวยใช้
วิธีใช้: 
ใช้หนีบผม แบ่งช่อ จัดระเบียบ ทรงผม </t>
  </si>
  <si>
    <t xml:space="preserve">กรรไกรซอย ขนาด5นิ้ว "คุณสมบัติ:   ✔︎ วัสดุดีมีคุณภาพ ทนทาน 
 ✔︎ กรรไกรซอยผม
 **สามารถดูวิธีใช้เพิ่มเติมได้ที่ QR code บนกล่อง"</t>
  </si>
  <si>
    <t>5 นิ้ว</t>
  </si>
  <si>
    <t>https://www.youtube.com/watch?v=OncxgqpWR70&amp;list=PLX10pjRah52OzPpR1qgFtJ8-5xCenxqmm&amp;index=11</t>
  </si>
  <si>
    <t>VAL-1510/A</t>
  </si>
  <si>
    <t>หวีรองซอย</t>
  </si>
  <si>
    <t xml:space="preserve">หวีรองซอย ขนาด ยาว 21.7ซม. กว้าง3 ซม. น้ำหนัก12 กรัม "VALENTE วาเลนเต้ หวีรองซอยไฟเบอร์ หวีไฟเบอร์จะช่วยให้ลดการชี้ฟูของเส้นผม ทำให้เส้นผมเรียบง่ายต่อการตัด คุณสมบัติ : 
  - ยาว 21.7 ซม. กว้าง 3 ซม.
  - ความห่างของซี่หวีมี 2 ระดับ
  - สีน้ำตาล - น้ำหนัก 12 กรัม.
 วิธีใช้ : ใช้สำหรับรองตัดปัตตาเลี่ยน สำหรับรองเส้นผม"</t>
  </si>
  <si>
    <t>กว้าง 3 ซม. ยาว 21.7 ซม.</t>
  </si>
  <si>
    <t>ผ้าคลุมซอย Barber Brain ลาย Original สีดำ  VAL-1510/B</t>
  </si>
  <si>
    <t xml:space="preserve">ขนาด :
 กว้าง 120 ซม.
 สูง 140 ซม. 
ผลิตจากวัสดุ :
 ผ้าเสอร์ช กันน้ำได้ 80% 
 เนื้อนุ่มมาก ระบายความร้อนได้ดี
คุณสมบัติ:
✔︎ ใช้สำหรับ คลุมตัดผม ซอยผม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ด้านหลังเป็นตะขอเกี่ยว สามารถปรับระดับได้</t>
  </si>
  <si>
    <t>กว้าง 120 ซม. สูง 140 ซม.</t>
  </si>
  <si>
    <t>https://www.youtube.com/watch?v=6UVwtaC0ue0&amp;list=PLX10pjRah52OzPpR1qgFtJ8-5xCenxqmm&amp;index=27</t>
  </si>
  <si>
    <t>BLACK CUTTING APRON ผ้าคลุมซอยสีดำล้วน รุ่น VAL-1510/B-1</t>
  </si>
  <si>
    <t xml:space="preserve">
BLACK CUTTING APRON ผ้าคลุมซอยสีดำล้วน
ขนาด 122x143ซม.
ผลิตจากวัสดุ :
 ผ้าเสอร์ช กันน้ำได้ 80% 
 เนื้อนุ่มมาก ระบายความร้อนได้ดี 
คุณสมบัติ:
✔︎ ใช้สำหรับ คลุมตัดผม ซอยผม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ด้านหลังเป็นตะขอสามารถปรับระดับได้</t>
  </si>
  <si>
    <t>กว้าง 122 ซม. สูง 143 ซม.</t>
  </si>
  <si>
    <t>https://www.youtube.com/watch?v=doWzl8xbgkc&amp;list=PLX10pjRah52OzPpR1qgFtJ8-5xCenxqmm&amp;index=21</t>
  </si>
  <si>
    <t>VAL-1510/B-2</t>
  </si>
  <si>
    <t>Barber Brain ผ้าคลุมซอย สีดำ ลายใหม่ VAL-1510/B-2</t>
  </si>
  <si>
    <t xml:space="preserve">Barber Brain  ผ้าคลุมซอย VAL1510/B-2
ขนาด ความกว้าง 120 ซม. ความสูง  140 ซม.
คุณสมบัติ:
✔︎ ใช้สำหรับ คลุมตัดผม ซอยผม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ด้านหลังเป็นตะขอสามารถปรับระดับได้</t>
  </si>
  <si>
    <t>กว้าง 120 ซม. สููง 140 ซม.</t>
  </si>
  <si>
    <t>https://www.youtube.com/watch?v=jy__Y_x5RNI&amp;list=PLX10pjRah52OzPpR1qgFtJ8-5xCenxqmm&amp;index=26</t>
  </si>
  <si>
    <t>ผ้าคลุมซอย Barber Brain ลาย Original สีขาว  VAL-1510/W</t>
  </si>
  <si>
    <t>https://www.youtube.com/watch?v=QF9JyASS3Tc&amp;list=PLX10pjRah52OzPpR1qgFtJ8-5xCenxqmm&amp;index=2</t>
  </si>
  <si>
    <t>WHITE CUTTING APRON ผ้าคลุมซอยสีขาวล้วน รุ่น VAL-1510/W-1</t>
  </si>
  <si>
    <t xml:space="preserve">WHITE CUTTING APRON ผ้าคลุมซอยสีขาวล้วน
ขนาด 153*123 cm
คุณสมบัติ:
✔︎ ใช้สำหรับ คลุมตัดผม ซอยผม     
✔︎ เนื้อผ้าเบาสบาย ใช้คลุมร่างกาย ขณะตัดผม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ด้านหลังเป็นตะขอและเป็นยางยืด สามารถปรับระดับได้</t>
  </si>
  <si>
    <t>153x123 ซม.</t>
  </si>
  <si>
    <r>
      <rPr>
        <u/>
        <color rgb="FF1155CC"/>
        <sz val="8"/>
        <rFont val="Arial"/>
      </rPr>
      <t>https://www.youtube.com/watch?v=UROEdOOdutQ&amp;list=PLX10pjRah52OzPpR1qgFtJ8-5xCenxqmm&amp;index=23</t>
    </r>
    <r>
      <rPr>
        <color rgb="FF071924"/>
        <sz val="8"/>
        <rFont val="Arial"/>
      </rPr>
      <t>3</t>
    </r>
  </si>
  <si>
    <t>Barber Brain ผ้าคลุมซอย สีขาว ลายใหม่ VAL-1510/W-2</t>
  </si>
  <si>
    <t xml:space="preserve">Barber Brain  ผ้าคลุมซอย VAL-1510/W-2
ขนาด : 
ความกว้าง 120 ซม.
ความสูง 140 ซม.
ผลิตจากวัสดุ :
 ผ้าเสอร์ช กันน้ำได้ 80% 
 เนื้อนุ่มมาก ระบายความร้อนได้ดี
คุณสมบัติ:
✔︎ ใช้สำหรับ คลุมตัดผม ซอยผม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ด้านหลังเป็นตะขอสามารถปรับระดับได้</t>
  </si>
  <si>
    <t>https://www.youtube.com/watch?v=9UpSvesBeKQ&amp;list=PLX10pjRah52OzPpR1qgFtJ8-5xCenxqmm&amp;index=32</t>
  </si>
  <si>
    <t>ผ้าคลุมซอย ลายทาง สกรีนโลโก้บาร์เบอร์เบรน รุ่น VAL-1511/B</t>
  </si>
  <si>
    <t xml:space="preserve">ผ้าคลุมซอยลายทางลายโลโก้บาร์เบอร์ เบรน
ขนาด 122x143ซม. ด้านหลังเป็นกระดุมสามารถปรับระดับได้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</si>
  <si>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กว้าง 135 ซม. สูง 150 ซม.</t>
  </si>
  <si>
    <t>VAL-1511/W</t>
  </si>
  <si>
    <t>ผ้าคลุมซอย ลายทาง สกรีนโลโก้บาร์เบอร์เบรน รุ่น VAL-1511/W</t>
  </si>
  <si>
    <t xml:space="preserve">ผ้าคลุมซอยลายทางลายโลโก้บาร์เบอร์ เบรน  
ขนาด 122x143ซม. ด้านหลังเป็นกระดุมสามารถปรับระดับได้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</si>
  <si>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VAL-1512/B</t>
  </si>
  <si>
    <t>ผ้าคลุมตัด-ซอย ไม่มีโลโก้ ลายทาง VAL-1512/B</t>
  </si>
  <si>
    <t xml:space="preserve">ใช้คลุมตัด-ซอยผม เนื้อผ้าดีไม่ร้อน
ขนาด 140x152 ซม.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 ด้านหลังเป็นกระดุม</t>
  </si>
  <si>
    <t>กว้าง 140 ซม. สูง 152 ซม.</t>
  </si>
  <si>
    <t>https://www.youtube.com/watch?v=vhtgzgpXbpI&amp;list=PLX10pjRah52OzPpR1qgFtJ8-5xCenxqmm&amp;index=18</t>
  </si>
  <si>
    <t>VAL-1512/W</t>
  </si>
  <si>
    <t>ผ้าคลุมซอย บาร์เบอร์เบรน สีชมพู BARBER BRAIN CUTTING PINK APRON  VAL-1513</t>
  </si>
  <si>
    <t xml:space="preserve">ผ้าคลุมซอยลายโลโก้บาร์เบอร์ เบรน สีชมพู 
ขนาด 140x150 ซม. ด้านหลังเป็นตะขอเกี่ยวสามารถปรับระดับได้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</si>
  <si>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กว้าง 140 ซม. สูง 150 ซม.</t>
  </si>
  <si>
    <t>https://www.youtube.com/watch?v=Ml7BjHu2zkc&amp;list=PLX10pjRah52OzPpR1qgFtJ8-5xCenxqmm</t>
  </si>
  <si>
    <t>ผ้าคลุมซอย ลายอุปกรณ์สีเหลือง รหัส VAL-1514</t>
  </si>
  <si>
    <t xml:space="preserve">ผ้าคลุมซอยลายอุปกรณ์สีเหลือง ขนาด 115x140ซม. 
ด้านหลังเป็นตะขอเกี่ยวสามารถปรับระดับได้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</si>
  <si>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กว้าง 115 ซม. สูง 140 ซม.</t>
  </si>
  <si>
    <t>https://www.youtube.com/watch?v=3xD2Vs1Pdgg&amp;list=PLX10pjRah52OzPpR1qgFtJ8-5xCenxqmm&amp;index=4</t>
  </si>
  <si>
    <t>VAL-1515/B</t>
  </si>
  <si>
    <t>ผ้าคลุมซอย บาร์เบอร์ ลายอุปกรณ์ สีดำ รุ่น VAL-1515/B</t>
  </si>
  <si>
    <t xml:space="preserve">ผ้าคลุมซอยลายอุปกรณ์ สีดำ ขนาด 115x140ซม.
 ด้านหลังเป็นตะขอเกี่ยวสามารถปรับระดับได้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</si>
  <si>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ผ้าคลุมซอย บาร์เบอร์ ลายอุปกรณ์ สีขาว รุ่น VAL-1515/W</t>
  </si>
  <si>
    <t xml:space="preserve">ผ้าคลุมซอยลายอุปกรณ์ สีขาว ขนาด 115x140ซม.
 ด้านหลังเป็นตะขอเกี่ยวสามารถปรับระดับได้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</si>
  <si>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VAL-168</t>
  </si>
  <si>
    <t>กรรไกรซอยผมวาเลนเต้  ขนาด 5.5" รุ่น VAL-168</t>
  </si>
  <si>
    <t xml:space="preserve">
คุณสมบัติ
- กรรไกรตัดผม วาเลนเต้
- รูปทรงสวยงาม ตัวกรรไกรทำจากเหล็กคุณภาพสูง
- พร้อมใช้งานได้ทันทีโดยไม่ต้องลับคมกรรไกร
- ด้วยคุณภาพของวัสดุชั้นดี ให้ความคมสูงมาก
- ทำให้งานตัด-ซอย ไม่ติดขัด ลื่นไหล เก็บงานได้ อย่างเรียบร้อย
*เหมาะสำหรับมือใหม่และมืออาชีพ
วิธีใช้:                                                                                                                            
✂ กรรไกรซอย(ฟันปลา) ใช้ซอยผมให้บางลง ขนาดความยาวเท่าเดิม                                                                                                               
**สามารถดูวิธีใช้เพิ่มเติมได้ที่ QR code บนกล่อง</t>
  </si>
  <si>
    <r>
      <rPr>
        <u/>
        <color rgb="FF1155CC"/>
        <sz val="8"/>
        <rFont val="Arial"/>
      </rPr>
      <t>https://www.youtube.com/watch?v=9SyCo6nIyqQ&amp;list=PLX10pjRah52OzPpR1qgFtJ8-5xCenxqmm&amp;index=33</t>
    </r>
    <r>
      <rPr>
        <color rgb="FF071924"/>
        <sz val="8"/>
        <rFont val="Arial"/>
      </rPr>
      <t>3</t>
    </r>
  </si>
  <si>
    <t xml:space="preserve"> หวีแปรงสำหรับทำเคมี</t>
  </si>
  <si>
    <t xml:space="preserve">#แปรง #ย้อมสี #ทำสี #ย้อมผม 
#ผสมสี  #น้ำยาเคมี #ยืดผม #ดัดผม
หวีแปรงสำหรับทำเคมี 
ขนาดกว้าง 6ซม. ยาว 20 ซม.
</t>
  </si>
  <si>
    <t>กว้าง 6 ซม. ยาว 20 ซม.</t>
  </si>
  <si>
    <t>https://youtu.be/d-BxjGNZxWQ</t>
  </si>
  <si>
    <t>VAL-1919/B</t>
  </si>
  <si>
    <t>วาเลนเต้ ปัตตาเลี่ยนไฟฟ้าสีดำ</t>
  </si>
  <si>
    <t xml:space="preserve">วาเลนเต้ ปัตตาเลี่ยนไฟฟ้า มี3สี สีดำ ขนาด กว้าง 14 ซม. ยาว 22 ซม. "Valente ปัตตาเลี่ยนไฟฟ้า รุ่น The Professional VAL-1919 มาพร้อมอุปกรณ์ตัดผม เช่น รองฟัน และ หวีซอยผม เพื่อให้คุณใช้งานง่ายมากขึ้น สะดวกขึ้น **คุณสมบัติ**
 ✔︎ ใช้งานง่าย สะดวกสบายสุดๆ
 ✔︎ น้ำหนักเบา และรูปทรงที่สวยงาม ✔︎ พร้อมด้ามจับถนัดมือ  ✔︎ สายไฟที่ยาวเพื่อความสะดวกในการเคลื่อนย้าย"</t>
  </si>
  <si>
    <t>กว้าง 14 ซม. ยาว 22 ซม.</t>
  </si>
  <si>
    <t>https://www.youtube.com/watch?v=bAzhfegJoMA&amp;list=PLGjfh_21bFBeTNSSYIIjGfKXLP2npOZvj&amp;index=21</t>
  </si>
  <si>
    <t>VAL-1919/R</t>
  </si>
  <si>
    <t>วาเลนเต้ ปัตตาเลี่ยนไฟฟ้าสีแดง</t>
  </si>
  <si>
    <t>VAL-1919/Y</t>
  </si>
  <si>
    <t>วาเลนเต้ ปัตตาเลี่ยนไฟฟ้าสีเหลือง</t>
  </si>
  <si>
    <t>หวีแอมเบอร์ 12.5 ซม.</t>
  </si>
  <si>
    <t xml:space="preserve">หวีแอมเบอร์ 12.5 ซม. ขนาดกว้าง 3 ซม. ยาว 13 ซม "หวีแอมเบอร์ หวีรองซอย คุณสมบัติ : 
  - ยาว 12.5 ซม ซม. กว้าง 3 ซม.
  - ความห่างของซี่หวีมี 2 ระดับ
  - สีแอมเบอร์
 วิธีใช้ : ใช้สำหรับรองตัดบัตตาเลี่ยน หวีรองทรง หวีรอง"</t>
  </si>
  <si>
    <t>กว้าง 3 ซม. ยาว 12.5 ซม.</t>
  </si>
  <si>
    <t>หวีแอมเบอร์ 16.5 ซม.</t>
  </si>
  <si>
    <t xml:space="preserve">หวีแอมเบอร์ 16.5 ซม.ขนาดกว้าง 3 ซม. ยาว 17 ซม. "หวีแอมเบอร์ หวีรองซอย คุณสมบัติ : 
  - ยาว 12.5 ซม ซม. กว้าง 3 ซม.
  - ความห่างของซี่หวีมี 2 ระดับ
  - สีแอมเบอร์
 วิธีใช้ : ใช้สำหรับรองตัดบัตตาเลี่ยน หวีรองทรง หวีรอง"</t>
  </si>
  <si>
    <t>กว้าง 3 ซม. ยาว 16.5 ซม.</t>
  </si>
  <si>
    <t xml:space="preserve">หวีรองซอย </t>
  </si>
  <si>
    <t xml:space="preserve">วาเลนเต้ หวีรองซอยไฟเบอร์ VAL-211/B
คุณสมบัติ : 
      -  ยาว 17 ซม. กว้าง 2.3 ซม.
      -  ความห่างของซี่หวีมี 2 ระดับ
      -  สีน้ำตาล
      -  น้ำหนัก 8 กรัม.
วิธีใช้ : สำหรับรองเส้นผม</t>
  </si>
  <si>
    <t>ยาว 17 ซม. กว้าง 2.3 ซม</t>
  </si>
  <si>
    <t>https://www.youtube.com/watch?v=7nYJEalP6_Q</t>
  </si>
  <si>
    <t>VAL-212/A</t>
  </si>
  <si>
    <t xml:space="preserve">หวีรองซอย ขนาด ยาว 20 ซม. กว้าง 2.6ซม. "VALENTE วาเลนเต้ หวีรองซอยไฟเบอร์ หวีไฟเบอร์จะช่วยให้ลดการชี้ฟูของเส้นผม ทำให้เส้นผมเรียบง่ายต่อการตัด คุณสมบัติ : 
  - ยาว 20 ซม. กว้าง 3 ซม.
  - ความห่างของซี่หวีมี 2 ระดับ
  - สีดำ
  - น้ำหนัก 11 กรัม.
 วิธีใช้ : ใช้สำหรับรองตัดบัตตาเลี่ยน หวีรองทรง"</t>
  </si>
  <si>
    <t>ยาว 20 ซม. กว้าง 3 ซม.</t>
  </si>
  <si>
    <t xml:space="preserve">หวีรองซอย ขนาด ยาว 20 ซม. กว้าง 2.6ซม. สีส้ม "VALENTE วาเลนเต้ หวีรองซอยไฟเบอร์ หวีไฟเบอร์จะช่วยให้ลดการชี้ฟูของเส้นผม ทำให้เส้นผมเรียบง่ายต่อการตัด คุณสมบัติ : 
  - ยาว 20 ซม. กว้าง 3 ซม.
  - ความห่างของซี่หวีมี 2 ระดับ
  - สีดำ
  - น้ำหนัก 11 กรัม.
 วิธีใช้ : ใช้สำหรับรองตัดบัตตาเลี่ยน หวีรองทรง"</t>
  </si>
  <si>
    <t xml:space="preserve">หวีรองซอยไฟเบอร์ สีดำ ยาว20 ซม. กว้าง 2.9ซม
คุณสมบัติ : 
      -  ยาว  20 ซม. กว้าง 3.3 ซม.
      -  ความห่างของซี่หวีมี 2 ระดับ
      -  สีดำ
      -  น้ำหนัก 13 กรัม.
วิธีใช้ : สำหรับรองเส้นผม</t>
  </si>
  <si>
    <t>ยาว 20 ซม. กว้าง 3.3 ซม.</t>
  </si>
  <si>
    <t xml:space="preserve">หวีรองซอย ขนาด ยาว 20ซม. กว้าง 3.2ซม. "VALENTE วาเลนเต้ หวีรองซอยไฟเบอร์ หวีไฟเบอร์จะช่วยให้ลดการชี้ฟูของเส้นผม ทำให้เส้นผมเรียบง่ายต่อการตัด คุณสมบัติ : 
  - ยาว 20 ซม. กว้าง 3.3 ซม.
  - ความห่างของซี่หวีมี 2 ระดับ
  - สีน้ำตาล
  - น้ำหนัก กรัม.
 วิธีใช้ : ใช้สำหรับรองตัดบัตตาเลี่ยน หวีรองทรง"</t>
  </si>
  <si>
    <t>VAL-215/A</t>
  </si>
  <si>
    <t xml:space="preserve">หวีรองซอย ขนาด ยาว 15.5ซม. กว้าง3.6ซม. "VALENTE วาเลนเต้ หวีรองซอยไฟเบอร์ หวีไฟเบอร์จะช่วยให้ลดการชี้ฟูของเส้นผม ทำให้เส้นผมเรียบง่ายต่อการตัด คุณสมบัติ : 
  - ยาว 15.5 ซม. กว้าง 3.6 ซม.
  - ความห่างของซี่หวีมี 1 ระดับ
  - สีดำ
  - น้ำหนัก 13 กรัม.
 วิธีใช้ : ใช้สำหรับรองตัดบัตตาเลี่ยน หวีรองทรง"</t>
  </si>
  <si>
    <t>ยาว 15.5 ซม. กว้าง 3.6 ซม.</t>
  </si>
  <si>
    <t xml:space="preserve">หวีรองซอย ขนาด ยาว 18.8 ซม. กว้าง 3.5ซม. "VALENTE วาเลนเต้ หวีรองซอยไฟเบอร์ หวีไฟเบอร์จะช่วยให้ลดการชี้ฟูของเส้นผม ทำให้เส้นผมเรียบง่ายต่อการตัด คุณสมบัติ : 
  - ยาว 18.8 ซม. กว้าง 3.5 ซม.
  - ความห่างของซี่หวีมี 1 ระดับ
  - สีน้ำตาล
  - น้ำหนัก 13 กรัม.
 วิธีใช้ : ใช้สำหรับรองตัดบัตตาเลี่ยน หวีรองทรง"</t>
  </si>
  <si>
    <t>ยาว 18.8 ซม. กว้าง 3.5 ซม.</t>
  </si>
  <si>
    <t>VAL-217/B</t>
  </si>
  <si>
    <t>ด้ามมีดโกนวาเลนเต้ สำหรับโกนหนวด ใบมีดหักครึ่ง สีดำ</t>
  </si>
  <si>
    <t xml:space="preserve">คุณสมบัติ:                                                         
        ด้ามมีดโกน แบบพับได้ สีครีม,สีดำ 
        ความยาวทั้งหมดประมาน 23.5 ซม. 
        ใบมีดหักครึ่ง ใบมีดสองคม
✔︎ วัสดุทนทาน                                                   
✔︎ น้ำหนักเบาใช้งานง่าย                                             
✔︎ เปลี่ยนใบมีดได้                                                   
✔︎ ด้ามมีดโกน กันจอน โกนหนวด ตัดผมหางเหล็ก        </t>
  </si>
  <si>
    <t>ยาว 23.5 ซม.</t>
  </si>
  <si>
    <t>https://www.youtube.com/watch?v=N1YOxH4cGfU&amp;list=PLGjfh_21bFBeTNSSYIIjGfKXLP2npOZvj&amp;index=20</t>
  </si>
  <si>
    <t>VAL-217/C</t>
  </si>
  <si>
    <t>ด้ามมีดโกนวาเลนเต้ สำหรับโกนหนวด ใบมีดหักครึ่ง สีครีม</t>
  </si>
  <si>
    <t>หวีแอมเบอร์ 19 ซม.</t>
  </si>
  <si>
    <t xml:space="preserve">หวีแอมเบอร์ 19 ซม. ขนาดกว้าง 4 ซม. ยาว 20 ซม. "หวีแอมเบอร์ หวีรองซอย คุณสมบัติ : 
  - ยาว 12.5 ซม ซม. กว้าง 3 ซม.
  - ความห่างของซี่หวีมี 2 ระดับ
  - สีแอมเบอร์
 วิธีใช้ : ใช้สำหรับรองตัดบัตตาเลี่ยน หวีรองทรง หวีรอง"</t>
  </si>
  <si>
    <t>กว้าง 4 ซม. ยาว 19 ซม.</t>
  </si>
  <si>
    <t>VAL-2208/ BL</t>
  </si>
  <si>
    <t>วาเลนเต้ ปัตตาเลี่ยนไฟฟ้าสีน้ำเงิน</t>
  </si>
  <si>
    <t xml:space="preserve">วาเลนเต้ ปัตตาเลี่ยนไฟฟ้า มี3สี สีดำ ขนาดกว้าง 14 ซม. ยาว 22 ซม. "BARBER EQUIPMENT ปัตตาเลี่ยนไฟฟ้า มี3สี สีดำ สีแดง สีน้ำเงิน ขนาดกว้าง 14 ซม. ยาว 22 ซม
 **คุณสมบัติ** ✔︎ ใช้งานง่าย สะดวกสบายสุดๆ
 ✔︎ น้ำหนักเบา และรูปทรงที่สวยงาม ✔︎ พร้อมด้ามจับถนัดมือ ✔︎ สายไฟที่ยาวเพื่อความสะดวกในการเคลื่อนย้าย"</t>
  </si>
  <si>
    <t>https://www.youtube.com/watch?v=aqrZIajvC74&amp;list=PLGjfh_21bFBeTNSSYIIjGfKXLP2npOZvj&amp;index=22</t>
  </si>
  <si>
    <t>VAL-2208/ BLA</t>
  </si>
  <si>
    <t>VAL-2208/ R</t>
  </si>
  <si>
    <t>VAL-2208/R</t>
  </si>
  <si>
    <t>124ขนาด 19x3 cm</t>
  </si>
  <si>
    <t xml:space="preserve">"วาเลนเต้ ปัตตาเลี่ยนไฟฟ้า มี3สี สีดำ ขนาดกว้าง 14 ซม. ยาว 22 ซม. ""BARBER EQUIPMENT ปัตตาเลี่ยนไฟฟ้า มี3สี สีดำ สีแดง สีน้ำเงิน ขนาดกว้าง 14 ซม. ยาว 22 ซม
 **คุณสมบัติ** ✔︎ ใช้งานง่าย สะดวกสบายสุดๆ
 ✔︎ น้ำหนักเบา และรูปทรงที่สวยงาม ✔︎ พร้อมด้ามจับถนัดมือ ✔︎ สายไฟที่ยาวเพื่อความสะดวกในการเคลื่อนย้าย"""</t>
  </si>
  <si>
    <t>หวียีไฟเบอร์</t>
  </si>
  <si>
    <t>หวียีไฟเบอร์ ขนาดกว้าง 3 ซม. ยาว 23 ซม. คุณสมบัติ: ✔︎ หวียีไฟเบอร์ ✔︎ ช่วยให้การยีผมง่ายขึ้น ยีฟู</t>
  </si>
  <si>
    <t>กว้าง 3 ซม. ยาว 23 ซม.</t>
  </si>
  <si>
    <t>VAL-2534/BLA</t>
  </si>
  <si>
    <t>ด้ามมีดโกน-ซอยสไลด์วาเลนเต้สีดำ</t>
  </si>
  <si>
    <t xml:space="preserve">VALENTE ด้ามมีดโกน รุ่น VAL-2534/G BLU BLA
-ด้ามมีดโกน แบบตรง มี3สี : ดำ น้ำเงิน เงิน
น้ำหนัก 0.0483 กก. ใช้ใบมีดหักครึ่ง
คุณสมบัติ:                                                                   
✔︎ ด้ามมีดโกนสวมนิ้ว แบบตรง                                      
✔︎ มี3สี สีเงิน สีดำ สีน้ำเงิน                                      
✔︎ ใช้ใบมีดแบบคมเดียว                                           
✔︎ สามารถนำไปกันหรือจัดแต่งทรงคิ้วหรือทรงผมได้ 
*เหมาะสำหรับมือใหม่และมืออาชีพ*</t>
  </si>
  <si>
    <t>https://www.youtube.com/watch?v=UNW2sXCQAn4&amp;list=PLGjfh_21bFBeTNSSYIIjGfKXLP2npOZvj&amp;index=23</t>
  </si>
  <si>
    <t>VAL-2534/BLU</t>
  </si>
  <si>
    <t>ด้ามมีดโกน-ซอยสไลด์วาเลนเต้สีน้ำเงิน</t>
  </si>
  <si>
    <t>VAL-2534/S</t>
  </si>
  <si>
    <t>ด้ามมีดโกน-ซอยสไลด์วาเลนเต้สีเงิน</t>
  </si>
  <si>
    <t>ผ้าคลุมซอย</t>
  </si>
  <si>
    <t xml:space="preserve">BARBER EQUIPMENT ผ้าคลุมซอยสำหรับบาร์เบอร์ VAL-2985 ผ้าคลุมซอย สีดำ ขนาด 130x150ซม. 
ด้านหลังเป็นตะขอเกี่ยวสามารถปรับระดับได้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</si>
  <si>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130x150 ซม.</t>
  </si>
  <si>
    <t>https://www.youtube.com/watch?v=MafiDgp5cYc&amp;list=PLX10pjRah52OzPpR1qgFtJ8-5xCenxqmm&amp;index=5</t>
  </si>
  <si>
    <t xml:space="preserve">BARBER EQUIPMENT ผ้าคลุมซอยสำหรับบาร์เบอร์ รุ่น VAL-2986. ผ้าคลุมซอยธงชาติอเมริกัน ขนาด 130x140ซม. 
ด้านหลังเป็นตะขอเกี่ยวสามารถปรับระดับได้
ผลิตจากวัสดุ :
 ผ้าเสอร์ช กันน้ำได้ 80% 
 เนื้อนุ่มมาก ระบายความร้อนได้ดี
คุณสมบัติ:                                                            
✔︎ ผ้าคลุมซอยสำหรับบาร์เบอร์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</si>
  <si>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130x140 ซม.</t>
  </si>
  <si>
    <t xml:space="preserve">ผ้าคลุมซอยสีดำละสีขาว ขนาด 135x152ซม. 
ด้ามหลังเป็นตะขอเกี่ยวสามารถปรับระดับได้
คุณสมบัติ:                                                            
✔︎ ผ้าคลุมซอยสำหรับบาร์เบอร์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t>
  </si>
  <si>
    <t>132x152 ซม.</t>
  </si>
  <si>
    <t>VAL-320+339</t>
  </si>
  <si>
    <t>ชุดหวีรองซอยสีรุ้ง แบบสั้นและแบบยาว</t>
  </si>
  <si>
    <t xml:space="preserve">คุณสมบัติ :
✔︎ หวีรองซอย ทำจากวัสดุชั้นดี สีสันสดใส 
✔︎ ช่วยในการรองผมเวลาตัด
✔︎ น้ำหนักเบามือ แข็งแรงทนทาน 
รายละเอียดสินค้า : 
VAL-339 เล็ก
น้ำหนัก 12g
ขนาด 18 x2.3 cm
VAL-320 ใหญ่
น้ำหนัก 15g
ขนาด 19.8 x 2.5 cm</t>
  </si>
  <si>
    <t xml:space="preserve">หวีรองซอยสีรุ้ง แบบยาว </t>
  </si>
  <si>
    <t>15g</t>
  </si>
  <si>
    <t>19.8x2.5 ซม.</t>
  </si>
  <si>
    <t>หวีรองซอยสีรุ้ง แบบสั้น</t>
  </si>
  <si>
    <t>12g</t>
  </si>
  <si>
    <t>18x2.3 ซม.</t>
  </si>
  <si>
    <t>VAL-350AS/L</t>
  </si>
  <si>
    <t>กรรไกรตัดขนจมูก วาเลนเต้</t>
  </si>
  <si>
    <t>กรรไกรตัด ขนาด3.5นิ้ว คุณสมบัติ: ✔︎ ตัวกรรไกรมีขนาดที่พอเหมาะ จับถนัดมือ ✔︎ วัสดุดีมีคุณภาพ ✔︎ ใช้สำหรับตัดขนจมูกปลายงอน</t>
  </si>
  <si>
    <t>3.5 นิ้ว</t>
  </si>
  <si>
    <t xml:space="preserve">กรรไกรซอย ขนาด6.5นิ้ว น้ำหนัก 59 กรัม "คุณสมบัติ: ✔︎ พกพาสะดวก ใช้งานง่าย
 ✔︎ ผลิตจากวัสดุที่คงทน ✔︎ ใบมีดคม ✔︎ ใช้สำหรับตัดแต่งทรงผม **สามารถดูวิธีใช้เพิ่มเติมได้ที่ QR code บนกล่อง"</t>
  </si>
  <si>
    <t>https://www.youtube.com/watch?v=PhZClHK3QHU&amp;list=PLX10pjRah52OzPpR1qgFtJ8-5xCenxqmm&amp;index=13</t>
  </si>
  <si>
    <t>VAL-400AS/G</t>
  </si>
  <si>
    <t>กรรไกรตัด ขนาด4นิ้ว คุณสมบัติ: ✔︎ ตัวกรรไกรมีขนาดที่พอเหมาะ จับถนัดมือ ✔︎ วัสดุดีมีคุณภาพ ✔︎ ใช้สำหรับตัดขนจมูกปลายงอน</t>
  </si>
  <si>
    <t>4 นิ้ว</t>
  </si>
  <si>
    <t>แปรงปัดผม ขนหมูป่า</t>
  </si>
  <si>
    <t xml:space="preserve">BARBER BRAIN BOAR BRUSH
แปรงปัดผมขนหมูป่า ทรงรี ไม่มีด้ามจับ 
ขนาด 6x11ซม. น้ำหนัก 56.3 กรัม ใช้ปัดเศษผม
คุณสมบัติ:                                                              
✔︎ ขนหมูป่าแท้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</si>
  <si>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56.3g</t>
  </si>
  <si>
    <t>6x11 ซม.</t>
  </si>
  <si>
    <t>https://www.youtube.com/watch?v=IbMjnofeZKc&amp;list=PLX10pjRah52OzPpR1qgFtJ8-5xCenxqmm&amp;index=22</t>
  </si>
  <si>
    <t>หวีแปรงวินเทจขนม้า</t>
  </si>
  <si>
    <t xml:space="preserve">แปรงปัดผมขนม้า ทรงรี ไม่มีด้ามจับ
ขนาด 6x11ซม. ใช้ปัดเศษผม
คุณสมบัติ:                                                              
✔︎ ขนม้าแท้ ใช้ปัดเศษผม                                    
✔︎ ขนแปรงไม่แข็งมากและไม่อ่อนจนเกินไป         
✔︎ ทนทาน ขนไม่หลัดง่าย ไม่ระคายเคือง                       
วิธีใช้: 
     ใช้หลังการตัดผม ปัดเศษผมเพื่อเก็บรายละเอียด และความสะอาด หรือแปรง
ลักษณะนี้ ใช้ปัดเศษผมขนาดเล็กๆที่ติดตามหนังหัว(โดยเฉพาะเวลาตัดทรงนักเรียน)</t>
  </si>
  <si>
    <t>https://www.youtube.com/watch?v=GFNMC1lxqko&amp;list=PLX10pjRah52OzPpR1qgFtJ8-5xCenxqmm&amp;index=25</t>
  </si>
  <si>
    <t xml:space="preserve">BARBER BRAIN BOAR BRUSH
แปรงปัดผมขนหมูป่า มีด้ามจับ 
ขนาด 5.5x17ซม. น้ำหนัก 78 กรัม ใช้ปัดเศษผม
คุณสมบัติ:                                                              
✔︎ ขนหมูป่าแท้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</si>
  <si>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78g</t>
  </si>
  <si>
    <t>5.5x17 ซม</t>
  </si>
  <si>
    <r>
      <rPr>
        <u/>
        <color rgb="FF1155CC"/>
        <sz val="8"/>
        <rFont val="Arial"/>
      </rPr>
      <t>https://www.youtube.com/watch?v=FDIyf3HNOJo&amp;list=PLX10pjRah52OzPpR1qgFtJ8-5xCenxqmm&amp;index=31</t>
    </r>
    <r>
      <rPr>
        <color rgb="FF071924"/>
        <sz val="8"/>
        <rFont val="Arial"/>
      </rPr>
      <t>1</t>
    </r>
  </si>
  <si>
    <t xml:space="preserve">แปรงปัดผมขนม้า มีด้ามจับ 
ขนาด 5.5x17ซม.ใช้ปัดเศษผม
คุณสมบัติ:                                                              
✔︎ ขนม้าแท้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</si>
  <si>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https://www.youtube.com/watch?v=ku3C1WokNkc&amp;list=PLX10pjRah52OzPpR1qgFtJ8-5xCenxqmm&amp;index=28</t>
  </si>
  <si>
    <t>แปรงปัดผมขนไนล่อน</t>
  </si>
  <si>
    <t xml:space="preserve">แปรงปัดผมขนไนล่อน มีด้ามจับ 
ขนาด 5.5x17ซม. ใช้ปัดเศษผม
คุณสมบัติ:                                                              
✔︎ ขนไนล่อน คุณภาพดี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</si>
  <si>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 xml:space="preserve">BARBER BRAIN BOAR BRUSH
แปรงปัดผมขนหมูป่า มีด้ามจับ 
ขนาด 4x21.5ซม. น้ำหนัก 68กรัม ใช้ปัดเศษผม.
คุณสมบัติ:                                                              
✔︎ ขนหมูป่าแท้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</si>
  <si>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68g</t>
  </si>
  <si>
    <t>4x21.5 ซม</t>
  </si>
  <si>
    <r>
      <rPr>
        <u/>
        <color rgb="FF1155CC"/>
        <sz val="8"/>
        <rFont val="Arial"/>
      </rPr>
      <t>https://www.youtube.com/watch?v=BdDmO073SJ4&amp;list=PLX10pjRah52OzPpR1qgFtJ8-5xCenxqmm&amp;index=9</t>
    </r>
    <r>
      <rPr>
        <color rgb="FF071924"/>
        <sz val="8"/>
        <rFont val="Arial"/>
      </rPr>
      <t>9</t>
    </r>
  </si>
  <si>
    <t xml:space="preserve">แปรงปัดผมขนม้า มีด้ามจับ 
ขนาด 4x21.5ซม. ใช้ปัดเศษผม
คุณสมบัติ:                                                              
✔︎ ขนม้าแท้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</si>
  <si>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 xml:space="preserve">BARBERBRAIN BOAR BRUSH
แปรงปัดผมขนหมูป่า มีด้ามจับ 
ขนาด 3x20.5ซม.น้ำหนัก 48  กรัม  ใช้ปัดเศษผม
คุณสมบัติ:                                                              
✔︎ ขนหมูป่าแท้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</si>
  <si>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48g</t>
  </si>
  <si>
    <t>3x20.5ซม.</t>
  </si>
  <si>
    <t>https://www.youtube.com/watch?v=IVXtabRcTkI&amp;list=PLX10pjRah52OzPpR1qgFtJ8-5xCenxqmm&amp;index=12</t>
  </si>
  <si>
    <t xml:space="preserve">แปรงปัดผมขนไนล่อน มีด้ามจับ 
ขนาด 3x20.5ซม. ใช้ปัดเศษผม
คุณสมบัติ:                                                              
✔︎ ขนไนล่อน คุณภาพดี ใช้ปัดเศษผม                                    
✔︎ ขนแปรงไม่แข็งมากและไม่อ่อนจนเกินไป                   
✔︎ ทนทาน ขนไม่หลัดง่าย ไม่ระคายเคือง                  
*เหมาะสำหรับร้านบาร์เบอร์และซาลอน
วิธีใช้:                                                                       
      ใช้หลังการตัดผม ปัดเศษผมเพื่อเก็บรายละเอียด และความสะอาด 
หรือแปรงลักษณะนี้ ใช้ปัดเศษผมขนาดเล็กๆที่ติดตามหนังหัว</t>
  </si>
  <si>
    <t>เซ็ตหวีอเนกประสงค์</t>
  </si>
  <si>
    <t xml:space="preserve">VALENTE เซทหวีอเนกประสงค์ หวีรองซอย หวีเซต หวีหาง (10ชิ้น / ชุด) VAL-589.  คุณสมบัติ:                                                                                                          
     สุดคุ้ม! ใน 1 ชุดประอบด้วย 10 ชิ้น สามารถนำไปใช้ได้หลายอย่าง 
เช่น หวีผม รองซอย แบ่งผม เซทผม  
ราคาย่อมเยาว์ คนทั่วไปหรือช่างต้ดผมก็ใช้ได้ 
</t>
  </si>
  <si>
    <t>1 ชุด มี 10 ชิ้น</t>
  </si>
  <si>
    <t>https://youtu.be/CMs1T6D-JNA</t>
  </si>
  <si>
    <t>กรรไกรวาเลนเต้ ขนาด 5.5"</t>
  </si>
  <si>
    <t>กรรไกรตัด+ซอย ขนาด 5.5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</si>
  <si>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VAL-5/B/1</t>
  </si>
  <si>
    <t xml:space="preserve">คุณสมบัติ
✔︎กรรไกรวาเลนเต้  ตัด รุ่น VAL-5/B
✔︎ รูปทรงสวยงาม ตัวกรรไกรทำจากเหล็กคุณภาพสูง
✔︎ พร้อมใช้งานได้ทันทีโดยไม่ต้องลับคมกรรไกร
✔︎ ด้วยคุณภาพของวัสดุชั้นดี ให้ความคมสูงมาก
✔︎ ทำให้งานตัด ไม่ติดขัด ลื่นไหล เก็บงานได้ อย่างเรียบร้อย
วิธีใช้:                                                                           
✂ กรรไกรตัด ใช้ตัดผมให้สั้นลง บางทีก็ใช้ตัดให้ผมบางลงได้ ขึ้นอยู่กับวิธีการตัด                                                 
**สามารถดูวิธีใช้เพิ่มเติมได้ที่ QR code บนกล่อง</t>
  </si>
  <si>
    <t>VAL-5/B/2</t>
  </si>
  <si>
    <t xml:space="preserve">"คุณสมบัติ
✔︎กรรไกรวาเลนเต้  ซอย รุ่น VAL-5/B
✔︎ รูปทรงสวยงาม ตัวกรรไกรทำจากเหล็กคุณภาพสูง
✔︎ พร้อมใช้งานได้ทันทีโดยไม่ต้องลับคมกรรไกร
✔︎ ด้วยคุณภาพของวัสดุชั้นดี ให้ความคมสูงมาก
✔︎ ทำให้งานตัด ไม่ติดขัด ลื่นไหล เก็บงานได้ อย่างเรียบร้อย
วิธีใช้:                                                                           
✂ กรรไกรตัด ใช้ตัดผมให้สั้นลง บางทีก็ใช้ตัดให้ผมบางลงได้ ขึ้นอยู่กับวิธีการตัด                                                 
**สามารถดูวิธีใช้เพิ่มเติมได้ที่ QR code บนกล่อง"</t>
  </si>
  <si>
    <t>VAL-602/A</t>
  </si>
  <si>
    <t>แปรงขนหมูป่า</t>
  </si>
  <si>
    <t xml:space="preserve">แปรงขนหมูป่า แบบสี่เหลี่ยม ขนาดกว้าง 8.5ซม ยาว 25ซม "คุณสมบัติ: ✔︎ตัวขนหมูป่าจะช่วยกระจายน้ำมันบนหนังศีรษะไปทั่วเส้นผม ทำให้ผมเงางามขึ้น ✔︎ช่วยทำความสะอาดเส้นผม เอาสิ่งสกปรกออกจากหนังศีรษะ ช่วยให้ผมแห้งดูเงางามมากยิ่งขึ้น ✔︎ยังช่วยป้องกันไฟฟ้าสถิตย์ ที่ทำให้ผมชี้ฟูอีกด้วย **คุณสมบัติ - ในบรรดาแปรงหวีผมที่ทำจากขนสัตว์ทั้งหมด แปรงขนหมูป่าจัดเป็นแปรงที่มีความยืดหยุ่นของขนแปรงสูง
 - สามารถเข้าถึงโคนผมได้เส้นต่อเส้น
 - นอกจากนี้ยังช่วยลดไฟฟ้าสถิต
 - จึงเหมาะสำหรับคนผมหนาเยอะและผมแห้งเสียแตกปลาย - ช่วยให้ผมนุ่มลื่นขึ้น -ช่วยทะนุถนอมเส้นผมที่เปราะบาง"</t>
  </si>
  <si>
    <t>กว้าง 8.5 ซม. ยาว 25 ซม.</t>
  </si>
  <si>
    <t>VAL-606/A</t>
  </si>
  <si>
    <t xml:space="preserve">แปรงขนหมูป่า แบบวงรี ขนาดกว้าง 7ซม ยาว 25ซม "คุณสมบัติ ✔︎ ในบรรดาแปรงหวีผมที่ทำจากขนสัตว์ทั้งหมด แปรงขนหมูป่าจัดเป็นแปรงที่มีความยืดหยุ่นของขนแปรงสูง
 ✔︎ สามารถเข้าถึงโคนผมได้เส้นต่อเส้น
 ✔︎ นอกจากนี้ยังช่วยลดไฟฟ้าสถิต
 ✔︎ จึงเหมาะสำหรับคนผมหนาเยอะและผมแห้งเสียแตกปลาย ✔︎ ช่วยให้ผมนุ่มลื่นขึ้น"</t>
  </si>
  <si>
    <t>กว้าง 7 ซม. ยาว 25 ซม.</t>
  </si>
  <si>
    <t>กรรไกร ตัดขนาด6.5นิ้ว น้ำหนัก 64 กรัม คุณสมบัติ: ✔︎ กรรไกรตัดผม ด้ามจับสีทอง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</si>
  <si>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t>https://www.youtube.com/watch?v=BWykPjKobu8&amp;list=PLX10pjRah52OzPpR1qgFtJ8-5xCenxqmm&amp;index=30</t>
  </si>
  <si>
    <t>VAL-61+62</t>
  </si>
  <si>
    <t xml:space="preserve">กรรไกร ตัด 6.5นิ้ว +ซอย ขนาด6นิ้ว น้ำหนัก 119 กรัม คุณสมบัติ: ✔︎ ชุดกรรไกรตัด+ซอย ด้ามจับสีทอง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
 </t>
  </si>
  <si>
    <t>กรรไกร ซอย ขนาด6นิ้ว น้ำหนัก 61 กรัม คุณสมบัติ: ✔︎ กรรไกรตัดซอย ด้ามจับสีทอง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</si>
  <si>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t>แปรงด้ามไม้</t>
  </si>
  <si>
    <t xml:space="preserve">แปรงด้ามไม้ ขนาดกว้าง 9ซม ยาว 25ซม "AVA แปรงหวี นวดหนังศีรษะ VAL-621/A
 คุณสมบัติ
 ✔︎ หวีแปรงผมได้ง่าย 
 ✔︎ จับถนัดมือ นวดศีรษะ ผ่อนคลาย
 ✔︎ ผลิตจากวัสดุอย่างดี 
 ✔︎ แข็งแรงทนทาน ใช้งานได้นาน"</t>
  </si>
  <si>
    <t>กว้าง 9 ซม. ยาว 25 ซม.</t>
  </si>
  <si>
    <t>VAL-621/M</t>
  </si>
  <si>
    <t>แปรงนวดหนังศรีษะ</t>
  </si>
  <si>
    <t xml:space="preserve">แปรงนวดหนังศีรษะขนาดกว้าง 9ซม ยาว 25ซม "AVA แปรงหวี นวดหนังศีรษะ VAL-621/M
 คุณสมบัติ
 ✔︎ หวีแปรงผมได้ง่าย 
 ✔︎ จับถนัดมือ นวดศีรษะ ผ่อนคลาย
 ✔︎ ผลิตจากวัสดุอย่างดี 
 ✔︎ แข็งแรงทนทาน ใช้งานได้นาน"</t>
  </si>
  <si>
    <t xml:space="preserve">กรรไกรตัดหนัง ขนาด ยาว 10 ซม. "คุณสมบัติ: ✔︎ กรรไกรตัดหนัง ขนาด 10*0.5cm
 ✔︎ ทำจากเหล็กเนื้อดี น้ำหนักเบา จับถนัดและสบายมือ
 ✔︎ ปลายแหลมคม
 ✔︎ ทนทาน ใช้งานได้นาน วิธีใช้: ใช้สำหรับการทำเล็บหรือการทำสปามือ"</t>
  </si>
  <si>
    <t>10x0.5 ซม.</t>
  </si>
  <si>
    <t>กรรไกร ตัดขนาด6.5นิ้ว คุณสมบัติ: ✔︎ กรรไกรตัดผม ด้ามจับสีดำ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</si>
  <si>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t>https://www.youtube.com/watch?v=lnQ9SJ-B-VA&amp;list=PLX10pjRah52OzPpR1qgFtJ8-5xCenxqmm&amp;index=29</t>
  </si>
  <si>
    <t>VAL-64+65</t>
  </si>
  <si>
    <t>กรรไกร ตัด 6.5นิ้ว +ซอย ขนาด6นิ้ว คุณสมบัติ: ✔︎ ชุดกรรไกรตัด+ซอย ด้ามจับสีดำ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</si>
  <si>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t>หวียี</t>
  </si>
  <si>
    <t xml:space="preserve">หวียีแบบไม่มีตุ่ม ขนาด ความกว้าง 2 ซม. ยาว 24ซม. "AVA หวีแปรง ยีผม VAL-641
 **คุณสมบัติ
 - หวีแปรง ยีผม VAL-641
 - ใช้งานสะดวกง่าย 
 - จับถนัดมือยีผมได้ฟูฟ่อง
 - ผลิตจากวัสดุอย่างดี 
 - แข็งแรงทนทาน ใช้งานได้นาน"</t>
  </si>
  <si>
    <t>ยาว 24 ซม. กว้าง 1.5 ซม.</t>
  </si>
  <si>
    <t xml:space="preserve">หวียีแบบมีตุ่ม ขนาด ความกว้าง 2ซม.ยาว 24 ซม. "AVA หวีแปรง ยีผม VAL-642
 คุณสมบัติ
 - หวีแปรง ยีผม VAL-642
 - แปรงหน้าเล็ก
 - จับถนัดมือใช้แรงน้อย ยีผมได้ฟูฟ่อง
 - ผลิตจากวัสดุอย่างดี
 - แข็งแรงทนทาน ใช้งานได้นาน"</t>
  </si>
  <si>
    <t>ยาว 24 ซม. กว้าง 2 ซม.</t>
  </si>
  <si>
    <t>VAL-646/B</t>
  </si>
  <si>
    <t>แปรงไดร์ผม 2 ด้าน</t>
  </si>
  <si>
    <t xml:space="preserve">แปรงไดร์ผม 2 ด้าน ขนาดความยาว ซม.น้ำหนัก "**คุณสมบัติ VALENTE แปรงไดร์ผม 2 ด้าน
 - หวีแปรงสำหรับไดร์ ด้ามไม้ 
 - ผลิตจากวัสดุคุณภาพดี คงทนแข็งแรง จึงสามารถใช้งานได้ยาวนาน
 - ช่วยให้เส้นผมเรียบ เรียงตัวสวยไม่พันกัน สามารถจัดทรงได้ง่ายตามต้องการ
 - มีขนาดกะทัดรัด จับถนัดมือ น้ำหนักเบา เหมาะสำหรับพกพาไปได้ในทุกที่"</t>
  </si>
  <si>
    <t>ยาว 24 ซม. กว้าง 4 ซม.</t>
  </si>
  <si>
    <t>VAL-646/H</t>
  </si>
  <si>
    <t>แปรงไดร์ผม</t>
  </si>
  <si>
    <t xml:space="preserve">แปรงไดร์ผม 2 ด้าน ขนาดความกว้าง 4.5 ซม.ยาว24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 หวีแปรงสำหรับไดร์ 2 ด้าน ด้ามไม้ 
 - ผลิตจากวัสดุคุณภาพดี คงทนแข็งแรง จึงสามารถใช้งานได้ยาวนาน
 - ช่วยให้เส้นผมเรียบ เรียงตัวสวยไม่พันกัน สามารถจัดทรงได้ง่ายตามต้องการ
 - มีขนาดกะทัดรัด จับถนัดมือ น้ำหนักเบา เหมาะสำหรับพกพาไปได้ในทุกที่
 - สีดำ *นิยมใช้ในร้านซาลอน*"</t>
  </si>
  <si>
    <t>หวีแปรงโค้งวาเลนเต้ หวีแปรงเปียก แบบเหลี่ยม</t>
  </si>
  <si>
    <t xml:space="preserve">รุ่น VAL-658 แบบเหลี่ยม
วัสดุหวี: พลาสติก
ความยาว : ยาว 24cm กว้าง 8cm
✔︎ หวีแปรงแบบโปร่ง 
✔︎ หวีแปรงเปียก 
✔︎ มีปุ่มช่วยนวดศรีษะ
✔︎ มีลักษณะโค้งนิดๆรับกับรูปหัว
✔︎ ลดไฟฟ้าสถิตย์
✔︎ หวีกระดูก</t>
  </si>
  <si>
    <t>ยาว 24 ซม. กว้าง 8 ซม.</t>
  </si>
  <si>
    <t>https://youtu.be/s93PqscB00Q</t>
  </si>
  <si>
    <t>หวีแปรงโค้งวาเลนเต้ หวีแปรงเปียก แบบกลม</t>
  </si>
  <si>
    <t xml:space="preserve">รุ่น VAL-659 แบบกลม
วัสดุหวี: พลาสติก
ความยาว : ยาว 24cm กว้าง 8cm
✔︎ หวีแปรงแบบโปร่ง 
✔︎ หวีแปรงเปียก 
✔︎ มีปุ่มช่วยนวดศรีษะ
✔︎ มีลักษณะโค้งนิดๆรับกับรูปหัว
✔︎ ลดไฟฟ้าสถิตย์
✔︎ หวีกระดูก
</t>
  </si>
  <si>
    <t>กรรไกร ซอย ขนาด6นิ้ว น้ำหนัก 62 กรัม คุณสมบัติ: ✔︎ กรรไกรตัดซอย(ฟันปลา) ด้ามจับสีดำ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</si>
  <si>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r>
      <rPr>
        <u/>
        <color rgb="FF1155CC"/>
        <sz val="8"/>
        <rFont val="Arial"/>
      </rPr>
      <t>https://www.youtube.com/watch?v=lnQ9SJ-B-VA&amp;list=PLX10pjRah52OzPpR1qgFtJ8-5xCenxqmm&amp;index=29</t>
    </r>
    <r>
      <rPr>
        <color rgb="FF071924"/>
        <sz val="8"/>
        <rFont val="Arial"/>
      </rPr>
      <t>9</t>
    </r>
  </si>
  <si>
    <t xml:space="preserve">กรรไกรตัดมือซ้าย ยาว 6.5 นิ้ว "กรรไกรมือซ้าย กรรไกรสำหรับคนถนัดซ้าย ( ตัด)
 กรรไกรตัดผมสำหรับคนถนัดซ้าย
 คุณสมบัติ: ✔︎ น้ำหนักเบา จับถนัดมือ   ✔︎ ใช้สำหรับตัดแต่งทรงผม วิธีใช้: ✂ กรรไกรตัด ใช้ตัดผมให้สั้นลง บางทีก็ใช้ตัดให้ผมบางลงได้ ขึ้นอยู่กับวิธีการตัด **สามารถดูวิธีใช้เพิ่มเติมได้ที่ QR code บนกล่อง"</t>
  </si>
  <si>
    <t>https://youtu.be/DCIRYZOnqeI</t>
  </si>
  <si>
    <t>VAL-66+67</t>
  </si>
  <si>
    <t xml:space="preserve">กรรไกรมือซ้าย "รายละเอียดสินค้า กรรไกรมือซ้าย กรรไกรสำหรับคนถนัดซ้าย ( ตัด + ซอย )
 กรรไกรตัดผมสำหรับคนถนัดซ้าย
 1 ชุด ประกอบด้วย
 กรรไกรตัดผม ยาว 6.5 นิ้ว 
 กรรไกรซอยผม ยาว 6.5 นิ้ว
 คุณสมบัติ: ✔︎ ชุดกรรไกรตัด+ซอย ✔︎ น้ำหนักเบา จับถนัดมือ   ✔︎ ใช้สำหรับตัดแต่งทรงผม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
</t>
  </si>
  <si>
    <t xml:space="preserve">กรรไกรมือซ้าย ยาว 6.5 นิ้ว "กรรไกรตัดผมสำหรับคนถนัดซ้าย
 กรรไกรซอยผม ยาว 6นิ้ว
 คุณสมบัติ: ✔︎ น้ำหนักเบา จับถนัดมือ   ✔︎ ใช้สำหรับตัดแต่งทรงผม วิธีใช้: ✂ กรรไกรซอย(ฟันปลา) ใช้ซอยผมให้บางลง ขนาดความยาวเท่าเดิม   **สามารถดูวิธีใช้เพิ่มเติมได้ที่ QR code บนกล่อง"</t>
  </si>
  <si>
    <t>กรรไกรซอย</t>
  </si>
  <si>
    <t>VAL-684/C</t>
  </si>
  <si>
    <t>แปรงปัดผม</t>
  </si>
  <si>
    <t xml:space="preserve">แปรงปัดผม VALENTE HAIR BRUSH  VAL-684/ Cใช้ปัดหนวด ปัดเส้นผม ขนาดแปรงจับถนัดมือ ขนทำมาจากขนไนลอน ใช้ง่าย
คุณสมบัติ:                                                              
✔︎ ขนไนลอนชั้นดี ใช้ปัดเศษผม                                    
✔︎ ขนแปรงไม่แข็งมากและไม่อ่อนจนเกินไป         
✔︎ ทนทาน ขนไม่หลุดง่าย ไม่ระคายเคือง                      
✔︎ ด้ามจับถนัดเหมาะมือ 
 วิธีใช้: 
ใช้หลังการตัดผม ปัดเศษผมเพื่อเก็บรายละเอียด และความสะอาด
*เหมาะสำหรับร้านบาร์เบอร์และซาลอน*
         .........................................................</t>
  </si>
  <si>
    <t>กว้าง 10 ซม. สูง 15 ซม.</t>
  </si>
  <si>
    <t>https://youtu.be/T5eOCmbS3Gc</t>
  </si>
  <si>
    <t>VAL-6/B</t>
  </si>
  <si>
    <t>กรรไกรตัด+ซอย ขนาด5.5 นิ้ว คุณสมบัติ: ✔︎ ชุดกรรไกรตัด+ซอย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**สามารถดูวิธีใช้เพิ่มเติมได้ที่ QR code บนกล่อง</t>
  </si>
  <si>
    <t>VAL-6/B/1</t>
  </si>
  <si>
    <t xml:space="preserve">-กรรไกรตัด ขนาด5.5นิ้ว ทำจากวัสดุอย่างดี
คุณสมบัติ:                                                           
✔︎ กรรไกรตัด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วิธีใช้:                                                                           
✂ กรรไกรตัด ใช้ตัดผมให้สั้นลง บางทีก็ใช้ตัดให้ผมบางลงได้ ขึ้นอยู่กับวิธีการตัด                                                 
**สามารถดูวิธีใช้เพิ่มเติมได้ที่ QR code บนกล่อง</t>
  </si>
  <si>
    <t>VAL-6/B/2</t>
  </si>
  <si>
    <t xml:space="preserve">-กรรไกรซอย ขนาด5.5 นิ้ว ทำจากวัสดุอย่างดี
คุณสมบัติ:                                                           
✔︎ กรรไกรซอย                                            
✔︎ น้ำหนักเบา จับถนัดมือ                                       
✔︎ ตัวกรรไกรทำจากเหล็กคุณภาพสูง                         
✔︎ พร้อมใช้งานได้ทันทีโดยไม่ต้องลับคมกรรไกร           
✔︎ ด้วยคุณภาพของวัสดุชั้นดี ให้ความคมสูงมาก 
วิธีใช้:                                                                                                                     
✂ กรรไกรซอย(ฟันปลา) ใช้ซอยผมให้บางลง ขนาดความยาวเท่าเดิม                                                                                                               
**สามารถดูวิธีใช้เพิ่มเติมได้ที่ QR code บนกล่อง</t>
  </si>
  <si>
    <t>VAL-701-55</t>
  </si>
  <si>
    <t>กรรไกรวาเลนเต้ ขนาด 5"</t>
  </si>
  <si>
    <t xml:space="preserve">
VALENTE กรรไกรตัดผม รุ่น VAL-701-55 กรรไกรตัด ขนาด6นิ้ว น้ำหนัก 63  กรัม
คุณสมบัติ
- กรรไกรตัดผม วาเลนเต้
- รูปทรงสวยงาม ตัวกรรไกรทำจากเหล็กคุณภาพสูง
- พร้อมใช้งานได้ทันทีโดยไม่ต้องลับคมกรรไกร
- ด้วยคุณภาพของวัสดุชั้นดี ให้ความคมสูงมาก
- ทำให้งานตัด-ซอย ไม่ติดขัด ลื่นไหล เก็บงานได้ อย่างเรียบร้อย    
วิธีใช้:                                                                                                                         
✂ กรรไกรตัด ใช้ตัดผมให้สั้นลง บางทีก็ใช้ตัดให้ผมบางลงได้ ขึ้นอยู่กับวิธีการตัด 
**สามารถดูวิธีใช้เพิ่มเติมได้ที่ QR code บนกล่อง
**ใช้ได้ทั้งมือใหม่และมืออาชีพ</t>
  </si>
  <si>
    <t>https://www.youtube.com/watch?v=RXynsTB-dm0&amp;list=PLX10pjRah52OzPpR1qgFtJ8-5xCenxqmm&amp;index=7</t>
  </si>
  <si>
    <t>VAL-701-65</t>
  </si>
  <si>
    <t>กรรไกรวาเลนเต้ ขนาด 6"</t>
  </si>
  <si>
    <t xml:space="preserve">กรรไกรตัด ขนาด6นิ้ว น้ำหนัก 63  กรัม
คุณสมบัติ
- กรรไกรตัดผม วาเลนเต้
- รูปทรงสวยงาม ตัวกรรไกรทำจากเหล็กคุณภาพสูง EB-S03
- พร้อมใช้งานได้ทันทีโดยไม่ต้องลับคมกรรไกร RGB liquid crystal shutter projection system (3LCD)
- ด้วยคุณภาพของวัสดุชั้นดี ให้ความคมสูงมาก
- ทำให้งานตัด-ซอย ไม่ติดขัด ลื่นไหล เก็บงานได้ อย่างเรียบร้อย Size 0.55" without MLA (D7
** ใช้ได้ทั้งมือใหม่และมืออาชีพ **</t>
  </si>
  <si>
    <t>https://www.youtube.com/watch?v=TSjUV31_ezY&amp;list=PLX10pjRah52OzPpR1qgFtJ8-5xCenxqmm&amp;index=8</t>
  </si>
  <si>
    <t>กรรไกรวาเลนเต้ ขนาด 6.5"</t>
  </si>
  <si>
    <t xml:space="preserve">กรรไกรตัด ขนาด6.5นิ้ว "VALENTE กรรไกรตัด รุ่น VAL-701-7 กรรไกรตัด ขนาด6.5นิ้ว
 กรรไกรตัดผม VALENTE (ซองส้ม)
 - ผลิตจากสแตนเลสอย่างดี ใบมีดคมกริบ ไม่สะดุดเวลาใช้งาน
 - ออกแบบมาให้จับได้ถนัดมือในระหว่างการใช้งาน
 - เหมาะสำหรับร้านตัดผม บาร์เบอร์ ซาลอนหรือใช้งานซอยผมทั่วไป **สามารถดูวิธีใช้เพิ่มเติมได้ที่ QR code บนกล่อง"</t>
  </si>
  <si>
    <t xml:space="preserve">HAIR SCISSORS กรรไกรตัด รุ่น VAL-702-5 "กรรไกรตัด ขนาด5นิ้ว
 - เป็นสินค้าที่ร้านเสริมสวยนิยมใช้เป็นอย่างมาก
 - กรรไกรตัดผม วาเลนเต้
 - รูปทรงสวยงาม ตัวกรรไกรทำจากเหล็กคุณภาพสูง
 - พร้อมใช้งานได้ทันทีโดยไม่ต้องลับคมกรรไกร
 - ด้วยคุณภาพของวัสดุชั้นดี ให้ความคมสูงมาก
 - ทำให้งานตัด ไม่ติดขัด ลื่นไหล เก็บงานได้ อย่างเรียบร้อย"</t>
  </si>
  <si>
    <t>VAL-703/20P</t>
  </si>
  <si>
    <t xml:space="preserve">กางเกงในสปา สีดำ </t>
  </si>
  <si>
    <t xml:space="preserve">#กางเกงในสปา #กางเกงในกระดาษ #กางเกงในใช้แล้วทิ้ง  
กางเกงในสปา ใช้แล้วทิ้ง สีดำ จำนวน 20 ตัว
          ✔︎ วัสดุทำจากผ้าสปันปอนด์                                         
          ✔︎ ใส่สบาย คุณภาพดี ใส่ง่าย                               
          ✔︎ FREESIZE                                                            
          ✔︎ กางเกงในใช้แล้วทิ้ง                                               
วิธีใช้: ใช้สำหรับใส่ทำสปา ตำกางเกงในใช้เป็นสีเข้มจึงทำให้ตัวกางเกงในไม่บางมาก                                        
warning*ไม่แนะนำให้นำกลับมาใช้ต่อ เพื่อความสะอาดถูกสุขอนามัย</t>
  </si>
  <si>
    <t>Freesize</t>
  </si>
  <si>
    <t>VAL-703/A</t>
  </si>
  <si>
    <t xml:space="preserve">กางเกงในสปา  สีน้ำเงินเข้ม </t>
  </si>
  <si>
    <t xml:space="preserve">#กางเกงในสปา #กางเกงในกระดาษ #กางเกงในใช้แล้วทิ้ง 
กางเกงในสปา ใช้แล้วทิ้ง สีน้ำเงินเข้ม สีกรม จำนวน 20 ตัว 
          ✔︎ สีเข้ม 
          ✔︎ วัสดุทำจากผ้าสปันปอนด์                                         
          ✔︎ ใส่สบาย คุณภาพดี ใส่ง่าย                               
          ✔︎ FREESIZE                                                            
          ✔︎ กางเกงในใช้แล้วทิ้ง                                               
วิธีใช้: ใช้สำหรับใส่ทำสปา ตำกางเกงในใช้เป็นสีเข้มจึงทำให้ตัวกางเกงในไม่บางมาก                                        
warning*ไม่แนะนำให้นำกลับมาใช้ต่อ เพื่อความสะอาดถูกสุขอนามัย</t>
  </si>
  <si>
    <t>VAL-705/B</t>
  </si>
  <si>
    <t xml:space="preserve">กางเกงในสปา คละสี </t>
  </si>
  <si>
    <t xml:space="preserve">#กางเกงในสปา #กางเกงในกระดาษ #กางเกงในใช้แล้วทิ้ง  จำนวน 20 ตัว
       วัสดุทำจากผ้าสปันปอนด์ ผลิตจากใยสังเคราะห์ มีความทนทาน 
คล้ายกระดาษทิชชู่ ยืดหยุ่น ไม่ดูดซับน้ำและฝุ่น                                        
          ✔︎ ใส่สบาย คุณภาพดี ใส่ง่าย                               
          ✔︎ FREESIZE : S-L รอบเอว 25-40 cm.         
          ✔︎ ตกแต่งลาย CHANEL                                                   
          ✔︎ กางเกงในใช้แล้วทิ้ง                                               
วิธีใช้: 
          ✔︎ ใช้สำหรับใส่ทำสปา 
          ✔︎ ใช้สำหรับท่องเที่ยว 
          ✔︎ ไม่ควรนำกลับมาซักแล้วใช้ใหม่
warning*ไม่แนะนำให้นำกลับมาใช้ต่อ เพื่อความสะอาดถูกสุขอนามัย</t>
  </si>
  <si>
    <t>FREESIZE : S-L รอบเอว 25-40 cm</t>
  </si>
  <si>
    <t>แปรงปัดหนวดวาเลนเต้ ขนไนล่อน VAL-739</t>
  </si>
  <si>
    <t xml:space="preserve">แปรงปัดหนวด ขนอ่อนสีครีม 
ขนาดประมาน 8.5*3 ซม.ใช้ปัดหนวด
คุณสมบัติ:
✔︎ ขนไนล่อนคุณภาพเยี่ยม                                                              
✔︎ ใช้ปัดหนวด ปัดเส้นผม                                       
✔︎ ขนาดแปรงจับถนัดมือ                                           
✔︎ ใช้งานง่าย                                                      
วิธีใช้: 
    ใช้หลังการตัดผมโกนหนวด ปัดเศษผม เศษหนวด เพื่อเก็บรายละเอียด และความสะอาด
*เหมาะสำหรับร้านบาร์เบอร์</t>
  </si>
  <si>
    <t>กว้าง 3 ซม. สูง 8.5 ซม.</t>
  </si>
  <si>
    <t>https://youtu.be/bhH8TEZes0A</t>
  </si>
  <si>
    <t>หน้ากากกันสเปรย์ ช่างทำผม</t>
  </si>
  <si>
    <t xml:space="preserve">หน้ากากกันสเปรย์ (VAL-8005)
ขนาด 32.8 ซม. 
คุณสมบัติ:                              
✔︎ หน้ากากสเปรย์                                                                  
✔︎ กันละอองสเปรย์ขณะจัดแต่งทรงผม ตัดผม                               
✔︎ ใช้ได้ทุกรูปแบบ สามารถประยุกต์ใช้ได้ตามวัตถุประสงค์ของลูกค้า</t>
  </si>
  <si>
    <t>32.8 ซม.</t>
  </si>
  <si>
    <t>https://youtu.be/5mif7LaLh6A</t>
  </si>
  <si>
    <t xml:space="preserve">หวีแปรงกลมลายเฉียง (8 แถว) ขนาดกว้าง 5 ซม. ยาว 24.5ซม. "หวีแปรงกลมลายเฉียง (VAL-815X-818X)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-หวีแปรงกลมลายเฉียง (8แถว-14แถว) 
 -ใช้ดัดผม 
 -ด้ามไม้ ขนทำจากขนไนล่อนกันความร้อน"</t>
  </si>
  <si>
    <t>กว้าง 4.5 ซม. ยาว 24 ซม.</t>
  </si>
  <si>
    <t>https://youtu.be/7sFhXfwcQyY</t>
  </si>
  <si>
    <t xml:space="preserve">หวีแปรงกลมลายตรง (8 แถว) ขนาดกว้าง 5 ซม. ยาว 24ซม. "VALENTE หวีแปรงกลมลายตรง รุ่น VAL-815Z-816Z-817Z-818Z
 รายละเอียดสินค้า
  VAL-815Z (8เเถว) น้ำหนัก 27 กรัม.
  VAL-816Z (10เเถว) น้ำหนัก 38 กรัม.
  VAL-817Z (12เเถว) น้ำหนัก 48 กรัม.
  VAL-818Z (14เเถว) น้ำหนัก 60 กรัม.
 คุณสมบัติ: 
  ตัวแปรงไดร์กลม มีหลายขนาด ขนแปรงทำมาจากขนสัตว์แท้ เป็นที่นิยมมากในร้านซลอนหรือร้านทำผม 
 หวีประเภทนี้ใช้เพื่อจับผมเป็นช่อๆ เซ็ทให้เป็นลอน หรือไดร์ผมตรงก็ได้ ใช้ได้กับเส้นผมทุกประเภท หวีด้ามไม้
 จะทนความร้อนได้ดี แต่หากเป็นหวีแปรงแกนโลหะจะสามารถนำความร้อนได้ดีทำให้เซ็ทผมได้เร็วกว่า 
 ✔︎ หวีแปรงกลม ไดร์ผมได้แห้งเร็วขึ้น
 ✔︎ แข็งแรงทนทาน ใช้งานได้นาน
 ✔︎ สีดำ ด้ามไม้"</t>
  </si>
  <si>
    <t xml:space="preserve">หวีแปรงกลมลายเฉียง (10 แถว) ขนาดกว้าง5 ซม. ยาว 25ซม. "หวีแปรงกลมลายเฉียง (VAL-815X-818X)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-หวีแปรงกลมลายเฉียง (8แถว-14แถว) 
 -ใช้ดัดผม 
 -ด้ามไม้ ขนทำจากขนไนล่อนกันความร้อน"</t>
  </si>
  <si>
    <t xml:space="preserve">VALENTE  หวีแปรงกลมลายตรง 
รายละเอียดสินค้า
      VAL-815Z (8เเถว) น้ำหนัก 27 กรัม.
      VAL-816Z (10เเถว)  น้ำหนัก 38 กรัม.
      VAL-817Z (12เเถว) น้ำหนัก 48 กรัม.
      VAL-818Z (14เเถว) น้ำหนัก 60 กรัม.
คุณสมบัติ: 
       ตัวแปรงไดร์กลม มีหลายขนาด ขนแปรงทำมาจากขนสัตว์แท้ เป็นที่นิยมมากในร้านซลอนหรือร้านทำผม 
หวีประเภทนี้ใช้เพื่อจับผมเป็นช่อๆ เซ็ทให้เป็นลอน หรือไดร์ผมตรงก็ได้ ใช้ได้กับเส้นผมทุกประเภท หวีด้ามไม้
จะทนความร้อนได้ดี แต่หากเป็นหวีแปรงแกนโลหะจะสามารถนำความร้อนได้ดีทำให้เซ็ทผมได้เร็วกว่า    
✔︎ หวีแปรงกลม  ไดร์ผมได้แห้งเร็วขึ้น
✔︎ แข็งแรงทนทาน ใช้งานได้นาน
✔︎ สีดำ ด้ามไม้</t>
  </si>
  <si>
    <t xml:space="preserve">หวีแปรงกลมลายเฉียง (12 แถว) ขนาดกว้าง5 ซม.ยาว 24ซม. "หวีแปรงกลมลายเฉียง (VAL-815X-818X)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-หวีแปรงกลมลายเฉียง (8แถว-14แถว) 
 -ใช้ดัดผม 
 -ด้ามไม้ ขนทำจากขนไนล่อนกันความร้อน"</t>
  </si>
  <si>
    <t>กว้าง 5 ซม. ยาว 24 ซม.</t>
  </si>
  <si>
    <t xml:space="preserve">หวีแปรงกลมลายเฉียง (14 แถว) ขนาดกว้าง 5 ซม. ยาว 25ซม. "หวีแปรงกลมลายเฉียง (VAL-815X-818X)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**คุณสมบัติ -หวีแปรงกลมลายเฉียง (8แถว-14แถว) 
 -ใช้ดัดผม 
 -ด้ามไม้ ขนทำจากขนไนล่อนกันความร้อน"</t>
  </si>
  <si>
    <t>แปรงไดร์ฟันสลับ</t>
  </si>
  <si>
    <t xml:space="preserve">แปรงไดร์กลมฟันสลับ ขนาด กว้าง 3 ซม ยาว 23ซม "ใช้ง่ายเล็กถนัดมือ ใช้ได้ทั้งผู้หญิงและผู้ชาย 
 -ขนาดยาวทั้งด้าม 22.5ซม. เฉพาะแปรง 10.5ซม. เฉพาะด้ามขนาด 11.5ซม. 
 -มีปุ่มขาวๆไว้นวดศีรษะและสามารถไดร์ฟาร่าได้"</t>
  </si>
  <si>
    <t xml:space="preserve">แปรงไดร์กลมฟันสลับ ขนาด กว้าง 3.3 ซม ยาว 23ซม "ใช้ง่ายเล็กถนัดมือ ใช้ได้ทั้งผู้หญิงและผู้ชาย 
 -ขนาดยาวทั้งด้าม 22.5ซม. เฉพาะแปรง 10.5ซม. เฉพาะด้ามขนาด 11.5ซม. 
 -มีปุ่มขาวๆไว้นวดศีรษะและสามารถไดร์ฟาร่าได้"</t>
  </si>
  <si>
    <t>กว้าง 3.3 ซม. ยาว 22.5 ซม.</t>
  </si>
  <si>
    <t>กว้าง 3 ซม. ยาว 22.5 ซม.</t>
  </si>
  <si>
    <t xml:space="preserve">แปรงไดร์กลม 10แถว ขนาดความยาว5x24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</si>
  <si>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4.5 ซม. ยาว 23 ซม.</t>
  </si>
  <si>
    <t xml:space="preserve">แปรงไดร์กลม 12แถว ขนาดความยาว 5x24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</si>
  <si>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4.8 ซม. ยาว 23 ซม.</t>
  </si>
  <si>
    <t xml:space="preserve">แปรงไดร์กลม 14แถว ขนาดความยาว 5.5x24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</si>
  <si>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5 ซม. ยาว 23 ซม.</t>
  </si>
  <si>
    <t xml:space="preserve">แปรงไดร์กลม 7 แถว ขนาดความกว้าง 4ซม. ยาว 24ซม.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</si>
  <si>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8 แถว ขนาดความกว้าง 4ซม.ยาว 24ซม.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</si>
  <si>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 ซม. ยาว 23 ซม.</t>
  </si>
  <si>
    <t xml:space="preserve">แปรงไดร์กลม 9 แถว ขนาด 45x24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</si>
  <si>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กรรไกร ตัด+ซอย ขนาด 6นิ้ว "VALENTE ชุดกรรไกรโค้ง ตัดผม-ซอยผม รุ่น VAL-9/A กระเป๋าดำ
 เนื้อเหล็กดีมีคุณภาพ
 จับถนัดมือ ใช้งานได้เลยไม่ต้องลับคม ใน1ชุดประกอบด้วย 
 - กรรไกรตัด 1 ชิ้น
 - กรรไกรซอยโค้ง 1 ชิ้น
 - กระเป๋าหนังใส่กรรไกร 1 ใบ
 - น้ำมันบำรุงรักษา 1 ขวด
 - ผ้าชามัวร์ 1 ชิ้น วิธีใช้: ✂ กรรไกรตัด ใช้ตัดผมให้สั้นลง บางทีก็ใช้ตัดให้ผมบางลงได้ ขึ้นอยู่กับวิธีการตัด ✂ กรรไกรซอย(ฟันปลา) ใช้ซอยผมให้บางลง ขนาดความยาวเท่าเดิม  ***สามารถดูวิธีใช้เพิ่มเติมได้ที่ QR code บนกล่อง"</t>
  </si>
  <si>
    <r>
      <rPr>
        <u/>
        <color rgb="FF1155CC"/>
        <sz val="8"/>
        <rFont val="Arial"/>
      </rPr>
      <t>https://www.youtube.com/watch?v=YVC9re3Bkkg</t>
    </r>
    <r>
      <rPr>
        <sz val="8"/>
        <rFont val="Arial"/>
      </rPr>
      <t>g</t>
    </r>
  </si>
  <si>
    <t>VAL-9006/B</t>
  </si>
  <si>
    <t>ด้ามมีดโกน-ซอยสไลด์ ใบมีดขนนก คมเดียว</t>
  </si>
  <si>
    <t xml:space="preserve">ด้ามมีดโกน แบบพับได้ สีงา น้ำหนัก 0.04 กก. 
ความยาวทั้งหมดประมาน 23ซม. ใช้ใบคมเดียว
คุณสมบัติ                                                                         
✔︎ ด้ามมีดโกน สีงา
✔︎ สามารถใช้  กำจัดขน คิ้ว ผม
✔︎ น้ำหนักเบา ถือ จับ สบายมือ                             
✔︎ มีที่ซอยผม ที่สามารถถอดออกได้
✔︎ เพื่อใช้สำหรับการโกนหนวด กันจอน
   *เหมาะสำหรับมือใหม่และมืออาชีพ*
</t>
  </si>
  <si>
    <t>ยาว 23 ซม.</t>
  </si>
  <si>
    <t>https://www.youtube.com/watch?v=7A5be01WcbE&amp;list=PLGjfh_21bFBeTNSSYIIjGfKXLP2npOZvj&amp;index=24</t>
  </si>
  <si>
    <t>VAL-9006/C</t>
  </si>
  <si>
    <t xml:space="preserve">แปรงไดร์กลม (เบอร์ 1) ขนาด กว้าง5ซม. ยาว 26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°แปรงไดร์กลม เบอร์ 1-4 
 - แปรงไดร์ผมผลิตจากวัสุดคุณภาพดี ช่วยให้ผมเป็นทรงสวยได้ดั่งใจต้องการ
 - แปรงไดร์ผมสำหรับไดร์ผมสั้นหรือไดร์ตรง 
 - ผลิตจากไนลอนคุณภาพดี ทนความร้อน 
 - ขนแปรงเรียงแน่น 
 - น้ำหนักเบา"</t>
  </si>
  <si>
    <t xml:space="preserve">แปรงไดร์กลม (เบอร์ 2) ขนาด กว้าง 5ซม. ยาว 26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°แปรงไดร์กลม เบอร์ 1-4 
 - แปรงไดร์ผมผลิตจากวัสุดคุณภาพดี ช่วยให้ผมเป็นทรงสวยได้ดั่งใจต้องการ
 - แปรงไดร์ผมสำหรับไดร์ผมสั้นหรือไดร์ตรง 
 - ผลิตจากไนลอนคุณภาพดี ทนความร้อน 
 - ขนแปรงเรียงแน่น 
 - น้ำหนักเบา"</t>
  </si>
  <si>
    <t>กว้าง 4.8 ซม. ยาว 25 ซม.</t>
  </si>
  <si>
    <t xml:space="preserve">แปรงไดร์กลม (เบอร์ 3) ขนาด กว้าง 5ซม. ยาว 25ซม.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°แปรงไดร์กลม เบอร์ 1-4 
 - แปรงไดร์ผมผลิตจากวัสุดคุณภาพดี ช่วยให้ผมเป็นทรงสวยได้ดั่งใจต้องการ
 - แปรงไดร์ผมสำหรับไดร์ผมสั้นหรือไดร์ตรง 
 - ผลิตจากไนลอนคุณภาพดี ทนความร้อน 
 - ขนแปรงเรียงแน่น 
 - น้ำหนักเบา"</t>
  </si>
  <si>
    <t>กว้าง 5 ซม. ยาว 25 ซม.</t>
  </si>
  <si>
    <t xml:space="preserve">แปรงไดร์กลม (เบอร์ 4) ขนาด กว้าง 6 ซม.ยาว 26 ซม. "ตัวแปรงไดร์กลม มีหลายขนาด ขนแปรงทำมาจากขนสัตว์แท้ จะเห็นกันได้บ่อยที่ร้านทำผม หวีประเภทนี้ใช้เพื่อจับผมเป็นช่อๆ เซ็ทให้เป็นลอน หรือไดร์ผมตรงก็ได้ ใช้ได้กับเส้นผมทุกประเภท หากเป็นหวีแปรงแกนโลหะจะสามารถนำความร้อนได้ดีทำให้เซ็ทผมได้เร็วกว่า °แปรงไดร์กลม เบอร์ 1-4 
 - แปรงไดร์ผมผลิตจากวัสุดคุณภาพดี ช่วยให้ผมเป็นทรงสวยได้ดั่งใจต้องการ
 - แปรงไดร์ผมสำหรับไดร์ผมสั้นหรือไดร์ตรง 
 - ผลิตจากไนลอนคุณภาพดี ทนความร้อน 
 - ขนแปรงเรียงแน่น 
 - น้ำหนักเบา"</t>
  </si>
  <si>
    <t>กว้าง 5.3 ซม. ยาว 25 ซม.</t>
  </si>
  <si>
    <t xml:space="preserve">แปรงไดร์กลม 8แถว ขนาดความ กว้าง 4ซม. ยาว 26ซม. "**คุณสมบัติ
 -แปรงกลม ไดร์ผม VAL-970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</si>
  <si>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 ซม. ยาว 26 ซม.</t>
  </si>
  <si>
    <t xml:space="preserve">แปรงไดร์กลม 10แถว ขนาดความ กว้าง 5 ซม. ยาว 27ซม. "**คุณสมบัติ
 -แปรงกลม ไดร์ผม VAL-971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</si>
  <si>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12แถว ขนาดความยาว4x25.5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</si>
  <si>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4x25 ซม.</t>
  </si>
  <si>
    <t>VAL-971/C</t>
  </si>
  <si>
    <t xml:space="preserve">แปรงไดร์กลม 12แถว ขนาดความยาว4x26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</si>
  <si>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4x26 ซม.</t>
  </si>
  <si>
    <t>VAL-971/Z</t>
  </si>
  <si>
    <t xml:space="preserve">แปรงไดร์กลม 12แถว ขนาดความยาว 4x25.5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</si>
  <si>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4x25.5 ซม.</t>
  </si>
  <si>
    <t xml:space="preserve">แปรงไดร์กลม 12แถว ขนาดความกว้าง 5 ซม.ยาว 26 ซม. "**คุณสมบัติ
 -แปรงกลม ไดร์ผม VAL-972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</si>
  <si>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14แถว ขนาดความยาว 5.5x27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</si>
  <si>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5 ซม. ยาว 26 ซม.</t>
  </si>
  <si>
    <t>VAL-972/C</t>
  </si>
  <si>
    <t xml:space="preserve">แปรงไดร์กลม 14แถว ขนาดความยาว 5x27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</si>
  <si>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4.5 ซม. ยาว 26 ซม.</t>
  </si>
  <si>
    <t>VAL-972/Z</t>
  </si>
  <si>
    <t xml:space="preserve">แปรงไดร์กลม 14แถว ขนาด 5x26.5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</si>
  <si>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5 ซม. ยาว 25.5 ซม.</t>
  </si>
  <si>
    <t xml:space="preserve">แปรงไดร์กลม 14แถว ขนาดความกว้าง 5ซม. ยาว 27 ซม. "**คุณสมบัติ
 -แปรงกลม ไดร์ผม VAL-973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</si>
  <si>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แปรงไดร์กลม 16แถว ขนาดความยาว 4x25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</si>
  <si>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 ซม. ยาว 25 ซม.</t>
  </si>
  <si>
    <t>VAL-973/C</t>
  </si>
  <si>
    <t xml:space="preserve">แปรงไดร์กลม 16แถว ขนาดความยาว4x25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</si>
  <si>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VAL-973/Z</t>
  </si>
  <si>
    <t xml:space="preserve">แปรงไดร์กลม 16แถว ขนาดความยาว 4.5 x 25 ซม. "**คุณสมบัติ
 -แปรงกลม ไดร์ผม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</si>
  <si>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แปรงกลมลายเฉียง (8แถว) ขนาด 5x26.5 ซม. "หวีกลมขนหมูป่าเฉียง ขนนุ่มไม่เจ็บหนังศรีษะ ขนหมูป่ามีคุณสมบัติทำให้ผมเงางาม จะทำให้น้ำมันในเส้นผมออกมาเคลือบเส้นผมทำให้เส้นผมเงางาม จะเห็นกันได้บ่อยที่ร้านทำผม หวีประเภทนี้ใช้เพื่อจับผมเป็นช่อๆ เซ็ทให้เป็นลอน หรือไดร์ผมตรงก็ได้ ใช้ได้กับเส้นผมทุกประเภท ด้ามไม้จะทนความร้อน หากเป็นหวีแปรงแกนโลหะจะสามารถนำความร้อนได้ดีทำให้เซ็ทผมได้เร็วกว่า **คุณสมบัติ
 -แปรงกลม ไดร์ผม VAL-981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</si>
  <si>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แปรงกลมลายเฉียง (10แถว) ขนาด 5x26 ซม. "หวีกลมขนหมูป่าเฉียง ขนนุ่มไม่เจ็บหนังศรีษะ ขนหมูป่ามีคุณสมบัติทำให้ผมเงางาม จะทำให้น้ำมันในเส้นผมออกมาเคลือบเส้นผมทำให้เส้นผมเงางาม จะเห็นกันได้บ่อยที่ร้านทำผม หวีประเภทนี้ใช้เพื่อจับผมเป็นช่อๆ เซ็ทให้เป็นลอน หรือไดร์ผมตรงก็ได้ ใช้ได้กับเส้นผมทุกประเภท ด้ามไม้จะทนความร้อน หากเป็นหวีแปรงแกนโลหะจะสามารถนำความร้อนได้ดีทำให้เซ็ทผมได้เร็วกว่า **คุณสมบัติ
 -แปรงกลม ไดร์ผม VAL-981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</si>
  <si>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แปรงกลมลายเฉียง (12แถว) ขนาด 6x26.8 ซม. "หวีกลมขนหมูป่าเฉียง ขนนุ่มไม่เจ็บหนังศรีษะ ขนหมูป่ามีคุณสมบัติทำให้ผมเงางาม จะทำให้น้ำมันในเส้นผมออกมาเคลือบเส้นผมทำให้เส้นผมเงางาม จะเห็นกันได้บ่อยที่ร้านทำผม หวีประเภทนี้ใช้เพื่อจับผมเป็นช่อๆ เซ็ทให้เป็นลอน หรือไดร์ผมตรงก็ได้ ใช้ได้กับเส้นผมทุกประเภท ด้ามไม้จะทนความร้อน หากเป็นหวีแปรงแกนโลหะจะสามารถนำความร้อนได้ดีทำให้เซ็ทผมได้เร็วกว่า **คุณสมบัติ
 -แปรงกลม ไดร์ผม VAL-981
 -แปรงกลม สำหรับไดร์ผมหวีแปรงผมได้ง่าย
 -จับถนัดมือ ไดร์ผมได้แห้งเร็วขึ้น
 -ผลิตจากวัสดุอย่างดี
 -แข็งแรงทนทาน ใช้งานได้นาน"</t>
  </si>
  <si>
    <t xml:space="preserve">แปรงกลมลายเฉียง (14แถว) ขนาด 6x27 ซม. "หวีกลมขนหมูป่าเฉียง ขนนุ่มไม่เจ็บหนังศรีษะ ขนหมูป่ามีคุณสมบัติทำให้ผมเงางาม จะทำให้น้ำมันในเส้นผมออกมาเคลือบเส้นผมทำให้เส้นผมเงางาม จะเห็นกันได้บ่อยที่ร้านทำผม หวีประเภทนี้ใช้เพื่อจับผมเป็นช่อๆ เซ็ทให้เป็นลอน หรือไดร์ผมตรงก็ได้ ใช้ได้กับเส้นผมทุกประเภท ด้ามไม้จะทนความร้อน หากเป็นหวีแปรงแกนโลหะจะสามารถนำความร้อนได้ดีทำให้เซ็ทผมได้เร็วกว่า **คุณสมบัติ
 -แปรงกลม ไดร์ผม VAL-981
 -แปรงกลม สำหรับไดร์ผมหวีแปรงผมได้ง่าย
 -จับถนัดมือ ไดร์ผมได้แห้งเร็วขึ้น
 -ผลิตจากวัสดุอย่างดี
 -แข็งแรงทนทาน ใช้งานได้นาน"</t>
  </si>
  <si>
    <t>แปรงปัดหนวดวาเลนเต้</t>
  </si>
  <si>
    <t xml:space="preserve">แปรงปัดหนวด 
ขนาดประมาน กว้าง 2.3ซม. ยาว 8.5 ซม.
คุณสมบัติ:  
✔︎ ขนหมูแท้                                                           
✔︎ ใช้ปัดหนวด ปัดเส้นผม                                       
✔︎ ขนาดแปรงจับถนัดมือ                                           
✔︎ ใช้งานง่าย                                                      
วิธีใช้: ใช้หลังการตัดผมโกนหนวด ปัดเศษผม เศษหนวด 
เพื่อเก็บรายละเอียด และความสะอาด</t>
  </si>
  <si>
    <t>กว้าง 2.3 ซม. ยาว 8.5 ซม.</t>
  </si>
  <si>
    <t>https://youtu.be/N3nwKjDFgaE</t>
  </si>
  <si>
    <t xml:space="preserve">แปรงไดร์กลม 10แถว ขนาด 5x28 ซม.น้ำหนัก 43 กรัม "**คุณสมบัติ
 -แปรงกลม ไดร์ผม VAL-995
 -แปรงกลม สำหรับไดร์ผมหวีแปรงผมได้ง่าย
 -จับถนัดมือ ไดร์ผมได้แห้งเร็วขึ้น
 -ผลิตจากวัสดุอย่างดี
 -แข็งแรงทนทาน ใช้งานได้นาน"</t>
  </si>
  <si>
    <t>กว้าง 4.5 ซม. ยาว 27.5 ซม.</t>
  </si>
  <si>
    <t xml:space="preserve">แปรงไดร์กลม 12แถว ขนาด 5.5x28 ซม.น้ำหนัก 57 กรัม "ข้อมูลจำเพาะ:
 วัสดุ: ที่จับทำแบบเเข็งเเรง
 ความยาวรวม: ประมาณ 27.5 cm/12""
 เส้นผ่าศูนย์กลาง: ประมาณ 5 cm ✔︎ป้องกันไฟฟ้าสถิตย์และไม่ทำร้ายเส้นผมของคุณ
 ทั้งผมตรงหรือขดผมเหมาะสำหรับใช้
 ✔︎นวดหนังศีรษะ
 การใช้งาน: ใช้ในการไดร์ผม"</t>
  </si>
  <si>
    <t xml:space="preserve">แปรงไดร์กลม 14แถว ขนาด 5x28 ซม.น้ำหนัก 67 ซม "ใช้ในการไดร์ผม
 ✔︎ป้องกันไฟฟ้าสถิตย์และไม่ทำร้ายเส้นผมของคุณ
 ทั้งผมตรงหรือขดผมเหมาะสำหรับใช้
 ✔︎นวดหนังศีรษะ
 ข้อมูลจำเพาะ:
 วัสดุ: ที่จับทำแบบเเข็งเเรง
 สี: ตามรูปถ่าย
 ความยาวรวม: ประมาณ 27.5 cm/12""
 เส้นผ่าศูนย์กลาง: ประมาณ 5 cm"</t>
  </si>
  <si>
    <t>Professional Salon หวีส้อมเหล็ก</t>
  </si>
  <si>
    <t xml:space="preserve">ขนาดใหญ่ : 23 cmx 7.2cm 
คุณสมบัติ
       ✔︎ สามารถใช้เซตผม อยู่ทรง 
       ✔︎ เหมาะสำหรับคนผมหยิกยันโคนผม 
       ✔︎ สามารถใช้สางผมทรงแอฟริกัน(ผมหยิก) 
       ✔︎ เหมาะสำหรับผมทรงแอโฟร(Afro)
       ✔︎ สามารถใช้สางผมลอนได้ ไม่ไให้แตกลอน</t>
  </si>
  <si>
    <t xml:space="preserve">ขนาดเล็ก :  18 cm  "คุณสมบัติ
 การออกแบบกำปั้นสีดำคลาสสิกจับหวีน่ารัก
 ฟันกว้างไม่เจ็บหนังศีรษะและเส้นผม
 ซี่หวีทำจากวัสดุโลหะคุณภาพสูงทนทานต่อการใช้งาน
 หวีซี่ห่างไม่ทำร้ายหนังศีรษะและเส้นผม
 เหมาะอย่างยิ่งสำหรับผมหยิกหรือทรงผมแอฟริกา หรือ Afro
 น้ำหนักเบาและขนาดเล็กสะดวกในการพกพา"</t>
  </si>
  <si>
    <t xml:space="preserve">ผ้าคลุมซอยบาร์เบอร์เบรนมีแขน </t>
  </si>
  <si>
    <t xml:space="preserve">ผ้าคลุมซอย สีดำ ลายโลโก้บาร์เบอร์ เบรนสามารถสวมแขนได้ 
ขนาด :
164x123ซม.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✔︎ด้านหลังเป็นตะขอเกี่ยวสามารถปรับระดับได้ </t>
  </si>
  <si>
    <t>164x123 ซม.</t>
  </si>
  <si>
    <t>ผ้าคลุมซอยลายดอกไม้</t>
  </si>
  <si>
    <t xml:space="preserve">ผ้าคลุมซอย ลายดอกไม้ขนาด 130 x 160ซม. 
     ด้านหลังเป็นตะขอเกี่ยวสามารถปรับระดับได้
ผลิดจากวัสดุ: 
ผ้าเคลือบสาร "ฮายโดรโพรบิค" หรือ "สารน้ำกลิ้ง" 
กันน้ำได้ 100% 
เนื้อสัมผัสหยาบนิดหน่อย ทำความสะอาดง่าย
คุณสมบัติ:                                                            
ผ้าคลุมซอยสำหรับบาร์เบอร์และซาลอน ลายดอกไม้                                                                       
✔︎ ยืนยันราคาถูกที่สุด                                               
✔︎ ของแท้ 100%                                                      
✔︎ วัสดุใช้เนื้อผ้าระบายความร้อนได้ดี                            
✔︎ สามารถปรับสายได้</t>
  </si>
  <si>
    <t>กว้าง 130 ซม. สูง 160 ซม.</t>
  </si>
  <si>
    <t>ผ้าคลุมซอย ลายดอกไม้ L'ANGEL สีฟ้า</t>
  </si>
  <si>
    <t>กว้าง 148 ซม. สูง 163 ซม0</t>
  </si>
  <si>
    <t>https://www.youtube.com/watch?v=gaceitIW4w8&amp;list=PLX10pjRah52OzPpR1qgFtJ8-5xCenxqmm&amp;index=6</t>
  </si>
  <si>
    <t>ผ้าคลุมซอย ลายดอกไม้ L'ANGEL สีชมพู</t>
  </si>
  <si>
    <t>กว้าง 148 ซม. สูง 163 ซม1</t>
  </si>
  <si>
    <t xml:space="preserve">ผ้าคลุมลายธงชาติ บาร์เบอร์ </t>
  </si>
  <si>
    <t xml:space="preserve">-ผ้าคลุมลายธงชาติ รุ่น VAL-K080
-ขนาด 140*165 cm
ผลิตจากวัสดุ :
 ผ้าเสอร์ช กันน้ำได้ 80% 
 เนื้อนุ่มมาก ระบายความร้อนได้ดี
คุณสมบัติ:                                                                                                                       
✔︎ ยืนยันราคาถูกที่สุด                                                
✔︎ ของแท้ 100%                                                      
✔︎ วัสดุใช้เนื้อผ้าระบายความร้อนได้ดี                            
✔︎ สามารถปรับสายได้
✔︎ คอเป็นตะขอเกี่ยว</t>
  </si>
  <si>
    <t>180x165 ซม.</t>
  </si>
  <si>
    <r>
      <rPr>
        <u/>
        <color rgb="FF1155CC"/>
        <sz val="8"/>
        <rFont val="Arial"/>
      </rPr>
      <t>https://www.youtube.com/watch?v=t-VKvet8p48&amp;list=PLX10pjRah52OzPpR1qgFtJ8-5xCenxqmm&amp;index=4</t>
    </r>
    <r>
      <rPr>
        <color rgb="FF071924"/>
        <sz val="8"/>
        <rFont val="Arial"/>
      </rPr>
      <t>4</t>
    </r>
  </si>
  <si>
    <t xml:space="preserve"> ผ้าคลุมซอยลายทหาร </t>
  </si>
  <si>
    <t xml:space="preserve"> BARBER BRAIN ผ้าคลุมซอยลายทหาร รุ่น VAL-K099
ขนาด : 
ความกว้าง 118 ซม.
ความสูง 145 ซม.
ผลิตจากวัสดุ :
ผ้าเคลือบสาร "ฮายโดรโพรบิค" หรือ "สารน้ำกลิ้ง" 
กันน้ำได้ 100% 
เนื้อสัมผัสหยาบนิดหน่อย ทำความสะอาดง่าย
คุณสมบัติ :
✔︎ ใช้สำหรับ คลุมตัดผม ซอยผม                            
✔︎ ป้องกันไม่ให้เปื้อนตอนทำเคมีต่างๆ
✔︎ สามารถปรับระดับได้ เป็นตะขอเกี่ยว                              
✔︎ ใช้สำหรับ คลุมตัดผม ซอยผมป้องกันไม่ให้เปื้อนตอนทำเคมีต่างๆ
✔︎ ด้านหลังเป็นตะขอสามารถปรับระดับได้BARBER BRAIN ผ้าคลุมซอยลายทหาร รุ่น VAL-K099</t>
  </si>
  <si>
    <t>กว้าง 118 ซม. สูง 145 ซม.</t>
  </si>
  <si>
    <t>หวีแบ่งผม ทำไฮไลท์</t>
  </si>
  <si>
    <t>VALENTE COMB หวีแบ่งผม ทำไฮไลท์ รุ่น VAL-K237 หวีทำช่อไฮไลท์ ขนาด ความยาวถึงปลายด้ามจับ 25ซม. กว้าง6.5ซม. คุณสมบัติ: ✔︎ หวีแบ่งผม ทำไฮไลท์ 3 ด้าน ✔︎ หวีก้างปลา สีเขียว ✔︎ ขนาด 6.5*24.5 cm ✔︎ ซี่หวีแต่ละด้านจะช่วยแบ่งเส้นผมให้ดียิ่งขึ้น ขณะย้อมหรือทำไฮไลท์ วิธีใช้: ใช้ในการแบ่งผมเพื่อทำไฮไลท์</t>
  </si>
  <si>
    <t>กว้าง 6.5 ซม. ยาว 25 ซม.</t>
  </si>
  <si>
    <t>VAL-K238</t>
  </si>
  <si>
    <t>หวีเซ็ทสไตล์วินเทจ</t>
  </si>
  <si>
    <t>หวีรองซอย ขนาด ความยาวถึงปลายด้ามจับ 20.5ซม. กว้าง 7 ซม. คุณสมบัติ:  ✔︎ หวีเซ็ทผม 3 ด้าน ✔︎ สีเขียวนีออน  ✔︎ ใช้สำหรับหวีเซทผมขณะใส่เจลหรือแว๊กใส่ผม  ✔︎ ทำให้ผมขึ้นทรงตามซี่หวี  ✔︎ สามารถใช้เซทได้หลากหลายทรง  วิธีใช้ : ใช้สำหรับขึ้นทรง หรือเซทผม</t>
  </si>
  <si>
    <t>กว้าง 7 ซม. ยาว 20.5 ซม.</t>
  </si>
  <si>
    <r>
      <rPr>
        <u/>
        <color rgb="FF1155CC"/>
        <sz val="8"/>
        <rFont val="Arial"/>
      </rPr>
      <t>https://www.youtube.com/watch?v=AfSo0vY5Lbg&amp;list=PLX10pjRah52OzPpR1qgFtJ8-5xCenxqmm&amp;index=34</t>
    </r>
    <r>
      <rPr>
        <color rgb="FF071924"/>
        <sz val="8"/>
        <rFont val="Arial"/>
      </rPr>
      <t>4</t>
    </r>
  </si>
  <si>
    <t>หวีบาร์เบอร์ขึ้นทรงใหญ่</t>
  </si>
  <si>
    <t>หวีรองซอยทรงใหญ่ สีขาว ขนาด ยาว 23.7ซม. กว้าง 5.2ซม. น้ำหนัก 31 กรัม คุณสมบัติ: ✔︎ หวีบาร์เบอร์ขึ้นทรง ✔︎ ใช้สำหรับหวีเซทผมขณะใส่เจลหรือแว๊กใส่ผม ✔︎ ทำให้ผมเป็นทรงตามซี่หวี ✔︎ สามารถใช้เซทได้หลากหลายทรง วิธีใช้ : ใช้สำหรับการขึ้นทรง หรือเซทผม</t>
  </si>
  <si>
    <t>กว้าง 5.5 ซม. ยาว 24 ซม.</t>
  </si>
  <si>
    <t>โถล้างเครื่องมือฆ่าเชื้อ 1000 มล. ขนาดเล็ก</t>
  </si>
  <si>
    <t xml:space="preserve">โถล้างเครื่องมือฆ่าเชื้อ 1500มล.(VLY-2002)
ด้านล่างโถมียางกันลื่น มี2ขนาด 
      ปริมาณ 1500 มล. กว้าง9.5 ซม. สูง28.5ซม.
คุณสมบัติ:                                                                
✔︎ โถล้างเครื่องมือฆ่าเชื้อขนาดกลาง จุได้ถึง 1000 มล. และ 1500 มล.
✔︎ โถล้างฆ่าเชื้อเครื่องมืออุปกรณ์ต่างๆ เช่น 
กรรไกรตัดผม , กรรไกรตัดขนจมูก , กรรไกรตัดหนัง , กรรไกรตัดเล็บ , หวีต่างๆ , โรล ฯลฯ                                                     
✔︎ ทำจากแก้วอย่างหนา มีฝาปิดเป็นสแตนเลส 
✔︎ การออกแบบให้ใช้งานง่ายไม่ยุ่งยาก ด้านล่างโถมียางกันลื่น</t>
  </si>
  <si>
    <t>ปริมาณ 1000 มล</t>
  </si>
  <si>
    <t>โถล้างเครื่องมือฆ่าเชื้อ 1500มล. ขนาดใหญ่</t>
  </si>
  <si>
    <t xml:space="preserve">โถล้างเครื่องมือฆ่าเชื้อ 1000 มล.(VLY-2001)
ด้านล่างโถมียางกันลื่น มี2ขนาด 
      ปริมาณ 1000 มล. กว้าง9.5 ซม. สูง19.5ซม. 
คุณสมบัติ:                                                                
✔︎ โถล้างเครื่องมือฆ่าเชื้อขนาดกลาง จุได้ถึง 1000 มล. และ 1500 มล.
✔︎ โถล้างฆ่าเชื้อเครื่องมืออุปกรณ์ต่างๆ เช่น 
กรรไกรตัดผม , กรรไกรตัดขนจมูก , กรรไกรตัดหนัง , กรรไกรตัดเล็บ , หวีต่างๆ , โรล ฯลฯ                                                     
✔︎ ทำจากแก้วอย่างหนา มีฝาปิดเป็นสแตนเลส 
✔︎ การออกแบบให้ใช้งานง่ายไม่ยุ่งยาก ด้านล่างโถมียางกันลื่น</t>
  </si>
  <si>
    <t>ปริมาณ 1500 มล</t>
  </si>
  <si>
    <t>กล่องใส่กระดาษรองคอตัดผมบาร์เบอร์</t>
  </si>
  <si>
    <t xml:space="preserve">กล่องใส่กระดาษรองคอตัดผมบาร์เบอร์ 
รหัสสินค้า : VLY-2003
ขนาด กว้าง 12.5ซม สูง 10 ซม 
✔︎ กล่องใส่กระดาษรองคอ                                                       
✔︎ ม้วนตัดได้ง่าย ใส่เพื่อรักษากระดาษให้มีคุณภาพดี
✔︎ เป็นระเบียบเรียบร้อย 
✔︎ มีตัวยึดฐานด้านล่างเพื่อสะดวกต่อการหยิบใช้ สีขาว คุณภาพดี 
*ใช้กับกระดาษรองคอ M-45
*เหมาะสำหรับร้านบาร์เบอร์และซาลอน</t>
  </si>
  <si>
    <t>กว้าง 12.5 ซม. สูง 10 ซม.</t>
  </si>
  <si>
    <t>แปรงปัดเศษผมและแปรงไล่เฟดบาร์เบอร์ เบรน ขนสีดำ ขนาดเล็ก</t>
  </si>
  <si>
    <t xml:space="preserve">แปรงปัดเศษผมและแปรงไล่เฟดบาร์เบอร์ เบรน ขนสีดำ ขนเล็ก (VLY-2004)
ขนาดกว้าง 2.5 ซม. สูง 14.3 ซม. 
✔︎ แปรงปัดเศษผมขนาดเล็ก                                                    
✔︎ ขนสีดำ ขนทำจากไนล่อน 
✔︎ แปรงผมนุ่มและยืดหยุ่นไม่เปลี่ยนรูปง่าย
✔︎ ไม่เป็นอันตรายต่อผิวหนัง ด้ามเล็กพกพาง่าย สะดวก 
*เหมาะสำหรับร้านบาร์เบอร์และซาลอน</t>
  </si>
  <si>
    <t>กว้าง 2.5 ซม. สูง 14.3 ซม.</t>
  </si>
  <si>
    <t>หน้ากากกันเคมี</t>
  </si>
  <si>
    <t xml:space="preserve">หน้ากากพลาสติก (X-615) ขนาด กว้าง 18 ซม. สูง 9.5 ซม. มี 50แผ่น
คุณสมบัติ:
✔︎ ขนาด 18*9.5 ซม.50แผ่น/1กล่อง  
✔︎ มีสายคาดให้ 1 ชิ้นและ แผ่นใส่จำนวน 50แผ่น/1กล่อง   
✔︎ สามารถถอดเปลี่ยนแผ่นใสได้                                            
✔︎ สะดวกต่อการใช้งาน                                                            
วิธีใช้: ใช้สำหรับกันเคมี กันสเปย์ฉีดผม เพื่อไม่ให้ละอองจากเคมีสัมผัสกับหน้าและดวงตา</t>
  </si>
  <si>
    <t>กว้าง 18 ซม. สูง 9.5 ซม.</t>
  </si>
  <si>
    <t>https://youtu.be/7JGmXxDYKDw</t>
  </si>
  <si>
    <t>หวีกระดูก(ใหญ่)</t>
  </si>
  <si>
    <t>หวีกระดูก(ใหญ่) XL-11301 หวีกระดูกทำให้ผมดูหนาขึ้น เป็นแปรงที่มีขนแปรงแบบด้านหลังโปร่งมีซี่ห่างกัน ถ้าพลิกดูด้านหลังจะคล้ายกับกระดูกสันหลังของคนเรา แปรงชนิดนี้จะใช้เมื่อตอนที่คุณกำลังใช้ไดร์เป่าผมค่ะ เพราะความร้อนจะไล่ผ่านอย่างสะดวก จะทำให้ผมดูหนาและดำขึ้นอีกด้วย และช่วยดูดความร้อนจากการเป่าผมทำให้ผมแห้งเร็วอีกด้วย</t>
  </si>
  <si>
    <t>กว้าง 8 ซม. ยาว 24 ซม.</t>
  </si>
  <si>
    <t xml:space="preserve">ด้ามมีดโกน แบบพับได้ สีเงิน 
ความยาวทั้งหมดประมาน 20.6 ซม. 
ใช้ใบมีดสองคม
คุณสมบัติ:                                                             
✔︎ Razor handle ด้ามมีดโกน รุ่น XR-001    
✔︎ ใช้ใบมีดขนนก
✔︎ วัสดุทนทาน น้ำหนักเบาใช้งานง่าย                        
✔︎ เปลี่ยนใบมีดได้ ด้ามมีดโกน ซอยผม         
*ใช้ได้ทั้งมือใหม่และมืออาชีพ
ข้อควรระวัง *ควรเก็บให้ห่างจากมือเด็ก*</t>
  </si>
  <si>
    <t>ยาว 20.6 ซม.</t>
  </si>
  <si>
    <t>https://www.youtube.com/watch?v=4Ev1sClwerA&amp;list=PLGjfh_21bFBeTNSSYIIjGfKXLP2npOZvj&amp;index=266</t>
  </si>
  <si>
    <t xml:space="preserve">ด้ามมีดโกน แบบพับได้ สีเงิน 
 ความยาวทั้งหมดประมาน 21.2 ซม. 
 ใช้ใบมีดหักครึ่ง สองคม
คุณสมบัติ:                                                             
✔︎ Razor handle ด้ามมีดโกน รุ่น XR-002                      
✔︎ วัสดุทนทาน น้ำหนักเบาใช้งานง่าย                        
✔︎ เปลี่ยนใบมีดได้ ด้ามมีดโกน ซอยผม      
**เหมาะสำหรับมือใหม่และมืออาชีพ**</t>
  </si>
  <si>
    <t>ยาว 21.2 ซม.</t>
  </si>
  <si>
    <t>https://www.youtube.com/watch?v=c93z70xrs0M&amp;list=PLGjfh_21bFBeTNSSYIIjGfKXLP2npOZvj&amp;index=27</t>
  </si>
  <si>
    <t>กระดาษพันแกนดัดเย็น</t>
  </si>
  <si>
    <t xml:space="preserve">กระดาษพันแกนดัดเย็น 35แผ่น/1กล่อง รุ่น Z-027
สินค้าดีมีคุณภาพ รับประกันคุภาพ 
เหมาะสำหรับร้านเสริมสวย หรือร้านซาลอน 
เหมาะสำหรับมืออาชีพ 
</t>
  </si>
  <si>
    <t>35 แผ่น / กล่อง</t>
  </si>
  <si>
    <t>หวีอีโต้ไฟเบอร์</t>
  </si>
  <si>
    <t xml:space="preserve">หวีอีโต้ไฟเบอร์ ขนาดกว้าง 3ซม ยาว 19ซม "**คุณสมบัติ - หวีอีโต้หัวโค้ง เหมาะสำหรับการใช้หวีผมที่ยังเปียกหรือหมาดอยู่
 - สามารถใช้ได้กับเส้นผมทุกประเภท วิธีใช้ : ใช้สำหรับรองตัดบัตตาเลี่ยน หวีรองทรง"</t>
  </si>
  <si>
    <t>กว้าง 3 ซม. ยาว 19 ซม.</t>
  </si>
  <si>
    <t>แผ่นยางทับซอย ยางรองซอย</t>
  </si>
  <si>
    <t xml:space="preserve">BARBER BRAIN บาร์เบอร์ เบรน ยางทับซอย ยางรองซอย รุ่น ZP-A16008
คุณสมบัติ: 
✔︎ แผ่นยางทับซอย ทำจากวัสดุดีมีคุณภาพ                                        
✔︎ ช่วยทับไหล่และผ้าคลุมขณะตัดผม 
✔︎ เนื้อยาง แบบหนา มีน้ำหนักเบาเวลารองบ่า
✔︎ ง่ายต่อการสวมใส่ 
✔︎ วัสดุมีความนุ่ม น้ำหนักเบา และกันน้ำ 
✔︎ ป้องกันไม่ให้เศษผม เข้าไปให้ลำคอ
✔︎มีประสิทธิภาพในการปกป้องชุดและเสื้อผ้าจากสารเคมี เส้นผม และน้ำ 
✔︎ เหมาะสำหรับใช้รองก่อนย้อมผม ดัดผม และตัดผม ใช้ได้ทั้งที่ร้าน หรือที่บ้าน
</t>
  </si>
  <si>
    <t>กว้าง 36 ซม. สูง 40 ซม.</t>
  </si>
  <si>
    <t>เอี้ยมยีนส์</t>
  </si>
  <si>
    <t xml:space="preserve">เอี๊ยมยีนส์ บาร์เบอร์ เบรน 
ขนาด 69*80cm 
เอี๊ยมช่าง เอี๊ยมยีนส์ บาร์เบอร์ เบรน
✔︎ โลโก้ Barber Brain                                             
✔︎ มีช่องกระเป๋าสามาระใส่อุปกรณ์ต่างๆ ได้                                                           
✔︎ วัสดุเนื้อผ้ายีนส์ชั้นดี                                    
✔︎ สวมใส่ง่าย มีสายทั้งคล้องคอและสายผูกด้านหลัง 
วิธีใช้: ใช้สำหรับกันเปื้อนเสื้อผ้า.
*เหมาะสำหรับร้านบาร์เบอร์และซาลอน</t>
  </si>
  <si>
    <t>กว้าง 69 ซม. สูง 80 ซม.</t>
  </si>
  <si>
    <t>แผ่นยางรองปัตตาเลี่ยนบาร์เบอร์เบรน รหัส ZP-A17008</t>
  </si>
  <si>
    <t xml:space="preserve">"Barber brain rubber mat" (บาร์เบอร์เบรน รับเบอร์แมท) 
แผ่นยางกันลื่นสินค้าเฉพาะทางสำหรับไว้วางปัตตาเลี่ยน 
ซึ่งช่างบาร์เบอร์มืออาชีพไม่ควรพลาดโดยเด็ดขาดดดด!!
คุณสมบัติ:
✔︎ ขนาด 45 ซ.ม. X 30 ซ.ม. หนา 0.8 ซ.ม.
✔︎ ผลิตจากเนื้อยางเกรด A มีความเหนียวและทนทาน
✔︎ พื้นยางนูนรูปปัตตาเลี่ยนดีไซด์คูลลเพิ่มแรงเสียดทานลดการ
ลื่นไถลของปัตตาเลี่ยนหรือกรรไกรได้เป็นอย่างดี</t>
  </si>
  <si>
    <t>กว้าง 45 ซม. สูง 30 ซม.</t>
  </si>
  <si>
    <r>
      <rPr>
        <u/>
        <color rgb="FF1155CC"/>
        <sz val="8"/>
        <rFont val="Arial"/>
      </rPr>
      <t>https://www.youtube.com/watch?v=qhlHatC9jGo&amp;list=PLX10pjRah52OzPpR1qgFtJ8-5xCenxqmm&amp;index=16</t>
    </r>
    <r>
      <rPr>
        <color rgb="FF071924"/>
        <sz val="8"/>
        <rFont val="Arial"/>
      </rPr>
      <t>6</t>
    </r>
  </si>
  <si>
    <t xml:space="preserve">VAL-S009 </t>
  </si>
  <si>
    <t>วาเลนเต้ เครื่องดัดผมดิจิตอลสปาเพิร์ม</t>
  </si>
  <si>
    <t>วาเลนเต้ เครื่องดัดผมดิจิตอลสปาเพิร์ม อุปกรณ์ประกอบด้วย แกนดัด 20 ชิ้น มีเบอร์ 22,25,28 สาย 8 ชิ้น กิ๊ฟ 20ตัว และ กระดาษสปา 21ชิ้น</t>
  </si>
  <si>
    <t xml:space="preserve">ครีมจับลอนผมดัด ขนาด 180 ml. </t>
  </si>
  <si>
    <t xml:space="preserve">Wacina Curl Down Control 
  วาซืน่า เคิร์ล ดาว์น อนโทรล (WCN-200)
  ครีมจับลอนผมดัด ให้ลอนผมดัดที่ชัดเจน อ่อนนุ่ม พริ้วสลวยมีน้ำหนัก ไม่แข็งกระด้าง 
 อยู่ทนตลอดทั้งวัน มีกลิ่นหอมอ่อน ๆ ใช้แล้วทำให้ผมลอนนุ่มดูเป็นธรรมชาติ ช่วยให้ลอนผม
 มีความเด้งอย่างมีน้ำหนัก 
 ห
 วิธีใช้: 
 หลังสระผม เช็ดหรือเป่าผมให้แห้งหมาด ๆ ชโลมครีมตับลอนให้ทั่ว แล้วเช็ทจัดแตงทรงตามต้องการ</t>
  </si>
  <si>
    <t>180 ml</t>
  </si>
  <si>
    <t>หวีรองซอย พร้อมสเกลวัด</t>
  </si>
  <si>
    <t>หวีรองซอย ขนาด  ยาว 19.8 ซม. กว้าง 2.8 ซม.</t>
  </si>
  <si>
    <t>กว้าง 2.8 ซม. ยาว 19.8 ซม.</t>
  </si>
  <si>
    <t>หวีหางเหล็ก พร้อมสเกลวัด</t>
  </si>
  <si>
    <t>หวีหางเหล็ก ขนาด กว้าง 2.4 ซม. ยาว 22.2 ซม.</t>
  </si>
  <si>
    <t>กว้าง 2.4 ซม. ยาว 22.2 ซม.</t>
  </si>
  <si>
    <t>Training head หัวหุ่นหญิง ผมแท้</t>
  </si>
  <si>
    <t xml:space="preserve">หัวหุ่นหญิง ผมแท้ ยาว 15” สามารถโดนความร้อน ฟอก ทำสี ได้ </t>
  </si>
  <si>
    <t>ยาว 15 ซม.</t>
  </si>
  <si>
    <t>Training head หัวหุ่นชาย ผมแท้</t>
  </si>
  <si>
    <t xml:space="preserve">หัวหุ่นชาย ผมแท้ ยาว 6” สามารถโดนความร้อน ฟอก ทำสีได้ </t>
  </si>
  <si>
    <t>ยาว 6 ซม.</t>
  </si>
  <si>
    <t>ถ้วยย้อมใส ลายกากเพชร มียางรองกันลื่น</t>
  </si>
  <si>
    <t xml:space="preserve">ถ้วยย้อมใส ลายกากเพชร ขนาด สูง 7.7 ซม. กว้าง 13.3 ซม. </t>
  </si>
  <si>
    <t>กว้าง 13.3 ซม. สูง 7.7 ซม.</t>
  </si>
  <si>
    <t>SET หวีย้อม แปรงย้อมผม หน้าเดียว สองหน้า</t>
  </si>
  <si>
    <t>ชุดแปรงย้อมผม ลายกากเพชร</t>
  </si>
  <si>
    <t xml:space="preserve">ฟรอยด์หน้าสั้น </t>
  </si>
  <si>
    <t>ฟรอยด์หน้าสั้น ยาว 16 เมตร ฟอยล์ไฮไลต์ผม ย้อมสีผม ฟอกสีผมเป็นช่อๆ</t>
  </si>
  <si>
    <t>กว้าง 15 ซม. ยาว 16 เมตร</t>
  </si>
  <si>
    <t>80ml</t>
  </si>
  <si>
    <t>100ml</t>
  </si>
  <si>
    <t>25 cm</t>
  </si>
  <si>
    <t>50g</t>
  </si>
  <si>
    <t>250ml</t>
  </si>
  <si>
    <t>บาร์โค้ดสินค้า</t>
  </si>
  <si>
    <t>ประเภท</t>
  </si>
  <si>
    <t>รูปภาพใน Appsheet</t>
  </si>
  <si>
    <t>จำนวนสินค้าคงเหลือ</t>
  </si>
  <si>
    <t>8858890710668</t>
  </si>
  <si>
    <t>L'ANGEL HAIR BLEACHING POWDER ผลิตภัณฑ์ฟอกสีผม</t>
  </si>
  <si>
    <t>เคมี</t>
  </si>
  <si>
    <t>Product Data_Images/8858890710668.รูปภาพใน Appsheet.071610.png</t>
  </si>
  <si>
    <t>8858890712082</t>
  </si>
  <si>
    <t>ครีมนวดผมอาร์แกนิค คอนดิชันเนอร์บำรุงเส้นผมอย่างอ่อนโยน</t>
  </si>
  <si>
    <t>Product Data_Images/8858890712082.รูปภาพใน Appsheet.071703.png</t>
  </si>
  <si>
    <t>8858890712099</t>
  </si>
  <si>
    <t>ARGANIC HAIR MASQUE แฮร์มาส์ก มาร์กบำรุงผม สูตรสำหรับผมทำสีและแห้งเสีย</t>
  </si>
  <si>
    <t>Product Data_Images/8858890712099.รูปภาพใน Appsheet.071715.png</t>
  </si>
  <si>
    <t>8858890712228</t>
  </si>
  <si>
    <t>L'ANGEL HAIR GLOSS TREATMENT ทรีทเมนต์สำหรับผมทำสีและแห้งเสีย</t>
  </si>
  <si>
    <t>Product Data_Images/8858890712228.รูปภาพใน Appsheet.071727.png</t>
  </si>
  <si>
    <t>8858890713010</t>
  </si>
  <si>
    <t>L'ANGLE เซรั่มเข้มข้นอาร์แกนิค สูตรฟื้นฟูผมแห้งเสีย</t>
  </si>
  <si>
    <t>Product Data_Images/8858890713010.รูปภาพใน Appsheet.071744.png</t>
  </si>
  <si>
    <t>8858890713034</t>
  </si>
  <si>
    <t>Boost Up สูตรบำรุงหนังศีรษะ</t>
  </si>
  <si>
    <t>Product Data_Images/8858890713034.รูปภาพใน Appsheet.071753.png</t>
  </si>
  <si>
    <t>8858890713041</t>
  </si>
  <si>
    <t>Boost Up สูตรควบคุมความมัน</t>
  </si>
  <si>
    <t>Product Data_Images/8858890713041.รูปภาพใน Appsheet.071805.png</t>
  </si>
  <si>
    <t>8858890713058</t>
  </si>
  <si>
    <t>Boost Up สูตรป้องกันรังแค</t>
  </si>
  <si>
    <t>Product Data_Images/8858890713058.รูปภาพใน Appsheet.071812.png</t>
  </si>
  <si>
    <t>NONEBAR01</t>
  </si>
  <si>
    <t>ANG-400</t>
  </si>
  <si>
    <t>-</t>
  </si>
  <si>
    <t>NONEBAR02</t>
  </si>
  <si>
    <t>ANG-402</t>
  </si>
  <si>
    <t>8854052553036</t>
  </si>
  <si>
    <t>Siky Serum แอลแองเจล ลัคซ์ชูรีย์ ซิลค์กี้ เซรั่ม</t>
  </si>
  <si>
    <t>Product Data_Images/8854052553036.รูปภาพใน Appsheet.071820.png</t>
  </si>
  <si>
    <t>NONEBAR03</t>
  </si>
  <si>
    <t>ANG-408</t>
  </si>
  <si>
    <t>8858890714093</t>
  </si>
  <si>
    <t>สเปรย์กันความร้อนอาร์แกนิค ป้องกันความร้อนจากอุปกรณ์ทำผมไฟฟ้า</t>
  </si>
  <si>
    <t>Product Data_Images/8858890714093.รูปภาพใน Appsheet.071836.png</t>
  </si>
  <si>
    <t>8858890714109</t>
  </si>
  <si>
    <t>L'ANGEL Bond Creator บอนด์ ครีเอเตอร์ โปรเฟสชั่นนอล ซาลอน คิต</t>
  </si>
  <si>
    <t>Product Data_Images/8858890714109.รูปภาพใน Appsheet.071827.png</t>
  </si>
  <si>
    <t>8858890714116</t>
  </si>
  <si>
    <t>L'ANGEL Bond Creator บอนด์ ครีเอเตอร์ ทรีทเม้นต์บำรุงผม</t>
  </si>
  <si>
    <t>Product Data_Images/8858890714116.รูปภาพใน Appsheet.071844.png</t>
  </si>
  <si>
    <t>8858890716066</t>
  </si>
  <si>
    <t>ARGANIC COLOR &amp; DAMAGED HAIR SHAMPOO แชมพูอาร์แกนิค</t>
  </si>
  <si>
    <t>Product Data_Images/8858890716066.รูปภาพใน Appsheet.071849.png</t>
  </si>
  <si>
    <t>8858890716073</t>
  </si>
  <si>
    <t>ANG-607</t>
  </si>
  <si>
    <t>เคราติน เบอร์ 2</t>
  </si>
  <si>
    <t>Product Data_Images/8858890716073.รูปภาพใน Appsheet.071855.png</t>
  </si>
  <si>
    <t>8858890716080</t>
  </si>
  <si>
    <t>L'ANGEL Perfect Keratin เพอร์เฟ็ค เคราติน แชมพู+ครีมนวด</t>
  </si>
  <si>
    <t>Product Data_Images/8858890716080.รูปภาพใน Appsheet.071901.png</t>
  </si>
  <si>
    <t>8858890716097</t>
  </si>
  <si>
    <t>Perfect Keratin Spray สเปรย์เคราตินกันความร้อน</t>
  </si>
  <si>
    <t>Product Data_Images/8858890716097.รูปภาพใน Appsheet.071906.png</t>
  </si>
  <si>
    <t>8858890716103</t>
  </si>
  <si>
    <t>L'ANGLE ซิลเวอร์ แชมพู</t>
  </si>
  <si>
    <t>Product Data_Images/8858890716103.รูปภาพใน Appsheet.071913.png</t>
  </si>
  <si>
    <t>NONEBAR04</t>
  </si>
  <si>
    <t>ANG-611</t>
  </si>
  <si>
    <t>8858890716134</t>
  </si>
  <si>
    <t>SMART KERATIN แอลแองเจล สมาร์ท เคราติน แชมพู+ทรีทเมนต์</t>
  </si>
  <si>
    <t>Product Data_Images/8858890716134.รูปภาพใน Appsheet.071919.png</t>
  </si>
  <si>
    <t>NONEBAR05</t>
  </si>
  <si>
    <t>OHA-402</t>
  </si>
  <si>
    <t>8858890715038</t>
  </si>
  <si>
    <t>BARNER BRAIN ผลิตภัณฑ์จัดแต่งทรงผม โพเมด สูตรเงา</t>
  </si>
  <si>
    <t>Product Data_Images/8858890715038.รูปภาพใน Appsheet.071928.png</t>
  </si>
  <si>
    <t>8858890715076</t>
  </si>
  <si>
    <t>BARNER BRAIN ผลิตภัณฑ์จัดแต่งทรงผม โพเมด สูตรแข็ง</t>
  </si>
  <si>
    <t>Product Data_Images/8858890715076.รูปภาพใน Appsheet.071936.png</t>
  </si>
  <si>
    <t>8858890715083</t>
  </si>
  <si>
    <t>BARNER BRAIN กลู เจลจัดแต่งทรงผม</t>
  </si>
  <si>
    <t>Product Data_Images/8858890715083.รูปภาพใน Appsheet.071941.png</t>
  </si>
  <si>
    <t>8858890715090</t>
  </si>
  <si>
    <t>BARNER BRAIN ผลิตภัณฑ์จัดแต่งทรงผม แฮร์ แว๊กซ์</t>
  </si>
  <si>
    <t>Product Data_Images/8858890715090.รูปภาพใน Appsheet.071946.png</t>
  </si>
  <si>
    <t>8858890717025</t>
  </si>
  <si>
    <t>BARNER BRAIN เท็คเจอร์ &amp; วอลลุ่ม แฮร์ สเปรย์</t>
  </si>
  <si>
    <t>Product Data_Images/8858890717025.รูปภาพใน Appsheet.072005.png</t>
  </si>
  <si>
    <t>NONEBAR06</t>
  </si>
  <si>
    <t>HD-001</t>
  </si>
  <si>
    <t>ไฟฟ้า</t>
  </si>
  <si>
    <t>8858890720827</t>
  </si>
  <si>
    <t>VALENTE ไดร์เป่าผมไฟฟ้า สีดำ</t>
  </si>
  <si>
    <t>Product Data_Images/8858890720827.รูปภาพใน Appsheet.072010.png</t>
  </si>
  <si>
    <t>8858890721046</t>
  </si>
  <si>
    <t>VALENTE ไดร์เป่าผมไฟฟ้า 2000W</t>
  </si>
  <si>
    <t>Product Data_Images/8858890721046.รูปภาพใน Appsheet.072015.png</t>
  </si>
  <si>
    <t>8858890720094</t>
  </si>
  <si>
    <t>VALENTE ไดร์เป่าผมไฟฟ้า วาเลนเต้</t>
  </si>
  <si>
    <t>Product Data_Images/8858890720094.รูปภาพใน Appsheet.072019.png</t>
  </si>
  <si>
    <t>8858890720612</t>
  </si>
  <si>
    <t>โรลม้วนผมไฟฟ้า ขนาด 25 มม.</t>
  </si>
  <si>
    <t>Product Data_Images/8858890720612.รูปภาพใน Appsheet.072038.png</t>
  </si>
  <si>
    <t>8858890728410</t>
  </si>
  <si>
    <t>โรลม้วนผมไฟฟ้า ขนาด 28 มม.</t>
  </si>
  <si>
    <t>Product Data_Images/8858890728410.รูปภาพใน Appsheet.072047.png</t>
  </si>
  <si>
    <t>8858890728427</t>
  </si>
  <si>
    <t>HC-001/31</t>
  </si>
  <si>
    <t>โรลม้วนผมไฟฟ้า ขนาด 31 มม.</t>
  </si>
  <si>
    <t>Product Data_Images/8858890728427.รูปภาพใน Appsheet.072055.png</t>
  </si>
  <si>
    <t>8858890720872</t>
  </si>
  <si>
    <t>VALENTE Absolut Hot เครื่องม้วนผมไฟฟ้า วาเลนเต้ 28 มม.</t>
  </si>
  <si>
    <t>Product Data_Images/8858890720872.รูปภาพใน Appsheet.072139.png</t>
  </si>
  <si>
    <t>8858890728335</t>
  </si>
  <si>
    <t>ALENTE Absolut Hot เครื่องม้วนผมไฟฟ้า วาเลนเต้ 38 มม.</t>
  </si>
  <si>
    <t>Product Data_Images/8858890728335.รูปภาพใน Appsheet.072149.png</t>
  </si>
  <si>
    <t>8858890721015</t>
  </si>
  <si>
    <t>VALENTE เครื่องม้วนผมไฟฟ้า แปรงหวี ปรับอุณหภูมิได้ 85-210 องศา</t>
  </si>
  <si>
    <t>Product Data_Images/8858890721015.รูปภาพใน Appsheet.072202.png</t>
  </si>
  <si>
    <t>8858890721022</t>
  </si>
  <si>
    <t>VALENTE Absolute Hot หวีแปรงม้วนผม-อินฟาเรด</t>
  </si>
  <si>
    <t>Product Data_Images/8858890721022.รูปภาพใน Appsheet.072207.png</t>
  </si>
  <si>
    <t>8858890720636</t>
  </si>
  <si>
    <t>VALENTE เครื่องหนีบผมไฟฟ้า 2in1 หนีบตรง หรือม้วนผม</t>
  </si>
  <si>
    <t>Product Data_Images/8858890720636.รูปภาพใน Appsheet.072214.png</t>
  </si>
  <si>
    <t>8858890720995</t>
  </si>
  <si>
    <t>เครื่องหนีบผม ไอน้ำ วาเลนเต้ VALENTE absolut hot</t>
  </si>
  <si>
    <t>Product Data_Images/8858890720995.รูปภาพใน Appsheet.072222.png</t>
  </si>
  <si>
    <t>8858890720124</t>
  </si>
  <si>
    <t>เครื่องหนีบผมและม้วผม VALENTE ได้สูงสุด 240 องศา</t>
  </si>
  <si>
    <t>Product Data_Images/8858890720124.รูปภาพใน Appsheet.072228.png</t>
  </si>
  <si>
    <t>NONEBAR07</t>
  </si>
  <si>
    <t>HT- 001 /BL</t>
  </si>
  <si>
    <t>8858890727963</t>
  </si>
  <si>
    <t>HT- 001 /GR</t>
  </si>
  <si>
    <t>VALENTE ปัตตาเลี่ยนไร้สาย สีเทา</t>
  </si>
  <si>
    <t>Product Data_Images/8858890727963.รูปภาพใน Appsheet.072251.png</t>
  </si>
  <si>
    <t>8858890720834</t>
  </si>
  <si>
    <t>HT- 001 /GO</t>
  </si>
  <si>
    <t>VALENTE ปัตตาเลี่ยนไร้สาย สีทอง</t>
  </si>
  <si>
    <t>Product Data_Images/8858890720834.รูปภาพใน Appsheet.072259.png</t>
  </si>
  <si>
    <t>8588890721172</t>
  </si>
  <si>
    <t>ปัตตาเลี่ยนไร้สาย BB-108 แถมหวีรองซอย</t>
  </si>
  <si>
    <t>Product Data_Images/8588890721172.รูปภาพใน Appsheet.072308.png</t>
  </si>
  <si>
    <t>8851002553030</t>
  </si>
  <si>
    <t>ANG-100/A</t>
  </si>
  <si>
    <t>L'ANGLE ครีมยืดผม สูตรชาเขียว</t>
  </si>
  <si>
    <t>Product Data_Images/8851002553030.รูปภาพใน Appsheet.072336.png</t>
  </si>
  <si>
    <t>8858890712549</t>
  </si>
  <si>
    <t>ANG-100/B</t>
  </si>
  <si>
    <t>L'ANGLE ครีมโกรกผม สูตรชาเขียว</t>
  </si>
  <si>
    <t>Product Data_Images/8858890712549.รูปภาพใน Appsheet.072341.png</t>
  </si>
  <si>
    <t>8858890712556</t>
  </si>
  <si>
    <t>ANG-100/C</t>
  </si>
  <si>
    <t>L'ANGLE ทรีทเม้นท์ สูตรชาเขียว</t>
  </si>
  <si>
    <t>Product Data_Images/8858890712556.รูปภาพใน Appsheet.072346.png</t>
  </si>
  <si>
    <t>8858890711030</t>
  </si>
  <si>
    <t>ANG-103/A</t>
  </si>
  <si>
    <t>L'ANGLE ครีมยืดผม สููตรอโรม่า</t>
  </si>
  <si>
    <t>Product Data_Images/8858890711030.รูปภาพใน Appsheet.072353.png</t>
  </si>
  <si>
    <t>8858890712600</t>
  </si>
  <si>
    <t>ANG-103/B</t>
  </si>
  <si>
    <t>L'ANGLE ครีมโกรกผม สููตรอโรม่า</t>
  </si>
  <si>
    <t>Product Data_Images/8858890712600.รูปภาพใน Appsheet.072357.png</t>
  </si>
  <si>
    <t>8858890711054</t>
  </si>
  <si>
    <t>ANG-105</t>
  </si>
  <si>
    <t>L'ANGLE ชุดครีมยืดผมตรงถาวร สููตรชาเขียว</t>
  </si>
  <si>
    <t>Product Data_Images/8858890711054.รูปภาพใน Appsheet.072804.png</t>
  </si>
  <si>
    <t>8858890711092</t>
  </si>
  <si>
    <t>L'ANGLE ชุดครีมยืดผม สููตรชาเขียว</t>
  </si>
  <si>
    <t>Product Data_Images/8858890711092.รูปภาพใน Appsheet.072840.png</t>
  </si>
  <si>
    <t>8858890711108</t>
  </si>
  <si>
    <t>L'ANGLE ชุดครีมยืดผม สููตรอโรม่า</t>
  </si>
  <si>
    <t>Product Data_Images/8858890711108.รูปภาพใน Appsheet.072847.png</t>
  </si>
  <si>
    <t>NONEBAR08</t>
  </si>
  <si>
    <t>ANG-200</t>
  </si>
  <si>
    <t>NONEBAR09</t>
  </si>
  <si>
    <t>ANG-202</t>
  </si>
  <si>
    <t>8858890712204</t>
  </si>
  <si>
    <t>L'ANGLE เนเชอรัล อโรเวร่า แอร์ มาสค</t>
  </si>
  <si>
    <t>Product Data_Images/8858890712204.รูปภาพใน Appsheet.072857.png</t>
  </si>
  <si>
    <t>8858890712211</t>
  </si>
  <si>
    <t>ANG-221</t>
  </si>
  <si>
    <t>L'ANGLE เนเชอรัล ฮันนี่ แอร์ มาสค</t>
  </si>
  <si>
    <t>Product Data_Images/8858890712211.รูปภาพใน Appsheet.072908.png</t>
  </si>
  <si>
    <t>6933004194502</t>
  </si>
  <si>
    <t>L'ANGLE ครีมจับลอน</t>
  </si>
  <si>
    <t>Product Data_Images/6933004194502.รูปภาพใน Appsheet.073136.png</t>
  </si>
  <si>
    <t>8858890740115</t>
  </si>
  <si>
    <t>OHA-011</t>
  </si>
  <si>
    <t>โอฮาโยะ แฮร์สปา (ผมทำสี)</t>
  </si>
  <si>
    <t>Product Data_Images/8858890740115.รูปภาพใน Appsheet.073147.png</t>
  </si>
  <si>
    <t>8858890740092</t>
  </si>
  <si>
    <t>โอฮาโยะ แฮร์สปา ทรีทเม้นท์</t>
  </si>
  <si>
    <t>Product Data_Images/8858890740092.รูปภาพใน Appsheet.073154.png</t>
  </si>
  <si>
    <t>8858890721077</t>
  </si>
  <si>
    <t>BARNER BRAIN ปัตตาเลี่ยนไฟฟ้าไร้สาย ที-เบลด</t>
  </si>
  <si>
    <t>Product Data_Images/8858890721077.รูปภาพใน Appsheet.073203.png</t>
  </si>
  <si>
    <t>8858890721084</t>
  </si>
  <si>
    <t>BARNER BRAIN ปัตตาเลี่ยนมีสาย (สีแดง)</t>
  </si>
  <si>
    <t>Product Data_Images/8858890721084.รูปภาพใน Appsheet.073208.png</t>
  </si>
  <si>
    <t>8858890721091</t>
  </si>
  <si>
    <t>BB-102</t>
  </si>
  <si>
    <t>BARNER BRAIN ปัตตาเลี่ยนมีสาย (สีดำ)</t>
  </si>
  <si>
    <t>Product Data_Images/8858890721091.รูปภาพใน Appsheet.073219.png</t>
  </si>
  <si>
    <t>8858890795009</t>
  </si>
  <si>
    <t>BB-105</t>
  </si>
  <si>
    <t>BARNER BRAIN เครื่องโกนหนวด</t>
  </si>
  <si>
    <t>Product Data_Images/8858890795009.รูปภาพใน Appsheet.073234.png</t>
  </si>
  <si>
    <t>8858890720858</t>
  </si>
  <si>
    <t>เครื่องม้วนผม+หนีบผมไฟฟ้า วาเลนเต้</t>
  </si>
  <si>
    <t>Product Data_Images/8858890720858.รูปภาพใน Appsheet.073238.png</t>
  </si>
  <si>
    <t>8858890720643</t>
  </si>
  <si>
    <t>เครื่องหนีบผมไฟฟ้า รุ่น The Classic Black</t>
  </si>
  <si>
    <t>Product Data_Images/8858890720643.รูปภาพใน Appsheet.073243.png</t>
  </si>
  <si>
    <t>8858890721206</t>
  </si>
  <si>
    <t>LST-2/B</t>
  </si>
  <si>
    <t>VALENTE เครื่องหนีบผม Ionic Ozonic (สีีดำ)</t>
  </si>
  <si>
    <t>Product Data_Images/8858890721206.รูปภาพใน Appsheet.073249.png</t>
  </si>
  <si>
    <t>8858890721213</t>
  </si>
  <si>
    <t>LST-2/W</t>
  </si>
  <si>
    <t>VALENTE เครื่องหนีบผม Ionic Ozonic (สีขาว)</t>
  </si>
  <si>
    <t>Product Data_Images/8858890721213.รูปภาพใน Appsheet.073258.png</t>
  </si>
  <si>
    <t>8858890794774</t>
  </si>
  <si>
    <t>VAL-501</t>
  </si>
  <si>
    <t>VALENTE กิ๊ฟหนีบแกน สีใส</t>
  </si>
  <si>
    <t>Product Data_Images/8858890794774.รูปภาพใน Appsheet.073302.png</t>
  </si>
  <si>
    <t>8858890728403</t>
  </si>
  <si>
    <t>VALENTE เครื่องดัดผมถาวร ดิจิตอล มินิ สปาเพิร์ม</t>
  </si>
  <si>
    <t>Product Data_Images/8858890728403.รูปภาพใน Appsheet.073312.png</t>
  </si>
  <si>
    <t>8858890720971</t>
  </si>
  <si>
    <t>LST-7</t>
  </si>
  <si>
    <t>VALENTE ปัตตาเลี่ยนแกะลายผม</t>
  </si>
  <si>
    <t>Product Data_Images/8858890720971.รูปภาพใน Appsheet.073324.png</t>
  </si>
  <si>
    <t>8858890720131</t>
  </si>
  <si>
    <t>VALENTE ปัตตาเลี่ยนไฟฟ้า (สีดำ)</t>
  </si>
  <si>
    <t>Product Data_Images/8858890720131.รูปภาพใน Appsheet.073336.png</t>
  </si>
  <si>
    <t>8858890723057</t>
  </si>
  <si>
    <t>VALENTE ปัตตาเลี่ยนไฟฟ้า (สีีแดง)</t>
  </si>
  <si>
    <t>Product Data_Images/8858890723057.รูปภาพใน Appsheet.073344.png</t>
  </si>
  <si>
    <t>8858890723064</t>
  </si>
  <si>
    <t>VALENTE ปัตตาเลี่ยนไฟฟ้า (สีเหลือง)</t>
  </si>
  <si>
    <t>Product Data_Images/8858890723064.รูปภาพใน Appsheet.073350.png</t>
  </si>
  <si>
    <t>8858890720155</t>
  </si>
  <si>
    <t>VAL-2208/BLA</t>
  </si>
  <si>
    <t>Product Data_Images/8858890720155.รูปภาพใน Appsheet.073357.png</t>
  </si>
  <si>
    <t>8858890728359</t>
  </si>
  <si>
    <t>VALENTE ปัตตาเลี่ยนไฟฟ้า (สีแดง)</t>
  </si>
  <si>
    <t>Product Data_Images/8858890728359.รูปภาพใน Appsheet.073402.png</t>
  </si>
  <si>
    <t>8858890728342</t>
  </si>
  <si>
    <t>VAL-2208/BL</t>
  </si>
  <si>
    <t>VALENTE ปัตตาเลี่ยนไฟฟ้า (สีน้ำเงิน)</t>
  </si>
  <si>
    <t>Product Data_Images/8858890728342.รูปภาพใน Appsheet.073412.png</t>
  </si>
  <si>
    <t>8858890710194</t>
  </si>
  <si>
    <t>แองเจลิค แฮร์ คัลเลอร์ ครีม 0.00 NEW เคลียร์โทน 0.23g.</t>
  </si>
  <si>
    <t>สีย้อม</t>
  </si>
  <si>
    <t>8858890710019</t>
  </si>
  <si>
    <t>8858890710200</t>
  </si>
  <si>
    <t>แองเจลิค แฮร์ คัลเลอร์ ครีม 0.22 NEW แม่สีม่วง 0.23g.</t>
  </si>
  <si>
    <t>NONEBAR10</t>
  </si>
  <si>
    <t>ANG-002</t>
  </si>
  <si>
    <t>8858890710217</t>
  </si>
  <si>
    <t>8858890710033</t>
  </si>
  <si>
    <t>แองเจลิค แฮร์ คัลเลอร์ ครีม 0.66 NEW แม่สีแดง 0.23g.</t>
  </si>
  <si>
    <t>NONEBAR11</t>
  </si>
  <si>
    <t>ANG-004</t>
  </si>
  <si>
    <t>8858890710057</t>
  </si>
  <si>
    <t>8858890710224</t>
  </si>
  <si>
    <t>แองเจลิค แฮร์ คัลเลอร์ ครีม 2.0 NEW สีดำ 0.23g.</t>
  </si>
  <si>
    <t>8858890710064</t>
  </si>
  <si>
    <t>8858890710248</t>
  </si>
  <si>
    <t>8858890710255</t>
  </si>
  <si>
    <t>NONEBAR12</t>
  </si>
  <si>
    <t>ANG-026</t>
  </si>
  <si>
    <t>8858890710293</t>
  </si>
  <si>
    <t>NONEBAR13</t>
  </si>
  <si>
    <t>ANG-031</t>
  </si>
  <si>
    <t>NONEBAR14</t>
  </si>
  <si>
    <t>ANG-033</t>
  </si>
  <si>
    <t>8858890710071</t>
  </si>
  <si>
    <t>8858890710347</t>
  </si>
  <si>
    <t>ANG-034</t>
  </si>
  <si>
    <t>แองเจลิค แฮร์ คัลเลอร์ 6.1 NEW สีบลอนด์เข้มประกายเทา 0.255g</t>
  </si>
  <si>
    <t>NONEBAR15</t>
  </si>
  <si>
    <t>ANG-035</t>
  </si>
  <si>
    <t>NONEBAR16</t>
  </si>
  <si>
    <t>ANG-038</t>
  </si>
  <si>
    <t>8858890710170</t>
  </si>
  <si>
    <t>8858890710088</t>
  </si>
  <si>
    <t>8858890710118</t>
  </si>
  <si>
    <t>8858890710415</t>
  </si>
  <si>
    <t>8858890710132</t>
  </si>
  <si>
    <t>แอลแองเจล 7.33 NEW สีบลอนด์กลางประกายทองจัด 0.255g.</t>
  </si>
  <si>
    <t>8858890710156</t>
  </si>
  <si>
    <t>885889071446</t>
  </si>
  <si>
    <t>8858890710439</t>
  </si>
  <si>
    <t>8858890710095</t>
  </si>
  <si>
    <t>8858890710705</t>
  </si>
  <si>
    <t>8858890710460</t>
  </si>
  <si>
    <t>8858890710477</t>
  </si>
  <si>
    <t>8858890710484</t>
  </si>
  <si>
    <t>แองเจลิค แฮร์ คัลเลอร์ ครีม 8.37 สีบลอนด์อ่อนประกายทองเหลือบ</t>
  </si>
  <si>
    <t>8858890710491</t>
  </si>
  <si>
    <t>8858890710187</t>
  </si>
  <si>
    <t>8858890710101</t>
  </si>
  <si>
    <t>8858890710125</t>
  </si>
  <si>
    <t>8858890710149</t>
  </si>
  <si>
    <t>8858890710163</t>
  </si>
  <si>
    <t>8858890710712</t>
  </si>
  <si>
    <t>8858890710811</t>
  </si>
  <si>
    <t>L&amp;ANGEL iCOLOR แอล แองเจล ไอคัลเลอร์ อเมทิสต์ (เบอร์ 1) สีม่วงอ่อน ANG-081</t>
  </si>
  <si>
    <t>8858890710828</t>
  </si>
  <si>
    <t>L&amp;ANGEL iCOLOR แอล แองเจล ไอคัลเลอร์ ไวโอเล็ต (เบอร์ 2) สีม่วง ANG-082</t>
  </si>
  <si>
    <t>8858890710835</t>
  </si>
  <si>
    <t>L&amp;ANGEL iCOLOR แอล แองเจล ไอคัลเลอร์ สกายบลู (เบอร์ 3) ANG-083</t>
  </si>
  <si>
    <t>8858890710842</t>
  </si>
  <si>
    <t>L&amp;ANGEL iCOLOR แอล แองเจล ไอคัลเลอร์ แลพิส (เบอร์ 4) น้ำเงิน ANG-084</t>
  </si>
  <si>
    <t>8858890710859</t>
  </si>
  <si>
    <t>L&amp;ANGEL iCOLOR แอล แองเจล ไอคัลเลอร์ แชมรอท (เบอร์ 5) สีเขียว ANG-085</t>
  </si>
  <si>
    <t>8858890710866</t>
  </si>
  <si>
    <t>L&amp;ANGEL iCOLOR แองเจล ไอคัลเลอร์ ฟิวเซีย (เบอร์ 6) สีชมพู ANG-086</t>
  </si>
  <si>
    <t>8858890710873</t>
  </si>
  <si>
    <t>L&amp;ANGEL iCOLOR แอล แองเจล ไอคัลเลอร์ มะเจนทะ (เบอร์ 7) สีบานเย็น ANG-087</t>
  </si>
  <si>
    <t>8858890710880</t>
  </si>
  <si>
    <t>L&amp;ANGEL iCOLOR แอล แองเจล ไอคัลเลอร์ คริมซันเรด (เบอร์ 8) สีแดง ANG-088</t>
  </si>
  <si>
    <t>8858890710897</t>
  </si>
  <si>
    <t>L&amp;ANGEL iCOLOR แอล แองเจล ไอคัลเลอร์ รูบี (เบอร์ 9) สีแดงเข้ม ANG-089</t>
  </si>
  <si>
    <t>8858890710903</t>
  </si>
  <si>
    <t>L&amp;ANGEL iCOLOR แอล แองเจล ไอคัลเลอร์ ไดรูท (เบอร์ 10) สีขาว ANG-090</t>
  </si>
  <si>
    <t>8858890710910</t>
  </si>
  <si>
    <t>L&amp;ANGEL iCOLOR แอล แองเจล ไอคัลเลอร์ แทงเจอรีน (เบอร์ 11) สีส้ม ANG-091</t>
  </si>
  <si>
    <t>8858890710927</t>
  </si>
  <si>
    <t>L&amp;ANGEL iCOLOR แอล แองเจล ไอคัลเลอร์ บัมเบิลบี (เบอร์ 12) สีเหลือง ANG-092</t>
  </si>
  <si>
    <t>8858890710934</t>
  </si>
  <si>
    <t>L&amp;ANGEL iCOLOR แอล แองเจล ไอคัลเลอร์ เกรย์ (เบอร์ 13) สีเทา ANG-093</t>
  </si>
  <si>
    <t>8858890711061</t>
  </si>
  <si>
    <t>บาร์เบอร์ เบรน ซิลเวอร์ เบลด เซฟ เจล</t>
  </si>
  <si>
    <t>Product Data_Images/8858890711061.รูปภาพใน Appsheet.084741.jpg</t>
  </si>
  <si>
    <t>8858890732516</t>
  </si>
  <si>
    <t>บาร์เบอร์ เบรน ซิลเวอร์ เบลด อาฟเตอร์ เซฟ</t>
  </si>
  <si>
    <t>Product Data_Images/8858890732516.รูปภาพใน Appsheet.085113.jpg</t>
  </si>
  <si>
    <t>8858890791650</t>
  </si>
  <si>
    <t>วาเลนเต้ หมวกพลาสติก สีแดง 0.038g.</t>
  </si>
  <si>
    <t>เบ็ดเตล็ด</t>
  </si>
  <si>
    <t>8858890798734</t>
  </si>
  <si>
    <t>วาเลนเต้ แกนดัดเย็นแบบมงกุฎ ขนาด 1.4 cm.</t>
  </si>
  <si>
    <t>8858890798741</t>
  </si>
  <si>
    <t>วาเลนเต้ แกนดัดเย็นแบบมงกุฎ ขนาด 1.3 cm.</t>
  </si>
  <si>
    <t>8858890800581</t>
  </si>
  <si>
    <t>วาเลนเต้ แกนดัดเย็นแบบมงกุฎ ขนาด 1.2 cm.</t>
  </si>
  <si>
    <t>8858890800598</t>
  </si>
  <si>
    <t>วาเลนเต้ แกนดัดเย็นแบบมงกุฎ ขนาด 1.1 cm.</t>
  </si>
  <si>
    <t>8858890798673</t>
  </si>
  <si>
    <t>วาเลนเต้ แกนดัดเย็นแบบมงกุฎ ขนาด 2.2 cm.</t>
  </si>
  <si>
    <t>8858890798680</t>
  </si>
  <si>
    <t>วาเลนเต้ แกนดัดเย็นแบบมงกุฎ ขนาด 2 cm.</t>
  </si>
  <si>
    <t>8858890798697</t>
  </si>
  <si>
    <t>วาเลนเต้ แกนดัดเย็นแบบมงกุฎ ขนาด 1.8 cm.</t>
  </si>
  <si>
    <t>8858890798703</t>
  </si>
  <si>
    <t>วาเลนเต้ แกนดัดเย็นแบบมงกุฎ ขนาด 1.7 cm.</t>
  </si>
  <si>
    <t>8858890798710</t>
  </si>
  <si>
    <t>วาเลนเต้ แกนดัดเย็นแบบมงกุฎ ขนาด 1.6 cm.</t>
  </si>
  <si>
    <t>8858890798727</t>
  </si>
  <si>
    <t>วาเลนเต้ แกนดัดเย็นแบบมงกุฎ ขนาด 1.5 cm.</t>
  </si>
  <si>
    <t>8858890720599</t>
  </si>
  <si>
    <t>วาเลนเต้ ตัวกระจายลมไดร์เป่าลอนผมดัด สีดำ-ฟ้า 0.250g.</t>
  </si>
  <si>
    <t>8860000000000</t>
  </si>
  <si>
    <t>A-14004/1-02</t>
  </si>
  <si>
    <t>วาเลนเต้ แปรงย้อมผม สีแดง 0.03g.</t>
  </si>
  <si>
    <t>NONEBAR17</t>
  </si>
  <si>
    <t>A-14004/1-03</t>
  </si>
  <si>
    <t>วาเลนเต้ แปรงย้อมผม สีเขียว 0.03g.</t>
  </si>
  <si>
    <t>8858890796952</t>
  </si>
  <si>
    <t>A-14004/1-05</t>
  </si>
  <si>
    <t>วาเลนเต้ แปรงย้อมผม สีน้ำเงิน 0.03g.</t>
  </si>
  <si>
    <t>8858890796969</t>
  </si>
  <si>
    <t>A-14004/1-06</t>
  </si>
  <si>
    <t>วาเลนเต้ แปรงย้อมผม สีเหลือง 0.03g.</t>
  </si>
  <si>
    <t>8858890796983</t>
  </si>
  <si>
    <t>A-14004/1-09</t>
  </si>
  <si>
    <t>วาเลนเต้ แปรงย้อมผม สีม่วง 0.03g.</t>
  </si>
  <si>
    <t>8858890796990</t>
  </si>
  <si>
    <t>A-14004/1-10</t>
  </si>
  <si>
    <t>วาเลนเต้ แปรงย้อมผม สีชมพู 0.03g.</t>
  </si>
  <si>
    <t>8858890796976</t>
  </si>
  <si>
    <t>A-14004/1-13</t>
  </si>
  <si>
    <t>วาเลนเต้ แปรงย้อมผม สีส้ม 0.03g.</t>
  </si>
  <si>
    <t>8858890798260</t>
  </si>
  <si>
    <t>A-14004/2-02</t>
  </si>
  <si>
    <t>วาเลนเต้ ถ้วยผสมสี สีแดง 0.03g.</t>
  </si>
  <si>
    <t>8858890798208</t>
  </si>
  <si>
    <t>A-14004/2-03</t>
  </si>
  <si>
    <t>วาเลนเต้ ถ้วยผสมสี สีเขียว 0.03g.</t>
  </si>
  <si>
    <t>8858890798215</t>
  </si>
  <si>
    <t>A-14004/2-05</t>
  </si>
  <si>
    <t>วาเลนเต้ ถ้วยผสมสี สีน้ำเงิน 0.03g.</t>
  </si>
  <si>
    <t>8858890798222</t>
  </si>
  <si>
    <t>A-14004/2-06</t>
  </si>
  <si>
    <t>วาเลนเต้ ถ้วยผสมสี สีเหลือง 0.03g.</t>
  </si>
  <si>
    <t>8858890798239</t>
  </si>
  <si>
    <t>A-14004/2-09</t>
  </si>
  <si>
    <t>วาเลนเต้ ถ้วยผสมสี สีม่วง 0.03g.</t>
  </si>
  <si>
    <t>8858890798246</t>
  </si>
  <si>
    <t>A-14004/2-10</t>
  </si>
  <si>
    <t>วาเลนเต้ ถ้วยผสมสี สีชมพู 0.03g.</t>
  </si>
  <si>
    <t>8858890798253</t>
  </si>
  <si>
    <t>A-14004/2-13</t>
  </si>
  <si>
    <t>วาเลนเต้ ถ้วยผสมสี สีส้ม 0.03g.</t>
  </si>
  <si>
    <t>8858890792466</t>
  </si>
  <si>
    <t>A-150</t>
  </si>
  <si>
    <t>วาเลนเต้ แปรงบรัชออน ด้ามกลม</t>
  </si>
  <si>
    <t>8858890792473</t>
  </si>
  <si>
    <t>วาเลนเต้ แปรงบรัชออน ด้ามเรียว</t>
  </si>
  <si>
    <t>8858890790516</t>
  </si>
  <si>
    <t>A-49</t>
  </si>
  <si>
    <t>วาเลนเต้ ชุดแปรงบรัชออนกระเป๋าลาย (4ชิ้น)</t>
  </si>
  <si>
    <t>8858890793821</t>
  </si>
  <si>
    <t>วาเลนเต้ แหนบปากตรง ลายดอกไม้ 0.079g.</t>
  </si>
  <si>
    <t>8858890792459</t>
  </si>
  <si>
    <t>A-58</t>
  </si>
  <si>
    <t>วาเลนเต้ แปรงบรัชออน 0.038g.</t>
  </si>
  <si>
    <t>8858890781804</t>
  </si>
  <si>
    <t>ABS-04439</t>
  </si>
  <si>
    <t>วาเลนเต้ หวีฟันสลับ</t>
  </si>
  <si>
    <t>8858890781866</t>
  </si>
  <si>
    <t>ABS-75539</t>
  </si>
  <si>
    <t>วาเลนเต้ หวีอีโต้แฟชั่น</t>
  </si>
  <si>
    <t>8858890780036</t>
  </si>
  <si>
    <t>วาเลนเต้ หวีรองตัด สีน้ำตาล 0.016g.</t>
  </si>
  <si>
    <t>8858890800031</t>
  </si>
  <si>
    <t>AD-2287/S2</t>
  </si>
  <si>
    <t>ชุดขนตาปลอมแบบแม่เหล็ก-S2</t>
  </si>
  <si>
    <t>8858890800048</t>
  </si>
  <si>
    <t>AD-2287/S3</t>
  </si>
  <si>
    <t>ชุดขนตาปลอมแบบแม่เหล็ก-S3</t>
  </si>
  <si>
    <t>8858890800024</t>
  </si>
  <si>
    <t>AD-2287/W2</t>
  </si>
  <si>
    <t>ชุดขนตาปลอมแบบแม่เหล็ก-W2</t>
  </si>
  <si>
    <t>8858890800062</t>
  </si>
  <si>
    <t>AD-2287/X13</t>
  </si>
  <si>
    <t>ชุดขนตาปลอมแบบแม่เหล็ก-X113</t>
  </si>
  <si>
    <t>8858890800055</t>
  </si>
  <si>
    <t>AD-2287/X16</t>
  </si>
  <si>
    <t>ชุดขนตาปลอมแบบแม่เหล็ก-X16</t>
  </si>
  <si>
    <t>NONEBAR00</t>
  </si>
  <si>
    <t>หวีรองซอยสีชมพู</t>
  </si>
  <si>
    <t>NONEBAR18</t>
  </si>
  <si>
    <t>หวีรองซอยสีฟ้า</t>
  </si>
  <si>
    <t>8858890800352</t>
  </si>
  <si>
    <t>ผงฟอกสีผม แอลแองเจล ลัคซ์ชูรีย์ แฮร์ บลีชชิ่ง พาวเดอร์</t>
  </si>
  <si>
    <t>8858890710699</t>
  </si>
  <si>
    <t>แอลแองเจล ผงฟอกสีผม 9 LEVEL 400g.</t>
  </si>
  <si>
    <t>8858890799014</t>
  </si>
  <si>
    <t>L'ANGEL แฮร์ คัลเลอร์ โปร 3.0 ดาร์ก บราวน์ เนชั่นรัล</t>
  </si>
  <si>
    <t>8858890799021</t>
  </si>
  <si>
    <t>L'ANGEL แฮร์ คัลเลอร์ โปร 5.0 ไลท์ บราวน์ เนชั่นรัล</t>
  </si>
  <si>
    <t>8858890799038</t>
  </si>
  <si>
    <t>L'ANGEL แฮร์ คัลเลอร์ โปร 5.11 ไลท์ บราวน์ แอช อินเท็นซีฟ</t>
  </si>
  <si>
    <t>8858890799045</t>
  </si>
  <si>
    <t>L'ANGEL แฮร์ คัลเลอร์ โปร 5.035 ไลท์ บราวน์ วอร์ม บราวน์</t>
  </si>
  <si>
    <t>8858890799052</t>
  </si>
  <si>
    <t>L'ANGEL แฮร์ คัลเลอร์ โปร 7.0 มีเดียม บลอนด์ เนชั่นรัล</t>
  </si>
  <si>
    <t>8858890799069</t>
  </si>
  <si>
    <t>L'ANGEL แฮร์ คัลเลอร์ โปร 7.11 มีเดียม บลอนด์ แอช อินเท็นซีฟ</t>
  </si>
  <si>
    <t>8858890799076</t>
  </si>
  <si>
    <t>L'ANGEL แฮร์ คัลเลอร์ โปร 7.16 มีเดียม บลอนด์ แอช ไวโอเล็ต</t>
  </si>
  <si>
    <t>8858890799083</t>
  </si>
  <si>
    <t>L'ANGEL แฮร์ คัลเลอร์ โปร 7.036 มีเดียม บลอนด์ ไลท์ บราวน์</t>
  </si>
  <si>
    <t>8858890799090</t>
  </si>
  <si>
    <t>L'ANGEL แฮร์ คัลเลอร์ โปร 8.0 ไลท์ บลอนด์ เนชั่นรัล</t>
  </si>
  <si>
    <t>8858890799106</t>
  </si>
  <si>
    <t>L'ANGEL แฮร์ คัลเลอร์ โปร 8.11 ไลท์ บลอนด์ แอช อินเท็นซีฟ</t>
  </si>
  <si>
    <t>8858890799113</t>
  </si>
  <si>
    <t>L'ANGEL แฮร์ คัลเลอร์ โปร 9.0 เอ็กซ์ตร้า ไลท์ บลอนด์ เนชั่น</t>
  </si>
  <si>
    <t>8858890799120</t>
  </si>
  <si>
    <t>L'ANGEL แฮร์ คัลเลอร์ โปร 9.82 เอ็กซ์ตร้า ไลท์ บลอนด์ บลู</t>
  </si>
  <si>
    <t>8858890799137</t>
  </si>
  <si>
    <t>L'ANGEL แฮร์ คัลเลอร์ โปร 9.171 เอ็กซ์ตร้า ไลท์ บลอนด์ แอช</t>
  </si>
  <si>
    <t>8858890799144</t>
  </si>
  <si>
    <t>L'ANGEL แฮร์ คัลเลอร์ โปร 9.182 เอ็กซ์ตร้า ไลท์ บลอนด์ แอช</t>
  </si>
  <si>
    <t>8858890799151</t>
  </si>
  <si>
    <t>ANG-514</t>
  </si>
  <si>
    <t>L'ANGEL แฮร์ คัลเลอร์ โปร 9.655 เอ็กซ์ตร้า ไลท์ บลอนด์ ไวโอ</t>
  </si>
  <si>
    <t>8858890799168</t>
  </si>
  <si>
    <t>L'ANGEL แฮร์ คัลเลอร์ โปร 10.0 เวรี่ เอ็กตร้า ไลท์ บลอนด์</t>
  </si>
  <si>
    <t>8858890799175</t>
  </si>
  <si>
    <t>L'ANGEL แฮร์ คัลเลอร์ โปร 10.1 เวรี่ เอ็กตร้า ไลท์ บลอนด์</t>
  </si>
  <si>
    <t>8858890799182</t>
  </si>
  <si>
    <t>L'ANGEL แฮร์ คัลเลอร์ โปร 12.1 สเปเชียล บลอนด์ แอช</t>
  </si>
  <si>
    <t>8858890799199</t>
  </si>
  <si>
    <t>L'ANGEL แฮร์ คัลเลอร์ โปร 0.11 แอช สเปเชียล มิกซ์</t>
  </si>
  <si>
    <t>8858890799205</t>
  </si>
  <si>
    <t>ANG-519</t>
  </si>
  <si>
    <t>แองเจลิค แฮร์ คัลเลอร์ ครีม 8.11 ไลท์ บลอนด์ แอช อินเทนซิฟ</t>
  </si>
  <si>
    <t>8858890799212</t>
  </si>
  <si>
    <t>ANG-520</t>
  </si>
  <si>
    <t>แองเจลิค แฮร์ คัลเลอร์ ครีม เอส8.10 สเปเชี่ยล คลาสสิค เกรย์</t>
  </si>
  <si>
    <t>8858890799229</t>
  </si>
  <si>
    <t>ANG-521</t>
  </si>
  <si>
    <t>แองเจลิค แฮร์ คัลเลอร์ ครีม เอส8.15 สเปเชี่ยล แพลทินัม เบจ</t>
  </si>
  <si>
    <t>8858890799236</t>
  </si>
  <si>
    <t>ANG-522</t>
  </si>
  <si>
    <t>แองเจลิค แฮร์ คัลเลอร์ ครีม เอส8.17 สเปเชี่ยล สโมค เกรย์ บรา</t>
  </si>
  <si>
    <t>8858890799243</t>
  </si>
  <si>
    <t>ANG-523</t>
  </si>
  <si>
    <t>แองเจลิค แฮร์ คัลเลอร์ ครีม เอส8.21 สเปเชี่ยล สโมคกี้ กรีน</t>
  </si>
  <si>
    <t>8858890799250</t>
  </si>
  <si>
    <t>ANG-524</t>
  </si>
  <si>
    <t>แองเจลิค แฮร์ คัลเลอร์ ครีม เอส8.61 สเปเชี่ยล แพลทินัม</t>
  </si>
  <si>
    <t>8858890799267</t>
  </si>
  <si>
    <t>ANG-525</t>
  </si>
  <si>
    <t>แองเจลิค แฮร์ คัลเลอร์ ครีม เอส8.65 สเปเชี่ยล ฟ็อกกี้ พิงค์</t>
  </si>
  <si>
    <t>8858890799274</t>
  </si>
  <si>
    <t>ANG-526</t>
  </si>
  <si>
    <t>แองเจลิค แฮร์ คัลเลอร์ ครีม เอส8.70 สเปเชี่ยล คลาสสิค มิลค์</t>
  </si>
  <si>
    <t>8858890799281</t>
  </si>
  <si>
    <t>ANG-527</t>
  </si>
  <si>
    <t>แองเจลิค แฮร์ คัลเลอร์ ครีม เอส8.81 สเปเชี่ยล ฟ็อกกี้ บลู</t>
  </si>
  <si>
    <t>8858890799298</t>
  </si>
  <si>
    <t>ANG-528</t>
  </si>
  <si>
    <t>แองเจลิค แฮร์ คัลเลอร์ ครีม 5.77 ไลท์ บราวน์ บราวน์ อินเทนซิ</t>
  </si>
  <si>
    <t>8858890799304</t>
  </si>
  <si>
    <t>ANG-529</t>
  </si>
  <si>
    <t>แองเจลิค แฮร์ คัลเลอร์ ครีม 7.77 มีเดี่ยม บลอนด์ บราวน์ อินเ</t>
  </si>
  <si>
    <t>ANG-607/2</t>
  </si>
  <si>
    <t>แอลแองเจล เฟอร์เฟคเคราติน เบอร์ 2</t>
  </si>
  <si>
    <t>8858890800017</t>
  </si>
  <si>
    <t>แอลแองเจล ลัคซ์ชูรีย์ เอ็กซ์เซลเลนซ์ ทรีทเม้นท์ เคราติน</t>
  </si>
  <si>
    <t>8858890798277</t>
  </si>
  <si>
    <t>ANG-CARD40</t>
  </si>
  <si>
    <t>แอลแองเจล แบบสีผม 40 สี</t>
  </si>
  <si>
    <t>8858890800321</t>
  </si>
  <si>
    <t>ANG-CARD53</t>
  </si>
  <si>
    <t>แอลแองเจล แบบสีผม 53 สี</t>
  </si>
  <si>
    <t>8858890792145</t>
  </si>
  <si>
    <t>วาเลนเต้ ฟองน้ำล้างหน้า สีขาว 0.010g.</t>
  </si>
  <si>
    <t>8858890790370</t>
  </si>
  <si>
    <t>แอลแองเจล ผ้าคลุมซอยซาลอน 0.104g.</t>
  </si>
  <si>
    <t>8858890798956</t>
  </si>
  <si>
    <t>วาเลนเต้ หวีรองซอย สีครีม</t>
  </si>
  <si>
    <t>8858890798949</t>
  </si>
  <si>
    <t>วาเลนเต้ หวีหาง สีครีม</t>
  </si>
  <si>
    <t>8858890796501</t>
  </si>
  <si>
    <t>บาร์เบอร์ เบรน รองฟันปัตตาเลี่ยน NO.0.5,1.5 สีดำ 0.0</t>
  </si>
  <si>
    <t>8858890793364</t>
  </si>
  <si>
    <t>บาร์เบอร์ เบรน รองฟันปัตตาเลี่ยนแม่เหล็ก NO.0-4 สีดำ 0.094g.</t>
  </si>
  <si>
    <t>8858890782283</t>
  </si>
  <si>
    <t>BB-106-02</t>
  </si>
  <si>
    <t>บาร์เบอร์ เบรน หวีรองตัด สีแดง 0.017g.</t>
  </si>
  <si>
    <t>8858890782276</t>
  </si>
  <si>
    <t>BB-106-03</t>
  </si>
  <si>
    <t>บาร์เบอร์ เบรน หวีรองตัด สีเขียว 0.017g.</t>
  </si>
  <si>
    <t>8858890782290</t>
  </si>
  <si>
    <t>BB-106-04</t>
  </si>
  <si>
    <t>บาร์เบอร์ เบรน หวีรองตัด สีฟ้า 0.017g.</t>
  </si>
  <si>
    <t>8858890782252</t>
  </si>
  <si>
    <t>BB-106-06</t>
  </si>
  <si>
    <t>บาร์เบอร์ เบรน หวีรองตัด สีเหลือง 0.017g.</t>
  </si>
  <si>
    <t>8858890782306</t>
  </si>
  <si>
    <t>BB-106-12</t>
  </si>
  <si>
    <t>บาร์เบอร์ เบรน หวีรองตัด สีน้ำตาล 0.017g.</t>
  </si>
  <si>
    <t>8858890782269</t>
  </si>
  <si>
    <t>BB-106-13</t>
  </si>
  <si>
    <t>บาร์เบอร์ เบรน หวีรองตัด สีส้ม 0.017g.</t>
  </si>
  <si>
    <t>8858890721169</t>
  </si>
  <si>
    <t>บาร์เบอร์ เบรน ปัตตาเลี่ยนไฟฟ้าไร้สาย ที-เบลด 8W สีดำ 0.357g</t>
  </si>
  <si>
    <t>8858890721190</t>
  </si>
  <si>
    <t>บาร์เบอร์ เบรน เครื่องโกนหนวดไฟฟ้า 3W 0.216g.</t>
  </si>
  <si>
    <t>8858890721220</t>
  </si>
  <si>
    <t>บาร์เบอร์ เบรน ปัตตาเลี่ยนไฟฟ้าไร้สาย 10W สีเขียว 0.8g.</t>
  </si>
  <si>
    <t>8858890799557</t>
  </si>
  <si>
    <t>บาร์เบอร์ เบรน ปัตตาเลี่ยนไร้สาย Barber brain รุ่น Stella</t>
  </si>
  <si>
    <t>8858890799786</t>
  </si>
  <si>
    <t>บาร์เบอร์ เบรน ปัตตาเลี่ยน Timmer ไร้สาย รุ่น Stella</t>
  </si>
  <si>
    <t>8858890800116</t>
  </si>
  <si>
    <t>บาร์เบอร์ เบรน กระดาษพันคอ สีขาว 0.458g.</t>
  </si>
  <si>
    <t>8858890732486</t>
  </si>
  <si>
    <t>บาร์เบอร์ เบรน ฮาริส เคิร์ส คอนโทรล ครีม</t>
  </si>
  <si>
    <t>8858890732509</t>
  </si>
  <si>
    <t>สบู่โกนหนวด บาร์เบอร์ เบรน ซิลเวอร์ เบลด เซฟวิ่ง ครีม</t>
  </si>
  <si>
    <t>8858890798499</t>
  </si>
  <si>
    <t>บาร์เบอร์ เบรน มูส กรูมมิ่ง ทอนนิค</t>
  </si>
  <si>
    <t>8858890798666</t>
  </si>
  <si>
    <t>บาร์เบอร์ เบรน ซิลเวอร์ เบลด พรี เซฟ ครีม</t>
  </si>
  <si>
    <t>8858890800420</t>
  </si>
  <si>
    <t>บาร์เบอร์เบรน ไพร์ม แฮร์ สเปรย์</t>
  </si>
  <si>
    <t>8858890798802</t>
  </si>
  <si>
    <t>บาร์เบอร์ เบรน ดัสท์ พาวเดอร์ สเปรย์ชนิดแป้งยกโคนผม</t>
  </si>
  <si>
    <t>8858890795122</t>
  </si>
  <si>
    <t>บาร์เบอร์ เบรน ชุดอุปกรณ์โกนหนวด 0.191g.</t>
  </si>
  <si>
    <t>8858890712495</t>
  </si>
  <si>
    <t>บาร์เบอร์ เบรน เอนเนอจี เพิร์ม น้ำยาดัดเย็นสูตรเนื้อเจล</t>
  </si>
  <si>
    <t>8858890798659</t>
  </si>
  <si>
    <t>ขวดปั๊มโฟมพร้อมหัวปั๊มโฟม</t>
  </si>
  <si>
    <t>8858890732523</t>
  </si>
  <si>
    <t>บาร์เบอร์ เบรน ผงผสมน้ำยาดัดเย็น</t>
  </si>
  <si>
    <t>8858890798543</t>
  </si>
  <si>
    <t>BB-A049</t>
  </si>
  <si>
    <t>บาร์เบอร์ เบรน เก้าอี้ตัดผม</t>
  </si>
  <si>
    <t>8858890799496</t>
  </si>
  <si>
    <t>บาเบอร์ เบรน เก้าอี้แคมป์ปิ้ง</t>
  </si>
  <si>
    <t>8858890800253</t>
  </si>
  <si>
    <t>BB-A051</t>
  </si>
  <si>
    <t>บาร์เบอร์ เบรน เก้าอี้ตัดผม A051</t>
  </si>
  <si>
    <t>NONEBAR19</t>
  </si>
  <si>
    <t>BB-A086</t>
  </si>
  <si>
    <t>บาร์เบอร์ เบรน เก้าอี้ตัดผม A-086</t>
  </si>
  <si>
    <t>8858890799519</t>
  </si>
  <si>
    <t>BB-WATER/M-GR</t>
  </si>
  <si>
    <t>บาร์เบอร์ เบรน กระบอกใส่น้ำดื่มสีเทา 500 ml.</t>
  </si>
  <si>
    <t>8858890799533</t>
  </si>
  <si>
    <t>BB-WATER/M-WH</t>
  </si>
  <si>
    <t>บาร์เบอร์ เบรน กระบอกใส่น้ำดื่มสีขาว 500 ml.</t>
  </si>
  <si>
    <t>8858890799502</t>
  </si>
  <si>
    <t>BB-WATER/S-GR</t>
  </si>
  <si>
    <t>บาร์เบอร์ เบรน กระบอกใส่น้ำดื่มสีเทา 350 ml.</t>
  </si>
  <si>
    <t>8858890799526</t>
  </si>
  <si>
    <t>BB-WATER/S-WH</t>
  </si>
  <si>
    <t>บาร์เบอร์ เบรน กระบอกใส่น้ำดื่มสีขาว 350 ml.</t>
  </si>
  <si>
    <t>8858890781262</t>
  </si>
  <si>
    <t>วาเลนเต้ หวีหางฟันห่าง สีดำ 0.022g.</t>
  </si>
  <si>
    <t>8858890793388</t>
  </si>
  <si>
    <t>วาเลนเต้ หมวกคลุมดัด สีบลอนด์ 0.032g.</t>
  </si>
  <si>
    <t>8858890781163</t>
  </si>
  <si>
    <t>วาเลนเต้ หวีอีโต้ใหญ่ 0.017g.</t>
  </si>
  <si>
    <t>8858890782689</t>
  </si>
  <si>
    <t>วาเลนเต้ แกนดัดขนาด 20x175 มม. สีน้ำเงิน 0.093g.</t>
  </si>
  <si>
    <t>8858890782597</t>
  </si>
  <si>
    <t>วาเลนเต้ แกนดัดขนาด 17x175 มม. สีน้ำเงิน 0.085g.</t>
  </si>
  <si>
    <t>8858890780696</t>
  </si>
  <si>
    <t>วาเลนเต้ แกนดัดขนาด 14x175 มม. สีน้ำเงิน 0.071g.</t>
  </si>
  <si>
    <t>8858890793586</t>
  </si>
  <si>
    <t>วาเลนเต้ กระเป๋ากรรไกร 0.257g.</t>
  </si>
  <si>
    <t>8858890793593</t>
  </si>
  <si>
    <t>วาเลนเต้ กระเป๋ากรรไกร 0.265g.</t>
  </si>
  <si>
    <t>8858890793609</t>
  </si>
  <si>
    <t>วาเลนเต้ กระเป๋ากรรไกร 0.222g.</t>
  </si>
  <si>
    <t>8858890794026</t>
  </si>
  <si>
    <t>วาเลนเต้ กระเป๋ากรรไกร 0.144g.</t>
  </si>
  <si>
    <t>8858890796570</t>
  </si>
  <si>
    <t>วาเลนเต้ ฟิล์มยืดใส 0.176g.</t>
  </si>
  <si>
    <t>8858890797126</t>
  </si>
  <si>
    <t>BOX-01/L-01</t>
  </si>
  <si>
    <t>วาเลนเต้ กระเป๋าเครื่องสำอางแบบผ้าใหญ่ สีดำ 1.391g.</t>
  </si>
  <si>
    <t>8858890797133</t>
  </si>
  <si>
    <t>วาเลนเต้ กระเป๋าเครื่องสำอางแบบผ้าใหญ่ สีเขียว 1.391g.</t>
  </si>
  <si>
    <t>8858890797157</t>
  </si>
  <si>
    <t>BOX-01/L-12</t>
  </si>
  <si>
    <t>วาเลนเต้ กระเป๋าเครื่องสำอางแบบผ้าใหญ่ สีน้ำตาล 1.391g.</t>
  </si>
  <si>
    <t>8858890797140</t>
  </si>
  <si>
    <t>BOX-01/L-20</t>
  </si>
  <si>
    <t>วาเลนเต้ กระเป๋าเครื่องสำอางแบบผ้าใหญ่ สีกรม 1.391g.</t>
  </si>
  <si>
    <t>8858890797089</t>
  </si>
  <si>
    <t>BOX-01/S-01</t>
  </si>
  <si>
    <t>วาเลนเต้ กระเป๋าเครื่องสำอางแบบผ้าเล็ก สีดำ 0.867g.</t>
  </si>
  <si>
    <t>8858890797096</t>
  </si>
  <si>
    <t>วาเลนเต้ กระเป๋าเครื่องสำอางแบบผ้าเล็ก สีเขียว 0.867g.</t>
  </si>
  <si>
    <t>8858890797119</t>
  </si>
  <si>
    <t>BOX-01/S-12</t>
  </si>
  <si>
    <t>วาเลนเต้ กระเป๋าเครื่องสำอางแบบผ้าเล็ก สีน้ำตาล 0.867g.</t>
  </si>
  <si>
    <t>8858890797102</t>
  </si>
  <si>
    <t>BOX-01/S-20</t>
  </si>
  <si>
    <t>วาเลนเต้ กระเป๋าเครื่องสำอางแบบผ้าเล็ก สีกรม 0.867g.</t>
  </si>
  <si>
    <t>8858890797218</t>
  </si>
  <si>
    <t>BOX-02/L-01</t>
  </si>
  <si>
    <t>วาเลนเต้ กระเป๋าเครื่องสำอางแบบหนังใหญ่ สีดำ 1.463g.</t>
  </si>
  <si>
    <t>8858890797225</t>
  </si>
  <si>
    <t>วาเลนเต้ กระเป๋าเครื่องสำอางแบบหนังใหญ่ สีเขียว 1.463g.</t>
  </si>
  <si>
    <t>8858890797232</t>
  </si>
  <si>
    <t>BOX-02/L-06</t>
  </si>
  <si>
    <t>วาเลนเต้ กระเป๋าเครื่องสำอางแบบหนังใหญ่ สีเหลือง 1.463g.</t>
  </si>
  <si>
    <t>8858890797249</t>
  </si>
  <si>
    <t>BOX-02/L-10</t>
  </si>
  <si>
    <t>วาเลนเต้ กระเป๋าเครื่องสำอางแบบหนังใหญ่ สีชมพู 1.463g.</t>
  </si>
  <si>
    <t>8858890797256</t>
  </si>
  <si>
    <t>BOX-02/L-12</t>
  </si>
  <si>
    <t>วาเลนเต้ กระเป๋าเครื่องสำอางแบบหนังใหญ่ สีน้ำตาล 1.463g.</t>
  </si>
  <si>
    <t>8858890797164</t>
  </si>
  <si>
    <t>BOX-02/S-01</t>
  </si>
  <si>
    <t>วาเลนเต้ กระเป๋าเครื่องสำอางแบบหนังเล็ก สีดำ 0.907g.</t>
  </si>
  <si>
    <t>8858890797171</t>
  </si>
  <si>
    <t>วาเลนเต้ กระเป๋าเครื่องสำอางแบบหนังเล็ก สีเขียว 0.907g.</t>
  </si>
  <si>
    <t>8858890797188</t>
  </si>
  <si>
    <t>BOX-02/S-06</t>
  </si>
  <si>
    <t>วาเลนเต้ กระเป๋าเครื่องสำอางแบบหนังเล็ก สีเหลือง 0.907g.</t>
  </si>
  <si>
    <t>8858890797195</t>
  </si>
  <si>
    <t>BOX-02/S-10</t>
  </si>
  <si>
    <t>วาเลนเต้ กระเป๋าเครื่องสำอางแบบหนังเล็ก สีชมพู 0.907g.</t>
  </si>
  <si>
    <t>8858890797201</t>
  </si>
  <si>
    <t>BOX-02/S-12</t>
  </si>
  <si>
    <t>วาเลนเต้ กระเป๋าเครื่องสำอางแบบหนังเล็ก สีน้ำตาล 0.907g.</t>
  </si>
  <si>
    <t>8858890800345</t>
  </si>
  <si>
    <t>BOX-A-040</t>
  </si>
  <si>
    <t>กล่องใส่ ตัวกระจายลมไดร์เป่าลอนผมดัด A-040</t>
  </si>
  <si>
    <t>NONEBAR20</t>
  </si>
  <si>
    <t>BOX-G-11</t>
  </si>
  <si>
    <t>กล่องใส่ G-11</t>
  </si>
  <si>
    <t>8858890800154</t>
  </si>
  <si>
    <t>BOX-OY-983</t>
  </si>
  <si>
    <t>กล่องใส่ OY-983</t>
  </si>
  <si>
    <t>8858890800161</t>
  </si>
  <si>
    <t>BOX-OY-993-M/1</t>
  </si>
  <si>
    <t>กล่องใส่ OY-993-M/1</t>
  </si>
  <si>
    <t>8858890731199</t>
  </si>
  <si>
    <t>C-003/6</t>
  </si>
  <si>
    <t>วาเลนเต้ ที่ดัดขนตา สีทอง 0.046g.</t>
  </si>
  <si>
    <t>8858890797935</t>
  </si>
  <si>
    <t>C-005</t>
  </si>
  <si>
    <t>วาเลนเต้ ด้ามจับเข็มสัก</t>
  </si>
  <si>
    <t>8858890798963</t>
  </si>
  <si>
    <t>วาเลนเต้ ถ้วยย้อมใส ลายกากเพชร</t>
  </si>
  <si>
    <t>8858890760779</t>
  </si>
  <si>
    <t>วาเลนเต้ กรรไกรชุดตัดซอยสีรุ้ง 5.5</t>
  </si>
  <si>
    <t>8858890798284</t>
  </si>
  <si>
    <t>CAB-CARD</t>
  </si>
  <si>
    <t>แอลเองเจล แบบสีผมไอคัลเลอร์</t>
  </si>
  <si>
    <t>8858890796440</t>
  </si>
  <si>
    <t>วาเลนเต้ ผ้าคลุมซอยใสแบบใช้แล้วทิ้ง 0.14g</t>
  </si>
  <si>
    <t>8858890781859</t>
  </si>
  <si>
    <t>วาเลนเต้ หวีลายการ์ตูน 0.018g.</t>
  </si>
  <si>
    <t>8858890782177</t>
  </si>
  <si>
    <t>บาร์เบอร์ เบรน หวีบาร์เบอร์สำหรับขึ้นทรง สีดำ 0.044g.</t>
  </si>
  <si>
    <t>8858890782191</t>
  </si>
  <si>
    <t>บาร์เบอร์ เบรน หวีรองตัด สีดำ 0.026g.</t>
  </si>
  <si>
    <t>8858890782184</t>
  </si>
  <si>
    <t>บาร์เบอร์ เบรน หวีรองตัด สีดำ 0.032g.</t>
  </si>
  <si>
    <t>8858890780395</t>
  </si>
  <si>
    <t>วาเลนเต้ หวีกระดูก สีดำ 0.038g.</t>
  </si>
  <si>
    <t>NONEBAR21</t>
  </si>
  <si>
    <t>CHAIR-001</t>
  </si>
  <si>
    <t>บาเบอร์ เบรน เก้าอี้นั่งแคมป์ปิ้งสีครีม</t>
  </si>
  <si>
    <t>8858890799779</t>
  </si>
  <si>
    <t>CHAIR-002</t>
  </si>
  <si>
    <t>เก้าอี้นั่งแคมป์ปิ้งสีดำ</t>
  </si>
  <si>
    <t>NONEBAR22</t>
  </si>
  <si>
    <t>CHAIR-003</t>
  </si>
  <si>
    <t>เก้าอี้ตัดผม</t>
  </si>
  <si>
    <t>8858890794811</t>
  </si>
  <si>
    <t>CM-660</t>
  </si>
  <si>
    <t>วาเลนเต้ กล่องเสียบกรรไกร</t>
  </si>
  <si>
    <t>8858890782016</t>
  </si>
  <si>
    <t>COMB1</t>
  </si>
  <si>
    <t>วาเลนเต้ หวีส้อมฟันคู่ ไซส์เล็ก 0.029g.</t>
  </si>
  <si>
    <t>8858890794149</t>
  </si>
  <si>
    <t>วาเลนเต้ ชุดอุปกรณ์ทำไฮไลท์ 3 มิติ 0.537g.</t>
  </si>
  <si>
    <t>8858890790158</t>
  </si>
  <si>
    <t>วาเลนเต้ เอี๊ยมช่างซาลอน 0.102g.</t>
  </si>
  <si>
    <t>8858890793494</t>
  </si>
  <si>
    <t>วาเลนเต้ เอี๊ยมช่างซาลอน 0.105g.</t>
  </si>
  <si>
    <t>8858890793357</t>
  </si>
  <si>
    <t>DBJ-001</t>
  </si>
  <si>
    <t>วาเลนเต้ รองฟันปัตตาเลี่ยน 1mm,3mm,6mm,9mm 0.036g.</t>
  </si>
  <si>
    <t>8858890791223</t>
  </si>
  <si>
    <t>DBJ-002</t>
  </si>
  <si>
    <t>วาเลนเต้ ตัวรองฟันปัตตาเลี่ยน</t>
  </si>
  <si>
    <t>8858890794248</t>
  </si>
  <si>
    <t>วาเลนเต้ พัฟเกาหลีแต่งหน้า สีขาว 0.007g.</t>
  </si>
  <si>
    <t>8858890794309</t>
  </si>
  <si>
    <t>DX-001</t>
  </si>
  <si>
    <t>วาเลนเต้ พัฟเช็ดหน้าเกาหลี</t>
  </si>
  <si>
    <t>8858890794279</t>
  </si>
  <si>
    <t>DX-009</t>
  </si>
  <si>
    <t>วาเลนเต้ พัฟเกาหลีสำหรับถอนขน สีฟ้า-เหลือง 0.012g.</t>
  </si>
  <si>
    <t>8858890792589</t>
  </si>
  <si>
    <t>วาเลนเต้ ถังใส่ผ้าขนหนู สีดำ 2.5g.</t>
  </si>
  <si>
    <t>8858890797317</t>
  </si>
  <si>
    <t>แอลแองเจล ชั้นวางอุปกรณ์ สีดำ 6.5g.</t>
  </si>
  <si>
    <t>8858890736262</t>
  </si>
  <si>
    <t>E-11</t>
  </si>
  <si>
    <t>มายา พัฟรองขนตา สีขาว 0.041g.</t>
  </si>
  <si>
    <t>8858890730611</t>
  </si>
  <si>
    <t>E-31(102)</t>
  </si>
  <si>
    <t>มายา ขนตาปลอม(102) 1 คู่ สีดำ 0.113g.</t>
  </si>
  <si>
    <t>NONEBAR23</t>
  </si>
  <si>
    <t>E-31(104)</t>
  </si>
  <si>
    <t>วาเลนเต้ ขนตาปลอม(104) 1 คู่ 0.019g.</t>
  </si>
  <si>
    <t>NONEBAR24</t>
  </si>
  <si>
    <t>E-31(112)</t>
  </si>
  <si>
    <t>มายา ขนตาปลอม(112) 1 คู่ สีดำ 0.113g.</t>
  </si>
  <si>
    <t>NONEBAR25</t>
  </si>
  <si>
    <t>E-31(118)</t>
  </si>
  <si>
    <t>มายา ขนตาปลอม(118) 1 คู่ สีดำ 0.113g.</t>
  </si>
  <si>
    <t>NONEBAR26</t>
  </si>
  <si>
    <t>E-31(121)</t>
  </si>
  <si>
    <t>วาเลนเต้ ขนตาปลอม(121) 1 คู่ 0.019g.</t>
  </si>
  <si>
    <t>NONEBAR27</t>
  </si>
  <si>
    <t>E-31(128)</t>
  </si>
  <si>
    <t>มายา ขนตาปลอม(128) 1 คู่ สีดำ 0.113g.</t>
  </si>
  <si>
    <t>NONEBAR28</t>
  </si>
  <si>
    <t>E-31(130)</t>
  </si>
  <si>
    <t>มายา ขนตาปลอม(130) 1 คู่ สีดำ 0.113g.</t>
  </si>
  <si>
    <t>NONEBAR29</t>
  </si>
  <si>
    <t>E-31(131)</t>
  </si>
  <si>
    <t>วาเลนเต้ ขนตาปลอม(131) 1 คู่ 0.019g.</t>
  </si>
  <si>
    <t>8858890798635</t>
  </si>
  <si>
    <t>E-31(134)</t>
  </si>
  <si>
    <t>มายา ขนตาปลอม(134) 1 คู่ สีดำ 0.113g.</t>
  </si>
  <si>
    <t>NONEBAR30</t>
  </si>
  <si>
    <t>E-31(144)</t>
  </si>
  <si>
    <t>วาเลนเต้ ขนตาปลอม(144) 1 คู่ 0.019g.</t>
  </si>
  <si>
    <t>NONEBAR31</t>
  </si>
  <si>
    <t>E-31(174)</t>
  </si>
  <si>
    <t>วาเลนเต้ ขนตาปลอม(174) 1 คู่ 0.019g.</t>
  </si>
  <si>
    <t>8858890798642</t>
  </si>
  <si>
    <t>E-31(177)</t>
  </si>
  <si>
    <t>มายา ขนตาปลอม(177) 1 คู่ สีดำ 0.113g.</t>
  </si>
  <si>
    <t>8858890732332</t>
  </si>
  <si>
    <t>E-33(046)</t>
  </si>
  <si>
    <t>มายา ขนตาปลอม(046) 3 คู่ สีดำ 0.113g.</t>
  </si>
  <si>
    <t>8858890730031</t>
  </si>
  <si>
    <t>E-33(064)</t>
  </si>
  <si>
    <t>มายา ขนตาปลอม(064) 3 คู่ สีดำ 0.113g.</t>
  </si>
  <si>
    <t>8858890732349</t>
  </si>
  <si>
    <t>E-33(Y-3)</t>
  </si>
  <si>
    <t>มายา ขนตาปลอม(Y-3) 3 คู่ สีดำ 0.113g.</t>
  </si>
  <si>
    <t>8858890736354</t>
  </si>
  <si>
    <t>E-DLM-002</t>
  </si>
  <si>
    <t>วาเลนเต้ ขนตาปลอม 002 สีดำ 0.019g.</t>
  </si>
  <si>
    <t>8858890736392</t>
  </si>
  <si>
    <t>วาเลนเต้ ขนตาปลอม 005 สีดำ 0.019g.</t>
  </si>
  <si>
    <t>8858890736316</t>
  </si>
  <si>
    <t>E-DLM-007</t>
  </si>
  <si>
    <t>วาเลนเต้ ขนตาปลอม 007 สีดำ 0.019g.</t>
  </si>
  <si>
    <t>8858890736330</t>
  </si>
  <si>
    <t>E-DLM-012</t>
  </si>
  <si>
    <t>วาเลนเต้ ขนตาปลอม 012 สีดำ 0.019g.</t>
  </si>
  <si>
    <t>8858890736361</t>
  </si>
  <si>
    <t>E-DLM-016</t>
  </si>
  <si>
    <t>วาเลนเต้ ขนตาปลอม 016 สีดำ 0.019g.</t>
  </si>
  <si>
    <t>8858890736378</t>
  </si>
  <si>
    <t>E-DLM-082</t>
  </si>
  <si>
    <t>วาเลนเต้ ขนตาปลอม 082 สีดำ 0.019g.</t>
  </si>
  <si>
    <t>8858890736385</t>
  </si>
  <si>
    <t>E-DLM-138</t>
  </si>
  <si>
    <t>วาเลนเต้ ขนตาปลอม 138 สีดำ 0.019g.</t>
  </si>
  <si>
    <t>8858890736323</t>
  </si>
  <si>
    <t>E-DLM-502</t>
  </si>
  <si>
    <t>วาเลนเต้ ขนตาปลอม 502 สีดำ 0.019g.</t>
  </si>
  <si>
    <t>8858890736347</t>
  </si>
  <si>
    <t>E-DLM-503</t>
  </si>
  <si>
    <t>วาเลนเต้ ขนตาปลอม 503 สีดำ 0.019g.</t>
  </si>
  <si>
    <t>8858890736309</t>
  </si>
  <si>
    <t>E-DLM-747</t>
  </si>
  <si>
    <t>วาเลนเต้ ขนตาปลอม 747M สีดำ 0.019g.</t>
  </si>
  <si>
    <t>8858890760915</t>
  </si>
  <si>
    <t>วาเลนเต้ กรรไกรตัด 0.106g.</t>
  </si>
  <si>
    <t>8858890760908</t>
  </si>
  <si>
    <t>วาเลนเต้ กรรไกรซอย 0.106g.</t>
  </si>
  <si>
    <t>8858890797973</t>
  </si>
  <si>
    <t>FA-MF-001</t>
  </si>
  <si>
    <t>หลอดแก้วเล็กเครื่องดูดสิว 0.003g.</t>
  </si>
  <si>
    <t>8858890797980</t>
  </si>
  <si>
    <t>FA-MF-002</t>
  </si>
  <si>
    <t>หลอดแก้วใหญ่เครื่องดูดสิว 0.005g.</t>
  </si>
  <si>
    <t>8858890791643</t>
  </si>
  <si>
    <t>FL-001</t>
  </si>
  <si>
    <t>วาเลนเต้ ผ้าโพกหัวแต่งหน้า สีโอรส 0.017g.</t>
  </si>
  <si>
    <t>8858890796693</t>
  </si>
  <si>
    <t>วาเลนเต้ ฟรอยด์ 5 เมตร 0.073g.</t>
  </si>
  <si>
    <t>8858890795887</t>
  </si>
  <si>
    <t>วาเลนเต้ แปรงปัดผมแบบสามนิ้ว สีครีม 0.051g.</t>
  </si>
  <si>
    <t>8858890799441</t>
  </si>
  <si>
    <t>วาเลนเต้ พู่กันปัดผมแบบบรรจุแป้ง</t>
  </si>
  <si>
    <t>8858890715045</t>
  </si>
  <si>
    <t>กู๊ด ออล เดย์ เจนเทิลแมน โพเมด 0.126g.</t>
  </si>
  <si>
    <t>8858890715052</t>
  </si>
  <si>
    <t>กู๊ด ออล เดย์ เจนเทิลแมน ไฟเบอร์ แว็กซ์ 0.13g.</t>
  </si>
  <si>
    <t>8858890715069</t>
  </si>
  <si>
    <t>กู๊ด ออล เดย์ เจนเทิลแมน ออล แบล็ค เคลย์ 0.113g.</t>
  </si>
  <si>
    <t>8858890793531</t>
  </si>
  <si>
    <t>GLY-1300</t>
  </si>
  <si>
    <t>วาเลนเต้ กิ๊ฟหนีบแกน สีเขียวขี้ม้า 0.021g.</t>
  </si>
  <si>
    <t>8858890793630</t>
  </si>
  <si>
    <t>วาเลนเต้ แผ่นกันความร้อนดัดสปาเพิร์ม สีขาว 0.065g.</t>
  </si>
  <si>
    <t>8858890792961</t>
  </si>
  <si>
    <t>วาเลนเต้ กิ๊ฟดำ สีดำ 0.45g.</t>
  </si>
  <si>
    <t>8858890793470</t>
  </si>
  <si>
    <t>วาเลนเต้ ผ้าคลุมย้อมสีผม 0.108g.</t>
  </si>
  <si>
    <t>8858890790219</t>
  </si>
  <si>
    <t>วาเลนเต้ ผ้าคลุมย้อมสีผม 0.09g.</t>
  </si>
  <si>
    <t>8858890798994</t>
  </si>
  <si>
    <t>วาเลนเต้ หัวหุ่นชาย สีดำ ขนาด 6"</t>
  </si>
  <si>
    <t>8858890799007</t>
  </si>
  <si>
    <t>วาเลนเต้ หัวหุ่นหญิง สีดำ ขนาด 15"</t>
  </si>
  <si>
    <t>8858890791018</t>
  </si>
  <si>
    <t>วาเลนเต้ ผ้าคลุมย้อมสีผม 0.169g.</t>
  </si>
  <si>
    <t>8858890791841</t>
  </si>
  <si>
    <t>H-009</t>
  </si>
  <si>
    <t>วาเลนเต้ ผ้าคลุมย้อมแบบใช้แล้วทิ้ง</t>
  </si>
  <si>
    <t>8858890792848</t>
  </si>
  <si>
    <t>วาเลนเต้ ขวดใส่น้ำยาดัด สีขาวขุ่น 0.051g.</t>
  </si>
  <si>
    <t>88588907927630</t>
  </si>
  <si>
    <t>วาเลนเต้ กิ๊ฟดำ สีดำ 0.2g.</t>
  </si>
  <si>
    <t>8858890792817</t>
  </si>
  <si>
    <t>วาเลนเต้ ถ้วยผสมสี 0.084g.</t>
  </si>
  <si>
    <t>8885889079831</t>
  </si>
  <si>
    <t>วาเลนเต้ ขวดใส่น้ำยาดัด สีขาวขุ่น 0.028g.</t>
  </si>
  <si>
    <t>8858890798772</t>
  </si>
  <si>
    <t>วาเลนเต้ เครื่องม้วนผมสไตล์เกาหลี ขนาด 25"</t>
  </si>
  <si>
    <t>8858890798789</t>
  </si>
  <si>
    <t>วาเลนเต้ เครื่องม้วนผมสไตล์เกาหลี ขนาด 32"</t>
  </si>
  <si>
    <t>8858890792565</t>
  </si>
  <si>
    <t>HD-202</t>
  </si>
  <si>
    <t>เสื้อคลุมช่าง แบบคาดเอว</t>
  </si>
  <si>
    <t>8858890792572</t>
  </si>
  <si>
    <t>HD-203</t>
  </si>
  <si>
    <t>เสื้อคลุมช่าง แบบธรรมดา</t>
  </si>
  <si>
    <t>NONEBAR32</t>
  </si>
  <si>
    <t>HERP-001</t>
  </si>
  <si>
    <t>เฮิร์ปไทย ยาสีฟันสมุนไพรสกัดเข้มข้น</t>
  </si>
  <si>
    <t>ยาสีฟัน</t>
  </si>
  <si>
    <t>8858890798895</t>
  </si>
  <si>
    <t>HF-003/25</t>
  </si>
  <si>
    <t>วาเลนเต้ เครื่องหนีบผมไฟฟ้า ขนาด 25"</t>
  </si>
  <si>
    <t>8858890798901</t>
  </si>
  <si>
    <t>HF-003/40</t>
  </si>
  <si>
    <t>วาเลนเต้ เครื่องหนีบผมไฟฟ้า ขนาด 40"</t>
  </si>
  <si>
    <t>8858890799489</t>
  </si>
  <si>
    <t>วาเลนเต้ เครื่องหนีบผมรุ่น ทาเล้นจ์ ไทเทเนียม ขนาดใหญ่ 1.5</t>
  </si>
  <si>
    <t>8858890799472</t>
  </si>
  <si>
    <t>วาเลนเต้ เครื่องหนีบผมรุ่น ทาเล้นจ์ ไทเทเนียม ขนาดเล็ก 1นิ้ว</t>
  </si>
  <si>
    <t>8882694000106</t>
  </si>
  <si>
    <t>HL-910</t>
  </si>
  <si>
    <t>วาเลนเต้ กระเป๋าใส่กรรไกร 0.209g.</t>
  </si>
  <si>
    <t>8858890793760</t>
  </si>
  <si>
    <t>วาเลนเต้ กระเป๋ากรรไกร 0.252g.</t>
  </si>
  <si>
    <t>8858890794545</t>
  </si>
  <si>
    <t>วาเลนเต้ กระเป๋ากรรไกร 0.3g.</t>
  </si>
  <si>
    <t>8858890794538</t>
  </si>
  <si>
    <t>วาเลนเต้ กระเป๋ากรรไกร 0.176g.</t>
  </si>
  <si>
    <t>NONEBAR33</t>
  </si>
  <si>
    <t>วาเลนเต้ แปรงไดร์กลม #16 สีขาว 0.030g.</t>
  </si>
  <si>
    <t>8858890781972</t>
  </si>
  <si>
    <t>วาเลนเต้ แปรงไดร์กลม #18 สีขาว 0.039g.</t>
  </si>
  <si>
    <t>8858890781989</t>
  </si>
  <si>
    <t>วาเลนเต้ แปรงไดร์กลม #20 สีขาว 0.052g.</t>
  </si>
  <si>
    <t>8858890782705</t>
  </si>
  <si>
    <t>วาเลนเต้ แปรงไดร์กลมหน้ากว้างลายเอียง 10 แถว สีน้ำเงิน 0.038</t>
  </si>
  <si>
    <t>8858890798536</t>
  </si>
  <si>
    <t>วาเลนเต้ แปรงไดร์กลม(ปลายแหลม) 10 แถว 41.8g</t>
  </si>
  <si>
    <t>8858890782719</t>
  </si>
  <si>
    <t>วาเลนเต้ แปรงไดร์กลมหน้ากว้างลายเอียง 12 แถว สีน้ำเงิน 0.050</t>
  </si>
  <si>
    <t>8858890798505</t>
  </si>
  <si>
    <t>วาเลนเต้ แปรงไดร์กลม(ปลายแหลม) 12 แถว 51.6g</t>
  </si>
  <si>
    <t>8858890782726</t>
  </si>
  <si>
    <t>วาเลนเต้ แปรงไดร์กลมหน้ากว้างลายเอียง 14 แถว สีน้ำเงิน 0.065</t>
  </si>
  <si>
    <t>8858890798512</t>
  </si>
  <si>
    <t>วาเลนเต้ แปรงไดร์กลม(ปลายแหลม) 14 แถว 65.2g</t>
  </si>
  <si>
    <t>8858890782733</t>
  </si>
  <si>
    <t>วาเลนเต้ แปรงไดร์กลมหน้ากว้างลายเอียง 16 แถว สีน้ำเงิน 0.084</t>
  </si>
  <si>
    <t>8858890798529</t>
  </si>
  <si>
    <t>วาเลนเต้ แปรงไดร์กลม(ปลายแหลม) 16 แถว 91.8g</t>
  </si>
  <si>
    <t>8858890798918</t>
  </si>
  <si>
    <t>วาเลนเต้ Butterfly Brush แปรงไดร์กลมเกาหลี ขนาด 10 แถว</t>
  </si>
  <si>
    <t>8858890799380</t>
  </si>
  <si>
    <t>วาเลนเต้ Butterfly Brush แปรงไดร์กลมเกาหลีเขียว ขนาด 10 แถว</t>
  </si>
  <si>
    <t>8858890798925</t>
  </si>
  <si>
    <t>วาเลนเต้ Butterfly Brush แปรงไดร์กลมเกาหลี ขนาด 14 แถว</t>
  </si>
  <si>
    <t>8858890799397</t>
  </si>
  <si>
    <t>วาเลนเต้ Butterfly Brush แปรงไดร์กลมเกาหลีเขียว ขนาด 12 แถว</t>
  </si>
  <si>
    <t>8858890798932</t>
  </si>
  <si>
    <t>วาเลนเต้ Butterfly Brush แปรงไดร์กลมเกาหลี ขนาด 18 แถว</t>
  </si>
  <si>
    <t>8858890799403</t>
  </si>
  <si>
    <t>วาเลนเต้ Butterfly Brush แปรงไดร์กลมเกาหลีเขียว ขนาด 18 แถว</t>
  </si>
  <si>
    <t>8858890799410</t>
  </si>
  <si>
    <t>วาเลนเต้ Butterfly Brush แปรงไดร์เฉียงเกาหลี ขนาด 10 แถว</t>
  </si>
  <si>
    <t>8858890799427</t>
  </si>
  <si>
    <t>วาเลนเต้ Butterfly Brush แปรงไดร์เฉียงเกาหลี ขนาด 14 แถว</t>
  </si>
  <si>
    <t>8858890799434</t>
  </si>
  <si>
    <t>วาเลนเต้ Butterfly Brush แปรงไดร์เฉียงเกาหลี ขนาด 18 แถว</t>
  </si>
  <si>
    <t>8858890800239</t>
  </si>
  <si>
    <t>วาเลนเต้ แปรงกลมยกโคนผมแบบเก็บความร้อนขนาด 8 แถว</t>
  </si>
  <si>
    <t>8858890800246</t>
  </si>
  <si>
    <t>วาเลนเต้ แปรงกลมยกโคนผมแบบเก็บความร้อนขนาด 12 แถว</t>
  </si>
  <si>
    <t>8858890800451</t>
  </si>
  <si>
    <t>วาเลนเต้ แปรงกลมยกโคนผมแบบเก็บความร้อนขนาด 14 แถว</t>
  </si>
  <si>
    <t>8858800800468</t>
  </si>
  <si>
    <t>วาเลนเต้ แปรงกลมยกโคนผมแบบเก็บความร้อนขนาด 16 แถว</t>
  </si>
  <si>
    <t>8858890795139</t>
  </si>
  <si>
    <t>HP/1</t>
  </si>
  <si>
    <t>วาเลนเต้ ช่อผมทดลองเคมี สีบลอนด์ 0.047g.</t>
  </si>
  <si>
    <t>8882694000090</t>
  </si>
  <si>
    <t>HP/1-1</t>
  </si>
  <si>
    <t>วาเลนเต้ ช่อผมสำหรับเทสเคมี สีทอง (1 ช่อ)</t>
  </si>
  <si>
    <t>8858890795146</t>
  </si>
  <si>
    <t>วาเลนเต้ ช่อผมทดลองเคมี สีน้ำตาล 0.068g.</t>
  </si>
  <si>
    <t>8858890795153</t>
  </si>
  <si>
    <t>HP/3</t>
  </si>
  <si>
    <t>วาเลนเต้ ช่อผมสำหรับเทสเคมี สีดำ 0.063g.</t>
  </si>
  <si>
    <t>8858890795931</t>
  </si>
  <si>
    <t>วาเลนเต้ หมวกทำไฮไลท์ สีใสแถบฟ้า 0.029g.</t>
  </si>
  <si>
    <t>8858890796846</t>
  </si>
  <si>
    <t>วาเลนเต้ พู่แป้ง สีฟ้า 0.041g.</t>
  </si>
  <si>
    <t>8858890796853</t>
  </si>
  <si>
    <t>วาเลนเต้ พู่แป้ง สีชมพู 0.041g.</t>
  </si>
  <si>
    <t>8858890797348</t>
  </si>
  <si>
    <t>HT-001/2</t>
  </si>
  <si>
    <t>ฟันปัตตาเลี่ยน HT-001 0.036g.</t>
  </si>
  <si>
    <t>HT-001/GO</t>
  </si>
  <si>
    <t>วาเลนเต้ วาเลนเต้ ปัตตาเลี่ยนไร้สาย สีทอง 0.397g.</t>
  </si>
  <si>
    <t>HT-001/GR</t>
  </si>
  <si>
    <t>วาเลนเต้ วาเลนเต้ ปัตตาเลี่ยนไร้สาย สีเทา 0.397g.</t>
  </si>
  <si>
    <t>8858890798819</t>
  </si>
  <si>
    <t>วาเลนเต้ ปัตตาเลี่ยนไฟฟ้าไร้สาย 0.397g.</t>
  </si>
  <si>
    <t>8858890790394</t>
  </si>
  <si>
    <t>แอลแองเจล เอี๊ยมช่างซาลอน 0.086g.</t>
  </si>
  <si>
    <t>8858890794484</t>
  </si>
  <si>
    <t>วาเลนเต้ เอี๊ยมช่าง สีดำล้วน(ไม่มีลาย) 0.156g.</t>
  </si>
  <si>
    <t>วาเลนเต้ เอี๊ยมช่าง ลาย L'ANGEL 0.07g.</t>
  </si>
  <si>
    <t>8858890760984</t>
  </si>
  <si>
    <t>วาเลนเต้ ชุดกรรไกรตัด-ซอย 0.212g.</t>
  </si>
  <si>
    <t>8858890760991</t>
  </si>
  <si>
    <t>วาเลนเต้ ชุดกรรไกรตัด-ซอย 0.225g.</t>
  </si>
  <si>
    <t>8858890781996</t>
  </si>
  <si>
    <t>วาเลนเต้ หวีแปรงเปียก 0.089g.</t>
  </si>
  <si>
    <t>8858890782009</t>
  </si>
  <si>
    <t>วาเลนเต้ หวีแปรงเปียก 0.098g.</t>
  </si>
  <si>
    <t>8858890782986</t>
  </si>
  <si>
    <t>JM-701-08</t>
  </si>
  <si>
    <t>วาเลนเต้ หวีดัดทุยผม สีขาว 0.016g.</t>
  </si>
  <si>
    <t>8858890782993</t>
  </si>
  <si>
    <t>วาเลนเต้ หวีดัดทุยผม สีชมพู 0.016g.</t>
  </si>
  <si>
    <t>8858890781439</t>
  </si>
  <si>
    <t>JP-302</t>
  </si>
  <si>
    <t>วาเลนเต้ หวีอีโต้ไฟเบอร์</t>
  </si>
  <si>
    <t>8858890799311</t>
  </si>
  <si>
    <t>8858890790493</t>
  </si>
  <si>
    <t>แอลแองเจล ผ้าคลุมซอยซาลอน 0.158g.</t>
  </si>
  <si>
    <t>8858890790509</t>
  </si>
  <si>
    <t>แอลแองเจล ผ้าคลุมซอยซาลอน 0.15g.</t>
  </si>
  <si>
    <t>8858890790479</t>
  </si>
  <si>
    <t>วาเลนเต้ ผ้าคลุมซอยลายคน สีน้ำเงิน 0.12g.</t>
  </si>
  <si>
    <t>8858890790820</t>
  </si>
  <si>
    <t>K-014</t>
  </si>
  <si>
    <t>วาเลนเต้ ผ้าคลุมซอยลายคน สีเทาหม่นม่วง 0.12g.</t>
  </si>
  <si>
    <t>8858890796747</t>
  </si>
  <si>
    <t>K-028/1-02</t>
  </si>
  <si>
    <t>วาเลนเต้ พู่ปัดแป้งแบบบรรจุแป้งด้านใน สีแดง 0.092g.</t>
  </si>
  <si>
    <t>8858890796715</t>
  </si>
  <si>
    <t>K-028/1-03</t>
  </si>
  <si>
    <t>วาเลนเต้ พู่ปัดแป้งแบบบรรจุแป้งด้านใน สีเขียว 0.092g.</t>
  </si>
  <si>
    <t>8858890796754</t>
  </si>
  <si>
    <t>K-028/1-04</t>
  </si>
  <si>
    <t>วาเลนเต้ พู่ปัดแป้งแบบบรรจุแป้งด้านใน สีฟ้า 0.092g.</t>
  </si>
  <si>
    <t>8858890796778</t>
  </si>
  <si>
    <t>K-028/1-07</t>
  </si>
  <si>
    <t>วาเลนเต้ พู่ปัดแป้งแบบบรรจุแป้งด้านใน สีทอง 0.092g.</t>
  </si>
  <si>
    <t>8858890796785</t>
  </si>
  <si>
    <t>K-028/1-09</t>
  </si>
  <si>
    <t>วาเลนเต้ พู่ปัดแป้งแบบบรรจุแป้งด้านใน สีม่วง 0.092g.</t>
  </si>
  <si>
    <t>8858890796792</t>
  </si>
  <si>
    <t>วาเลนเต้ พู่ปัดแป้งแบบบรรจุแป้งด้านใน สีชมพู 0.092g.</t>
  </si>
  <si>
    <t>8858890796808</t>
  </si>
  <si>
    <t>K-028/1-11</t>
  </si>
  <si>
    <t>วาเลนเต้ พู่ปัดแป้งแบบบรรจุแป้งด้านใน สีเทา 0.092g.</t>
  </si>
  <si>
    <t>8858890796822</t>
  </si>
  <si>
    <t>วาเลนเต้ พู่ปัดแป้งแบบบรรจุแป้งด้านใน สีส้ม 0.092g.</t>
  </si>
  <si>
    <t>8858890796839</t>
  </si>
  <si>
    <t>K-028/1-17</t>
  </si>
  <si>
    <t>วาเลนเต้ พู่ปัดแป้งแบบบรรจุแป้งด้านใน สีชมพูอ่อน 0.092g.</t>
  </si>
  <si>
    <t>8858890790875</t>
  </si>
  <si>
    <t>K-033/1</t>
  </si>
  <si>
    <t>วาเลนเต้ ผ้าคลุมซอย</t>
  </si>
  <si>
    <t>8858890796730</t>
  </si>
  <si>
    <t>วาเลนเต้ ผ้าคลุมซอยซาลอน สีเขียว 0.228g.</t>
  </si>
  <si>
    <t>8858890796709</t>
  </si>
  <si>
    <t>วาเลนเต้ ผ้าคลุมซอยซาลอน สีน้ำเงิน 0.228g.</t>
  </si>
  <si>
    <t>8858890796716</t>
  </si>
  <si>
    <t>K-050-06</t>
  </si>
  <si>
    <t>วาเลนเต้ ผ้าคลุมซอยซาลอน สีเหลือง 0.228g.</t>
  </si>
  <si>
    <t>8858890796723</t>
  </si>
  <si>
    <t>วาเลนเต้ ผ้าคลุมซอยซาลอน สีชมพู 0.228g.</t>
  </si>
  <si>
    <t>8858890798314</t>
  </si>
  <si>
    <t>K-050-13</t>
  </si>
  <si>
    <t>วาเลนเต้ ผ้าคลุมซอย เจาะช่องใส สีส้ม 0.228g</t>
  </si>
  <si>
    <t>8858890795764</t>
  </si>
  <si>
    <t>แอลแองเจล ผ้าคลุมซอยซาลอน สีขาว-ฟ้า 0.269g.</t>
  </si>
  <si>
    <t>8858890795771</t>
  </si>
  <si>
    <t>แอลแองเจล ผ้าคลุมซอยซาลอน สีขาว-ชมพู 0.26g.</t>
  </si>
  <si>
    <t>8856491002496</t>
  </si>
  <si>
    <t>KMR-031</t>
  </si>
  <si>
    <t>คิมาริ K8/7 แฮร์ คัลเลอร์ ครีม สีหม่นเขียว</t>
  </si>
  <si>
    <t>NONEBAR34</t>
  </si>
  <si>
    <t>KOBO-001</t>
  </si>
  <si>
    <t>โคโบ โปรเฟสชั่นนอล เปปไทด์โปร พีเอช ชีลดิ่ง แชมพู</t>
  </si>
  <si>
    <t>NONEBAR35</t>
  </si>
  <si>
    <t>KOBO-002</t>
  </si>
  <si>
    <t>โคโบ โปรเฟสชั่นนอล เปปไทด์โปร ชีลดิ่ง คอนดิชั่นเนอร์</t>
  </si>
  <si>
    <t>NONEBAR36</t>
  </si>
  <si>
    <t>KOBO-003</t>
  </si>
  <si>
    <t>โคโบ โปรเฟสชั่นนอล เปปไทด์โปร รีแพร์ ลีฟ-อิน แฮร์ มาส์ก</t>
  </si>
  <si>
    <t>NONEBAR37</t>
  </si>
  <si>
    <t>KOBO-004</t>
  </si>
  <si>
    <t>โคโบ โปรเฟสชั่นนอล เปปไทด์โปร รีแพร์ แฮร์ ออย</t>
  </si>
  <si>
    <t>8858890793326</t>
  </si>
  <si>
    <t>วาเลนเต้ ชั้นวางอุปกรณ์ สีดำ 5.0g.</t>
  </si>
  <si>
    <t>8858890793807</t>
  </si>
  <si>
    <t>วาเลนเต้ แหนบปากเฉียง ลายดอกไม้ 0.085g.</t>
  </si>
  <si>
    <t>8858890793814</t>
  </si>
  <si>
    <t>วาเลนเต้ แหนบปากตรง/เฉียง 0.084g.</t>
  </si>
  <si>
    <t>8858890793845</t>
  </si>
  <si>
    <t>วาเลนเต้ แหนบสีเงิน 0.108g.</t>
  </si>
  <si>
    <t>8858890796525</t>
  </si>
  <si>
    <t>ขวดสเปรย์ เล็ก</t>
  </si>
  <si>
    <t>8858890796532</t>
  </si>
  <si>
    <t>ขวดสเปรย์ ใหญ่</t>
  </si>
  <si>
    <t>8858890796549</t>
  </si>
  <si>
    <t>ขวดปั๊ม ทรงกระบอก 0.04g.</t>
  </si>
  <si>
    <t>8858890796556</t>
  </si>
  <si>
    <t>ขวดปั๊ม ทรงกลม 0.04g.</t>
  </si>
  <si>
    <t>8858890796587</t>
  </si>
  <si>
    <t>หลอดบีบ 0.009g.</t>
  </si>
  <si>
    <t>8858890796594</t>
  </si>
  <si>
    <t>หัวปั๊มคอ 24 มม. 0.011g.</t>
  </si>
  <si>
    <t>8858890796600</t>
  </si>
  <si>
    <t>LK-2007</t>
  </si>
  <si>
    <t>หัวปั๊มคอ 28 มม. 0.012g.</t>
  </si>
  <si>
    <t>8858890796563</t>
  </si>
  <si>
    <t>ขวดปั๊ม</t>
  </si>
  <si>
    <t>8858890796617</t>
  </si>
  <si>
    <t>LK-2009</t>
  </si>
  <si>
    <t>ถุงเติม 0.022g.</t>
  </si>
  <si>
    <t>8858890796624</t>
  </si>
  <si>
    <t>LK-2013</t>
  </si>
  <si>
    <t>แกลนลอน 0.097g.</t>
  </si>
  <si>
    <t>LST-02</t>
  </si>
  <si>
    <t>วาเลนเต้ ด้ามมีดโกนสแตนเลส 0.028g.</t>
  </si>
  <si>
    <t>8858890793005</t>
  </si>
  <si>
    <t>LST-0614</t>
  </si>
  <si>
    <t>วาเลนเต้ ฟันปัตตาเลี่ยน WAHL 0.054g.</t>
  </si>
  <si>
    <t>8858890790752</t>
  </si>
  <si>
    <t>วาเลนเต้ แกนดัดขนาด 20x85 มม. สีเขียว 0.043g.</t>
  </si>
  <si>
    <t>8858890790769</t>
  </si>
  <si>
    <t>วาเลนเต้ แกนดัดขนาด 18x85 มม. สีเขียว 0.036g.</t>
  </si>
  <si>
    <t>8858890790776</t>
  </si>
  <si>
    <t>วาเลนเต้ แกนดัดขนาด 13x85 มม. สีส้ม 0.032g.</t>
  </si>
  <si>
    <t>8858890791346</t>
  </si>
  <si>
    <t>วาเลนเต้ แกนกรวยดัด 6 ขนาด สีฟ้า 0.102g.</t>
  </si>
  <si>
    <t>8858890791162</t>
  </si>
  <si>
    <t>วาเลนเต้ ฟลอยด์แบบยาว สีเงิน 0.730g.</t>
  </si>
  <si>
    <t>8858890791100</t>
  </si>
  <si>
    <t>วาเลนเต้ ฟลอยด์แบบสั้น สีเงิน 0.112g.</t>
  </si>
  <si>
    <t>8858890790029</t>
  </si>
  <si>
    <t>LST-200A</t>
  </si>
  <si>
    <t>วาเลนเต้ หวีรองซอย</t>
  </si>
  <si>
    <t>8858890791292</t>
  </si>
  <si>
    <t>วาเลนเต้ ถ้วยผสมสี สีเขียวอ่อน</t>
  </si>
  <si>
    <t>8858890798567</t>
  </si>
  <si>
    <t>วาเลนเต้ กระบอกฉีดน้ำเล็กลายกรรไกรสีขาว</t>
  </si>
  <si>
    <t>8858890790448</t>
  </si>
  <si>
    <t>วาเลนเต้ เข็มควักต่อผม สีครีม 0.006g.</t>
  </si>
  <si>
    <t>8858890794057</t>
  </si>
  <si>
    <t>LST-807</t>
  </si>
  <si>
    <t>วาเลนเต้ คีบบีบห่วงต่อผม</t>
  </si>
  <si>
    <t>8882694000083</t>
  </si>
  <si>
    <t>เครื่องม้วนผม 3 IN 1</t>
  </si>
  <si>
    <t>8858890780265</t>
  </si>
  <si>
    <t>วาเลนเต้ แปรงหนีบขนหมูป่า 0.122g.</t>
  </si>
  <si>
    <t>8858890790097</t>
  </si>
  <si>
    <t>M-005</t>
  </si>
  <si>
    <t>วาเลนเต้ เข็มกดสิว สีเงิน 0.012g.</t>
  </si>
  <si>
    <t>8858890797058</t>
  </si>
  <si>
    <t>วาเลนเต้ กิ๊ฟหนีบผมปากจรเข้ สีดำ 0.060g.</t>
  </si>
  <si>
    <t>8858890797027</t>
  </si>
  <si>
    <t>วาเลนเต้ กิ๊ฟหนีบผมปากจรเข้ สีแดง 0.060g.</t>
  </si>
  <si>
    <t>8858890797034</t>
  </si>
  <si>
    <t>วาเลนเต้ กิ๊ฟหนีบผมปากจรเข้ สีน้ำเงิน 0.060g.</t>
  </si>
  <si>
    <t>8858890797041</t>
  </si>
  <si>
    <t>วาเลนเต้ กิ๊ฟหนีบผมปากจรเข้ สีม่วง 0.060g.</t>
  </si>
  <si>
    <t>8858890795870</t>
  </si>
  <si>
    <t>วาเลนเด้ กระดาษพันคอ สีขาว 0.458g.</t>
  </si>
  <si>
    <t>8858890798550</t>
  </si>
  <si>
    <t>วาเลนเด้ กระดาษพันคอ สีดำ 500 g.</t>
  </si>
  <si>
    <t>8858890730451</t>
  </si>
  <si>
    <t>MY-994</t>
  </si>
  <si>
    <t>มายา ผงอะครีลิค สีขาว 0.007g.</t>
  </si>
  <si>
    <t>8858890730468</t>
  </si>
  <si>
    <t>MY-995</t>
  </si>
  <si>
    <t>มายา ผงอะครีลิค สีใส 0.007g.</t>
  </si>
  <si>
    <t>8858890730475</t>
  </si>
  <si>
    <t>MY-996</t>
  </si>
  <si>
    <t>มายา ผงอะครีลิค สีชมพู 0.007g.</t>
  </si>
  <si>
    <t>8858890798970</t>
  </si>
  <si>
    <t>วาเลนเต้ ชุดแปรงย้อมผม ลายกากเพชร แบบ 3 ชิ้น</t>
  </si>
  <si>
    <t>8858890730802</t>
  </si>
  <si>
    <t>NL-002</t>
  </si>
  <si>
    <t>มายา กากเพชรแต่งเล็บ 0.125g.</t>
  </si>
  <si>
    <t>876120002688</t>
  </si>
  <si>
    <t>โนแว็กซ์ บราซิเลี่ยน เคราติน แชมพู 300ml.</t>
  </si>
  <si>
    <t>876120002589</t>
  </si>
  <si>
    <t>โนแว็กซ์ บราซิเลี่ยน เคราติน ดีพ แฮร์ มาสก์ 400g.</t>
  </si>
  <si>
    <t>876120003739</t>
  </si>
  <si>
    <t>โนแว็กซ์ นูทรี บราซิเลี่ยน เคราติน รีชาร์จ 80g.</t>
  </si>
  <si>
    <t>876120005085</t>
  </si>
  <si>
    <t>NOV-03/1</t>
  </si>
  <si>
    <t>โนแว็กซ์ นูทรี บราซิเลี่ยน เคราติน รีชาร์จ 10g.</t>
  </si>
  <si>
    <t>8858890799793</t>
  </si>
  <si>
    <t>NVSC-01</t>
  </si>
  <si>
    <t>ผ้าคลุมกันตัดผม</t>
  </si>
  <si>
    <t>8858890799809</t>
  </si>
  <si>
    <t>NVSC-02</t>
  </si>
  <si>
    <t>ผ้าคลุมกันตัดผม.</t>
  </si>
  <si>
    <t>8858890740108</t>
  </si>
  <si>
    <t>OHA-010</t>
  </si>
  <si>
    <t>โอฮาโยะ แฮร์สปา (ผมเสียมาก) 0.945g.</t>
  </si>
  <si>
    <t>8858890732264</t>
  </si>
  <si>
    <t>วาเลนเต้ หมอนรองมือ 0.119g.</t>
  </si>
  <si>
    <t>8858890793869</t>
  </si>
  <si>
    <t>OY-802</t>
  </si>
  <si>
    <t>วาเลนเต้ กระดาษสปา สีขาว 0.225g.</t>
  </si>
  <si>
    <t>8858890730086</t>
  </si>
  <si>
    <t>OY-804</t>
  </si>
  <si>
    <t>วาเลนเต้ พู่กันขนนก อย่างดี</t>
  </si>
  <si>
    <t>8858890731892</t>
  </si>
  <si>
    <t>OY-807</t>
  </si>
  <si>
    <t>วาเลนเต้ หลอดไฟเครื่องอบเล็บ UV 9W สีขาว 0.069g.</t>
  </si>
  <si>
    <t>8858890730406</t>
  </si>
  <si>
    <t>OY-816</t>
  </si>
  <si>
    <t>วาเลนเต้ น้ำยารองพื้นอะครีลิค(กันเชื้อรา) 0.06g.</t>
  </si>
  <si>
    <t>8858890731274</t>
  </si>
  <si>
    <t>วาเลนเต้ มีดขูดส้นเท้าด้ามใส สีใส</t>
  </si>
  <si>
    <t>8858890731212</t>
  </si>
  <si>
    <t>วาเลนเต้ ตะไบขัดส้นเท้าด้ามไม้ สีส้มอิฐ 0.026g.</t>
  </si>
  <si>
    <t>8858890730598</t>
  </si>
  <si>
    <t>วาเลนเต้ ที่คีบขนตา ขางอ สีดำ 0.020g.</t>
  </si>
  <si>
    <t>8858890730604</t>
  </si>
  <si>
    <t>วาเลนเต้ ที่คีบขนตา ขาตรง สีดำ 0.020g.</t>
  </si>
  <si>
    <t>8858890731533</t>
  </si>
  <si>
    <t>OY-846/2</t>
  </si>
  <si>
    <t>วาเลนเต้ พู่กันเพ้นท์เล็บเบอร์2 สีขาว 0.03g.</t>
  </si>
  <si>
    <t>8858890731922</t>
  </si>
  <si>
    <t>OY-846/4</t>
  </si>
  <si>
    <t>วาเลนเต้ พู่กันเพ้นเล็บ No.4 0.004g.</t>
  </si>
  <si>
    <t>8858890730253</t>
  </si>
  <si>
    <t>OY-850</t>
  </si>
  <si>
    <t>วาเลนเต้ เล็บต่อแบบปลายเล็บรูปตัวC สีใส 0.076g.</t>
  </si>
  <si>
    <t>8858890730260</t>
  </si>
  <si>
    <t>OY-851</t>
  </si>
  <si>
    <t>วาเลนเต้ เล็บต่อแบบปลายเล็บรูปตัวC สีขุ่น 0.074g.</t>
  </si>
  <si>
    <t>8858890793104</t>
  </si>
  <si>
    <t>วาเลนเต้ กรรไกรตัดหนัง สีเงิน</t>
  </si>
  <si>
    <t>8858890720919</t>
  </si>
  <si>
    <t>OY-890</t>
  </si>
  <si>
    <t>วาเลนเต้ เครื่องอบเล็บ LED+UV 36W 0.835g.</t>
  </si>
  <si>
    <t>8858890730697</t>
  </si>
  <si>
    <t>OY-902</t>
  </si>
  <si>
    <t>วาเลนเต้ เครื่องอบเล็บ UV 1ระบบ สีขาว 0.963g.</t>
  </si>
  <si>
    <t>8858890730703</t>
  </si>
  <si>
    <t>OY-904</t>
  </si>
  <si>
    <t>วาเลนเต้ พู่กันจีนด้ามไม้เพ้นท์เล็บ</t>
  </si>
  <si>
    <t>8858890738129</t>
  </si>
  <si>
    <t>OY-914-21</t>
  </si>
  <si>
    <t>วาเลนเต้ เล็บต่อแบบเต็มเล็บ สีขุ่น 0.079g.</t>
  </si>
  <si>
    <t>8858890738136</t>
  </si>
  <si>
    <t>OY-914-22</t>
  </si>
  <si>
    <t>วาเลนเต้ เล็บต่อแบบเต็มเล็บ สีใส 0.079g.</t>
  </si>
  <si>
    <t>8858890738143</t>
  </si>
  <si>
    <t>OY-914/1-21</t>
  </si>
  <si>
    <t>วาเลนเต้ เล็บต่อแบบครึ่งเล็บ สีขุ่น 0.071g.</t>
  </si>
  <si>
    <t>8858890738150</t>
  </si>
  <si>
    <t>OY-914/1-22</t>
  </si>
  <si>
    <t>วาเลนเต้ เล็บต่อแบบครึ่งเล็บ สีใส 0.071g.</t>
  </si>
  <si>
    <t>8858890730277</t>
  </si>
  <si>
    <t>OY-915</t>
  </si>
  <si>
    <t>วาเลนเต้ เล็บต่อแบบปลายเล็บ สีขาว 0.070g.</t>
  </si>
  <si>
    <t>8858890732301</t>
  </si>
  <si>
    <t>OY-915/1</t>
  </si>
  <si>
    <t>วาเลนเต้ เล็บต่อแบบครึ่งเล็บ สีขาว 0.085g.</t>
  </si>
  <si>
    <t>8858890731632</t>
  </si>
  <si>
    <t>OY-918</t>
  </si>
  <si>
    <t>วาเลนเต้ แผงโชว์ตัวอย่างเล็บ สีใส</t>
  </si>
  <si>
    <t>8858890731830</t>
  </si>
  <si>
    <t>OY-919</t>
  </si>
  <si>
    <t>วาเลนเต้ แผงโชว์ตัวอย่างเล็บ สีขุ่น</t>
  </si>
  <si>
    <t>8858890730017</t>
  </si>
  <si>
    <t>วาเลนเต้ หมอนรองมือผ้ากำมะหยี่ลายเสือ สีเหลือง-ส้ม 0.040g.</t>
  </si>
  <si>
    <t>8858890790727</t>
  </si>
  <si>
    <t>OY-924</t>
  </si>
  <si>
    <t>วาเลนเต้ พู่กันปั้นดอกอย่างดี เบอร์2 สีดำ 0.013g.</t>
  </si>
  <si>
    <t>8858890730987</t>
  </si>
  <si>
    <t>วาเลนเต้ เข็มจับอุปกรณ์ตกแต่งเล็บ สีฟ้า 0.028g.</t>
  </si>
  <si>
    <t>8858890730901</t>
  </si>
  <si>
    <t>OY-927</t>
  </si>
  <si>
    <t>วาเลนเต้ แผงโชว์ตัวอย่างเล็บ 0.140g.</t>
  </si>
  <si>
    <t>8858890730567</t>
  </si>
  <si>
    <t>OY-933</t>
  </si>
  <si>
    <t>มายา ตะไบแบบบางทรงมน สีดำ 0.007g.</t>
  </si>
  <si>
    <t>NONEBAR38</t>
  </si>
  <si>
    <t>มายา ตะไบแบบหนาทรงเหลี่ยม</t>
  </si>
  <si>
    <t>8858890732424</t>
  </si>
  <si>
    <t>OY-937-09</t>
  </si>
  <si>
    <t>มายา ตะไบก้อนแบบหยาบ สีม่วง 0.007g.</t>
  </si>
  <si>
    <t>8858890732431</t>
  </si>
  <si>
    <t>OY-937-13</t>
  </si>
  <si>
    <t>มายา ตะไบก้อนแบบหยาบ สีส้ม 0.007g.</t>
  </si>
  <si>
    <t>8858890730055</t>
  </si>
  <si>
    <t>วาเลนเต้ เหล็กดุนหนัง สีเงิน 0.013g.</t>
  </si>
  <si>
    <t>8858890732448</t>
  </si>
  <si>
    <t>OY-945-04</t>
  </si>
  <si>
    <t>มายา ตะใบฟองน้ำทรงเหลี่ยม สีฟ้า 0.018g.</t>
  </si>
  <si>
    <t>8858890732585</t>
  </si>
  <si>
    <t>OY-945-06</t>
  </si>
  <si>
    <t>มายา ตะไบฟองน้ำ ทรงสี่เหลี่ยม สีเหลือง 0.18g.</t>
  </si>
  <si>
    <t>8858890732462</t>
  </si>
  <si>
    <t>OY-945-09</t>
  </si>
  <si>
    <t>มายา ตะใบฟองน้ำทรงเหลี่ยม สีม่วง 0.018g.</t>
  </si>
  <si>
    <t>8858890732524</t>
  </si>
  <si>
    <t>OY-945-10</t>
  </si>
  <si>
    <t>มายา ตะใบฟองน้ำทรงเหลี่ยม สีชมพู 0.018g.</t>
  </si>
  <si>
    <t>8858890732561</t>
  </si>
  <si>
    <t>OY-945-11</t>
  </si>
  <si>
    <t>มายา ตะไบฟองน้ำ ทรงสี่เหลี่ยม สีเทา 0.18g.</t>
  </si>
  <si>
    <t>8858890732479</t>
  </si>
  <si>
    <t>OY-945-13</t>
  </si>
  <si>
    <t>มายา ตะใบฟองน้ำทรงเหลี่ยม สีส้ม 0.018g.</t>
  </si>
  <si>
    <t>8858890732622</t>
  </si>
  <si>
    <t>OY-945/1-04</t>
  </si>
  <si>
    <t>มายา ตะไบฟองน้ำทรงข้าวหลามตัด สีฟ้า 0.013g.</t>
  </si>
  <si>
    <t>8858890732608</t>
  </si>
  <si>
    <t>OY-945/1-06</t>
  </si>
  <si>
    <t>มายา ตะไบฟองน้ำ ทรงข้าวหลามตัด สีเหลือง 0.13g.</t>
  </si>
  <si>
    <t>8858890732578</t>
  </si>
  <si>
    <t>OY-945/1-09</t>
  </si>
  <si>
    <t>มายา ตะไบฟองน้ำ ทรงข้าวหลามตัด สีม่วง 0.13g.</t>
  </si>
  <si>
    <t>8858890732493</t>
  </si>
  <si>
    <t>OY-945/1-10</t>
  </si>
  <si>
    <t>มายา ตะไบฟองน้ำ ทรงข้าวหลามตัด สีชมพู 0.013g.</t>
  </si>
  <si>
    <t>8858890798765</t>
  </si>
  <si>
    <t>OY-945/1-11</t>
  </si>
  <si>
    <t>มายา ตะไบฟองน้ำ ทรงข้าวหลามตัด สีเทา 0.13g.</t>
  </si>
  <si>
    <t>8858890732263</t>
  </si>
  <si>
    <t>OY-945/1-13</t>
  </si>
  <si>
    <t>มายา ตะไบฟองน้ำ ทรงข้าวหลามตัด สีส้ม 0.013g.</t>
  </si>
  <si>
    <t>8858890730024</t>
  </si>
  <si>
    <t>วาเลนเต้ กล่องพลาสติกใส่เล็บปลอม สีขาว 0.063g.</t>
  </si>
  <si>
    <t>8858890730970</t>
  </si>
  <si>
    <t>วาเลนเต้ ตะไบขัดส้นเท้า สีขาว 0.038g.</t>
  </si>
  <si>
    <t>8858890730185</t>
  </si>
  <si>
    <t>วาเลนเต้ กรรไกรตัดเล็บปลอม สีแดง 0.056g.</t>
  </si>
  <si>
    <t>8858890730154</t>
  </si>
  <si>
    <t>วาเลนเต้ พู่กันปั้นดอกเบอร์2 สีขาว 0.004g.</t>
  </si>
  <si>
    <t>8858890731601</t>
  </si>
  <si>
    <t>วาเลนเต้ แผ่นทดลองเพ้นท์ลาย สีดำ 0.039g.</t>
  </si>
  <si>
    <t>8858890730147</t>
  </si>
  <si>
    <t>วาเลนเต้ พู่กันเพ้นท์เล็บ สีขาว 0.03g.</t>
  </si>
  <si>
    <t>8858890730192</t>
  </si>
  <si>
    <t>วาเลนเต้ ขวดปั๊มใส่น้ำยาล้างเล็บ สีขาว 0.035g.</t>
  </si>
  <si>
    <t>8858890738112</t>
  </si>
  <si>
    <t>วาเลนเต้ ถุงมือยาง L 0.546g.</t>
  </si>
  <si>
    <t>8858890738105</t>
  </si>
  <si>
    <t>วาเลนเต้ ถุงมือยาง M</t>
  </si>
  <si>
    <t>8858890738099</t>
  </si>
  <si>
    <t>วาเลนเต้ ถุงมือยาง S 0.441g.</t>
  </si>
  <si>
    <t>8858890730123</t>
  </si>
  <si>
    <t>OY-985/10</t>
  </si>
  <si>
    <t>วาเลนเต้ พู่กันปั้นดอกอย่างดี เบอร์10 สีดำ 0.019g.</t>
  </si>
  <si>
    <t>8858890730130</t>
  </si>
  <si>
    <t>วาเลนเต้ ชุดพู่กันแต่งเจล สีดำ 0.011g.</t>
  </si>
  <si>
    <t>8858890798307</t>
  </si>
  <si>
    <t>วาเลนเต้ ถุงมือยาง L สีดำ</t>
  </si>
  <si>
    <t>8858890798291</t>
  </si>
  <si>
    <t>OY-993-M</t>
  </si>
  <si>
    <t>วาเลนเต้ ถุงมือยาง M สีดำ</t>
  </si>
  <si>
    <t>วาเลนเต้ ถุงมือยาง M สีดำ (50คุ่)</t>
  </si>
  <si>
    <t>8858890796655</t>
  </si>
  <si>
    <t>วาเลนเต้ ถุงมือยาง S สีดำ</t>
  </si>
  <si>
    <t>8858890732196</t>
  </si>
  <si>
    <t>มายา ตะไบแบบบางทรงมน สีขาว 0.007g.</t>
  </si>
  <si>
    <t>8858890722531</t>
  </si>
  <si>
    <t>OY-A03</t>
  </si>
  <si>
    <t>มายา เครื่องอบเล็บ 2 ระบบ UV+เป่าเล็บ</t>
  </si>
  <si>
    <t>8858890795894</t>
  </si>
  <si>
    <t>วาเลนเต้ เทปแบ่งผม สีดำ 0.004g.</t>
  </si>
  <si>
    <t>8858890790486</t>
  </si>
  <si>
    <t>PA-53/1</t>
  </si>
  <si>
    <t>8858890795795</t>
  </si>
  <si>
    <t>บาร์เบอร์ เบรน กระบอกฉีดน้ำทรงหัวกระโหล สีอำพัน 0.085g.</t>
  </si>
  <si>
    <t>885889079579502</t>
  </si>
  <si>
    <t>บาร์เบอร์ เบรน กระบอกฉีดน้ำทรงหัวกระโหล สีใส 0.085g.</t>
  </si>
  <si>
    <t>8858890798390</t>
  </si>
  <si>
    <t>บาร์เบอร์ เบรน กระบอกฉีดน้ำทรงหัวกระโหลก สีเทา 0.085g.</t>
  </si>
  <si>
    <t>8858890790240</t>
  </si>
  <si>
    <t>PK-0520</t>
  </si>
  <si>
    <t>วาเลนเต้ แกนนิ่มขนาด 14x210 มม.</t>
  </si>
  <si>
    <t>8858890790257</t>
  </si>
  <si>
    <t>PK-0521</t>
  </si>
  <si>
    <t>วาเลนเต้ แกนนิ่ม 16x210 มม. สีชมพู 0.072g.</t>
  </si>
  <si>
    <t>8858890790264</t>
  </si>
  <si>
    <t>PK-0522</t>
  </si>
  <si>
    <t>วาเลนเต้ แกนนิ่ม 18x210 มม. สีเขียวมิ้น 0.122g.</t>
  </si>
  <si>
    <t>8858890790271</t>
  </si>
  <si>
    <t>PK-0523</t>
  </si>
  <si>
    <t>วาเลนเต้ แกนนิ่มขนาด 14x240 มม.</t>
  </si>
  <si>
    <t>8858890790288</t>
  </si>
  <si>
    <t>PK-0524</t>
  </si>
  <si>
    <t>วาเลนเต้ แกนนิ่ม 16x240 มม. สีเขียว 0.084g.</t>
  </si>
  <si>
    <t>8858890790295</t>
  </si>
  <si>
    <t>PK-0525</t>
  </si>
  <si>
    <t>วาเลนเต้ แกนนิ่มขนาด 18x240 มม.</t>
  </si>
  <si>
    <t>8858890791278</t>
  </si>
  <si>
    <t>PK-0526</t>
  </si>
  <si>
    <t>วาเลนเต้ แกนนิ่ม 20x240 มม. สีม่วง 0.191g.</t>
  </si>
  <si>
    <t>8858890790233</t>
  </si>
  <si>
    <t>วาเลนเต้ กระจกด้านเดียวทรงเหลี่ยม สีดำ 0.355g.</t>
  </si>
  <si>
    <t>8858890790325</t>
  </si>
  <si>
    <t>วาเลนเต้ กระจกด้านเดียวทรงกลม สีดำ 0.505g.</t>
  </si>
  <si>
    <t>NONEBAR39</t>
  </si>
  <si>
    <t>PK-0531</t>
  </si>
  <si>
    <t>ชุดกระจก</t>
  </si>
  <si>
    <t>8858890790547</t>
  </si>
  <si>
    <t>วาเลนเต้ หน้ากากกันสเปรย์ สีขาว 0.027g.</t>
  </si>
  <si>
    <t>8858890800376</t>
  </si>
  <si>
    <t>กระเป๋าใบเล็กสีดำ BARBER BRAIN</t>
  </si>
  <si>
    <t>8858890800369</t>
  </si>
  <si>
    <t>PK-2211</t>
  </si>
  <si>
    <t>กระเป๋าใบใหญ่สีดำ BARBER BRAIN</t>
  </si>
  <si>
    <t>8858890791926</t>
  </si>
  <si>
    <t>วาเลนเต้ โรลขนญี่ปุ่น 20 มม. สีแดง 0.018g.</t>
  </si>
  <si>
    <t>8858890791537</t>
  </si>
  <si>
    <t>วาเลนเต้ โรลขนญี่ปุ่น 24 มม. สีม่วง 0.024g.</t>
  </si>
  <si>
    <t>8858890791544</t>
  </si>
  <si>
    <t>วาเลนเต้ โรลขนญี่ปุ่น 28 มม. สีเขียว 0.025g.</t>
  </si>
  <si>
    <t>8858890791520</t>
  </si>
  <si>
    <t>วาเลนเต้ โรลขนญี่ปุ่น 32 มม. สีน้ำเงิน 0.027g.</t>
  </si>
  <si>
    <t>8858890791483</t>
  </si>
  <si>
    <t>วาเลนเต้ โรลขนญี่ปุ่น 36 มม. สีชมพู 0.037g.</t>
  </si>
  <si>
    <t>8858890791513</t>
  </si>
  <si>
    <t>วาเลนเต้ โรลขนญี่ปุ่น 40 มม. สีแดง 0.031g.</t>
  </si>
  <si>
    <t>8858890791919</t>
  </si>
  <si>
    <t>วาเลนเต้ โรลขนญี่ปุ่น 45 มม. สีเขียว 0.042g.</t>
  </si>
  <si>
    <t>8858890791490</t>
  </si>
  <si>
    <t>วาเลนเต้ โรลขนญี่ปุ่น 50 มม. สีม่วง 0.049g.</t>
  </si>
  <si>
    <t>885889079150604</t>
  </si>
  <si>
    <t>วาเลนเต้ โรลขนญี่ปุ่น 55 มม. สีชมพู 0.055g.</t>
  </si>
  <si>
    <t>8858890793180</t>
  </si>
  <si>
    <t>วาเลนเต้ โรลขนญี่ปุ่น 60 มม. สีโอรส 0.069g.</t>
  </si>
  <si>
    <t>8858890790349</t>
  </si>
  <si>
    <t>PK-368</t>
  </si>
  <si>
    <t>วาเลนเต้ รองฟันปัตตาเลี่ยน 2.5mm,5mm,7.5mm,10mm สีดำ 0.051g.</t>
  </si>
  <si>
    <t>8858890794644</t>
  </si>
  <si>
    <t>PK-4050</t>
  </si>
  <si>
    <t>วาเลนเต้ หัวหุ่นผมทอง 22 นิ้ว</t>
  </si>
  <si>
    <t>8858890730345</t>
  </si>
  <si>
    <t>PK-802</t>
  </si>
  <si>
    <t>มายา ผงอะครีลิคผสมกากเพชร 0.197g.</t>
  </si>
  <si>
    <t>8858890730352</t>
  </si>
  <si>
    <t>PK-803</t>
  </si>
  <si>
    <t>มายา ผงอะครีลิคปั้นดอก 0.197g.</t>
  </si>
  <si>
    <t>8858890791360</t>
  </si>
  <si>
    <t>PK-901</t>
  </si>
  <si>
    <t>วาเลนเต้ ปลอกผ้าใส่แขน 0.033g.</t>
  </si>
  <si>
    <t>8858890721152</t>
  </si>
  <si>
    <t>PK-903</t>
  </si>
  <si>
    <t>วาเลนเต้ ปลอกผ้าใส่แขน(ลาย) 0.038g.</t>
  </si>
  <si>
    <t>8858890797003</t>
  </si>
  <si>
    <t>PK-MARD-01</t>
  </si>
  <si>
    <t>วาเลนเต้ ถ้วยผสมสี สีดำ 0.105g.</t>
  </si>
  <si>
    <t>8858890793906</t>
  </si>
  <si>
    <t>วาเลนเต้ ถ้วยผสมสี สีฟ้า 0.105g.</t>
  </si>
  <si>
    <t>8858890793858</t>
  </si>
  <si>
    <t>วาเลนเต้ ยางรัดผมแบบหนา สีดำ 0.030g.</t>
  </si>
  <si>
    <t>8858890794033</t>
  </si>
  <si>
    <t>วาเลนเต้ ไม้คนผสมสี สีเหลือง-ดำ 0.014g.</t>
  </si>
  <si>
    <t>NONEBAR40</t>
  </si>
  <si>
    <t>PKY-1502</t>
  </si>
  <si>
    <t>วาเลนเต้ แผ่นเช็ดหน้า 30 ชิ้น 0.085g.</t>
  </si>
  <si>
    <t>8858890794453</t>
  </si>
  <si>
    <t>วาเลนเต้ ชุดถ้วยผสมสี สีดำ 0.045g.</t>
  </si>
  <si>
    <t>8858890781811</t>
  </si>
  <si>
    <t>วาเลนเต้ หวี 360 องศา สีดำ 0.109g.</t>
  </si>
  <si>
    <t>8858890794507</t>
  </si>
  <si>
    <t>วาเลนเต้ กระบอกฉีดน้ำเล็ก(อย่างดี) สีขาว 0.118g.</t>
  </si>
  <si>
    <t>8858890760946</t>
  </si>
  <si>
    <t>วาเลนเต้ ชุดกรรไกรตัด-ซอย 0.203g.</t>
  </si>
  <si>
    <t>885889076094601</t>
  </si>
  <si>
    <t>วาเลนเต้ กรรไกรตัด</t>
  </si>
  <si>
    <t>885889076094602</t>
  </si>
  <si>
    <t>วาเลนเต้ กรรไกรซอย</t>
  </si>
  <si>
    <t>8858890760953</t>
  </si>
  <si>
    <t>วาเลนเต้ กรรไกรตัด 0.062g.</t>
  </si>
  <si>
    <t>8858890782030</t>
  </si>
  <si>
    <t>PKY-1583/B</t>
  </si>
  <si>
    <t>บาร์เบอร์ เบรน หวีพับเหล็กวินเทจ สีดำ 0.119g.</t>
  </si>
  <si>
    <t>8858890782047</t>
  </si>
  <si>
    <t>PKY-1583/S</t>
  </si>
  <si>
    <t>บาร์เบอร์ เบรน หวีหางพับวินเทจ Barber Brain 0.116g.</t>
  </si>
  <si>
    <t>8858890749668</t>
  </si>
  <si>
    <t>PKY-1603</t>
  </si>
  <si>
    <t>วาเลนเต้ พัฟเกาหลีเกลี่ยรองพื้น</t>
  </si>
  <si>
    <t>8858890795047</t>
  </si>
  <si>
    <t>PKY-1701/L</t>
  </si>
  <si>
    <t>วาเลนเต้ กระบอกฉีดน้ำ ไซส์ L 0.135g.</t>
  </si>
  <si>
    <t>8858890796860</t>
  </si>
  <si>
    <t>PKY-1701/S-01</t>
  </si>
  <si>
    <t>วาเลนเต้ กระบอกฉีดน้ำสูญญากาศ สีดำ 0.118g.</t>
  </si>
  <si>
    <t>8858890796877</t>
  </si>
  <si>
    <t>PKY-1701/S-08</t>
  </si>
  <si>
    <t>วาเลนเต้ กระบอกฉีดน้ำสูญญากาศ สีขาว 0.118g.</t>
  </si>
  <si>
    <t>8858890796204</t>
  </si>
  <si>
    <t>PKY-1801</t>
  </si>
  <si>
    <t>วาเลนเต้ ชุดถ้วยผสมสี สีดำ</t>
  </si>
  <si>
    <t>8858890797263</t>
  </si>
  <si>
    <t>PKY-1810-02</t>
  </si>
  <si>
    <t>วาเลนเต้ ผ้าขนหนูนาโนขนาด 31x17" สีแดง 0.993g.</t>
  </si>
  <si>
    <t>NONEBAR41</t>
  </si>
  <si>
    <t>PKY-1810-02/1</t>
  </si>
  <si>
    <t>วาเลนเต้ ผ้าขนหนูนาโนขนาด 31x17" สีแดง1 ผืน</t>
  </si>
  <si>
    <t>8858890797270</t>
  </si>
  <si>
    <t>PKY-1810-03</t>
  </si>
  <si>
    <t>วาเลนเต้ ผ้าขนหนูนาโนขนาด 31x17" สีเขียว 0.993g.</t>
  </si>
  <si>
    <t>8858890797287</t>
  </si>
  <si>
    <t>PKY-1810-05</t>
  </si>
  <si>
    <t>วาเลนเต้ ผ้าขนหนูนาโนขนาด 31x17" สีน้ำเงิน 0.993g.</t>
  </si>
  <si>
    <t>8858890797294</t>
  </si>
  <si>
    <t>PKY-1810-12</t>
  </si>
  <si>
    <t>วาเลนเต้ ผ้าขนหนูนาโนขนาด 31x17" สีน้ำตาล 0.993g.</t>
  </si>
  <si>
    <t>8858890783105</t>
  </si>
  <si>
    <t>บาร์เบอร์ เบรน หวีเซ็ตสไตล์วินเทจ สีดำ 0.21g</t>
  </si>
  <si>
    <t>8858890783112</t>
  </si>
  <si>
    <t>วาเลนเต้ หวีหนีบตรง สีชมพู 0.40g.</t>
  </si>
  <si>
    <t>8858890798161</t>
  </si>
  <si>
    <t>วาเลนเต้ กิ๊ฟปากจระเข้ สีพาสเทล 0.62g.</t>
  </si>
  <si>
    <t>8858890798192</t>
  </si>
  <si>
    <t>วาเลนเต้ ไฟหมุนสีดำ ขนาด 65 cm 2.1g.</t>
  </si>
  <si>
    <t>8858890798185</t>
  </si>
  <si>
    <t>วาเลนเต้ ไฟหมุนสีดำ ขนาด 75 cm 2.3g.</t>
  </si>
  <si>
    <t>8858890798178</t>
  </si>
  <si>
    <t>วาเลนเต้ ไฟหมุนสีดำ ขนาด 88 cm 2.5g.</t>
  </si>
  <si>
    <t>8858890798574</t>
  </si>
  <si>
    <t>วาเลนเต้ แกนดัดยกโคน ไซด์ใหญ่ 278g (16PC/BOX)</t>
  </si>
  <si>
    <t>8858890798581</t>
  </si>
  <si>
    <t>วาเลนเต้ แกนดัดยกโคน ไซด์เล็ก 278g (20PC/BOX)</t>
  </si>
  <si>
    <t>8858890798758</t>
  </si>
  <si>
    <t>วาเลนเด้ กระดาษพันแกนแบบเกาหลี บรรจุ 1000 แผ่น</t>
  </si>
  <si>
    <t>8858890791131</t>
  </si>
  <si>
    <t>PKY-5</t>
  </si>
  <si>
    <t>วาเลนเต้ พัฟแป้งแบบสี่เหลี่ยม สีครีม 0.004g.</t>
  </si>
  <si>
    <t>8858890791148</t>
  </si>
  <si>
    <t>PKY-6</t>
  </si>
  <si>
    <t>วาเลนเต้ พัฟแป้งแบบกลม สีครีม 0.003g.</t>
  </si>
  <si>
    <t>8858890798451</t>
  </si>
  <si>
    <t>PO-22-03</t>
  </si>
  <si>
    <t>วาเลนเต้ กระเป๋ากรรไกร สายสีเขียว 236 g.</t>
  </si>
  <si>
    <t>8858890798468</t>
  </si>
  <si>
    <t>PO-22-08</t>
  </si>
  <si>
    <t>วาเลนเต้ กระเป๋ากรรไกร สายสีขาว 236 g.</t>
  </si>
  <si>
    <t>8858890798475</t>
  </si>
  <si>
    <t>PO-22-09</t>
  </si>
  <si>
    <t>วาเลนเต้ กระเป๋ากรรไกร สายสีม่วง 236 g.</t>
  </si>
  <si>
    <t>8858890798482</t>
  </si>
  <si>
    <t>PO-22-10</t>
  </si>
  <si>
    <t>วาเลนเต้ กระเป๋ากรรไกร สายสีชมพู 236 g.</t>
  </si>
  <si>
    <t>8858890780548</t>
  </si>
  <si>
    <t>POM-05339</t>
  </si>
  <si>
    <t>วาเลนเต้ หวีอีโต้ 0.025g.</t>
  </si>
  <si>
    <t>8858890780128</t>
  </si>
  <si>
    <t>วาเลนเต้ หวีห่างฟันถี่ 0.10g.</t>
  </si>
  <si>
    <t>8858890790035</t>
  </si>
  <si>
    <t>วาเลนเต้ แกนดัดขนาด 31 มม. สีดำ-น้ำเงิน 0.118g.</t>
  </si>
  <si>
    <t>8858890790042</t>
  </si>
  <si>
    <t>วาเลนเต้ แกนดัดขนาด 29 มม. สีดำ-เขียว 0.106g.</t>
  </si>
  <si>
    <t>8858890790059</t>
  </si>
  <si>
    <t>วาเลนเต้ แกนดัดขนาด 27 มม. สีดำ-น้ำเงิน 0.099g.</t>
  </si>
  <si>
    <t>8858890790066</t>
  </si>
  <si>
    <t>วาเลนเต้ แกนดัดผม ขนาด 2.5 ซม. 0.001g.</t>
  </si>
  <si>
    <t>8858890790073</t>
  </si>
  <si>
    <t>วาเลนเต้ แกนดัดขนาด 23 มม. สีเทา 0.074g.</t>
  </si>
  <si>
    <t>8858890790080</t>
  </si>
  <si>
    <t>วาเลนเต้ แกนดัดขนาด 21 มม. สีน้ำตาล-เทา 0.037g.</t>
  </si>
  <si>
    <t>8882694000014</t>
  </si>
  <si>
    <t>กรรไกร หลังหยัก</t>
  </si>
  <si>
    <t>8882694000021</t>
  </si>
  <si>
    <t>PS-2202</t>
  </si>
  <si>
    <t>กรรไกร ตัดโค้งพระจันทร์</t>
  </si>
  <si>
    <t>8882694000038</t>
  </si>
  <si>
    <t>PS-2203</t>
  </si>
  <si>
    <t>กรรไกร ตัดหลังเรียบงุ้ม</t>
  </si>
  <si>
    <t>8882694000045</t>
  </si>
  <si>
    <t>PS-2204</t>
  </si>
  <si>
    <t>มีดซอยสไลด์</t>
  </si>
  <si>
    <t>8858890794439</t>
  </si>
  <si>
    <t>วาเลนเต้ ไม้ดันแกน สีดำ 0.019g.</t>
  </si>
  <si>
    <t>8858890799458</t>
  </si>
  <si>
    <t>ถาดรองน้ำยา</t>
  </si>
  <si>
    <t>NONEBAR42</t>
  </si>
  <si>
    <t>Q6-0166</t>
  </si>
  <si>
    <t>วาเลนเต้ กางเกงเลกกิ้งแบบหนา สีดำ 0.138g.</t>
  </si>
  <si>
    <t>8858890782351</t>
  </si>
  <si>
    <t>วาเลนเต้ หวีแอมเบอร์ 21ซม. 0.02g.</t>
  </si>
  <si>
    <t>8858890793012</t>
  </si>
  <si>
    <t>วาเลนเต้ โรลม้วนผม คละไซส์ 0.048g.</t>
  </si>
  <si>
    <t>8858890796167</t>
  </si>
  <si>
    <t>SB-6702/25</t>
  </si>
  <si>
    <t>วาเลนเต้ โรลม้วนผม 25 มม. สีเขียว 0.021g.</t>
  </si>
  <si>
    <t>8858890796150</t>
  </si>
  <si>
    <t>SB-6702/33</t>
  </si>
  <si>
    <t>วาเลนเต้ โรลม้วนผม 33 มม. สีเหลือง 0.029g.</t>
  </si>
  <si>
    <t>8858890796174</t>
  </si>
  <si>
    <t>SB-6702/40</t>
  </si>
  <si>
    <t>วาเลนเต้ โรลม้วนผม ไซส์ 40</t>
  </si>
  <si>
    <t>8858890793029</t>
  </si>
  <si>
    <t>SB-6724</t>
  </si>
  <si>
    <t>วาเลนเต้ โรลฟองน้ำญี่ปุ่น สีชมพู 0.084g.</t>
  </si>
  <si>
    <t>8858890790189</t>
  </si>
  <si>
    <t>SF-026</t>
  </si>
  <si>
    <t>วาเลนเต้ แปรงขัดส้นเท้า</t>
  </si>
  <si>
    <t>8858890795818</t>
  </si>
  <si>
    <t>วาเลนเต้ ตราชั่งดิจิตอล สีขาว 0.379g.</t>
  </si>
  <si>
    <t>8858890723002</t>
  </si>
  <si>
    <t>วาเลนเต้ เครื่องนาโนมิส (ดิจิตอล) 13.6g.</t>
  </si>
  <si>
    <t>8858890792657</t>
  </si>
  <si>
    <t>SM-02</t>
  </si>
  <si>
    <t>วาเลนเต้ กาวต่อผมแท่งใหญ่ สีดำ</t>
  </si>
  <si>
    <t>8858890791872</t>
  </si>
  <si>
    <t>SM-02/1</t>
  </si>
  <si>
    <t>วาเลนเต้ กาวต่อผมแท่งเล็ก สีดำ 0.010g.</t>
  </si>
  <si>
    <t>8858890799373</t>
  </si>
  <si>
    <t>SPA-1</t>
  </si>
  <si>
    <t>เตียงสระ</t>
  </si>
  <si>
    <t>8858890793746</t>
  </si>
  <si>
    <t>วาเลนเต้ ถ้วยผสมสี สีฟ้า 0.110g.</t>
  </si>
  <si>
    <t>8858890793753</t>
  </si>
  <si>
    <t>วาเลนเต้ ถ้วยผสมสี สีส้ม 0.147g.</t>
  </si>
  <si>
    <t>8858890793319</t>
  </si>
  <si>
    <t>วาเลนเต้ มีดโกนหนวดแบบพับ สีดำ 0.039g.</t>
  </si>
  <si>
    <t>8858890793210</t>
  </si>
  <si>
    <t>SR-1211-01</t>
  </si>
  <si>
    <t>วาเลนเต้ ห่วงต่อผมแบบ 2 ชั้น สีดำ 0.040g.</t>
  </si>
  <si>
    <t>8858890798321</t>
  </si>
  <si>
    <t>SR-1211-12</t>
  </si>
  <si>
    <t>วาเลนเต้ ห่วงต่อผมแบบ 2 ชั้น สีน้ำตาล 0.040g.</t>
  </si>
  <si>
    <t>8858890793883</t>
  </si>
  <si>
    <t>วาเลนเต้ กระจกส่องสองด้าน สีดำ 1.172g.</t>
  </si>
  <si>
    <t>8858890798796</t>
  </si>
  <si>
    <t>วาเลนเต้ กระจกส่องสองด้าน สีเทา 1.172g.</t>
  </si>
  <si>
    <t>8858890800307</t>
  </si>
  <si>
    <t>SR-9973/01</t>
  </si>
  <si>
    <t>วาเลนเต้ กระจกส่องสองด้าน สีดำ</t>
  </si>
  <si>
    <t>SR-9973/11</t>
  </si>
  <si>
    <t>วาเลนเต้ กระจกส่องสองด้าน สีเทา</t>
  </si>
  <si>
    <t>8858890794385</t>
  </si>
  <si>
    <t>วาเลนเต้ ผ้าคลุมย้อมสีผม 0.101g.</t>
  </si>
  <si>
    <t>8858890794408</t>
  </si>
  <si>
    <t>แอลแองเจล ผ้าคลุมย้อมสีผม</t>
  </si>
  <si>
    <t>8858890800178</t>
  </si>
  <si>
    <t>ST-6</t>
  </si>
  <si>
    <t>ขาตั้งหัวหุ่นชาย-หญิง</t>
  </si>
  <si>
    <t>NONEBAR43</t>
  </si>
  <si>
    <t>STELLA -M</t>
  </si>
  <si>
    <t>เสื้อ STELLA ไซร์ M</t>
  </si>
  <si>
    <t>NONEBAR44</t>
  </si>
  <si>
    <t>เสื้อ STELLA ไซร์ 3XL</t>
  </si>
  <si>
    <t>NONEBAR45</t>
  </si>
  <si>
    <t>STELLA-5XL</t>
  </si>
  <si>
    <t>เสื้อ STELLA ไซร์ 5XL</t>
  </si>
  <si>
    <t>NONEBAR46</t>
  </si>
  <si>
    <t>เสื้อ STELLA ไซร์ L</t>
  </si>
  <si>
    <t>NONEBAR47</t>
  </si>
  <si>
    <t>STELLA-S</t>
  </si>
  <si>
    <t>เสื้อ STELLA ไซร์ S</t>
  </si>
  <si>
    <t>NONEBAR48</t>
  </si>
  <si>
    <t>เสื้อ STELLA ไซร์ XL</t>
  </si>
  <si>
    <t>8858890800482</t>
  </si>
  <si>
    <t>กระเป๋าอุปกรณ์ช่างT-21</t>
  </si>
  <si>
    <t>8858890781613</t>
  </si>
  <si>
    <t>วาเลนเต้ หวีไม่มีไฟฟ้าสถิตย์ สีแดง-ดำ 0.102g.</t>
  </si>
  <si>
    <t>8858890792985</t>
  </si>
  <si>
    <t>VA-213</t>
  </si>
  <si>
    <t>ฟัตปัตตาเลี่ยน VAL-1919</t>
  </si>
  <si>
    <t>8858890781675</t>
  </si>
  <si>
    <t>วาเลนเต้ แปรงไดร์กลม 16 แถว สีเหลือง 0.036g.</t>
  </si>
  <si>
    <t>8858890781682</t>
  </si>
  <si>
    <t>วาเลนเต้ แปรงไดร์กลม 18 แถว สีเหลือง 0.042g.</t>
  </si>
  <si>
    <t>8858890781699</t>
  </si>
  <si>
    <t>วาเลนเต้ แปรงไดร์กลม 20 แถว สีเหลือง 0.060g.</t>
  </si>
  <si>
    <t>8858890781705</t>
  </si>
  <si>
    <t>วาเลนเต้ แปรงไดร์กลม 24 แถว สีเหลือง 0.064g.</t>
  </si>
  <si>
    <t>8858890794620</t>
  </si>
  <si>
    <t>VAL-009/A</t>
  </si>
  <si>
    <t>วาเลนเต้ โรลครอบผมพลาสติก 2.2 ซม.</t>
  </si>
  <si>
    <t>8858890793692</t>
  </si>
  <si>
    <t>VAL-009/B</t>
  </si>
  <si>
    <t>วาเลนเต้ โรลครอบผมพลาสติก 22 มม. สีชมพู 0.017g.</t>
  </si>
  <si>
    <t>8858890793708</t>
  </si>
  <si>
    <t>VAL-010/A</t>
  </si>
  <si>
    <t>วาเลนเต้ โรลครอบผมพลาสติก 4.2 ซม.</t>
  </si>
  <si>
    <t>8858890794637</t>
  </si>
  <si>
    <t>VAL-010/B</t>
  </si>
  <si>
    <t>วาเลนเต้ โรลครอบผมพลาสติก 42 มม. สีชมพู 0.050g.</t>
  </si>
  <si>
    <t>8858890792275</t>
  </si>
  <si>
    <t>วาเลนเต้ โรลขนพลาสติกมีฟองน้ำ 32 มม. 0.017g.</t>
  </si>
  <si>
    <t>885889079229903</t>
  </si>
  <si>
    <t>วาเลนเต้ โรลขนพลาสติกมีฟองน้ำ 40 มม. 0.022g.</t>
  </si>
  <si>
    <t>8858890792305</t>
  </si>
  <si>
    <t>วาเลนเต้ โรลขนพลาสติกมีฟองน้ำ 45 มม. 0.028g.</t>
  </si>
  <si>
    <t>8858890792312</t>
  </si>
  <si>
    <t>วาเลนเต้ โรลขนพลาสติกมีฟองน้ำ 50 มม. 0.033g.</t>
  </si>
  <si>
    <t>8858890720582</t>
  </si>
  <si>
    <t>วาเลนเต้ ตัวกระจายลมไดร์เป่าลอนผมดัด สีดำ 0.231g.</t>
  </si>
  <si>
    <t>8858890791964</t>
  </si>
  <si>
    <t>วาเลนเต้ ชุดโรลดัดผม 0.180g.</t>
  </si>
  <si>
    <t>8858890799946</t>
  </si>
  <si>
    <t>วาเลนเต้ หวีรองตัด สีม่วง</t>
  </si>
  <si>
    <t>8858890782825</t>
  </si>
  <si>
    <t>วาเลนเต้ มีดซอยสไลด์ปลายหวี สีแดง 0.48g.</t>
  </si>
  <si>
    <t>8858890782870</t>
  </si>
  <si>
    <t>วาเลนเต้ มีดซอยสไลด์ปลายหวี สีเขียว 0.48g.</t>
  </si>
  <si>
    <t>8858890782832</t>
  </si>
  <si>
    <t>วาเลนเต้ มีดซอยสไลด์ปลายหวี สีฟ้า 0.48g.</t>
  </si>
  <si>
    <t>8858890782849</t>
  </si>
  <si>
    <t>วาเลนเต้ มีดซอยสไลด์ปลายหวี สีน้ำเงิน 0.48g.</t>
  </si>
  <si>
    <t>8858890782856</t>
  </si>
  <si>
    <t>วาเลนเต้ มีดซอยสไลด์ปลายหวี สีม่วง 0.48g.</t>
  </si>
  <si>
    <t>8858890782863</t>
  </si>
  <si>
    <t>วาเลนเต้ มีดซอยสไลด์ปลายหวี สีชมพู 0.48g.</t>
  </si>
  <si>
    <t>8858890800567</t>
  </si>
  <si>
    <t>วาเลนเต้ แกนดัดผมญี่ปุ่นสลับสี 12 มม.(12PCS/BAG)</t>
  </si>
  <si>
    <t>8858890800574</t>
  </si>
  <si>
    <t>วาเลนเต้ แกนดัดผมญี่ปุ่นสลับสี 14 มม.(12PCS/BAG).</t>
  </si>
  <si>
    <t>8858890790431</t>
  </si>
  <si>
    <t>VAL-11202-10</t>
  </si>
  <si>
    <t>วาเลนเต้ แกนดัดผมญี่ปุ่นสลับสี 0.057g.</t>
  </si>
  <si>
    <t>8858890800604</t>
  </si>
  <si>
    <t>วาเลนเต้ แกนดัดผมญี่ปุ่นสลับสี 8 มม.(12PCS/BAG)</t>
  </si>
  <si>
    <t>8858890800499</t>
  </si>
  <si>
    <t>วาเลนเต้ แกนดัดผมญี่ปุ่นสลับสี 10 มม.(12PCS/BAG)</t>
  </si>
  <si>
    <t>8858890800505</t>
  </si>
  <si>
    <t>วาเลนเต้ แกนดัดผมญี่ปุ่นสลับสี 14 มม.(12PCS/BAG)</t>
  </si>
  <si>
    <t>8858890800512</t>
  </si>
  <si>
    <t>วาเลนเต้ แกนดัดผมญี่ปุ่นสลับสี 16 มม.(12PCS/BAG)</t>
  </si>
  <si>
    <t>8858890790400</t>
  </si>
  <si>
    <t>วาเลนเต้ แกนดัดขนาด 19 มม. สีเหลือง-ชมพู 0.034g.</t>
  </si>
  <si>
    <t>8858890790417</t>
  </si>
  <si>
    <t>VAL-11202-8</t>
  </si>
  <si>
    <t>วาเลนเต้ แกนดัดผมญี่ปุ่นสลับสี</t>
  </si>
  <si>
    <t>8858890790424</t>
  </si>
  <si>
    <t>VAL-11202-9</t>
  </si>
  <si>
    <t>8858890780999</t>
  </si>
  <si>
    <t>วาเลนเต้ แปรงสำหรับทำเคมี 0.013g.</t>
  </si>
  <si>
    <t>8858890780982</t>
  </si>
  <si>
    <t>วาเลนเต้ แปรงสำหรับทำเคมี สีดำ 0.015g.</t>
  </si>
  <si>
    <t>8858890790103</t>
  </si>
  <si>
    <t>VAL-1202/A</t>
  </si>
  <si>
    <t>วาเลนเต้ ยางรัดแกน สีครีม 0.044g.</t>
  </si>
  <si>
    <t>8858890781361</t>
  </si>
  <si>
    <t>วาเลนเต้ หวีรองตัด(หวีเล็ก) สีขาว 0.006g.</t>
  </si>
  <si>
    <t>8858890782214</t>
  </si>
  <si>
    <t>วาเลนเต้ หวีรองตัด(หวีใหญ่) สีขาว 0.014g.</t>
  </si>
  <si>
    <t>8858890781149</t>
  </si>
  <si>
    <t>วาเลนเต้ หวีหางเหล็ก สีดำ 0.012g.</t>
  </si>
  <si>
    <t>8858890782511</t>
  </si>
  <si>
    <t>บาร์เบอร์ เบรน หวีรองซอย หวีเล็ก-หวีใหญ่ 0.018g.</t>
  </si>
  <si>
    <t>8858890791445</t>
  </si>
  <si>
    <t>วาเลนเต้ กิ๊ฟผีเสื้อ สีเหลือง,ชมพู,ม่วง,ฟ้า 0.059g.</t>
  </si>
  <si>
    <t>8858890791247</t>
  </si>
  <si>
    <t>วาเลนเต้ กิ๊ฟหนีบผม คละสี 0.085g.</t>
  </si>
  <si>
    <t>8858890790585</t>
  </si>
  <si>
    <t>วาเลนเต้ กิ๊ฟหนีบผม สีดำ,ขาว,น้ำเงิน,แดง 0.075g.</t>
  </si>
  <si>
    <t>8858890791605</t>
  </si>
  <si>
    <t>วาเลนเต้ กิ๊ฟหนีบผม สีฟ้า</t>
  </si>
  <si>
    <t>8858890760588</t>
  </si>
  <si>
    <t>VAL-15</t>
  </si>
  <si>
    <t>วาเลนเต้ ชุดกรรไกร 6 นิ้ว</t>
  </si>
  <si>
    <t>8858890760809</t>
  </si>
  <si>
    <t>วาเลนเต้ กรรไกรซอย 0.035g.</t>
  </si>
  <si>
    <t>8858890794576</t>
  </si>
  <si>
    <t>บาร์เบอร์ เบรน ผ้าคลุมซอยบาร์เบอร์ 0.151g.</t>
  </si>
  <si>
    <t>8858890795917</t>
  </si>
  <si>
    <t>บาร์เบอร์ เบรน ผ้าคลุมซอยบาร์เบอร์ มีลาย 0.157g.</t>
  </si>
  <si>
    <t>8858890794583</t>
  </si>
  <si>
    <t>บาร์เบอร์ เบรน ผ้าคลุมซอยบาร์เบอร์ 0.157g.</t>
  </si>
  <si>
    <t>8858890795900</t>
  </si>
  <si>
    <t>บาร์เบอร์ เบรน ผ้าคลุมซอยบาร์เบอร์ 0.166g.</t>
  </si>
  <si>
    <t>8858890800093</t>
  </si>
  <si>
    <t>ผ้าคลุมซอยบาร์เบอร์ สีขาว 0.166g.</t>
  </si>
  <si>
    <t>8858890795955</t>
  </si>
  <si>
    <t>บาร์เบอร์เบรน ผ้าคลุมซอยซาลอน ลายโลโก้ Barber Brain 0.17g.</t>
  </si>
  <si>
    <t>8858890795740</t>
  </si>
  <si>
    <t>บาร์เบอร์ เบรน ผ้าคลุมซอยบาร์เบอร์ 0.148g.</t>
  </si>
  <si>
    <t>VAL-1511/B-1</t>
  </si>
  <si>
    <t>8858890795030</t>
  </si>
  <si>
    <t>VAL-1512</t>
  </si>
  <si>
    <t>บาร์เบอร์เบรน ผ้าคลุมซอยซาลอน ลาย Barber Brain 0.17g.</t>
  </si>
  <si>
    <t>88588907958522</t>
  </si>
  <si>
    <t>บาร์เบอร์เบรน ผ้าคลุมซอยซาลอน ลายบาร์เบอร์เบรนสีชมพู 0.265g.</t>
  </si>
  <si>
    <t>NONEBAR49</t>
  </si>
  <si>
    <t>วาเลนเต้ ผ้าคลุมซอย ลายอุปกรณ์ สีดำ</t>
  </si>
  <si>
    <t>8858890795726</t>
  </si>
  <si>
    <t>แอลแองเจล ผ้าคลุมซอยแอลแองเจล 0.16g.</t>
  </si>
  <si>
    <t>8858890799939</t>
  </si>
  <si>
    <t>วาเลนเต้ ผ้าคลุมซอย STELLA</t>
  </si>
  <si>
    <t>8858890800611</t>
  </si>
  <si>
    <t>วาเลนเต้ผ้าคลุมซอย 1517</t>
  </si>
  <si>
    <t>8858890780180</t>
  </si>
  <si>
    <t>วาเลนเต้ แปรงสำหรับทำเคมี 0.014g.</t>
  </si>
  <si>
    <t>วาเลนเต้ ปัตตาเลี่ยนไฟฟ้า 12W สีดำ 0.738g.</t>
  </si>
  <si>
    <t>วาเลนเต้ ปัตตาเลี่ยนไฟฟ้า 12W สีแดง 0.738g.</t>
  </si>
  <si>
    <t>วาเลนเต้ ปัตตาเลี่ยนไฟฟ้า 12W สีเหลือง 0.738g.</t>
  </si>
  <si>
    <t>NONEBAR50</t>
  </si>
  <si>
    <t>VAL-20/1</t>
  </si>
  <si>
    <t>8858890760748</t>
  </si>
  <si>
    <t>VAL-20/2</t>
  </si>
  <si>
    <t>8858890799953</t>
  </si>
  <si>
    <t>วาเลนเต้ กระบอกฉีดน้ำเล็ก</t>
  </si>
  <si>
    <t>8858890793838</t>
  </si>
  <si>
    <t>วาเลนเต้ แหนบปากตรง ลายหินอ่อน 0.096g.</t>
  </si>
  <si>
    <t>8858890782313</t>
  </si>
  <si>
    <t>วาเลนเต้ หวีแอมเบอร์ 12.5ซม. 0.006g.</t>
  </si>
  <si>
    <t>8858890782320</t>
  </si>
  <si>
    <t>วาเลนเต้ หวีแอมเบอร์ 16ซม. 0.010g.</t>
  </si>
  <si>
    <t>8858890760731</t>
  </si>
  <si>
    <t>วาเลนเต้ ชุดกรรไกร 0.212g.</t>
  </si>
  <si>
    <t>8858890782146</t>
  </si>
  <si>
    <t>VAL-211/A</t>
  </si>
  <si>
    <t>วาเลนเต้ หวีรองซอยไฟเบอร์สีดำ</t>
  </si>
  <si>
    <t>8858890761004</t>
  </si>
  <si>
    <t>VAL-211/AB</t>
  </si>
  <si>
    <t>วาเลนเต้ กรรไกรตัดซอยลายดอกไม้</t>
  </si>
  <si>
    <t>8858890720414</t>
  </si>
  <si>
    <t>วาเลนเต้ หวีหางไฟเบอร์ สีส้ม 0.009g.</t>
  </si>
  <si>
    <t>8858890780678</t>
  </si>
  <si>
    <t>วาเลนเต้ หวีรองซอยไฟเบอร์ สีดำ</t>
  </si>
  <si>
    <t>8858890780685</t>
  </si>
  <si>
    <t>วาเลนเต้ หวีรองซอยไฟเบอร์ สีน้ำตาล</t>
  </si>
  <si>
    <t>8858890780692</t>
  </si>
  <si>
    <t>วาเลนเต้ หวีรองตัด สีดำ 0.018g.</t>
  </si>
  <si>
    <t>8858890780708</t>
  </si>
  <si>
    <t>วาเลนเต้ หวีรองตัด สีน้ำตาล 0.017g.</t>
  </si>
  <si>
    <t>8858890780715</t>
  </si>
  <si>
    <t>วาเลนเต้ หวีรองซอยไฟเบอร์ แบบสั้น</t>
  </si>
  <si>
    <t>8858890780722</t>
  </si>
  <si>
    <t>วาเลนเต้ หวีรองตัด สีน้ำตาล 0.013g.</t>
  </si>
  <si>
    <t>8858890793791</t>
  </si>
  <si>
    <t>วาเลนเต้ มีดโกนหนวดแบบพับ สีดำ 0.030g.</t>
  </si>
  <si>
    <t>8858890782337</t>
  </si>
  <si>
    <t>วาเลนเต้ หวีแอมเบอร์ 19ซม. 0.022g.</t>
  </si>
  <si>
    <t>8858890760724</t>
  </si>
  <si>
    <t>วาเลนเต้ ชุดกรรไกร 6 นิ้ว 0.222g.</t>
  </si>
  <si>
    <t>8858890780739</t>
  </si>
  <si>
    <t>วาเลนเต้ หวีหางไฟเบอร์ สีดำ 0.011g.</t>
  </si>
  <si>
    <t>8858890780746</t>
  </si>
  <si>
    <t>วาเลนเต้ หวีหางไฟเบอร์ สีส้ม 0.008g.</t>
  </si>
  <si>
    <t>วาเลนเต้ ปัตตาเลี่ยนไฟฟ้า สีดำ 0.654g.</t>
  </si>
  <si>
    <t>VAL-2208-02</t>
  </si>
  <si>
    <t>วาเลนเต้ ปัตตาเลี่ยนไฟฟ้า สีแดง 0.654g.</t>
  </si>
  <si>
    <t>VAL-2208-05</t>
  </si>
  <si>
    <t>วาเลนเต้ ปัตตาเลี่ยนไฟฟ้า สีน้ำเงิน 0.654g.</t>
  </si>
  <si>
    <t>8858890792992</t>
  </si>
  <si>
    <t>VAL-2208/1</t>
  </si>
  <si>
    <t>วาเลนเต้ ฟันปัตตาเลี่ยน (WAHL) 0.045g.</t>
  </si>
  <si>
    <t>8858890780753</t>
  </si>
  <si>
    <t>วาเลนเต้ หวีหางยีไฟเบอร์ สีดำ 0.010g.</t>
  </si>
  <si>
    <t>8858890780760</t>
  </si>
  <si>
    <t>วาเลนเต้ หวีหางยีไฟเบอร์ สีน้ำตาล</t>
  </si>
  <si>
    <t>8858890780777</t>
  </si>
  <si>
    <t>วาเลนเต้ หวีหางไฟเบอร์ สีดำ 0.008g.</t>
  </si>
  <si>
    <t>8858890780784</t>
  </si>
  <si>
    <t>วาเลนเต้ หวีหางไฟเบอร์ สีส้ม 0.010g.</t>
  </si>
  <si>
    <t>8858890780791</t>
  </si>
  <si>
    <t>วาเลนเต้ หวีหางไฟเบอร์ สีดำ 0.013g.</t>
  </si>
  <si>
    <t>8858890780807</t>
  </si>
  <si>
    <t>วาเลนเต้ หวีหางไฟเบอร์ สีส้ม 0.011g.</t>
  </si>
  <si>
    <t>8858890780814</t>
  </si>
  <si>
    <t>VAL-224/A</t>
  </si>
  <si>
    <t>วาเลนเต้ หวีหางยีไฟเบอร์ฟันห่าง สีดำ 0.011g.</t>
  </si>
  <si>
    <t>8858890783457</t>
  </si>
  <si>
    <t>วาเลนเต้ หวีหางยีไฟเบอร์ฟันห่าง สีส้ม0.008g.</t>
  </si>
  <si>
    <t>8858890780838</t>
  </si>
  <si>
    <t>วาเลนเต้ หวีหางไฟเบอร์ฟันห่าง สีดำ 0.010g.</t>
  </si>
  <si>
    <t>8858890780845</t>
  </si>
  <si>
    <t>วาเลนเต้ หวีหางไฟเบอร์ฟันห่าง สีส้ม 0.012g.</t>
  </si>
  <si>
    <t>8858890796907</t>
  </si>
  <si>
    <t>VAL-2534-01</t>
  </si>
  <si>
    <t>วาเลนเต้ ด้ามมีดโกนซอยสไล์ด้ามตรง สีดำ 0.050g.</t>
  </si>
  <si>
    <t>8858890796914</t>
  </si>
  <si>
    <t>วาเลนเต้ ด้ามมีดโกนซอยสไล์ด้ามตรง สีเทา 0.050g.</t>
  </si>
  <si>
    <t>8858890796921</t>
  </si>
  <si>
    <t>วาเลนเต้ ด้ามมีดโกนซอยสไล์ด้ามตรง สีกรม 0.050g.</t>
  </si>
  <si>
    <t>8858890725983</t>
  </si>
  <si>
    <t>บาร์เบอร์ เบรน ผ้าคลุมซอยผม Barber วินเทจ 0.141g.</t>
  </si>
  <si>
    <t>8858890726003</t>
  </si>
  <si>
    <t>บาร์เบอร์ เบรน ผ้าคลุมซอยผม Barber วินเทจ 0.115g.</t>
  </si>
  <si>
    <t>8858890799847</t>
  </si>
  <si>
    <t>วาเลนเต้ ถาดรองน้ำยา.</t>
  </si>
  <si>
    <t>8858890800529</t>
  </si>
  <si>
    <t>วาเลนเต้ แกนดัดผมญี่ปุ่นสลับสี 6 มม.(12PCS/BAG)</t>
  </si>
  <si>
    <t>8858890800536</t>
  </si>
  <si>
    <t>วาเลนเต้ แกนดัดผมญี่ปุ่นสลับสี 7.5 มม.(12PCS/BAG)</t>
  </si>
  <si>
    <t>8858890800543</t>
  </si>
  <si>
    <t>วาเลนเต้ แกนดัดผมญี่ปุ่นสลับสี 8.5 มม.(12PCS/BAG)</t>
  </si>
  <si>
    <t>8858890800550</t>
  </si>
  <si>
    <t>วาเลนเต้ แกนดัดผมญี่ปุ่นสลับสี 10 มม.(12PCS/BAG).</t>
  </si>
  <si>
    <t>8858890797300</t>
  </si>
  <si>
    <t>VAL-306/A</t>
  </si>
  <si>
    <t>วาเลนเต้ ฟันปัตตาเลี่ยน (WAHL) 0.036g.</t>
  </si>
  <si>
    <t>8858890790172</t>
  </si>
  <si>
    <t>VAL-308</t>
  </si>
  <si>
    <t>วาเลนเต้ แปรงไลท์น้ำแต่งหน้า สีขาว 0.011g.</t>
  </si>
  <si>
    <t>8858890782542</t>
  </si>
  <si>
    <t>วาเลนเต้ หวีรองซอยสายรุ้งใหญ่ สีรุ้ง 0.014g.</t>
  </si>
  <si>
    <t>8858890799908</t>
  </si>
  <si>
    <t>8858890799885</t>
  </si>
  <si>
    <t>วาเลนเต้ กระบอกฉีดน้ำเล็กลายกรรไกรสีดำ</t>
  </si>
  <si>
    <t>8858890782559</t>
  </si>
  <si>
    <t>วาเลนเต้ หวีรองซอยสายรุ้งเล็ก สีรุ้ง 0.009g.</t>
  </si>
  <si>
    <t>8858890760070</t>
  </si>
  <si>
    <t>VAL-350AS/G</t>
  </si>
  <si>
    <t>วาเลนเต้ กรรไกรตัดขนจมูก</t>
  </si>
  <si>
    <t>8858890760069</t>
  </si>
  <si>
    <t>วาเลนเต้ กรรไกรตัดขนจมูก 0.023g.</t>
  </si>
  <si>
    <t>8858890761011</t>
  </si>
  <si>
    <t>VAL-355/AB</t>
  </si>
  <si>
    <t>วาเลนเต้ กรรไกรตัดซอย 5.5 0.163g.</t>
  </si>
  <si>
    <t>8858890760823</t>
  </si>
  <si>
    <t>วาเลนเต้ กรรไกรซอย 0.065g.</t>
  </si>
  <si>
    <t>8858890799878</t>
  </si>
  <si>
    <t>วาเลนเต้ หมวกทำไฮไลท์</t>
  </si>
  <si>
    <t>8858890760687</t>
  </si>
  <si>
    <t>วาเลนเต้ กรรไกรตัดขนจมูกด้ามทอง 4 นิ้ว 0.026g.</t>
  </si>
  <si>
    <t>8858890790561</t>
  </si>
  <si>
    <t>วาเลนเต้ แกนโปเต้ สีน้ำเงิน 0.069g.</t>
  </si>
  <si>
    <t>8858890791889</t>
  </si>
  <si>
    <t>วาเลนเต้ หมวกสปาตัวหนอน 0.264g.</t>
  </si>
  <si>
    <t>8858890792190</t>
  </si>
  <si>
    <t>VAL-4125</t>
  </si>
  <si>
    <t>วาเลนเต้ ไม้พายตักครีม 0.067g.</t>
  </si>
  <si>
    <t>8858890760557</t>
  </si>
  <si>
    <t>วาเลนเต้ ชุดกรรไกรตัด-ซอย 0.198g.</t>
  </si>
  <si>
    <t>8858890799960</t>
  </si>
  <si>
    <t>วาเลนเต้ ผ้าคลุมซอยสีขาวลายตรง</t>
  </si>
  <si>
    <t>วาเลนเต้ กิ๊ฟหนีบแกน สีใส 0.019g.</t>
  </si>
  <si>
    <t>8858890799915</t>
  </si>
  <si>
    <t>วาเลนเต้ ผ้าคลุมเด็กลายไดโนเสาร์</t>
  </si>
  <si>
    <t>8858890782382</t>
  </si>
  <si>
    <t>บาร์เบอร์ เบรน แปรงปัดผมขนหมูป่า 0.055g.</t>
  </si>
  <si>
    <t>8858890782245</t>
  </si>
  <si>
    <t>วาเลนเต้ แปรงปัดผมขนม้า 0.064g.</t>
  </si>
  <si>
    <t>8858890782399</t>
  </si>
  <si>
    <t>บาร์เบอร์ เบรน แปรงปัดผมขนหมูป่า ด้ามสั้น 0.480g.</t>
  </si>
  <si>
    <t>885889078242910</t>
  </si>
  <si>
    <t>บาร์เบอร์ เบรน แปรงปัดผมขนม้า 0.078g.</t>
  </si>
  <si>
    <t>8858890782221</t>
  </si>
  <si>
    <t>วาเลนเต้ แปรงปัดผมขนไนล่อน 0.086g.</t>
  </si>
  <si>
    <t>8858890782405</t>
  </si>
  <si>
    <t>บาร์เบอร์ เบรน แปรงปัดผมขนหมูป่า ด้ามยาว 0.480g.</t>
  </si>
  <si>
    <t>8858890782436</t>
  </si>
  <si>
    <t>บาร์เบอร์ เบรน แปรงปัดผมขนม้า 0.054g.</t>
  </si>
  <si>
    <t>8858890782412</t>
  </si>
  <si>
    <t>บาร์เบอร์ เบรน แปรงปัดผมขนหมูป่า ทรงสูง 0.480g.</t>
  </si>
  <si>
    <t>8858890782238</t>
  </si>
  <si>
    <t>วาเลนเต้ แปรงปัดผมขนไนล่อน 0.048g.</t>
  </si>
  <si>
    <t>8858890781842</t>
  </si>
  <si>
    <t>วาเลนเต้ เซ็ตหวีอเนกประสงค์ สีดำ 0.158g.</t>
  </si>
  <si>
    <t>8858890760618</t>
  </si>
  <si>
    <t>วาเลนเต้ ชุดกรรไกรตัด-ซอย 0.229g.</t>
  </si>
  <si>
    <t>885889076061801</t>
  </si>
  <si>
    <t>885889076061802</t>
  </si>
  <si>
    <t>8858890799892</t>
  </si>
  <si>
    <t>กิ๊บปากเป็ดสั้น อะลูมิเนียม คละสี (กิ๊บอะลูมิเนียม คละสี)</t>
  </si>
  <si>
    <t>8858890781552</t>
  </si>
  <si>
    <t>VAL-601/M</t>
  </si>
  <si>
    <t>วาเลนเต้ หวีแปรงหนวศีรษะด้ามไม้ 0.105g.</t>
  </si>
  <si>
    <t>8858890781828</t>
  </si>
  <si>
    <t>วาเลนเต้ หวีแปรงขนหมูป่า แบบสี่เหลี่ยม</t>
  </si>
  <si>
    <t>8858890781569</t>
  </si>
  <si>
    <t>วาเลนเต้ หวีแปรงนวดศีรษะด้ามไม้ 0.105g.</t>
  </si>
  <si>
    <t>8858890731090</t>
  </si>
  <si>
    <t>VAL-607H</t>
  </si>
  <si>
    <t>วาเลนเต้ กรรไกรตัดเล็บ สีเงิน 0.020g.</t>
  </si>
  <si>
    <t>8858890760267</t>
  </si>
  <si>
    <t>วาเลนเต้ กรรไกรตัด 0.091g.</t>
  </si>
  <si>
    <t>8858890760250</t>
  </si>
  <si>
    <t>วาเลนเต้ กรรไกรซอย 0.091g.</t>
  </si>
  <si>
    <t>8858890780975</t>
  </si>
  <si>
    <t>วาเลนเต้ หวีแปรงนวดศีรษะ 0.114g.</t>
  </si>
  <si>
    <t>8858890781835</t>
  </si>
  <si>
    <t>วาเลนเต้ หวีแปรงขนหมูป่าด้ามไม้ 0.130g.</t>
  </si>
  <si>
    <t>8858890781545</t>
  </si>
  <si>
    <t>วาเลนเต้ หวีแปรงนวดศีรษะด้ามไม้ 0.110g.</t>
  </si>
  <si>
    <t>8858890795863</t>
  </si>
  <si>
    <t>วาเลนเต้ กรรไกรตัดหนัง สีเงิน 0.040g.</t>
  </si>
  <si>
    <t>8858890761042</t>
  </si>
  <si>
    <t>บาร์เบอร์ เบรน กรรไกรตัด 0.095g.</t>
  </si>
  <si>
    <t>8858890781521</t>
  </si>
  <si>
    <t>วาเลนเต้ หวียี (ไม่มีตุ่ม)</t>
  </si>
  <si>
    <t>8858890781415</t>
  </si>
  <si>
    <t>วาเลนเต้ แปรงยีแบบมีตุ่ม สีดำ 0.039g.</t>
  </si>
  <si>
    <t>8858890782054</t>
  </si>
  <si>
    <t>วาเลนเต้ แปรงไดร์ 2 ด้านขนหมูป่า สีน้ำตาล 0.29g.</t>
  </si>
  <si>
    <t>8858890782061</t>
  </si>
  <si>
    <t>วาเลนเต้ แปรงไดร์ 2 ด้านขนหมูป่า สีดำ 0.028g.</t>
  </si>
  <si>
    <t>8858890761059</t>
  </si>
  <si>
    <t>บาร์เบอร์ เบรน กรรไกรซอย 0.095g.</t>
  </si>
  <si>
    <t>8858890782887</t>
  </si>
  <si>
    <t>VAL-658-01</t>
  </si>
  <si>
    <t>วาเลนเต้ หวีแปรงเหลี่ยม สีดำ (ใช้สำหรับผมเปียกได้)</t>
  </si>
  <si>
    <t>8858890782894</t>
  </si>
  <si>
    <t>VAL-658-04</t>
  </si>
  <si>
    <t>วาเลนเต้ หวีแปรงเหลี่ยม สีฟ้า (ใช้สำหรับผมเปียกได้)</t>
  </si>
  <si>
    <t>8858890782900</t>
  </si>
  <si>
    <t>VAL-658-06</t>
  </si>
  <si>
    <t>วาเลนเต้ หวีแปรงเหลี่ยม สีเหลือง (ใช้สำหรับผมเปียกได้)</t>
  </si>
  <si>
    <t>8858890782917</t>
  </si>
  <si>
    <t>VAL-658-15</t>
  </si>
  <si>
    <t>วาเลนเต้ หวีแปรงเหลี่ยม สีเขียวอ่อน (ใช้สำหรับผมเปียกได้)</t>
  </si>
  <si>
    <t>8858890782924</t>
  </si>
  <si>
    <t>VAL-658-16</t>
  </si>
  <si>
    <t>วาเลนเต้ หวีแปรงเหลี่ยม สีชมพูอ่อน (ใช้สำหรับผมเปียกได้)</t>
  </si>
  <si>
    <t>8858890782931</t>
  </si>
  <si>
    <t>VAL-659-01</t>
  </si>
  <si>
    <t>วาเลนเต้ หวีแปรงกลม สีดำ (ใช้สำหรับผมเปียกได้)</t>
  </si>
  <si>
    <t>8858890782948</t>
  </si>
  <si>
    <t>VAL-659-04</t>
  </si>
  <si>
    <t>วาเลนเต้ หวีแปรงกลม สีฟ้า (ใช้สำหรับผมเปียกได้)</t>
  </si>
  <si>
    <t>8858890782955</t>
  </si>
  <si>
    <t>VAL-659-06</t>
  </si>
  <si>
    <t>วาเลนเต้ หวีแปรงกลม สีเหลือง (ใช้สำหรับผมเปียกได้)</t>
  </si>
  <si>
    <t>8858890782962</t>
  </si>
  <si>
    <t>VAL-659-15</t>
  </si>
  <si>
    <t>วาเลนเต้ หวีแปรงกลม สีเขียวอ่อน (ใช้สำหรับผมเปียกได้)</t>
  </si>
  <si>
    <t>8858890782979</t>
  </si>
  <si>
    <t>VAL-659-16</t>
  </si>
  <si>
    <t>วาเลนเต้ หวีแปรงกลม สีชมพูอ่อน (ใช้สำหรับผมเปียกได้)</t>
  </si>
  <si>
    <t>8858890761066</t>
  </si>
  <si>
    <t>บาร์เบอร์ เบรน กรรไกรตัดสำหรับมือซ้าย 0.090g.</t>
  </si>
  <si>
    <t>8858890761073</t>
  </si>
  <si>
    <t>บาร์เบอร์ เบรน กรรไกรซอยสำหรับมือซ้าย 0.085g.</t>
  </si>
  <si>
    <t>8858890781538</t>
  </si>
  <si>
    <t>วาเลนเต้ หวีแปรงเกล้าผม สีดำ 0.040g.</t>
  </si>
  <si>
    <t>8858890798826</t>
  </si>
  <si>
    <t>VAL-68</t>
  </si>
  <si>
    <t>วาเลนเต้ กรรไกรตัด 6" นิ้ว</t>
  </si>
  <si>
    <t>8858890799687</t>
  </si>
  <si>
    <t>วาเลนเต้ ชุดกรรไกรตัด+ซอย 6" นิ้ว</t>
  </si>
  <si>
    <t>8858890794798</t>
  </si>
  <si>
    <t>วาเลนเต้ แปรงปัดผม 0.069g.</t>
  </si>
  <si>
    <t>8858890798833</t>
  </si>
  <si>
    <t>VAL-69</t>
  </si>
  <si>
    <t>8858890798871</t>
  </si>
  <si>
    <t>VAL-69-70</t>
  </si>
  <si>
    <t>วาเลนเต้ ชุดกรรไกรตัด+ซอย 6 นิ้ว</t>
  </si>
  <si>
    <t>885889076029801</t>
  </si>
  <si>
    <t>VAL-7/B/1</t>
  </si>
  <si>
    <t>วาเลนเต้ กรรไกรตัด.</t>
  </si>
  <si>
    <t>NONEBAR51</t>
  </si>
  <si>
    <t>VAL-7/B/2</t>
  </si>
  <si>
    <t>วาเลนเต้ กรรไกรซอย.</t>
  </si>
  <si>
    <t>8858890798840</t>
  </si>
  <si>
    <t>VAL-70</t>
  </si>
  <si>
    <t>วาเลนเต้ กรรไกรซอย 6.5' นิ้ว</t>
  </si>
  <si>
    <t>8858890798888</t>
  </si>
  <si>
    <t>วาเลนเต้ ชุดกรรไกรตัด+ซอย 6.5" นิ้ว</t>
  </si>
  <si>
    <t>8858890799854</t>
  </si>
  <si>
    <t>วาเลนเต้ กระจกด้านเดียวสีดำ</t>
  </si>
  <si>
    <t>8858890791629</t>
  </si>
  <si>
    <t>VAL-7005P</t>
  </si>
  <si>
    <t>วาเลนเต้ กิ๊ฟดำตุ่มใหญ่(หลังยัก) 0.176g.</t>
  </si>
  <si>
    <t>8858890760786</t>
  </si>
  <si>
    <t>วาเลนเต้ กรรไกรตัด 0.043g.</t>
  </si>
  <si>
    <t>8858890766816</t>
  </si>
  <si>
    <t>วาเลนเต้ กรรไกรตัด0.039g.</t>
  </si>
  <si>
    <t>8858890794446</t>
  </si>
  <si>
    <t>วาเลนเต้ กางเกงในสปา สีดำ 0.184g.</t>
  </si>
  <si>
    <t>8858890792664</t>
  </si>
  <si>
    <t>วาเลนเต้ กางเกงในสปา สีกรม 0.181g.</t>
  </si>
  <si>
    <t>8858890791582</t>
  </si>
  <si>
    <t>VAL-705</t>
  </si>
  <si>
    <t>วาเลนเต้ กางเกงในสปาลายการ์ตูน สีขาว 0.366g.</t>
  </si>
  <si>
    <t>วาเลนเต้ กางเกงในสปาลายการ์ตูน สีขาว 0.084g.</t>
  </si>
  <si>
    <t>8858890798857</t>
  </si>
  <si>
    <t>VAL-71</t>
  </si>
  <si>
    <t>วาเลนเต้ กรรไกรตัด 6.5" นิ้ว</t>
  </si>
  <si>
    <t>8858890798864</t>
  </si>
  <si>
    <t>8858890799823</t>
  </si>
  <si>
    <t>กรรไกรตัดผม 6.5" Barber Brain รุ่น tiffany blue</t>
  </si>
  <si>
    <t>8858890793777</t>
  </si>
  <si>
    <t>วาเลนเต้ แปรงปัดหนวด สีครีม 0.029g.</t>
  </si>
  <si>
    <t>8858890799830</t>
  </si>
  <si>
    <t>กรรไกรฟันปลา 6" Barber Brain รุ่น tiffany blue</t>
  </si>
  <si>
    <t>8858890799861</t>
  </si>
  <si>
    <t>วาเลนเต้ กระจกด้านเดียวสีเงิน</t>
  </si>
  <si>
    <t>8858890790554</t>
  </si>
  <si>
    <t>วาเลนเต้ หน้ากากกันสเปรย์ สีชมพู 0.044g.</t>
  </si>
  <si>
    <t>8858890780852</t>
  </si>
  <si>
    <t>วาเลนเต้ แปรงไดร์กลมลายเฉียง 8 แถว สีดำ 0.029g.</t>
  </si>
  <si>
    <t>8858890780869</t>
  </si>
  <si>
    <t>วาเลนเต้ แปรงไดร์กลมลายตรง 8 แถว สีดำ 0.027g.</t>
  </si>
  <si>
    <t>8858890780876</t>
  </si>
  <si>
    <t>วาเลนเต้ แปรงไดร์กลมลายเฉียง 10 แถว สีดำ 0.037g.</t>
  </si>
  <si>
    <t>8858890780883</t>
  </si>
  <si>
    <t>วาเลนเต้ แปรงไดร์กลมลายตรง 10 แถว สีดำ 0.033g.</t>
  </si>
  <si>
    <t>8858890780890</t>
  </si>
  <si>
    <t>วาเลนเต้ แปรงไดร์กลมลายเฉียง 12 แถว สีดำ 0.049g.</t>
  </si>
  <si>
    <t>8858890780906</t>
  </si>
  <si>
    <t>วาเลนเต้ แปรงไดร์กลมลายตรง 12 แถว สีดำ 0.037g.</t>
  </si>
  <si>
    <t>8858890780913</t>
  </si>
  <si>
    <t>วาเลนเต้ แปรงไดร์กลมลายเฉียง 14 แถว สีดำ 0.064g.</t>
  </si>
  <si>
    <t>8858890780920</t>
  </si>
  <si>
    <t>วาเลนเต้ แปรงไดร์กลมลายตรง 14 แถว สีดำ 0.063g.</t>
  </si>
  <si>
    <t>8858890800086</t>
  </si>
  <si>
    <t>หวีแปรงม้วน Valente blue series ขนาด 10(10มม.) สีฟ้า 0.027g.</t>
  </si>
  <si>
    <t>8858890800079</t>
  </si>
  <si>
    <t>หวีแปรงม้วน Valente blue series ขนาด 8 (8มม.) สีฟ้า 0.021g.</t>
  </si>
  <si>
    <t>8858890782450</t>
  </si>
  <si>
    <t>วาเลนเต้ แปรงไดร์กลมฟันสลับ 8 แถว(8มม.) สีดำ 0.021g.</t>
  </si>
  <si>
    <t>8858890782467</t>
  </si>
  <si>
    <t>วาเลนเต้ แปรงไดร์กลมฟันสลับ 10 แถว(10มม.) สีดำ 0.027g.</t>
  </si>
  <si>
    <t>8858890782443</t>
  </si>
  <si>
    <t>วาเลนเต้ แปรงไดร์กลมฟันสลับ 8 แถว(8มม.) สีดำ 0.019g.</t>
  </si>
  <si>
    <t>8858890782474</t>
  </si>
  <si>
    <t>วาเลนเต้ แปรงไดร์กลมฟันสลับ 10 แถว(8มม.) สีดำ 0.030g.</t>
  </si>
  <si>
    <t>8858890781620</t>
  </si>
  <si>
    <t>VAL-861-D</t>
  </si>
  <si>
    <t>วาเลนเต้ แปรงไดร์ฟันสลับ 10 แถว</t>
  </si>
  <si>
    <t>8858890781637</t>
  </si>
  <si>
    <t>วาเลนเต้ แปรงไดร์กลม 10 แถว สีส้ม 0.034g.</t>
  </si>
  <si>
    <t>8858890781644</t>
  </si>
  <si>
    <t>วาเลนเต้ แปรงไดร์กลม 12 แถว สีส้ม 0.047g.</t>
  </si>
  <si>
    <t>8858890781651</t>
  </si>
  <si>
    <t>วาเลนเต้ แปรงไดร์กลม 14 แถว สีส้ม 0.058g.</t>
  </si>
  <si>
    <t>8858890781668</t>
  </si>
  <si>
    <t>VAL-866-D</t>
  </si>
  <si>
    <t>วาเลนเต้ แปรงไดร์ฟันสลับ 6 แถว</t>
  </si>
  <si>
    <t>8858890781712</t>
  </si>
  <si>
    <t>วาเลนเต้ แปรงไดร์ฟันสลับ 7 แถว</t>
  </si>
  <si>
    <t>8858890781729</t>
  </si>
  <si>
    <t>วาเลนเต้ แปรงไดร์กลม 8 แถว สีส้ม 0.037g.</t>
  </si>
  <si>
    <t>8858890781736</t>
  </si>
  <si>
    <t>วาเลนเต้ แปรงไดร์กลม 9 แถว สีส้ม 0.044g.</t>
  </si>
  <si>
    <t>8858890760014</t>
  </si>
  <si>
    <t>วาเลนเต้ ชุดกรรไกรตัด-ซอย 0.432g.</t>
  </si>
  <si>
    <t>8858890799922</t>
  </si>
  <si>
    <t>วาเลนเต้ ชุดหวีแปรง</t>
  </si>
  <si>
    <t>8858890796884</t>
  </si>
  <si>
    <t>วาเลนเต้ ด้ามมีดโกนแบบพับได้ สีดำ 0.040g.</t>
  </si>
  <si>
    <t>8858890796891</t>
  </si>
  <si>
    <t>วาเลนเต้ ด้ามมีดโกนแบบพับได้ สีครีม 0.040g.</t>
  </si>
  <si>
    <t>8858890791230</t>
  </si>
  <si>
    <t>VAL-9013</t>
  </si>
  <si>
    <t>วาเลนเต้ แผ่นหน้ากากมาส์คหน้า สีขาว 0.036g.</t>
  </si>
  <si>
    <t>8858890780937</t>
  </si>
  <si>
    <t>วาเลนเต้ แปรงไดร์กลม เบอร์ 1 สีดำ 0.034g.</t>
  </si>
  <si>
    <t>8858890780944</t>
  </si>
  <si>
    <t>วาเลนเต้ แปรงไดร์กลม เบอร์ 2 สีดำ 0.044g.</t>
  </si>
  <si>
    <t>8858890780951</t>
  </si>
  <si>
    <t>วาเลนเต้ แปรงไดร์กลม เบอร์ 3 สีดำ 0.059g.</t>
  </si>
  <si>
    <t>8858890780968</t>
  </si>
  <si>
    <t>วาเลนเต้ แปรงไดร์กลม เบอร์ 4 สีดำ 0.060g.</t>
  </si>
  <si>
    <t>8858890782078</t>
  </si>
  <si>
    <t>วาเลนเต้ แปรงไดร์กลม 8 แถว สีขาว 0.028g.</t>
  </si>
  <si>
    <t>88588907820850</t>
  </si>
  <si>
    <t>วาเลนเต้ แปรงไดร์กลม 10 แถว สีขาว 0.038g.</t>
  </si>
  <si>
    <t>8858890781170</t>
  </si>
  <si>
    <t>วาเลนเต้ แปรงไดร์กลม 12 แถว สีดำ 0.039g.</t>
  </si>
  <si>
    <t>8858890781187</t>
  </si>
  <si>
    <t>วาเลนเต้ แปรงไดร์กลม 12 แถว สีดำ 0.045g.</t>
  </si>
  <si>
    <t>885889078119410</t>
  </si>
  <si>
    <t>วาเลนเต้ แปรงไดร์กลม 12 แถว สีดำ 0.041g.</t>
  </si>
  <si>
    <t>8858890782092</t>
  </si>
  <si>
    <t>วาเลนเต้ แปรงไดร์กลม 12 แถว สีขาว 0.050g.</t>
  </si>
  <si>
    <t>8858890781200</t>
  </si>
  <si>
    <t>วาเลนเต้ แปรงไดร์กลม 14 แถว สีดำ 0.039g.</t>
  </si>
  <si>
    <t>8858890781217</t>
  </si>
  <si>
    <t>วาเลนเต้ แปรงไดร์กลม 14 แถว สีดำ 0.054g.</t>
  </si>
  <si>
    <t>8858890781224</t>
  </si>
  <si>
    <t>วาเลนเต้ แปรงไดร์กลม 14 แถว สีดำ 0.060g.</t>
  </si>
  <si>
    <t>8858890782108</t>
  </si>
  <si>
    <t>วาเลนเต้ แปรงไดร์กลม 14 แถว สีขาว 0.056g.</t>
  </si>
  <si>
    <t>8858890781231</t>
  </si>
  <si>
    <t>วาเลนเต้ แปรงไดร์กลม 16 แถว สีดำ 0.066g.</t>
  </si>
  <si>
    <t>8858890781248</t>
  </si>
  <si>
    <t>วาเลนเต้ แปรงไดร์กลม 16 แถว สีดำ 0.071g.</t>
  </si>
  <si>
    <t>8858890781255</t>
  </si>
  <si>
    <t>วาเลนเต้ แปรงไดร์กลม 16 แถว สีดำ 0.073g.</t>
  </si>
  <si>
    <t>8858890798598</t>
  </si>
  <si>
    <t>วาเลนเต้ กระบอกฉีดน้ำคอเกลียวใหญ่</t>
  </si>
  <si>
    <t>8858890781088</t>
  </si>
  <si>
    <t>วาเลนเต้ แปรงไดร์กลมลายเอียง 8 แถว สีดำ 0.035g.</t>
  </si>
  <si>
    <t>8858890781095</t>
  </si>
  <si>
    <t>วาเลนเต้ แปรงไดร์กลมลายเอียง 10 แถว สีดำ 0.042g.</t>
  </si>
  <si>
    <t>8858890781101</t>
  </si>
  <si>
    <t>วาเลนเต้ แปรงไดร์กลมลายเอียง 12 แถว สีดำ 0.064g.</t>
  </si>
  <si>
    <t>8858890781118</t>
  </si>
  <si>
    <t>วาเลนเต้ แปรงไดร์กลมลายเอียง 14 แถว สีดำ 0.075g.</t>
  </si>
  <si>
    <t>8858890791384</t>
  </si>
  <si>
    <t>VAL-9902</t>
  </si>
  <si>
    <t>วาเลนเต้ มีดโกนหนวดด้ามตรง สีดำ</t>
  </si>
  <si>
    <t>8858890791094</t>
  </si>
  <si>
    <t>วาเลนเต้ แปรงปัดหนวด สีครีม 0.016g.</t>
  </si>
  <si>
    <t>8858890781378</t>
  </si>
  <si>
    <t>วาเลนเต้ แปรงไดร์กลม 10 แถว สีเหลือง 0.043g.</t>
  </si>
  <si>
    <t>8858890781385</t>
  </si>
  <si>
    <t>วาเลนเต้ แปรงไดร์กลม 12 แถว สีเหลือง 0.064g.</t>
  </si>
  <si>
    <t>8858890781392</t>
  </si>
  <si>
    <t>วาเลนเต้ แปรงไดร์กลม 14 แถว สีเหลือง 0.066g.</t>
  </si>
  <si>
    <t>8858890800222</t>
  </si>
  <si>
    <t>วาเลนเต้ กรรไกรตัด A3-55</t>
  </si>
  <si>
    <t>8858890782535</t>
  </si>
  <si>
    <t>วาเลนเต้ หวีส้อมใหญ่สำหรับเช็ตผม สีดำ 0.046g.</t>
  </si>
  <si>
    <t>8858890782528</t>
  </si>
  <si>
    <t>วาเลนเต้ หวีส้อมเล็กสำหรับเช็ตผม สีดำ 0.034g.</t>
  </si>
  <si>
    <t>8858890800192</t>
  </si>
  <si>
    <t>วาเลนเต้ กรรไกรตัด CK8-60</t>
  </si>
  <si>
    <t>8858890800185</t>
  </si>
  <si>
    <t>วาเลนเต้ กรรไกรซอย CK8-630</t>
  </si>
  <si>
    <t>8858890796648</t>
  </si>
  <si>
    <t>บาร์เบอร์ เบรน แปรงปัดผมขนไนล่อน สีดำ 0.071g.</t>
  </si>
  <si>
    <t>8858890800277</t>
  </si>
  <si>
    <t>วาเลนเต้ กรรไกรตัด GTG03-60</t>
  </si>
  <si>
    <t>8858890800284</t>
  </si>
  <si>
    <t>วาเลนเต้ กรรไกรตัด GTN-60L</t>
  </si>
  <si>
    <t>8858890781491</t>
  </si>
  <si>
    <t>VAL-HCDY-001</t>
  </si>
  <si>
    <t>วาเลนเต้ หวีแปรง</t>
  </si>
  <si>
    <t>8858890800291</t>
  </si>
  <si>
    <t>วาเลนเต้ กรรไกรตัด JB-60</t>
  </si>
  <si>
    <t>8858890726041</t>
  </si>
  <si>
    <t>บาร์เบอร์ เบรน ผ้าคลุมซอยบาร์เบอร์ ลายบาร์เบอร์เบรนสีดำ 0.21</t>
  </si>
  <si>
    <t>8858890726034</t>
  </si>
  <si>
    <t>แอลแองเจล ผ้าคลุมซอยซาลอน 00.215g.</t>
  </si>
  <si>
    <t>8858890795948</t>
  </si>
  <si>
    <t>บาร์เบอร์ เบรน ผ้าคลุมซอยบาร์เบอร์ ลายธงชาติ 0.257g.</t>
  </si>
  <si>
    <t>8858890796488</t>
  </si>
  <si>
    <t>บาร์เบอร์ เบรน ผ้าคลุมซอยบาร์เบอร์ ลายทหาร 0.289g.</t>
  </si>
  <si>
    <t>8858890782368</t>
  </si>
  <si>
    <t>วาเลนเต้ หวีทำไฮไลท์ สีเขียว</t>
  </si>
  <si>
    <t>8858890782375</t>
  </si>
  <si>
    <t>วาเลนเต้ หวีเซ็ตสไตล์วินเทจ สีเหลือง 0.020g.</t>
  </si>
  <si>
    <t>8858890782481</t>
  </si>
  <si>
    <t>วาเลนเต้ หวีบาร์เบอร์สำหรับขึ้นทรง สีขาว 0.032g.</t>
  </si>
  <si>
    <t>8858890726683</t>
  </si>
  <si>
    <t>วาเลนเต้ ผ้าคลุมซอย 0.186g.</t>
  </si>
  <si>
    <t>8858890726676</t>
  </si>
  <si>
    <t>วาเลนเต้ ผ้าคลุมซอย 0.184g.</t>
  </si>
  <si>
    <t>885889076669</t>
  </si>
  <si>
    <t>วาเลนเต้ ผ้าคลุมซอย 0.181g.</t>
  </si>
  <si>
    <t>8858890782771</t>
  </si>
  <si>
    <t>บาร์เบอร์ เบรน หวีเซ็ทผม สีน้ำตาล 0.015g.</t>
  </si>
  <si>
    <t>8858890800215</t>
  </si>
  <si>
    <t>วาเลนเต้ กรรไกรตัด PA03-60</t>
  </si>
  <si>
    <t>8858890800208</t>
  </si>
  <si>
    <t>วาเลนเต้ กรรไกรซอย PA03-630</t>
  </si>
  <si>
    <t>8858890800260</t>
  </si>
  <si>
    <t>วาเลนเต้ กรรไกรตัด VT01-60</t>
  </si>
  <si>
    <t>8858890800338</t>
  </si>
  <si>
    <t>วาเลนเต้ กรรไกรซอย VT03-630F</t>
  </si>
  <si>
    <t>8858890800473</t>
  </si>
  <si>
    <t>วาเลนเต้ กรรไกรตัด 6" นิ้ว WB-60</t>
  </si>
  <si>
    <t>8858890800444</t>
  </si>
  <si>
    <t>วาเลนเต้ กรรไกรซอย 6" นิ้ว WB-630</t>
  </si>
  <si>
    <t>8858890796464</t>
  </si>
  <si>
    <t>วาเลนเต้ โถแก้วฆ่าเชื้อเล็ก 1,000ml. 0.752g.</t>
  </si>
  <si>
    <t>8858890796471</t>
  </si>
  <si>
    <t>วาเลนเต้ โถแก้วฆ่าเชื้อใหญ่ 1,500ml. 0.934g.</t>
  </si>
  <si>
    <t>8858890796457</t>
  </si>
  <si>
    <t>วาเลนเต้ กล่องพลาสติกใส่กระดาษพันคอ สีขาว 0.191g.</t>
  </si>
  <si>
    <t>8858890782504</t>
  </si>
  <si>
    <t>บาร์เบอร์ เบรน แปรงปัดผมขนไนล่อนขนาดเล็ก สีดำ 0.049g.</t>
  </si>
  <si>
    <t>6932002010074</t>
  </si>
  <si>
    <t>แอลเองเจล วาซีน่าครีมจับลอน 180 มล.</t>
  </si>
  <si>
    <t>8858890796426</t>
  </si>
  <si>
    <t>วาเลนเต้ หน้ากากกันเคมี 0.102g.</t>
  </si>
  <si>
    <t>8858890721244</t>
  </si>
  <si>
    <t>วาเลนเต้ เครื่องโอโซนร้อน 6.7g.</t>
  </si>
  <si>
    <t>8858890721237</t>
  </si>
  <si>
    <t>XD-3003</t>
  </si>
  <si>
    <t>วาเลนเต้ เครื่องดูดสิวไฟฟ้า 4.8g.</t>
  </si>
  <si>
    <t>8858890797942</t>
  </si>
  <si>
    <t>XD-4001/1</t>
  </si>
  <si>
    <t>สายขวดพ่นน้ำแร่เครื่องดูดสิว 0.454g.</t>
  </si>
  <si>
    <t>8858890721245</t>
  </si>
  <si>
    <t>XD-4003</t>
  </si>
  <si>
    <t>วาเลนเต้ เครื่องดูดสิวไอออนโต 4 ระบบ</t>
  </si>
  <si>
    <t>8858890792077</t>
  </si>
  <si>
    <t>วาเลนเต้ ชั้นวางอุปกรณ์ สีขาว 7.0g.</t>
  </si>
  <si>
    <t>8882694000052</t>
  </si>
  <si>
    <t>XH-626</t>
  </si>
  <si>
    <t>วาเลนเต้ เครื่องอบแห้ง</t>
  </si>
  <si>
    <t>8858890720513</t>
  </si>
  <si>
    <t>วาเลนเต้ เครื่องอบไอน้ำ</t>
  </si>
  <si>
    <t>8858890780388</t>
  </si>
  <si>
    <t>XL-1041</t>
  </si>
  <si>
    <t>อาหารผม สำหรับเพิ่มความเงางาม</t>
  </si>
  <si>
    <t>8858890791117</t>
  </si>
  <si>
    <t>XL-108/1</t>
  </si>
  <si>
    <t>วาเลนเต้ แกนดัดขนาด 20x125 มม. สีฟ้า 0.064g.</t>
  </si>
  <si>
    <t>8858890791421</t>
  </si>
  <si>
    <t>วาเลนเต้ แกนดัดขนาด 25x125 มม. สีน้ำเงิน 0.053g.</t>
  </si>
  <si>
    <t>8858890793487</t>
  </si>
  <si>
    <t>วาเลนเต้ แกนดัดขนาด 17x125 มม. สีชมพู 0.047g.</t>
  </si>
  <si>
    <t>8858890791711</t>
  </si>
  <si>
    <t>วาเลนเต้ แกนดัดขนาด 15x125 มม. สีฟ้าอ่อน 0.046g.</t>
  </si>
  <si>
    <t>8858890780258</t>
  </si>
  <si>
    <t>วาเลนเต้ หวีกระดูก สีดำ 0.089g.</t>
  </si>
  <si>
    <t>8858890795832</t>
  </si>
  <si>
    <t>วาเลนเต้ ด้ามมีดโกนซอยสไล์แบบพับได้ สีขาว 0.049g.</t>
  </si>
  <si>
    <t>8858890795849</t>
  </si>
  <si>
    <t>วาเลนเต้ มีดโกนหนวดแบบพับ สีเงิน 0.060g.</t>
  </si>
  <si>
    <t>8858890797065</t>
  </si>
  <si>
    <t>XR-013-01</t>
  </si>
  <si>
    <t>วาเลนเต้ ห่วงต่อผมแบบชั้นเดียว สีดำ 0.39g.</t>
  </si>
  <si>
    <t>8858890797072</t>
  </si>
  <si>
    <t>XR-013-12</t>
  </si>
  <si>
    <t>วาเลนเต้ ห่วงต่อผมแบบชั้นเดียว สีน้ำตาล 0.39g.</t>
  </si>
  <si>
    <t>8858890794859</t>
  </si>
  <si>
    <t>XR-1435</t>
  </si>
  <si>
    <t>วาเลนเต้ กิ๊บพลาสติก</t>
  </si>
  <si>
    <t>8858890798987</t>
  </si>
  <si>
    <t>ฟรอยด์หน้าสั้น 15 ซม. x 16 เมตร</t>
  </si>
  <si>
    <t>8858890792596</t>
  </si>
  <si>
    <t>YCXP-7602</t>
  </si>
  <si>
    <t>วาเลนเต้ ฟองน้ำล้างหน้า สีชมพู 0.015g.</t>
  </si>
  <si>
    <t>8856491000898</t>
  </si>
  <si>
    <t>YUU-310</t>
  </si>
  <si>
    <t>ยูไดอิ คัลเลอร์ครีม 8.37 บลอนด์อ่อนประกายทองหม่น 0.11g.</t>
  </si>
  <si>
    <t>8858890800123</t>
  </si>
  <si>
    <t>YW-VS29A</t>
  </si>
  <si>
    <t>VIVA stella เล็บปลอมสำเร็จรูปดีไซด์เกาหลีชนิดกาวในตัวแบบ 30</t>
  </si>
  <si>
    <t>8858890800000</t>
  </si>
  <si>
    <t>YW-VS29B</t>
  </si>
  <si>
    <t>8858890800130</t>
  </si>
  <si>
    <t>YW-VS34</t>
  </si>
  <si>
    <t>VIVA stella เล็บปลอมสำเร็จรูปดีไซด์เกาหลีแบบ 24 ชิ้น</t>
  </si>
  <si>
    <t>8858890800147</t>
  </si>
  <si>
    <t>YW-ZX36</t>
  </si>
  <si>
    <t>Dazzle เล็บปลอมสำเร็จรูปดีไซด์เกาหลีแบบ 24 ชิ้น</t>
  </si>
  <si>
    <t>8858890794651</t>
  </si>
  <si>
    <t>วาเลนเต้ กระดาษพันแกนดัด สีขาว 0.057g.</t>
  </si>
  <si>
    <t>8858890796631</t>
  </si>
  <si>
    <t>วาเลนเต้ กระดาษพันแกนดัด สีขาว 0.097g.</t>
  </si>
  <si>
    <t>8858890733032</t>
  </si>
  <si>
    <t>ZJ-002-L</t>
  </si>
  <si>
    <t>วาเลนเต้ แกนดัดขนตาไซด์</t>
  </si>
  <si>
    <t>8858890733025</t>
  </si>
  <si>
    <t>ZJ-002-M</t>
  </si>
  <si>
    <t>8858890731441</t>
  </si>
  <si>
    <t>ZJ-002-S</t>
  </si>
  <si>
    <t>วาเลนเต้ แกนดัดขนตาไซด์ S 4x40 มม. สีขาว 0.059g.</t>
  </si>
  <si>
    <t>8858890738464</t>
  </si>
  <si>
    <t>วาเลนเต้ แกนดัดขนตาไซด์ XL 6x40 มม. สีขาว 0.072g.</t>
  </si>
  <si>
    <t>ZJ-002S</t>
  </si>
  <si>
    <t>วาเลนเต้ แกนดัดขนตาไซด์ S</t>
  </si>
  <si>
    <t>ZJ-002XL</t>
  </si>
  <si>
    <t>วาเลนเต้ แกนดัดขนตาไซด์ XL</t>
  </si>
  <si>
    <t>8858890730871</t>
  </si>
  <si>
    <t>ZJ-013</t>
  </si>
  <si>
    <t>วาเลนเต้ ชุดพู่กันเพ้นท์เล็บ สีขาว 0.013g.</t>
  </si>
  <si>
    <t>8858890790936</t>
  </si>
  <si>
    <t>ZJ-114</t>
  </si>
  <si>
    <t>วาเลนเต้ แหนบปากเฉียง สีเงิน 0.100g.</t>
  </si>
  <si>
    <t>8858890798086</t>
  </si>
  <si>
    <t>ZM-501</t>
  </si>
  <si>
    <t>แกนดัดสปาเพิร์ม 0.041g.</t>
  </si>
  <si>
    <t>8858890797478</t>
  </si>
  <si>
    <t>ZM-BB-100/1</t>
  </si>
  <si>
    <t>ฟันปัตตาเลี่ยน BB-100 0.036g.</t>
  </si>
  <si>
    <t>8858890797485</t>
  </si>
  <si>
    <t>ZM-BB-100/2</t>
  </si>
  <si>
    <t>ถ่านชาร์จ 600mAh BB-100 0.030g.</t>
  </si>
  <si>
    <t>8858890797492</t>
  </si>
  <si>
    <t>ZM-BB-100/3</t>
  </si>
  <si>
    <t>ฝาครอบบอดี้ BB-100 0.039g.</t>
  </si>
  <si>
    <t>8858890797447</t>
  </si>
  <si>
    <t>ZM-BB-100/4</t>
  </si>
  <si>
    <t>มอเตอร์ BB-100 0.040g.</t>
  </si>
  <si>
    <t>8858890797454</t>
  </si>
  <si>
    <t>ZM-BB-100/5</t>
  </si>
  <si>
    <t>สายชาร์ท BB-100 0.113g.</t>
  </si>
  <si>
    <t>8858890797461</t>
  </si>
  <si>
    <t>ZM-BB-100/6</t>
  </si>
  <si>
    <t>แผงวงจร BB-100 0.004g.</t>
  </si>
  <si>
    <t>NONEBAR52</t>
  </si>
  <si>
    <t>ZM-BB-103/A</t>
  </si>
  <si>
    <t>รองฟันปัตตาเลี่ยน BB-103/A</t>
  </si>
  <si>
    <t>8858890797782</t>
  </si>
  <si>
    <t>ZM-BB-107/1</t>
  </si>
  <si>
    <t>ฟันปัตตาเลี่ยน BB-107 0.018g.</t>
  </si>
  <si>
    <t>8858890797799</t>
  </si>
  <si>
    <t>ZM-BB-107/2</t>
  </si>
  <si>
    <t>ถ่านชาร์จ 600mAh BB-107 0.031g.</t>
  </si>
  <si>
    <t>8858890797805</t>
  </si>
  <si>
    <t>ZM-BB-107/3</t>
  </si>
  <si>
    <t>แผงวงจร BB-107 0.005g.</t>
  </si>
  <si>
    <t>8858890797812</t>
  </si>
  <si>
    <t>ZM-BB-107/4</t>
  </si>
  <si>
    <t>มอเตอร์ BB-107 0.04g.</t>
  </si>
  <si>
    <t>8858890797829</t>
  </si>
  <si>
    <t>ZM-BB-107/5</t>
  </si>
  <si>
    <t>หม้อแปรงชาร์จไฟ BB-107 0.06g.</t>
  </si>
  <si>
    <t>8858890797836</t>
  </si>
  <si>
    <t>ZM-BB-107/6</t>
  </si>
  <si>
    <t>ฝาครอบบอดี้ BB-107 0.015g.</t>
  </si>
  <si>
    <t>8858890797843</t>
  </si>
  <si>
    <t>ZM-BB-107/7</t>
  </si>
  <si>
    <t>ฝาบอดี้ BB-107 0.019g.</t>
  </si>
  <si>
    <t>8858890797508</t>
  </si>
  <si>
    <t>ZM-BB-108/1</t>
  </si>
  <si>
    <t>หม้อแปรงชาร์จไฟ BB-108 0.067g.</t>
  </si>
  <si>
    <t>8858890797591</t>
  </si>
  <si>
    <t>ZM-BB-108/10</t>
  </si>
  <si>
    <t>สวิตซ์ BB-108 0.008g.</t>
  </si>
  <si>
    <t>8858890797607</t>
  </si>
  <si>
    <t>ZM-BB-108/11</t>
  </si>
  <si>
    <t>ฝาครอบบอดี้ BB-108 0.019g.</t>
  </si>
  <si>
    <t>8858890797515</t>
  </si>
  <si>
    <t>ZM-BB-108/2</t>
  </si>
  <si>
    <t>ถ่านชาร์จ 2000mAh BB-108 0.044g.</t>
  </si>
  <si>
    <t>8858890797522</t>
  </si>
  <si>
    <t>ZM-BB-108/3</t>
  </si>
  <si>
    <t>ฝาบอดี้ BB-108 0.042g.</t>
  </si>
  <si>
    <t>8858890797539</t>
  </si>
  <si>
    <t>ZM-BB-108/4</t>
  </si>
  <si>
    <t>ฟันปัตตาเลี่ยน BB-108 0.036g.</t>
  </si>
  <si>
    <t>8858890797546</t>
  </si>
  <si>
    <t>ZM-BB-108/5</t>
  </si>
  <si>
    <t>แกนสปริง BB-108 0.001g.</t>
  </si>
  <si>
    <t>8858890797553</t>
  </si>
  <si>
    <t>ZM-BB-108/6</t>
  </si>
  <si>
    <t>มอเตอร์ BB-108 0.078g.</t>
  </si>
  <si>
    <t>8858890797560</t>
  </si>
  <si>
    <t>ZM-BB-108/7</t>
  </si>
  <si>
    <t>สปริง BB-108 0.009g.</t>
  </si>
  <si>
    <t>8858890797577</t>
  </si>
  <si>
    <t>ZM-BB-108/8</t>
  </si>
  <si>
    <t>ฐานสปริง BB-108 0.018g.</t>
  </si>
  <si>
    <t>8858890797584</t>
  </si>
  <si>
    <t>ZM-BB-108/9</t>
  </si>
  <si>
    <t>แผงวงจร BB-108 0.008g.</t>
  </si>
  <si>
    <t>8858890797379</t>
  </si>
  <si>
    <t>ZM-BB-108/A</t>
  </si>
  <si>
    <t>สายชาร์ท BB-108 0.059g.</t>
  </si>
  <si>
    <t>8858890797386</t>
  </si>
  <si>
    <t>ZM-BB-108/B</t>
  </si>
  <si>
    <t>ถ่านชาร์ท 2,600mAh BB-108 0.046g.</t>
  </si>
  <si>
    <t>8858890797423</t>
  </si>
  <si>
    <t>ZM-BB-108/BD1</t>
  </si>
  <si>
    <t>บอดี้บน BB-108 0.018g.</t>
  </si>
  <si>
    <t>8858890797430</t>
  </si>
  <si>
    <t>ZM-BB-108/BD2</t>
  </si>
  <si>
    <t>บอดี้ล่าง BB-108 0.042g.</t>
  </si>
  <si>
    <t>8858890797393</t>
  </si>
  <si>
    <t>ZM-BB-108/C</t>
  </si>
  <si>
    <t>แผงวงจร BB-108 0.021g.</t>
  </si>
  <si>
    <t>8858890797409</t>
  </si>
  <si>
    <t>ZM-BB-108/M</t>
  </si>
  <si>
    <t>มอเตอร์ BB-108 0.08g.</t>
  </si>
  <si>
    <t>8858890797416</t>
  </si>
  <si>
    <t>ZM-BB-108/S</t>
  </si>
  <si>
    <t>สวิตซ์ BB-108 0.006g.</t>
  </si>
  <si>
    <t>8858890797850</t>
  </si>
  <si>
    <t>ZM-BB-110/1</t>
  </si>
  <si>
    <t>สายชาร์ท BB-110 0.055g.</t>
  </si>
  <si>
    <t>8858890797867</t>
  </si>
  <si>
    <t>ZM-BB-110/2</t>
  </si>
  <si>
    <t>ถ่านชาร์จ 2,600mAh BB-110 0.045g.</t>
  </si>
  <si>
    <t>8858890799816</t>
  </si>
  <si>
    <t>ZM-BB-110/2/3</t>
  </si>
  <si>
    <t>ถ่านชาร์จ พร้อม แผงวงจร BB-110</t>
  </si>
  <si>
    <t>8858800797874</t>
  </si>
  <si>
    <t>ZM-BB-110/3</t>
  </si>
  <si>
    <t>แผงวงจร BB-110 0.004g.</t>
  </si>
  <si>
    <t>8858890797881</t>
  </si>
  <si>
    <t>ZM-BB-110/4</t>
  </si>
  <si>
    <t>ฟันปัตตาเลี่ยน BB-110 0.041g.</t>
  </si>
  <si>
    <t>8858890797898</t>
  </si>
  <si>
    <t>ZM-BB-110/5</t>
  </si>
  <si>
    <t>แกนสปริง BB-110 0.009g.</t>
  </si>
  <si>
    <t>8858890797904</t>
  </si>
  <si>
    <t>ZM-BB-110/6</t>
  </si>
  <si>
    <t>8858890797911</t>
  </si>
  <si>
    <t>ZM-BB-110/7</t>
  </si>
  <si>
    <t>สวิตซ์ BB-110 0.006g.</t>
  </si>
  <si>
    <t>8858890799564</t>
  </si>
  <si>
    <t>ZM-BB-111/1</t>
  </si>
  <si>
    <t>สายชาร์ท BB-111</t>
  </si>
  <si>
    <t>8858890799656</t>
  </si>
  <si>
    <t>ZM-BB-111/10</t>
  </si>
  <si>
    <t>มอเตอร์ BB-111</t>
  </si>
  <si>
    <t>8858890799571</t>
  </si>
  <si>
    <t>ZM-BB-111/2</t>
  </si>
  <si>
    <t>ถ่านชาร์จ 2,500mAh BB-111</t>
  </si>
  <si>
    <t>8858890799588</t>
  </si>
  <si>
    <t>ZM-BB-111/3</t>
  </si>
  <si>
    <t>แผงวงจร BB-111</t>
  </si>
  <si>
    <t>8858890800475</t>
  </si>
  <si>
    <t>ชุดฟันปัตตาเลี่ยน BB-111</t>
  </si>
  <si>
    <t>8858890799601</t>
  </si>
  <si>
    <t>ZM-BB-111/5</t>
  </si>
  <si>
    <t>แท่นชาร์จ BB-111</t>
  </si>
  <si>
    <t>8858890799618</t>
  </si>
  <si>
    <t>ZM-BB-111/6</t>
  </si>
  <si>
    <t>ฝาครอบบอดี้ BB-111</t>
  </si>
  <si>
    <t>8858890799625</t>
  </si>
  <si>
    <t>ZM-BB-111/7</t>
  </si>
  <si>
    <t>ฝาบอดี้ BB-111</t>
  </si>
  <si>
    <t>8858890799632</t>
  </si>
  <si>
    <t>ZM-BB-111/8</t>
  </si>
  <si>
    <t>เมาท์ยึดฟันปัตตาเลี่ยน BB-111</t>
  </si>
  <si>
    <t>8858890799649</t>
  </si>
  <si>
    <t>ZM-BB-111/9</t>
  </si>
  <si>
    <t>น๊อตยึดคันโยกปรับระดับ BB-111</t>
  </si>
  <si>
    <t>NONEBAR53</t>
  </si>
  <si>
    <t>ZM-BB-112/1</t>
  </si>
  <si>
    <t>สายชาร์ท BB-112</t>
  </si>
  <si>
    <t>NONEBAR54</t>
  </si>
  <si>
    <t>ZM-BB-112/10</t>
  </si>
  <si>
    <t>มอเตอร์ BB-112</t>
  </si>
  <si>
    <t>NONEBAR55</t>
  </si>
  <si>
    <t>ZM-BB-112/2</t>
  </si>
  <si>
    <t>ถ่านชาร์จ BB-112</t>
  </si>
  <si>
    <t>NONEBAR56</t>
  </si>
  <si>
    <t>ZM-BB-112/3</t>
  </si>
  <si>
    <t>แผงวงจร BB-112</t>
  </si>
  <si>
    <t>NONEBAR57</t>
  </si>
  <si>
    <t>ZM-BB-112/4</t>
  </si>
  <si>
    <t>ฟันปัตตาเลี่ยน BB-112</t>
  </si>
  <si>
    <t>NONEBAR58</t>
  </si>
  <si>
    <t>ZM-BB-112/5</t>
  </si>
  <si>
    <t>แท่นชาร์จ BB-112</t>
  </si>
  <si>
    <t>8858890798000</t>
  </si>
  <si>
    <t>ZM-FJ03</t>
  </si>
  <si>
    <t>ใบพัดไดร์เป่าผม รุ่น HD-001 0.009g.</t>
  </si>
  <si>
    <t>8858890797751</t>
  </si>
  <si>
    <t>ZM-FJ07</t>
  </si>
  <si>
    <t>บูทไดร์เป่าผมส่วนบน 0.015g.</t>
  </si>
  <si>
    <t>8858890797768</t>
  </si>
  <si>
    <t>ZM-FJ07/1</t>
  </si>
  <si>
    <t>บูทไดร์เป่าผมส่วนล่าง 0.025g.</t>
  </si>
  <si>
    <t>8858890797928</t>
  </si>
  <si>
    <t>ZM-GLY-10</t>
  </si>
  <si>
    <t>แกนดัด GLY-10 สีดำ 0.033g.</t>
  </si>
  <si>
    <t>8858890799540</t>
  </si>
  <si>
    <t>ZM-H-004/005</t>
  </si>
  <si>
    <t>ขา หัวหุ่นชาย-หญิง</t>
  </si>
  <si>
    <t>8858890799465</t>
  </si>
  <si>
    <t>ZM-HC-003/1</t>
  </si>
  <si>
    <t>แผงวงจร HC-003</t>
  </si>
  <si>
    <t>8858890797775</t>
  </si>
  <si>
    <t>ZM-HCL-0601/1</t>
  </si>
  <si>
    <t>สวิตซ์ VAL-1919,VAL-2208 0.003g.</t>
  </si>
  <si>
    <t>8858890798017</t>
  </si>
  <si>
    <t>ZM-HD-001</t>
  </si>
  <si>
    <t>มอเตอร์ไดร์เป่าผม HD-001 0.096g.</t>
  </si>
  <si>
    <t>8858890798024</t>
  </si>
  <si>
    <t>ZM-HD-002</t>
  </si>
  <si>
    <t>มอเตอร์ไดร์เป่าผม HD-002 0.219g.</t>
  </si>
  <si>
    <t>8858890798604</t>
  </si>
  <si>
    <t>ZM-HD-002/1</t>
  </si>
  <si>
    <t>สวิทซ์ปิด-เปิดความร้อน ไดร์รุ่น HD-002 สีแดง</t>
  </si>
  <si>
    <t>8858890798611</t>
  </si>
  <si>
    <t>ZM-HD-002/2</t>
  </si>
  <si>
    <t>สวิทซ์ปิด-เปิด ไดร์รุ่น HD-002 สีดำ</t>
  </si>
  <si>
    <t>8858890798031</t>
  </si>
  <si>
    <t>ZM-HD-003</t>
  </si>
  <si>
    <t>มอเตอร์ไดร์เป่าผม HD-003 0.262g.</t>
  </si>
  <si>
    <t>8858890798048</t>
  </si>
  <si>
    <t>ZM-HD-009</t>
  </si>
  <si>
    <t>ฮีทเตอร์ไดร์เป่าผม HD-009 0.289g.</t>
  </si>
  <si>
    <t>8858890798055</t>
  </si>
  <si>
    <t>ZM-HD-009/1</t>
  </si>
  <si>
    <t>มอเตอร์ไดร์เป่าผม HD-009 0.045g.</t>
  </si>
  <si>
    <t>8858890797614</t>
  </si>
  <si>
    <t>ZM-HF-001</t>
  </si>
  <si>
    <t>ฝาครอบแผงวงจร HF-001 0.008g.</t>
  </si>
  <si>
    <t>8882694000069</t>
  </si>
  <si>
    <t>ZM-HF-001/1</t>
  </si>
  <si>
    <t>ขั้วต่อไฟ HF-001</t>
  </si>
  <si>
    <t>8858890799663</t>
  </si>
  <si>
    <t>ZM-HF-013/1</t>
  </si>
  <si>
    <t>แผงวงจร เครื่องหนีบผมรุ่น ทาเล้นจ์ ไทเทเนียม HF-013</t>
  </si>
  <si>
    <t>8858890799670</t>
  </si>
  <si>
    <t>ZM-HF-017/1</t>
  </si>
  <si>
    <t>แผงวงจร เครื่องหนีบผมรุ่น ทาเล้นจ์ ไทเทเนียม HF-017</t>
  </si>
  <si>
    <t>8858890797355</t>
  </si>
  <si>
    <t>ZM-HT-001/1</t>
  </si>
  <si>
    <t>ชุดสายชาร์ท ปัตตาเลี่ยนไร้สาย</t>
  </si>
  <si>
    <t>8858890797959</t>
  </si>
  <si>
    <t>ZM-HT-001/3</t>
  </si>
  <si>
    <t>ถ่านปัตตาเลี่ยนไร้สาย HT-001</t>
  </si>
  <si>
    <t>8858890799724</t>
  </si>
  <si>
    <t>ZM-HT-002/1</t>
  </si>
  <si>
    <t>สายชาร์ท HT-002 0.055g.</t>
  </si>
  <si>
    <t>8858890799731</t>
  </si>
  <si>
    <t>ZM-HT-002/2</t>
  </si>
  <si>
    <t>ถ่านปัตตาเลี่ยน HT-002</t>
  </si>
  <si>
    <t>8858890799748</t>
  </si>
  <si>
    <t>ZM-HT-002/3</t>
  </si>
  <si>
    <t>แผงวงจร HT-002 0.004g.</t>
  </si>
  <si>
    <t>8858890799717</t>
  </si>
  <si>
    <t>ZM-HT-002/4</t>
  </si>
  <si>
    <t>ฟันปัตตาเลี่ยน HT-002 0.036g.</t>
  </si>
  <si>
    <t>8858890799762</t>
  </si>
  <si>
    <t>ZM-HT-002/5</t>
  </si>
  <si>
    <t>มอเตอร์ HT-002 0.08g.</t>
  </si>
  <si>
    <t>8858890799755</t>
  </si>
  <si>
    <t>ZM-HT-002/6</t>
  </si>
  <si>
    <t>สวิตซ์ HT-002 0.006g.</t>
  </si>
  <si>
    <t>8858890799694</t>
  </si>
  <si>
    <t>ZM-HT-002/7</t>
  </si>
  <si>
    <t>แกนสปริง HT-002 0.001g.</t>
  </si>
  <si>
    <t>8858890799700</t>
  </si>
  <si>
    <t>ZM-HT-002/8</t>
  </si>
  <si>
    <t>สปริง HT-002 0.009g.</t>
  </si>
  <si>
    <t>8858890797362</t>
  </si>
  <si>
    <t>ZM-HX-626/2</t>
  </si>
  <si>
    <t>ฝาครอบอบแห้ง</t>
  </si>
  <si>
    <t>8858890797744</t>
  </si>
  <si>
    <t>ZM-MH-2007</t>
  </si>
  <si>
    <t>หลอดไฟอินฟาเรด</t>
  </si>
  <si>
    <t>8882694000137</t>
  </si>
  <si>
    <t>ZM-P-10</t>
  </si>
  <si>
    <t>แผงไอซี โรลม้วนผมไฟฟ้า</t>
  </si>
  <si>
    <t>8858890799359</t>
  </si>
  <si>
    <t>ZM-PKY-2235/A-1</t>
  </si>
  <si>
    <t>มอเตอร์ ของไฟหมุน</t>
  </si>
  <si>
    <t>8858890799366</t>
  </si>
  <si>
    <t>ZM-PKY-2235/A-2</t>
  </si>
  <si>
    <t>8858890797997</t>
  </si>
  <si>
    <t>ZM-S-707/2</t>
  </si>
  <si>
    <t>โถแก้วเครื่องโอโซนร้อน 0.454g.</t>
  </si>
  <si>
    <t>8858890725969</t>
  </si>
  <si>
    <t>ZM-S009/17</t>
  </si>
  <si>
    <t>แกนดัด VAL-S009 #17 สีน้ำเงิน 0.030g.</t>
  </si>
  <si>
    <t>8858890725976</t>
  </si>
  <si>
    <t>ZM-S009/19</t>
  </si>
  <si>
    <t>แกนดัด VAL-S009 #19 สีน้ำเงิน 0.035g.</t>
  </si>
  <si>
    <t>8858890726072</t>
  </si>
  <si>
    <t>ZM-S009/22</t>
  </si>
  <si>
    <t>แกนดัด VAL-S009 #22 สีน้ำเงิน 0.039g.</t>
  </si>
  <si>
    <t>8858890726065</t>
  </si>
  <si>
    <t>ZM-S009/25</t>
  </si>
  <si>
    <t>แกนดัด VAL-S009 #25 สีน้ำเงิน 0.044g.</t>
  </si>
  <si>
    <t>8858890798062</t>
  </si>
  <si>
    <t>ZM-S009/26</t>
  </si>
  <si>
    <t>แกนดัด VAL-S009 #26 สีน้ำเงิน 0.042g.</t>
  </si>
  <si>
    <t>8858890798079</t>
  </si>
  <si>
    <t>ZM-S009/28</t>
  </si>
  <si>
    <t>แกนดัด VAL-S009 #28 สีน้ำเงิน 0.050g.</t>
  </si>
  <si>
    <t>8858890797324</t>
  </si>
  <si>
    <t>ZM-VAL-1919/1</t>
  </si>
  <si>
    <t>อะไหล่บอดี้ฝาบนปัตตาเลี่ยน</t>
  </si>
  <si>
    <t>8858890797331</t>
  </si>
  <si>
    <t>ZM-VAL-2208</t>
  </si>
  <si>
    <t>สายไฟวาเลนเต้ ปัตตาเลี่ยน</t>
  </si>
  <si>
    <t>8858890797737</t>
  </si>
  <si>
    <t>ZM-XD-3003</t>
  </si>
  <si>
    <t>ด้ามจับเครื่องดูดสิว 0.26g.</t>
  </si>
  <si>
    <t>8882694000076</t>
  </si>
  <si>
    <t>ZM-XH-626/1</t>
  </si>
  <si>
    <t>ใบพัดเครื่องอบแห้ง XH-626</t>
  </si>
  <si>
    <t>8858890797652</t>
  </si>
  <si>
    <t>ZM-XJ-200/10</t>
  </si>
  <si>
    <t>ปะเก็นเครื่องอบ XJ-200 0.002g.</t>
  </si>
  <si>
    <t>8858890797690</t>
  </si>
  <si>
    <t>ZM-XJ-200/14</t>
  </si>
  <si>
    <t>ฮีทเตอร์เครื่องอบ XJ-200 0.077g.</t>
  </si>
  <si>
    <t>8858890797621</t>
  </si>
  <si>
    <t>ZM-XJ-200/2</t>
  </si>
  <si>
    <t>ขวดน้ำเครื่องอบ XJ-200 สีขาว 0.012g.</t>
  </si>
  <si>
    <t>8858890797706</t>
  </si>
  <si>
    <t>ZM-XJ-200/20</t>
  </si>
  <si>
    <t>ฝาครอบเครื่องอบ XJ-200 0.586g.</t>
  </si>
  <si>
    <t>8858890797713</t>
  </si>
  <si>
    <t>ZM-XJ-200/21</t>
  </si>
  <si>
    <t>ทรานซิสเตอร์เครื่องอบ XJ-200 0.004g.</t>
  </si>
  <si>
    <t>8858890797720</t>
  </si>
  <si>
    <t>ZM-XJ-200/23</t>
  </si>
  <si>
    <t>โถน้ำเครื่องอบ XJ-200 0.098g.</t>
  </si>
  <si>
    <t>8858890797645</t>
  </si>
  <si>
    <t>ZM-XJ-200/4</t>
  </si>
  <si>
    <t>ตัวครอบเครื่องอบ XJ-200 0.477g.</t>
  </si>
  <si>
    <t>8858890797638</t>
  </si>
  <si>
    <t>ZM-XJ-200/5</t>
  </si>
  <si>
    <t>แกนโถเครื่องอบ XJ-200 0.019g.</t>
  </si>
  <si>
    <t>8858890797669</t>
  </si>
  <si>
    <t>ZM-XJ-200/7</t>
  </si>
  <si>
    <t>นาฬิกาตั้งเวลาเครื่องอบ XJ-200 0.081g.</t>
  </si>
  <si>
    <t>8858890797676</t>
  </si>
  <si>
    <t>ZM-XJ-200/8</t>
  </si>
  <si>
    <t>หม้อต้มเครื่องอบ XJ-200</t>
  </si>
  <si>
    <t>8858890797683</t>
  </si>
  <si>
    <t>ZM-XJ-200/9</t>
  </si>
  <si>
    <t>ปุมระบายเครื่องอบ XJ-200 0.005g.</t>
  </si>
  <si>
    <t>8858890799342</t>
  </si>
  <si>
    <t>ZM-XJ-200/S</t>
  </si>
  <si>
    <t>สวิทปิด-เปิด XJ-200</t>
  </si>
  <si>
    <t>8858890780593</t>
  </si>
  <si>
    <t>วาเลนเต้ หวีอีโต้ สีแดง 0.014g.</t>
  </si>
  <si>
    <t>8858890780500</t>
  </si>
  <si>
    <t>วาเลนเต้ หวีอีโต้ สีแดง 0.016g.</t>
  </si>
  <si>
    <t>8858890794712</t>
  </si>
  <si>
    <t>ZP-976-1</t>
  </si>
  <si>
    <t>วาเลนเต้ นาฬิกาจับเวลาดิจิตอล สีขาว-ดำ 0.52g.</t>
  </si>
  <si>
    <t>8858890794729</t>
  </si>
  <si>
    <t>บาร์เบอร์ เบรน แผ่นยางทับซอยบาร์เบอร์ สีดำ</t>
  </si>
  <si>
    <t>8858890794842</t>
  </si>
  <si>
    <t>วาเลนเต้ แผ่นโฟมทำไฮไลท์ สีขาว 0.031g.</t>
  </si>
  <si>
    <t>8858890794804</t>
  </si>
  <si>
    <t>บาร์เบอร์ เบรน เอี๊ยมยีนส์ช่างบาร์เบอร์ 0.401g.</t>
  </si>
  <si>
    <t>8858890795757</t>
  </si>
  <si>
    <t>บาร์เบอร์ เบรน แผ่นยางรองปัตตาเลี่ยน สีดำ 0.728g.</t>
  </si>
  <si>
    <t>8858890800109</t>
  </si>
  <si>
    <t>Oy-993-m/1</t>
  </si>
  <si>
    <t>Pky-1502</t>
  </si>
  <si>
    <t>NONEBAR59</t>
  </si>
  <si>
    <t>วาเลนเต้ หัวหุ่น ผญ.สีทองยาว H-011</t>
  </si>
  <si>
    <t>NONEBAR60</t>
  </si>
  <si>
    <t>KBPP-001</t>
  </si>
  <si>
    <t>NONEBAR61</t>
  </si>
  <si>
    <t>KBPP-002</t>
  </si>
  <si>
    <t>NONEBAR62</t>
  </si>
  <si>
    <t>KBPP-003</t>
  </si>
  <si>
    <t>NONEBAR63</t>
  </si>
  <si>
    <t>KBPP-004</t>
  </si>
  <si>
    <t>NONEBAR64</t>
  </si>
  <si>
    <t>PG-112</t>
  </si>
  <si>
    <t>กระเป๋า PG-112</t>
  </si>
  <si>
    <t>NONEBAR65</t>
  </si>
  <si>
    <t>PG-1577-PG</t>
  </si>
  <si>
    <t>กระเป๋า-1</t>
  </si>
  <si>
    <t>NONEBAR66</t>
  </si>
  <si>
    <t>PG-1578-PG</t>
  </si>
  <si>
    <t>กระเป๋า-2</t>
  </si>
  <si>
    <t>NONEBAR67</t>
  </si>
  <si>
    <t>PG-602-1</t>
  </si>
  <si>
    <t>กระเป๋า PG-602-1</t>
  </si>
  <si>
    <t>NONEBAR68</t>
  </si>
  <si>
    <t>PG-7020-PG</t>
  </si>
  <si>
    <t>กระเป๋า-3</t>
  </si>
  <si>
    <t>NONEBAR69</t>
  </si>
  <si>
    <t>PT-1819/4</t>
  </si>
  <si>
    <t>กระเป๋า PT-1819/4</t>
  </si>
  <si>
    <t>NONEBAR70</t>
  </si>
  <si>
    <t>PT-1819/5</t>
  </si>
  <si>
    <t>กระเป๋า PT-1819/5</t>
  </si>
  <si>
    <t>NONEBAR71</t>
  </si>
  <si>
    <t>PT-1823</t>
  </si>
  <si>
    <t>กระเป๋า PT-1823</t>
  </si>
  <si>
    <t>NONEBAR72</t>
  </si>
  <si>
    <t>PT-1824</t>
  </si>
  <si>
    <t>กระเป๋า PT-1824</t>
  </si>
  <si>
    <t>NONEBAR73</t>
  </si>
  <si>
    <t>PT-1825</t>
  </si>
  <si>
    <t>กระเป๋า PT-1825</t>
  </si>
  <si>
    <t>NONEBAR74</t>
  </si>
  <si>
    <t>ST-802T</t>
  </si>
  <si>
    <t>ขาตั้งหัวหุ่น ST-802T</t>
  </si>
  <si>
    <t>NONEBAR75</t>
  </si>
  <si>
    <t>VAL-M02</t>
  </si>
  <si>
    <t>หวีเซ็ทผม M02</t>
  </si>
  <si>
    <t>NONEBAR76</t>
  </si>
  <si>
    <t>ZM-H-010/011</t>
  </si>
  <si>
    <t>ขา หัวหุ่น ZM-H-010/011</t>
  </si>
  <si>
    <t>8858890799577</t>
  </si>
  <si>
    <t>ปัตตาเลี่ยนไร้สายบาร์เบอร์เบรน</t>
  </si>
  <si>
    <t>Product Data_Images/8858890799577.รูปภาพใน Appsheet.085852.jpg</t>
  </si>
  <si>
    <t>619185837976</t>
  </si>
  <si>
    <t>โคโบ โปรเฟสชั่นนอล เปปไทด์โปร ชิลดิ่ง คอนดิชั่นเนอร์ครีมนวดผม</t>
  </si>
  <si>
    <t>Product Data_Images/619185837976.รูปภาพใน Appsheet.053822.jpg</t>
  </si>
  <si>
    <t>619185837952</t>
  </si>
  <si>
    <t>โคโบ โปรเฟสชั่นนอล เปปไทด์โปร พีเอส ชีลดิ่ง แชมพูพู</t>
  </si>
  <si>
    <t>Product Data_Images/619185837952.รูปภาพใน Appsheet.053828.jpg</t>
  </si>
  <si>
    <t>619185837969</t>
  </si>
  <si>
    <t>Product Data_Images/619185837969.รูปภาพใน Appsheet.053834.jpg</t>
  </si>
  <si>
    <t>619185837945</t>
  </si>
  <si>
    <t>โคโบ โปรเฟสชั่นนอล เปปไทด์โปร รีแพร์ ลีฟ - อิน แฮร์ มาส์ก</t>
  </si>
  <si>
    <t>Product Data_Images/619185837945.รูปภาพใน Appsheet.053839.jpg</t>
  </si>
  <si>
    <t>hd-003</t>
  </si>
  <si>
    <t>1450</t>
  </si>
  <si>
    <t>https://images.unsplash.com/photo-1608248597279-f99d160bfcbc?q=80&amp;w=400&amp;auto=format&amp;fit=crop</t>
  </si>
  <si>
    <t>https://images.unsplash.com/photo-1595853035070-59a39fe84de3?q=80&amp;w=400&amp;auto=format&amp;fit=crop</t>
  </si>
  <si>
    <t>https://images.unsplash.com/photo-1522337360788-8b13dee7a37e?q=80&amp;w=400&amp;auto=format&amp;fit=crop</t>
  </si>
  <si>
    <t>https://images.unsplash.com/photo-1598440947619-2c35fc9aa908?q=80&amp;w=400&amp;auto=format&amp;fit=crop</t>
  </si>
  <si>
    <t>https://images.unsplash.com/photo-1535585209827-a15fcdbc4c2d?q=80&amp;w=400&amp;auto=format&amp;fit=crop</t>
  </si>
  <si>
    <t>HC-002</t>
  </si>
  <si>
    <t>HC-003</t>
  </si>
  <si>
    <t>ฝาสี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</si>
</sst>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1E]#,##0"/>
    <numFmt numFmtId="165" formatCode="[$฿-41E]#,##0.00"/>
  </numFmts>
  <fonts count="37" x14ac:knownFonts="1">
    <font>
      <color theme="1"/>
      <family val="2"/>
      <scheme val="minor"/>
      <sz val="11"/>
      <name val="Calibri"/>
    </font>
    <font>
      <color theme="1"/>
      <scheme val="minor"/>
      <name val="Arial"/>
    </font>
    <font>
      <color theme="4"/>
      <scheme val="minor"/>
      <name val="Arial"/>
    </font>
    <font>
      <color rgb="FF4285F4"/>
      <scheme val="minor"/>
      <name val="Arial"/>
    </font>
    <font>
      <color rgb="FFFF0000"/>
      <scheme val="minor"/>
      <name val="Arial"/>
    </font>
    <font>
      <color theme="1"/>
      <name val="Arial"/>
    </font>
    <font/>
    <font>
      <color theme="1"/>
      <name val="Sarabun"/>
    </font>
    <font>
      <color rgb="FF4285F4"/>
      <name val="Sarabun"/>
    </font>
    <font>
      <color rgb="FFFF00FF"/>
      <scheme val="minor"/>
      <name val="Arial"/>
    </font>
    <font>
      <b/>
      <color theme="1"/>
      <scheme val="minor"/>
      <sz val="10"/>
      <name val="Arial"/>
    </font>
    <font>
      <b/>
      <color theme="1"/>
      <scheme val="minor"/>
      <name val="Arial"/>
    </font>
    <font>
      <color rgb="FFFF0000"/>
      <name val="Arial"/>
    </font>
    <font>
      <color theme="1"/>
      <sz val="12"/>
      <name val="Roboto"/>
    </font>
    <font>
      <color rgb="FFFF9900"/>
      <sz val="12"/>
      <name val="Roboto"/>
    </font>
    <font>
      <color rgb="FF0000FF"/>
      <sz val="12"/>
      <name val="Roboto"/>
    </font>
    <font>
      <color theme="1"/>
      <sz val="8"/>
      <name val="Roboto"/>
    </font>
    <font>
      <color theme="1"/>
      <sz val="9"/>
      <name val="Roboto"/>
    </font>
    <font>
      <color rgb="FF000000"/>
      <sz val="12"/>
      <name val="Calibri"/>
    </font>
    <font>
      <b/>
      <color rgb="FF000000"/>
      <sz val="12"/>
      <name val="Arial"/>
    </font>
    <font>
      <b/>
      <color theme="1"/>
      <sz val="12"/>
      <name val="Arial"/>
    </font>
    <font>
      <color theme="1"/>
      <sz val="11"/>
      <name val="Georgia"/>
    </font>
    <font>
      <color rgb="FF000000"/>
      <sz val="8"/>
      <name val="Arial"/>
    </font>
    <font>
      <u/>
      <color rgb="FF1155CC"/>
      <sz val="8"/>
      <name val="Arial"/>
    </font>
    <font>
      <u/>
      <color rgb="FF000000"/>
      <sz val="8"/>
      <name val="Arial"/>
    </font>
    <font>
      <color rgb="FF666666"/>
      <sz val="8"/>
      <name val="Arial"/>
    </font>
    <font>
      <u/>
      <color rgb="FFFF0000"/>
      <sz val="8"/>
      <name val="Arial"/>
    </font>
    <font>
      <u/>
      <color rgb="FFDCA10D"/>
      <sz val="8"/>
      <name val="Arial"/>
    </font>
    <font>
      <color rgb="FFFF0000"/>
      <sz val="8"/>
      <name val="Arial"/>
    </font>
    <font>
      <u/>
      <color rgb="FF0000FF"/>
      <sz val="8"/>
      <name val="Arial"/>
    </font>
    <font>
      <color theme="1"/>
      <sz val="8"/>
      <name val="Arial"/>
    </font>
    <font>
      <b/>
      <color rgb="FFFFFFFF"/>
      <sz val="11"/>
      <name val="Sarabun"/>
    </font>
    <font>
      <color theme="1"/>
      <sz val="11"/>
      <name val="Sarabun"/>
    </font>
    <font>
      <color theme="1"/>
      <sz val="12"/>
      <name val="Tahoma"/>
    </font>
    <font>
      <b/>
      <color rgb="FFFFFFFF"/>
      <sz val="16"/>
      <name val="Tahoma"/>
    </font>
    <font>
      <b/>
      <color theme="1"/>
      <name val="Tahoma"/>
    </font>
    <font>
      <b/>
      <color theme="1"/>
      <sz val="11"/>
      <name val="Calibri"/>
    </font>
  </fonts>
  <fills count="16">
    <fill>
      <patternFill patternType="none"/>
    </fill>
    <fill>
      <patternFill patternType="gray125"/>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F3F3F3"/>
        <bgColor rgb="FFF3F3F3"/>
      </patternFill>
    </fill>
    <fill>
      <patternFill patternType="solid">
        <fgColor rgb="FFFF9900"/>
        <bgColor rgb="FFFF9900"/>
      </patternFill>
    </fill>
    <fill>
      <patternFill patternType="solid">
        <fgColor rgb="FFB6D7A8"/>
        <bgColor rgb="FFB6D7A8"/>
      </patternFill>
    </fill>
    <fill>
      <patternFill patternType="solid">
        <fgColor rgb="FF00FF00"/>
        <bgColor rgb="FF00FF00"/>
      </patternFill>
    </fill>
    <fill>
      <patternFill patternType="solid">
        <fgColor rgb="FFEFEFEF"/>
        <bgColor rgb="FFEFEFEF"/>
      </patternFill>
    </fill>
    <fill>
      <patternFill patternType="solid">
        <fgColor rgb="FF142038"/>
        <bgColor rgb="FF142038"/>
      </patternFill>
    </fill>
    <fill>
      <patternFill patternType="solid">
        <fgColor rgb="FF000000"/>
        <bgColor rgb="FF000000"/>
      </patternFill>
    </fill>
    <fill>
      <patternFill patternType="solid">
        <fgColor rgb="FFC00000"/>
        <bgColor rgb="FFC00000"/>
      </patternFill>
    </fill>
    <fill>
      <patternFill patternType="solid">
        <fgColor rgb="FF0070C0"/>
        <bgColor rgb="FF0070C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85">
    <xf numFmtId="0" fontId="0" fillId="0" borderId="0" xfId="0"/>
    <xf numFmtId="0" fontId="1" fillId="0" borderId="0" xfId="0" applyFont="1" applyAlignment="1">
      <alignment readingOrder="1"/>
    </xf>
    <xf numFmtId="0" fontId="2" fillId="0" borderId="0" xfId="0" applyFont="1" applyAlignment="1">
      <alignment horizontal="left" readingOrder="1"/>
    </xf>
    <xf numFmtId="0" fontId="1" fillId="0" borderId="0" xfId="0" applyFont="1" applyAlignment="1">
      <alignment horizontal="center" readingOrder="1"/>
    </xf>
    <xf numFmtId="10" fontId="1" fillId="0" borderId="0" xfId="0" applyNumberFormat="1" applyFont="1"/>
    <xf numFmtId="0" fontId="2" fillId="0" borderId="0" xfId="0" applyFont="1" applyAlignment="1">
      <alignment horizontal="left"/>
    </xf>
    <xf numFmtId="0" fontId="1" fillId="0" borderId="0" xfId="0" applyFont="1"/>
    <xf numFmtId="0" fontId="3" fillId="2" borderId="0" xfId="0" applyFont="1" applyFill="1" applyAlignment="1">
      <alignment horizontal="left" readingOrder="1"/>
    </xf>
    <xf numFmtId="0" fontId="1" fillId="2" borderId="0" xfId="0" applyFont="1" applyFill="1"/>
    <xf numFmtId="0" fontId="1" fillId="2" borderId="0" xfId="0" applyFont="1" applyFill="1" applyAlignment="1">
      <alignment readingOrder="1"/>
    </xf>
    <xf numFmtId="0" fontId="4" fillId="0" borderId="0" xfId="0" applyFont="1" applyAlignment="1">
      <alignment readingOrder="1"/>
    </xf>
    <xf numFmtId="0" fontId="4" fillId="0" borderId="0" xfId="0" applyFont="1"/>
    <xf numFmtId="0" fontId="5" fillId="0" borderId="1" xfId="0" applyFont="1" applyBorder="1" applyAlignment="1">
      <alignment vertical="bottom"/>
    </xf>
    <xf numFmtId="0" fontId="6" fillId="0" borderId="2" xfId="0" applyFont="1" applyBorder="1"/>
    <xf numFmtId="0" fontId="6" fillId="0" borderId="3" xfId="0" applyFont="1" applyBorder="1"/>
    <xf numFmtId="0" fontId="7" fillId="3" borderId="1" xfId="0" applyFont="1" applyFill="1" applyBorder="1" applyAlignment="1">
      <alignment horizontal="center" vertical="bottom"/>
    </xf>
    <xf numFmtId="0" fontId="5" fillId="0" borderId="0" xfId="0" applyFont="1" applyAlignment="1">
      <alignment vertical="bottom"/>
    </xf>
    <xf numFmtId="0" fontId="7" fillId="0" borderId="4" xfId="0" applyFont="1" applyBorder="1" applyAlignment="1">
      <alignment horizontal="center" wrapText="1"/>
    </xf>
    <xf numFmtId="0" fontId="7" fillId="4" borderId="1" xfId="0" applyFont="1" applyFill="1" applyBorder="1" applyAlignment="1">
      <alignment horizontal="center" wrapText="1" readingOrder="1"/>
    </xf>
    <xf numFmtId="0" fontId="7" fillId="5" borderId="4" xfId="0" applyFont="1" applyFill="1" applyBorder="1" applyAlignment="1">
      <alignment horizontal="center" wrapText="1"/>
    </xf>
    <xf numFmtId="0" fontId="5" fillId="0" borderId="0" xfId="0" applyFont="1"/>
    <xf numFmtId="0" fontId="6" fillId="0" borderId="5" xfId="0" applyFont="1" applyBorder="1"/>
    <xf numFmtId="0" fontId="7" fillId="4" borderId="6" xfId="0" applyFont="1" applyFill="1" applyBorder="1" applyAlignment="1">
      <alignment horizontal="center" vertical="bottom"/>
    </xf>
    <xf numFmtId="0" fontId="7" fillId="0" borderId="6" xfId="0" applyFont="1" applyBorder="1" applyAlignment="1">
      <alignment horizontal="center" vertical="bottom"/>
    </xf>
    <xf numFmtId="0" fontId="8" fillId="0" borderId="6" xfId="0" applyFont="1" applyBorder="1" applyAlignment="1">
      <alignment vertical="bottom"/>
    </xf>
    <xf numFmtId="0" fontId="7" fillId="0" borderId="6" xfId="0" applyFont="1" applyBorder="1" applyAlignment="1">
      <alignment vertical="bottom"/>
    </xf>
    <xf numFmtId="0" fontId="5" fillId="0" borderId="6" xfId="0" applyFont="1" applyBorder="1" applyAlignment="1">
      <alignment vertical="bottom" readingOrder="1"/>
    </xf>
    <xf numFmtId="0" fontId="5" fillId="0" borderId="6" xfId="0" applyFont="1" applyBorder="1" applyAlignment="1">
      <alignment horizontal="center" vertical="bottom" readingOrder="1"/>
    </xf>
    <xf numFmtId="0" fontId="5" fillId="0" borderId="6" xfId="0" applyFont="1" applyBorder="1" applyAlignment="1">
      <alignment vertical="bottom"/>
    </xf>
    <xf numFmtId="0" fontId="7" fillId="0" borderId="6" xfId="0" applyFont="1" applyBorder="1" applyAlignment="1">
      <alignment vertical="bottom" readingOrder="1"/>
    </xf>
    <xf numFmtId="0" fontId="5" fillId="0" borderId="0" xfId="0" applyFont="1" applyAlignment="1">
      <alignment horizontal="center" vertical="bottom"/>
    </xf>
    <xf numFmtId="46" fontId="1" fillId="0" borderId="0" xfId="0" applyNumberFormat="1" applyFont="1" applyAlignment="1">
      <alignment horizontal="center" readingOrder="1"/>
    </xf>
    <xf numFmtId="0" fontId="9" fillId="0" borderId="0" xfId="0" applyFont="1" applyAlignment="1">
      <alignment horizontal="center" readingOrder="1"/>
    </xf>
    <xf numFmtId="0" fontId="9" fillId="6" borderId="0" xfId="0" applyFont="1" applyFill="1" applyAlignment="1">
      <alignment horizontal="center" readingOrder="1"/>
    </xf>
    <xf numFmtId="0" fontId="4" fillId="0" borderId="0" xfId="0" applyFont="1" applyAlignment="1">
      <alignment horizontal="center" readingOrder="1"/>
    </xf>
    <xf numFmtId="0" fontId="1" fillId="7" borderId="0" xfId="0" applyFont="1" applyFill="1" applyAlignment="1">
      <alignment horizontal="center" readingOrder="1"/>
    </xf>
    <xf numFmtId="0" fontId="10" fillId="7" borderId="0" xfId="0" applyFont="1" applyFill="1" applyAlignment="1">
      <alignment horizontal="center" readingOrder="1"/>
    </xf>
    <xf numFmtId="0" fontId="1" fillId="0" borderId="0" xfId="0" applyFont="1" applyAlignment="1">
      <alignment horizontal="center"/>
    </xf>
    <xf numFmtId="0" fontId="1" fillId="0" borderId="0" xfId="0" applyFont="1" applyAlignment="1"/>
    <xf numFmtId="0" fontId="9" fillId="0" borderId="0" xfId="0" applyFont="1" applyAlignment="1"/>
    <xf numFmtId="0" fontId="9" fillId="6" borderId="0" xfId="0" applyFont="1" applyFill="1" applyAlignment="1">
      <alignment horizontal="center"/>
    </xf>
    <xf numFmtId="0" fontId="4" fillId="0" borderId="0" xfId="0" applyFont="1" applyAlignment="1">
      <alignment horizontal="center"/>
    </xf>
    <xf numFmtId="0" fontId="1" fillId="7" borderId="0" xfId="0" applyFont="1" applyFill="1" applyAlignment="1">
      <alignment readingOrder="1"/>
    </xf>
    <xf numFmtId="0" fontId="1" fillId="7" borderId="0" xfId="0" applyFont="1" applyFill="1"/>
    <xf numFmtId="0" fontId="1" fillId="7" borderId="0" xfId="0" applyFont="1" applyFill="1" applyAlignment="1">
      <alignment horizontal="center"/>
    </xf>
    <xf numFmtId="0" fontId="10" fillId="7" borderId="0" xfId="0" applyFont="1" applyFill="1" applyAlignment="1">
      <alignment horizontal="center"/>
    </xf>
    <xf numFmtId="0" fontId="9" fillId="0" borderId="0" xfId="0" applyFont="1" applyAlignment="1">
      <alignment readingOrder="1"/>
    </xf>
    <xf numFmtId="0" fontId="4" fillId="7" borderId="0" xfId="0" applyFont="1" applyFill="1" applyAlignment="1">
      <alignment readingOrder="1"/>
    </xf>
    <xf numFmtId="0" fontId="4" fillId="7" borderId="0" xfId="0" applyFont="1" applyFill="1" applyAlignment="1">
      <alignment horizontal="center"/>
    </xf>
    <xf numFmtId="0" fontId="1" fillId="8" borderId="0" xfId="0" applyFont="1" applyFill="1" applyAlignment="1">
      <alignment readingOrder="1"/>
    </xf>
    <xf numFmtId="0" fontId="2" fillId="7" borderId="0" xfId="0" applyFont="1" applyFill="1"/>
    <xf numFmtId="0" fontId="1" fillId="2" borderId="0" xfId="0" applyFont="1" applyFill="1" applyAlignment="1"/>
    <xf numFmtId="0" fontId="9" fillId="2" borderId="0" xfId="0" applyFont="1" applyFill="1" applyAlignment="1"/>
    <xf numFmtId="0" fontId="1" fillId="2" borderId="0" xfId="0" applyFont="1" applyFill="1" applyAlignment="1">
      <alignment horizontal="center"/>
    </xf>
    <xf numFmtId="0" fontId="4" fillId="2" borderId="0" xfId="0" applyFont="1" applyFill="1" applyAlignment="1">
      <alignment horizontal="center" readingOrder="1"/>
    </xf>
    <xf numFmtId="0" fontId="4" fillId="2" borderId="0" xfId="0" applyFont="1" applyFill="1" applyAlignment="1">
      <alignment readingOrder="1"/>
    </xf>
    <xf numFmtId="0" fontId="10" fillId="2" borderId="0" xfId="0" applyFont="1" applyFill="1" applyAlignment="1">
      <alignment horizontal="center"/>
    </xf>
    <xf numFmtId="0" fontId="2" fillId="2" borderId="0" xfId="0" applyFont="1" applyFill="1"/>
    <xf numFmtId="0" fontId="9" fillId="2" borderId="0" xfId="0" applyFont="1" applyFill="1" applyAlignment="1">
      <alignment readingOrder="1"/>
    </xf>
    <xf numFmtId="3" fontId="11" fillId="7" borderId="0" xfId="0" applyNumberFormat="1" applyFont="1" applyFill="1" applyAlignment="1">
      <alignment readingOrder="1"/>
    </xf>
    <xf numFmtId="0" fontId="9" fillId="9" borderId="0" xfId="0" applyFont="1" applyFill="1" applyAlignment="1">
      <alignment readingOrder="1"/>
    </xf>
    <xf numFmtId="0" fontId="10" fillId="0" borderId="0" xfId="0" applyFont="1" applyAlignment="1">
      <alignment horizontal="center"/>
    </xf>
    <xf numFmtId="0" fontId="12" fillId="0" borderId="0" xfId="0" applyFont="1" applyAlignment="1">
      <alignment vertical="bottom"/>
    </xf>
    <xf numFmtId="0" fontId="5" fillId="7" borderId="0" xfId="0" applyFont="1" applyFill="1" applyAlignment="1">
      <alignment horizontal="right" vertical="bottom" readingOrder="1"/>
    </xf>
    <xf numFmtId="0" fontId="5" fillId="7" borderId="0" xfId="0" applyFont="1" applyFill="1" applyAlignment="1">
      <alignment horizontal="right" vertical="bottom"/>
    </xf>
    <xf numFmtId="0" fontId="1" fillId="2" borderId="0" xfId="0" applyFont="1" applyFill="1" applyAlignment="1">
      <alignment horizontal="center" readingOrder="1"/>
    </xf>
    <xf numFmtId="0" fontId="1" fillId="10" borderId="0" xfId="0" applyFont="1" applyFill="1" applyAlignment="1">
      <alignment readingOrder="1"/>
    </xf>
    <xf numFmtId="0" fontId="1" fillId="10" borderId="0" xfId="0" applyFont="1" applyFill="1" applyAlignment="1"/>
    <xf numFmtId="0" fontId="9" fillId="10" borderId="0" xfId="0" applyFont="1" applyFill="1" applyAlignment="1"/>
    <xf numFmtId="0" fontId="1" fillId="10" borderId="0" xfId="0" applyFont="1" applyFill="1" applyAlignment="1">
      <alignment horizontal="center"/>
    </xf>
    <xf numFmtId="0" fontId="4" fillId="10" borderId="0" xfId="0" applyFont="1" applyFill="1" applyAlignment="1">
      <alignment horizontal="center"/>
    </xf>
    <xf numFmtId="0" fontId="1" fillId="10" borderId="0" xfId="0" applyFont="1" applyFill="1"/>
    <xf numFmtId="0" fontId="10" fillId="10" borderId="0" xfId="0" applyFont="1" applyFill="1" applyAlignment="1">
      <alignment horizontal="center"/>
    </xf>
    <xf numFmtId="0" fontId="4" fillId="10" borderId="0" xfId="0" applyFont="1" applyFill="1" applyAlignment="1">
      <alignment readingOrder="1"/>
    </xf>
    <xf numFmtId="0" fontId="10" fillId="0" borderId="0" xfId="0" applyFont="1" applyAlignment="1">
      <alignment horizontal="center" readingOrder="1"/>
    </xf>
    <xf numFmtId="0" fontId="13" fillId="0" borderId="4" xfId="0" applyFont="1" applyBorder="1" applyAlignment="1">
      <alignment horizontal="center" vertical="center" wrapText="1" readingOrder="1"/>
    </xf>
    <xf numFmtId="164" fontId="13" fillId="0" borderId="7" xfId="0" applyNumberFormat="1" applyFont="1" applyBorder="1" applyAlignment="1">
      <alignment horizontal="center" vertical="center" wrapText="1" readingOrder="1"/>
    </xf>
    <xf numFmtId="0" fontId="13" fillId="11" borderId="1" xfId="0" applyFont="1" applyFill="1" applyBorder="1" applyAlignment="1">
      <alignment horizontal="center" readingOrder="1"/>
    </xf>
    <xf numFmtId="0" fontId="13" fillId="0" borderId="0" xfId="0" applyFont="1"/>
    <xf numFmtId="0" fontId="6" fillId="0" borderId="8" xfId="0" applyFont="1" applyBorder="1"/>
    <xf numFmtId="0" fontId="13" fillId="11" borderId="6" xfId="0" applyFont="1" applyFill="1" applyBorder="1" applyAlignment="1">
      <alignment horizontal="center" vertical="center" wrapText="1" readingOrder="1"/>
    </xf>
    <xf numFmtId="0" fontId="14" fillId="11" borderId="6" xfId="0" applyFont="1" applyFill="1" applyBorder="1" applyAlignment="1">
      <alignment horizontal="center" vertical="center" wrapText="1" readingOrder="1"/>
    </xf>
    <xf numFmtId="0" fontId="15" fillId="11" borderId="6" xfId="0" applyFont="1" applyFill="1" applyBorder="1" applyAlignment="1">
      <alignment horizontal="center" vertical="center" wrapText="1" readingOrder="1"/>
    </xf>
    <xf numFmtId="0" fontId="13" fillId="0" borderId="0" xfId="0" applyFont="1" applyAlignment="1">
      <alignment horizontal="center" vertical="center" wrapText="1"/>
    </xf>
    <xf numFmtId="0" fontId="13" fillId="0" borderId="6" xfId="0" applyFont="1" applyBorder="1" applyAlignment="1">
      <alignment horizontal="center"/>
    </xf>
    <xf numFmtId="0" fontId="13" fillId="0" borderId="6" xfId="0" applyFont="1" applyBorder="1" applyAlignment="1">
      <alignment readingOrder="1"/>
    </xf>
    <xf numFmtId="164" fontId="13" fillId="0" borderId="1" xfId="0" applyNumberFormat="1" applyFont="1" applyBorder="1" applyAlignment="1">
      <alignment horizontal="center" readingOrder="1"/>
    </xf>
    <xf numFmtId="0" fontId="16" fillId="0" borderId="9" xfId="0" applyFont="1" applyBorder="1"/>
    <xf numFmtId="0" fontId="16" fillId="0" borderId="0" xfId="0" applyFont="1"/>
    <xf numFmtId="0" fontId="16" fillId="7" borderId="0" xfId="0" applyFont="1" applyFill="1"/>
    <xf numFmtId="0" fontId="16" fillId="0" borderId="10" xfId="0" applyFont="1" applyBorder="1"/>
    <xf numFmtId="0" fontId="16" fillId="0" borderId="9" xfId="0" applyFont="1" applyBorder="1" applyAlignment="1">
      <alignment readingOrder="1"/>
    </xf>
    <xf numFmtId="0" fontId="16" fillId="7" borderId="10" xfId="0" applyFont="1" applyFill="1" applyBorder="1"/>
    <xf numFmtId="164" fontId="13" fillId="0" borderId="6" xfId="0" applyNumberFormat="1" applyFont="1" applyBorder="1" applyAlignment="1">
      <alignment horizontal="center" readingOrder="1"/>
    </xf>
    <xf numFmtId="0" fontId="13" fillId="3" borderId="6" xfId="0" applyFont="1" applyFill="1" applyBorder="1" applyAlignment="1">
      <alignment horizontal="center"/>
    </xf>
    <xf numFmtId="0" fontId="13" fillId="3" borderId="6" xfId="0" applyFont="1" applyFill="1" applyBorder="1" applyAlignment="1">
      <alignment readingOrder="1"/>
    </xf>
    <xf numFmtId="165" fontId="13" fillId="0" borderId="1" xfId="0" applyNumberFormat="1" applyFont="1" applyBorder="1" applyAlignment="1">
      <alignment horizontal="center" readingOrder="1"/>
    </xf>
    <xf numFmtId="0" fontId="17" fillId="0" borderId="7" xfId="0" applyFont="1" applyBorder="1"/>
    <xf numFmtId="0" fontId="17" fillId="0" borderId="11" xfId="0" applyFont="1" applyBorder="1"/>
    <xf numFmtId="0" fontId="17" fillId="0" borderId="11" xfId="0" applyFont="1" applyBorder="1" applyAlignment="1">
      <alignment readingOrder="1"/>
    </xf>
    <xf numFmtId="0" fontId="13" fillId="11" borderId="11" xfId="0" applyFont="1" applyFill="1" applyBorder="1"/>
    <xf numFmtId="0" fontId="17" fillId="0" borderId="12" xfId="0" applyFont="1" applyBorder="1" applyAlignment="1">
      <alignment readingOrder="1"/>
    </xf>
    <xf numFmtId="0" fontId="17" fillId="0" borderId="9" xfId="0" applyFont="1" applyBorder="1"/>
    <xf numFmtId="0" fontId="17" fillId="0" borderId="0" xfId="0" applyFont="1"/>
    <xf numFmtId="0" fontId="13" fillId="11" borderId="0" xfId="0" applyFont="1" applyFill="1"/>
    <xf numFmtId="0" fontId="17" fillId="0" borderId="10" xfId="0" applyFont="1" applyBorder="1"/>
    <xf numFmtId="0" fontId="13" fillId="3" borderId="6" xfId="0" applyFont="1" applyFill="1" applyBorder="1" applyAlignment="1">
      <alignment vertical="bottom" readingOrder="1"/>
    </xf>
    <xf numFmtId="0" fontId="13" fillId="11" borderId="10" xfId="0" applyFont="1" applyFill="1" applyBorder="1"/>
    <xf numFmtId="0" fontId="17" fillId="0" borderId="8" xfId="0" applyFont="1" applyBorder="1"/>
    <xf numFmtId="0" fontId="17" fillId="0" borderId="13" xfId="0" applyFont="1" applyBorder="1"/>
    <xf numFmtId="0" fontId="13" fillId="11" borderId="13" xfId="0" applyFont="1" applyFill="1" applyBorder="1"/>
    <xf numFmtId="0" fontId="17" fillId="0" borderId="14" xfId="0" applyFont="1" applyBorder="1"/>
    <xf numFmtId="0" fontId="13" fillId="0" borderId="0" xfId="0" applyFont="1" applyAlignment="1">
      <alignment horizontal="center"/>
    </xf>
    <xf numFmtId="0" fontId="13" fillId="0" borderId="0" xfId="0" applyFont="1" applyAlignment="1">
      <alignment vertical="bottom"/>
    </xf>
    <xf numFmtId="164" fontId="13" fillId="0" borderId="0" xfId="0" applyNumberFormat="1" applyFont="1" applyAlignment="1">
      <alignment horizontal="center"/>
    </xf>
    <xf numFmtId="0" fontId="2" fillId="0" borderId="0" xfId="0" applyFont="1" applyAlignment="1">
      <alignment readingOrder="1"/>
    </xf>
    <xf numFmtId="0" fontId="2" fillId="0" borderId="0" xfId="0" applyFont="1"/>
    <xf numFmtId="0" fontId="3" fillId="2" borderId="0" xfId="0" applyFont="1" applyFill="1" applyAlignment="1">
      <alignment readingOrder="1"/>
    </xf>
    <xf numFmtId="3" fontId="11" fillId="0" borderId="0" xfId="0" applyNumberFormat="1" applyFont="1" applyAlignment="1">
      <alignment readingOrder="1"/>
    </xf>
    <xf numFmtId="3" fontId="1" fillId="0" borderId="0" xfId="0" applyNumberFormat="1" applyFont="1"/>
    <xf numFmtId="0" fontId="5" fillId="0" borderId="0" xfId="0" applyFont="1" applyAlignment="1">
      <alignment horizontal="right" vertical="bottom" readingOrder="1"/>
    </xf>
    <xf numFmtId="0" fontId="5" fillId="0" borderId="0" xfId="0" applyFont="1" applyAlignment="1">
      <alignment horizontal="right" vertical="bottom"/>
    </xf>
    <xf numFmtId="0" fontId="18" fillId="0" borderId="0" xfId="0" applyFont="1" applyAlignment="1">
      <alignment vertical="bottom" readingOrder="1"/>
    </xf>
    <xf numFmtId="0" fontId="18" fillId="0" borderId="0" xfId="0" applyFont="1" applyAlignment="1">
      <alignment vertical="bottom"/>
    </xf>
    <xf numFmtId="0" fontId="19" fillId="0" borderId="6" xfId="0" applyFont="1" applyBorder="1" applyAlignment="1">
      <alignment horizontal="center"/>
    </xf>
    <xf numFmtId="0" fontId="19" fillId="0" borderId="6" xfId="0" applyFont="1" applyBorder="1" applyAlignment="1">
      <alignment horizontal="center" wrapText="1"/>
    </xf>
    <xf numFmtId="0" fontId="19" fillId="3" borderId="6" xfId="0" applyFont="1" applyFill="1" applyBorder="1" applyAlignment="1">
      <alignment horizontal="center" wrapText="1"/>
    </xf>
    <xf numFmtId="0" fontId="19" fillId="3" borderId="6" xfId="0" applyFont="1" applyFill="1" applyBorder="1" applyAlignment="1">
      <alignment horizontal="center"/>
    </xf>
    <xf numFmtId="0" fontId="19" fillId="3" borderId="0" xfId="0" applyFont="1" applyFill="1" applyAlignment="1">
      <alignment horizontal="center" wrapText="1"/>
    </xf>
    <xf numFmtId="0" fontId="20" fillId="0" borderId="0" xfId="0" applyFont="1" applyAlignment="1">
      <alignment horizontal="center"/>
    </xf>
    <xf numFmtId="0" fontId="21" fillId="0" borderId="0" xfId="0" applyFont="1" applyAlignment="1">
      <alignment vertical="bottom"/>
    </xf>
    <xf numFmtId="0" fontId="22" fillId="0" borderId="6" xfId="0" applyFont="1" applyBorder="1"/>
    <xf numFmtId="0" fontId="22" fillId="0" borderId="6" xfId="0" applyFont="1" applyBorder="1" applyAlignment="1">
      <alignment wrapText="1"/>
    </xf>
    <xf numFmtId="0" fontId="22" fillId="0" borderId="6" xfId="0" applyFont="1" applyBorder="1" applyAlignment="1">
      <alignment vertical="top" wrapText="1"/>
    </xf>
    <xf numFmtId="0" fontId="21" fillId="0" borderId="6" xfId="0" applyFont="1" applyBorder="1"/>
    <xf numFmtId="0" fontId="22" fillId="3" borderId="6" xfId="0" applyFont="1" applyFill="1" applyBorder="1" applyAlignment="1">
      <alignment horizontal="center"/>
    </xf>
    <xf numFmtId="0" fontId="22" fillId="0" borderId="6" xfId="0" applyFont="1" applyBorder="1" applyAlignment="1">
      <alignment horizontal="center"/>
    </xf>
    <xf numFmtId="0" fontId="21" fillId="3" borderId="6" xfId="0" applyFont="1" applyFill="1" applyBorder="1"/>
    <xf numFmtId="0" fontId="23" fillId="3" borderId="0" xfId="0" applyFont="1" applyFill="1" applyAlignment="1">
      <alignment wrapText="1"/>
    </xf>
    <xf numFmtId="0" fontId="21" fillId="3" borderId="0" xfId="0" applyFont="1" applyFill="1"/>
    <xf numFmtId="0" fontId="24" fillId="3" borderId="0" xfId="0" applyFont="1" applyFill="1" applyAlignment="1">
      <alignment wrapText="1"/>
    </xf>
    <xf numFmtId="0" fontId="22" fillId="0" borderId="4" xfId="0" applyFont="1" applyBorder="1"/>
    <xf numFmtId="0" fontId="22" fillId="0" borderId="4" xfId="0" applyFont="1" applyBorder="1" applyAlignment="1">
      <alignment wrapText="1"/>
    </xf>
    <xf numFmtId="0" fontId="22" fillId="0" borderId="4" xfId="0" applyFont="1" applyBorder="1" applyAlignment="1">
      <alignment vertical="top" wrapText="1"/>
    </xf>
    <xf numFmtId="0" fontId="22" fillId="0" borderId="4" xfId="0" applyFont="1" applyBorder="1" applyAlignment="1">
      <alignment horizontal="center"/>
    </xf>
    <xf numFmtId="0" fontId="22" fillId="3" borderId="4" xfId="0" applyFont="1" applyFill="1" applyBorder="1" applyAlignment="1">
      <alignment horizontal="center"/>
    </xf>
    <xf numFmtId="0" fontId="21" fillId="3" borderId="4" xfId="0" applyFont="1" applyFill="1" applyBorder="1"/>
    <xf numFmtId="0" fontId="21" fillId="0" borderId="4" xfId="0" applyFont="1" applyBorder="1"/>
    <xf numFmtId="0" fontId="25" fillId="6" borderId="0" xfId="0" applyFont="1" applyFill="1" applyAlignment="1">
      <alignment horizontal="center" vertical="bottom"/>
    </xf>
    <xf numFmtId="0" fontId="26" fillId="3" borderId="0" xfId="0" applyFont="1" applyFill="1" applyAlignment="1">
      <alignment wrapText="1"/>
    </xf>
    <xf numFmtId="0" fontId="27" fillId="3" borderId="0" xfId="0" applyFont="1" applyFill="1" applyAlignment="1">
      <alignment vertical="bottom"/>
    </xf>
    <xf numFmtId="0" fontId="28" fillId="0" borderId="6" xfId="0" applyFont="1" applyBorder="1" applyAlignment="1">
      <alignment horizontal="center"/>
    </xf>
    <xf numFmtId="0" fontId="22" fillId="0" borderId="6" xfId="0" applyFont="1" applyBorder="1" applyAlignment="1">
      <alignment horizontal="center" vertical="top" wrapText="1"/>
    </xf>
    <xf numFmtId="0" fontId="22" fillId="3" borderId="6" xfId="0" applyFont="1" applyFill="1" applyBorder="1"/>
    <xf numFmtId="0" fontId="29" fillId="3" borderId="0" xfId="0" applyFont="1" applyFill="1" applyAlignment="1">
      <alignment wrapText="1"/>
    </xf>
    <xf numFmtId="0" fontId="21" fillId="0" borderId="6" xfId="0" applyFont="1" applyBorder="1" applyAlignment="1">
      <alignment vertical="bottom"/>
    </xf>
    <xf numFmtId="0" fontId="22" fillId="3" borderId="4" xfId="0" applyFont="1" applyFill="1" applyBorder="1"/>
    <xf numFmtId="0" fontId="22" fillId="6" borderId="0" xfId="0" applyFont="1" applyFill="1" applyAlignment="1">
      <alignment horizontal="center"/>
    </xf>
    <xf numFmtId="0" fontId="22" fillId="3" borderId="6" xfId="0" applyFont="1" applyFill="1" applyBorder="1" applyAlignment="1">
      <alignment horizontal="right"/>
    </xf>
    <xf numFmtId="0" fontId="22" fillId="0" borderId="15" xfId="0" applyFont="1" applyBorder="1" applyAlignment="1">
      <alignment vertical="top" wrapText="1"/>
    </xf>
    <xf numFmtId="0" fontId="22" fillId="0" borderId="5" xfId="0" applyFont="1" applyBorder="1" applyAlignment="1">
      <alignment vertical="top" wrapText="1"/>
    </xf>
    <xf numFmtId="0" fontId="30" fillId="0" borderId="6" xfId="0" applyFont="1" applyBorder="1" applyAlignment="1">
      <alignment wrapText="1"/>
    </xf>
    <xf numFmtId="0" fontId="30" fillId="3" borderId="6" xfId="0" applyFont="1" applyFill="1" applyBorder="1"/>
    <xf numFmtId="0" fontId="30" fillId="0" borderId="6" xfId="0" applyFont="1" applyBorder="1"/>
    <xf numFmtId="0" fontId="21" fillId="0" borderId="0" xfId="0" applyFont="1"/>
    <xf numFmtId="0" fontId="21" fillId="0" borderId="0" xfId="0" applyFont="1" applyAlignment="1">
      <alignment vertical="top"/>
    </xf>
    <xf numFmtId="49" fontId="31" fillId="12" borderId="0" xfId="0" applyNumberFormat="1" applyFont="1" applyFill="1" applyAlignment="1">
      <alignment horizontal="center"/>
    </xf>
    <xf numFmtId="0" fontId="31" fillId="13" borderId="0" xfId="0" applyFont="1" applyFill="1" applyAlignment="1">
      <alignment horizontal="center" vertical="bottom"/>
    </xf>
    <xf numFmtId="0" fontId="31" fillId="12" borderId="0" xfId="0" applyFont="1" applyFill="1" applyAlignment="1">
      <alignment horizontal="center"/>
    </xf>
    <xf numFmtId="0" fontId="31" fillId="12" borderId="0" xfId="0" applyFont="1" applyFill="1"/>
    <xf numFmtId="3" fontId="32" fillId="2" borderId="0" xfId="0" applyNumberFormat="1" applyFont="1" applyFill="1" applyAlignment="1">
      <alignment horizontal="center"/>
    </xf>
    <xf numFmtId="49" fontId="7" fillId="0" borderId="0" xfId="0" applyNumberFormat="1" applyFont="1" applyAlignment="1">
      <alignment horizontal="center"/>
    </xf>
    <xf numFmtId="0" fontId="7" fillId="6" borderId="0" xfId="0" applyFont="1" applyFill="1" applyAlignment="1">
      <alignment horizontal="center"/>
    </xf>
    <xf numFmtId="0" fontId="7" fillId="0" borderId="0" xfId="0" applyFont="1" applyAlignment="1">
      <alignment horizontal="center"/>
    </xf>
    <xf numFmtId="3" fontId="7" fillId="2" borderId="0" xfId="0" applyNumberFormat="1" applyFont="1" applyFill="1" applyAlignment="1">
      <alignment horizontal="center"/>
    </xf>
    <xf numFmtId="3" fontId="5" fillId="0" borderId="0" xfId="0" applyNumberFormat="1" applyFont="1"/>
    <xf numFmtId="0" fontId="33" fillId="0" borderId="0" xfId="0" applyFont="1" applyAlignment="1">
      <alignment vertical="bottom"/>
    </xf>
    <xf numFmtId="49" fontId="7" fillId="0" borderId="0" xfId="0" applyNumberFormat="1" applyFont="1" applyAlignment="1">
      <alignment horizontal="center" vertical="bottom"/>
    </xf>
    <xf numFmtId="0" fontId="7" fillId="0" borderId="0" xfId="0" applyFont="1" applyAlignment="1">
      <alignment horizontal="center" vertical="bottom"/>
    </xf>
    <xf numFmtId="49" fontId="32" fillId="0" borderId="0" xfId="0" applyNumberFormat="1" applyFont="1" applyAlignment="1">
      <alignment horizontal="center" vertical="bottom"/>
    </xf>
    <xf numFmtId="49" fontId="7" fillId="0" borderId="0" xfId="0" applyNumberFormat="1" applyFont="1" applyAlignment="1">
      <alignment horizontal="center" vertical="top"/>
    </xf>
    <xf numFmtId="0" fontId="34" fillId="14" borderId="6" xfId="0" applyFont="1" applyFill="1" applyBorder="1" applyAlignment="1">
      <alignment horizontal="center" vertical="bottom"/>
    </xf>
    <xf numFmtId="0" fontId="34" fillId="15" borderId="6" xfId="0" applyFont="1" applyFill="1" applyBorder="1" applyAlignment="1">
      <alignment horizontal="center" vertical="bottom"/>
    </xf>
    <xf numFmtId="0" fontId="35" fillId="0" borderId="6" xfId="0" applyFont="1" applyBorder="1" applyAlignment="1">
      <alignment horizontal="center" vertical="bottom"/>
    </xf>
    <xf numFmtId="0" fontId="36" fillId="0" borderId="6" xfId="0" applyFont="1" applyBorder="1" applyAlignment="1">
      <alignment horizontal="center" vertical="bottom"/>
    </xf>
  </cellXfs>
  <cellStyles count="1">
    <cellStyle name="Normal" xfId="0" builtinId="0"/>
  </cellStyles>
  <dxfs count="5">
    <dxf>
      <font/>
      <fill>
        <patternFill patternType="solid">
          <fgColor rgb="FFFFFF00"/>
          <bgColor rgb="FFFFFF00"/>
        </patternFill>
      </fill>
      <border>
        <left/>
        <right/>
        <top/>
        <bottom/>
        <diagonal/>
      </border>
    </dxf>
    <dxf>
      <font>
        <color rgb="FF38761D"/>
      </font>
      <fill>
        <patternFill patternType="none"/>
      </fill>
      <border>
        <left/>
        <right/>
        <top/>
        <bottom/>
        <diagonal/>
      </border>
    </dxf>
    <dxf>
      <font/>
      <fill>
        <patternFill patternType="solid">
          <fgColor rgb="FFB7E1CD"/>
          <bgColor rgb="FFB7E1CD"/>
        </patternFill>
      </fill>
      <border>
        <left/>
        <right/>
        <top/>
        <bottom/>
        <diagonal/>
      </border>
    </dxf>
    <dxf>
      <font/>
      <fill>
        <patternFill patternType="solid">
          <fgColor rgb="FFFFFF00"/>
          <bgColor rgb="FFFFFF00"/>
        </patternFill>
      </fill>
      <border>
        <left/>
        <right/>
        <top/>
        <bottom/>
        <diagonal/>
      </border>
    </dxf>
    <dxf>
      <font/>
      <fill>
        <patternFill patternType="solid">
          <fgColor rgb="FFFFFF00"/>
          <bgColor rgb="FFFFFF00"/>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s://youtu.be/4B6VXbsa8DM" TargetMode="External"/><Relationship Id="rId2" Type="http://schemas.openxmlformats.org/officeDocument/2006/relationships/hyperlink" Target="https://www.youtube.com/watch?v=I6BlLGUjZxI&amp;list=PLGjfh_21bFBeTNSSYIIjGfKXLP2npOZvj&amp;index=5" TargetMode="External"/><Relationship Id="rId3" Type="http://schemas.openxmlformats.org/officeDocument/2006/relationships/hyperlink" Target="https://www.youtube.com/watch?v=oJDykUKFm-U&amp;list=PLGjfh_21bFBf6ETntZfATucDTeL7dj-70&amp;index=8" TargetMode="External"/><Relationship Id="rId4" Type="http://schemas.openxmlformats.org/officeDocument/2006/relationships/hyperlink" Target="https://www.youtube.com/watch?v=x3Y7YdCiysk&amp;list=PLGjfh_21bFBf6ETntZfATucDTeL7dj-70&amp;index=55" TargetMode="External"/><Relationship Id="rId5" Type="http://schemas.openxmlformats.org/officeDocument/2006/relationships/hyperlink" Target="https://www.youtube.com/watch?v=SjbC5NBvI7Q&amp;list=PLGjfh_21bFBf6ETntZfATucDTeL7dj-70&amp;index=4" TargetMode="External"/><Relationship Id="rId6" Type="http://schemas.openxmlformats.org/officeDocument/2006/relationships/hyperlink" Target="https://www.youtube.com/watch?v=zJ4mpWE46V4&amp;list=PLGjfh_21bFBf6ETntZfATucDTeL7dj-70&amp;index=9" TargetMode="External"/><Relationship Id="rId7" Type="http://schemas.openxmlformats.org/officeDocument/2006/relationships/hyperlink" Target="https://www.youtube.com/watch?v=28pI3VduBJI&amp;list=PLGjfh_21bFBcDfXdOBNgHc9COOJNtG0dK&amp;index=10" TargetMode="External"/><Relationship Id="rId8" Type="http://schemas.openxmlformats.org/officeDocument/2006/relationships/hyperlink" Target="https://www.youtube.com/watch?v=LySkSXFd3VE&amp;list=PLGjfh_21bFBf6ETntZfATucDTeL7dj-70&amp;index=6" TargetMode="External"/><Relationship Id="rId9" Type="http://schemas.openxmlformats.org/officeDocument/2006/relationships/hyperlink" Target="https://www.youtube.com/watch?v=YrzHA6zgJeU&amp;list=PLGjfh_21bFBf6ETntZfATucDTeL7dj-70&amp;index=3" TargetMode="External"/><Relationship Id="rId10" Type="http://schemas.openxmlformats.org/officeDocument/2006/relationships/hyperlink" Target="https://www.youtube.com/watch?v=YrzHA6zgJeU&amp;list=PLGjfh_21bFBf6ETntZfATucDTeL7dj-70&amp;index=3" TargetMode="External"/><Relationship Id="rId11" Type="http://schemas.openxmlformats.org/officeDocument/2006/relationships/hyperlink" Target="https://youtu.be/T6b-iW5cZVk" TargetMode="External"/><Relationship Id="rId12" Type="http://schemas.openxmlformats.org/officeDocument/2006/relationships/hyperlink" Target="https://www.youtube.com/watch?v=O0RmhUiGd3s&amp;list=PLGjfh_21bFBf6ETntZfATucDTeL7dj-70&amp;index=2" TargetMode="External"/><Relationship Id="rId13" Type="http://schemas.openxmlformats.org/officeDocument/2006/relationships/hyperlink" Target="https://www.youtube.com/watch?v=RHa5AvSVwUw&amp;list=PLGjfh_21bFBf6ETntZfATucDTeL7dj-70&amp;index=7" TargetMode="External"/><Relationship Id="rId14" Type="http://schemas.openxmlformats.org/officeDocument/2006/relationships/hyperlink" Target="https://www.youtube.com/watch?v=RHa5AvSVwUw&amp;list=PLGjfh_21bFBf6ETntZfATucDTeL7dj-70&amp;index=7" TargetMode="External"/><Relationship Id="rId15" Type="http://schemas.openxmlformats.org/officeDocument/2006/relationships/hyperlink" Target="https://www.youtube.com/watch?v=RHa5AvSVwUw&amp;list=PLGjfh_21bFBf6ETntZfATucDTeL7dj-70&amp;index=7" TargetMode="External"/><Relationship Id="rId16" Type="http://schemas.openxmlformats.org/officeDocument/2006/relationships/hyperlink" Target="https://youtu.be/lkj9zc7iy-E" TargetMode="External"/><Relationship Id="rId17" Type="http://schemas.openxmlformats.org/officeDocument/2006/relationships/hyperlink" Target="https://youtu.be/ciPqgTBwI9s" TargetMode="External"/><Relationship Id="rId18" Type="http://schemas.openxmlformats.org/officeDocument/2006/relationships/hyperlink" Target="https://www.youtube.com/watch?v=YrzHA6zgJeU&amp;list=PLGjfh_21bFBf6ETntZfATucDTeL7dj-70&amp;index=3" TargetMode="External"/><Relationship Id="rId19" Type="http://schemas.openxmlformats.org/officeDocument/2006/relationships/hyperlink" Target="https://www.youtube.com/watch?v=4nxGOh16LpU&amp;feature=youtu.be" TargetMode="External"/><Relationship Id="rId20" Type="http://schemas.openxmlformats.org/officeDocument/2006/relationships/hyperlink" Target="https://youtu.be/YrzHA6zgJeU" TargetMode="External"/><Relationship Id="rId21" Type="http://schemas.openxmlformats.org/officeDocument/2006/relationships/hyperlink" Target="https://youtu.be/YrzHA6zgJeU" TargetMode="External"/><Relationship Id="rId22" Type="http://schemas.openxmlformats.org/officeDocument/2006/relationships/hyperlink" Target="https://youtu.be/dk3_Bdxxnw4" TargetMode="External"/><Relationship Id="rId23" Type="http://schemas.openxmlformats.org/officeDocument/2006/relationships/hyperlink" Target="https://youtu.be/wFA_8h15J74" TargetMode="External"/><Relationship Id="rId24" Type="http://schemas.openxmlformats.org/officeDocument/2006/relationships/hyperlink" Target="https://www.youtube.com/watch?v=Ru7SFlTtiUk&amp;list=PLGjfh_21bFBf6ETntZfATucDTeL7dj-70" TargetMode="External"/><Relationship Id="rId25" Type="http://schemas.openxmlformats.org/officeDocument/2006/relationships/hyperlink" Target="https://youtu.be/oGJRrKpaxD0" TargetMode="External"/><Relationship Id="rId26" Type="http://schemas.openxmlformats.org/officeDocument/2006/relationships/hyperlink" Target="https://www.youtube.com/watch?v=eUqhBNh-dno" TargetMode="External"/><Relationship Id="rId27" Type="http://schemas.openxmlformats.org/officeDocument/2006/relationships/hyperlink" Target="https://www.youtube.com/watch?v=fZYKa8gPbDk&amp;t=57s" TargetMode="External"/><Relationship Id="rId28" Type="http://schemas.openxmlformats.org/officeDocument/2006/relationships/hyperlink" Target="https://www.youtube.com/watch?v=VA-KoIpHatQ&amp;list=PLX10pjRah52OzPpR1qgFtJ8-5xCenxqmm&amp;index=19" TargetMode="External"/><Relationship Id="rId29" Type="http://schemas.openxmlformats.org/officeDocument/2006/relationships/hyperlink" Target="https://www.youtube.com/watch?v=znEck_Vf52M&amp;list=PLX10pjRah52OzPpR1qgFtJ8-5xCenxqmm&amp;index=42" TargetMode="External"/><Relationship Id="rId30" Type="http://schemas.openxmlformats.org/officeDocument/2006/relationships/hyperlink" Target="https://youtu.be/WavBKNZadq4" TargetMode="External"/><Relationship Id="rId31" Type="http://schemas.openxmlformats.org/officeDocument/2006/relationships/hyperlink" Target="https://www.youtube.com/watch?v=nzHadzcgPZE&amp;list=PLX10pjRah52OzPpR1qgFtJ8-5xCenxqmm&amp;index=47" TargetMode="External"/><Relationship Id="rId32" Type="http://schemas.openxmlformats.org/officeDocument/2006/relationships/hyperlink" Target="https://www.youtube.com/watch?v=2hxvST0rxek&amp;list=PLX10pjRah52OzPpR1qgFtJ8-5xCenxqmm&amp;index=544" TargetMode="External"/><Relationship Id="rId33" Type="http://schemas.openxmlformats.org/officeDocument/2006/relationships/hyperlink" Target="https://www.youtube.com/watch?v=SYGOiUwmsdI" TargetMode="External"/><Relationship Id="rId34" Type="http://schemas.openxmlformats.org/officeDocument/2006/relationships/hyperlink" Target="https://www.youtube.com/watch?v=SYGOiUwmsdI" TargetMode="External"/><Relationship Id="rId35" Type="http://schemas.openxmlformats.org/officeDocument/2006/relationships/hyperlink" Target="https://www.youtube.com/watch?v=SYGOiUwmsdI" TargetMode="External"/><Relationship Id="rId36" Type="http://schemas.openxmlformats.org/officeDocument/2006/relationships/hyperlink" Target="https://www.youtube.com/watch?v=SYGOiUwmsdI" TargetMode="External"/><Relationship Id="rId37" Type="http://schemas.openxmlformats.org/officeDocument/2006/relationships/hyperlink" Target="https://www.youtube.com/watch?v=yFRuMVR-acA&amp;list=PLX10pjRah52OzPpR1qgFtJ8-5xCenxqmm&amp;index=70" TargetMode="External"/><Relationship Id="rId38" Type="http://schemas.openxmlformats.org/officeDocument/2006/relationships/hyperlink" Target="https://www.youtube.com/watch?v=3Fd9K18YmAo" TargetMode="External"/><Relationship Id="rId39" Type="http://schemas.openxmlformats.org/officeDocument/2006/relationships/hyperlink" Target="https://www.youtube.com/watch?v=x5i0fmDAI6w&amp;list=PLGjfh_21bFBeTNSSYIIjGfKXLP2npOZvj&amp;index=88" TargetMode="External"/><Relationship Id="rId40" Type="http://schemas.openxmlformats.org/officeDocument/2006/relationships/hyperlink" Target="https://youtu.be/pwNiaGDHxQY" TargetMode="External"/><Relationship Id="rId41" Type="http://schemas.openxmlformats.org/officeDocument/2006/relationships/hyperlink" Target="https://www.youtube.com/watch?v=6JXVpWqCkeM&amp;list=PLGjfh_21bFBeTNSSYIIjGfKXLP2npOZvj&amp;index=99" TargetMode="External"/><Relationship Id="rId42" Type="http://schemas.openxmlformats.org/officeDocument/2006/relationships/hyperlink" Target="https://www.youtube.com/watch?v=BqRm9LYyUho&amp;list=PLGjfh_21bFBeTNSSYIIjGfKXLP2npOZvj&amp;index=10" TargetMode="External"/><Relationship Id="rId43" Type="http://schemas.openxmlformats.org/officeDocument/2006/relationships/hyperlink" Target="https://www.youtube.com/watch?v=Br8e5h40IOw&amp;list=PLGjfh_21bFBeTNSSYIIjGfKXLP2npOZvj&amp;index=111" TargetMode="External"/><Relationship Id="rId44" Type="http://schemas.openxmlformats.org/officeDocument/2006/relationships/hyperlink" Target="https://www.youtube.com/watch?v=_CflRaDlIDE&amp;list=PLX10pjRah52OzPpR1qgFtJ8-5xCenxqmm&amp;index=10" TargetMode="External"/><Relationship Id="rId45" Type="http://schemas.openxmlformats.org/officeDocument/2006/relationships/hyperlink" Target="https://www.youtube.com/watch?v=_CflRaDlIDE&amp;list=PLX10pjRah52OzPpR1qgFtJ8-5xCenxqmm&amp;index=10" TargetMode="External"/><Relationship Id="rId46" Type="http://schemas.openxmlformats.org/officeDocument/2006/relationships/hyperlink" Target="https://www.youtube.com/watch?v=_CflRaDlIDE&amp;list=PLX10pjRah52OzPpR1qgFtJ8-5xCenxqmm&amp;index=10" TargetMode="External"/><Relationship Id="rId47" Type="http://schemas.openxmlformats.org/officeDocument/2006/relationships/hyperlink" Target="https://www.youtube.com/watch?v=_CflRaDlIDE&amp;list=PLX10pjRah52OzPpR1qgFtJ8-5xCenxqmm&amp;index=10" TargetMode="External"/><Relationship Id="rId48" Type="http://schemas.openxmlformats.org/officeDocument/2006/relationships/hyperlink" Target="https://youtu.be/pFrhulRkzRw" TargetMode="External"/><Relationship Id="rId49" Type="http://schemas.openxmlformats.org/officeDocument/2006/relationships/hyperlink" Target="https://youtu.be/Huu1FBct8U0" TargetMode="External"/><Relationship Id="rId50" Type="http://schemas.openxmlformats.org/officeDocument/2006/relationships/hyperlink" Target="https://youtu.be/Huu1FBct8U0" TargetMode="External"/><Relationship Id="rId51" Type="http://schemas.openxmlformats.org/officeDocument/2006/relationships/hyperlink" Target="https://youtu.be/Q6D8EBO7g8U" TargetMode="External"/><Relationship Id="rId52" Type="http://schemas.openxmlformats.org/officeDocument/2006/relationships/hyperlink" Target="https://youtu.be/ryVsq2fgMhQ" TargetMode="External"/><Relationship Id="rId53" Type="http://schemas.openxmlformats.org/officeDocument/2006/relationships/hyperlink" Target="https://youtu.be/ryVsq2fgMhQ" TargetMode="External"/><Relationship Id="rId54" Type="http://schemas.openxmlformats.org/officeDocument/2006/relationships/hyperlink" Target="https://youtu.be/ryVsq2fgMhQ" TargetMode="External"/><Relationship Id="rId55" Type="http://schemas.openxmlformats.org/officeDocument/2006/relationships/hyperlink" Target="https://youtu.be/vDWlOPdIZIk" TargetMode="External"/><Relationship Id="rId56" Type="http://schemas.openxmlformats.org/officeDocument/2006/relationships/hyperlink" Target="https://youtu.be/vDWlOPdIZIk" TargetMode="External"/><Relationship Id="rId57" Type="http://schemas.openxmlformats.org/officeDocument/2006/relationships/hyperlink" Target="https://youtu.be/Ceq1j8jSE4c" TargetMode="External"/><Relationship Id="rId58" Type="http://schemas.openxmlformats.org/officeDocument/2006/relationships/hyperlink" Target="https://youtu.be/HsKN_g7B_I4" TargetMode="External"/><Relationship Id="rId59" Type="http://schemas.openxmlformats.org/officeDocument/2006/relationships/hyperlink" Target="https://youtu.be/8BMk7Z9k2I8" TargetMode="External"/><Relationship Id="rId60" Type="http://schemas.openxmlformats.org/officeDocument/2006/relationships/hyperlink" Target="https://youtu.be/HsKN_g7B_I4" TargetMode="External"/><Relationship Id="rId61" Type="http://schemas.openxmlformats.org/officeDocument/2006/relationships/hyperlink" Target="https://www.youtube.com/watch?v=VzW1ZocwebM&amp;list=PLGjfh_21bFBeTNSSYIIjGfKXLP2npOZvj&amp;index=2" TargetMode="External"/><Relationship Id="rId62" Type="http://schemas.openxmlformats.org/officeDocument/2006/relationships/hyperlink" Target="https://www.youtube.com/watch?v=VzW1ZocwebM&amp;list=PLGjfh_21bFBeTNSSYIIjGfKXLP2npOZvj&amp;index=2" TargetMode="External"/><Relationship Id="rId63" Type="http://schemas.openxmlformats.org/officeDocument/2006/relationships/hyperlink" Target="https://www.youtube.com/watch?v=FeyoRYh5VPg&amp;list=PLGjfh_21bFBeTNSSYIIjGfKXLP2npOZvj" TargetMode="External"/><Relationship Id="rId64" Type="http://schemas.openxmlformats.org/officeDocument/2006/relationships/hyperlink" Target="https://www.youtube.com/watch?v=FeyoRYh5VPg&amp;list=PLGjfh_21bFBeTNSSYIIjGfKXLP2npOZvj" TargetMode="External"/><Relationship Id="rId65" Type="http://schemas.openxmlformats.org/officeDocument/2006/relationships/hyperlink" Target="https://youtu.be/YvKnAOWxCPg" TargetMode="External"/><Relationship Id="rId66" Type="http://schemas.openxmlformats.org/officeDocument/2006/relationships/hyperlink" Target="https://www.youtube.com/watch?v=or6rHMGX9-0&amp;list=PLGjfh_21bFBeTNSSYIIjGfKXLP2npOZvj&amp;index=4" TargetMode="External"/><Relationship Id="rId67" Type="http://schemas.openxmlformats.org/officeDocument/2006/relationships/hyperlink" Target="https://youtu.be/fRIKD3mWVzA" TargetMode="External"/><Relationship Id="rId68" Type="http://schemas.openxmlformats.org/officeDocument/2006/relationships/hyperlink" Target="https://youtu.be/JpXi-a0v5D0" TargetMode="External"/><Relationship Id="rId69" Type="http://schemas.openxmlformats.org/officeDocument/2006/relationships/hyperlink" Target="https://www.youtube.com/watch?v=tvWo-IRP7w0&amp;list=PLGjfh_21bFBeTNSSYIIjGfKXLP2npOZvj&amp;index=6" TargetMode="External"/><Relationship Id="rId70" Type="http://schemas.openxmlformats.org/officeDocument/2006/relationships/hyperlink" Target="https://youtu.be/Wr9OfoSMrcs" TargetMode="External"/><Relationship Id="rId71" Type="http://schemas.openxmlformats.org/officeDocument/2006/relationships/hyperlink" Target="https://www.youtube.com/watch?v=AVuX2-nsLf0&amp;list=PLGjfh_21bFBd9mAvK7-VGQp4qqkkRbL2-&amp;index=22" TargetMode="External"/><Relationship Id="rId72" Type="http://schemas.openxmlformats.org/officeDocument/2006/relationships/hyperlink" Target="https://www.youtube.com/watch?v=iem5Had7Sgg&amp;list=PLGjfh_21bFBeTNSSYIIjGfKXLP2npOZvj&amp;index=144" TargetMode="External"/><Relationship Id="rId73" Type="http://schemas.openxmlformats.org/officeDocument/2006/relationships/hyperlink" Target="https://www.youtube.com/watch?v=OCGbCgAl2eg&amp;list=PLGjfh_21bFBeTNSSYIIjGfKXLP2npOZvj&amp;index=15" TargetMode="External"/><Relationship Id="rId74" Type="http://schemas.openxmlformats.org/officeDocument/2006/relationships/hyperlink" Target="https://www.youtube.com/watch?v=HTIlsQl7QqQ&amp;list=PLGjfh_21bFBeTNSSYIIjGfKXLP2npOZvj&amp;index=16" TargetMode="External"/><Relationship Id="rId75" Type="http://schemas.openxmlformats.org/officeDocument/2006/relationships/hyperlink" Target="https://youtu.be/4WxLmv3JG8E" TargetMode="External"/><Relationship Id="rId76" Type="http://schemas.openxmlformats.org/officeDocument/2006/relationships/hyperlink" Target="https://youtu.be/4WxLmv3JG8E" TargetMode="External"/><Relationship Id="rId77" Type="http://schemas.openxmlformats.org/officeDocument/2006/relationships/hyperlink" Target="https://youtu.be/4WxLmv3JG8E" TargetMode="External"/><Relationship Id="rId78" Type="http://schemas.openxmlformats.org/officeDocument/2006/relationships/hyperlink" Target="https://youtu.be/4WxLmv3JG8E" TargetMode="External"/><Relationship Id="rId79" Type="http://schemas.openxmlformats.org/officeDocument/2006/relationships/hyperlink" Target="https://youtu.be/pOrt385k3Mg" TargetMode="External"/><Relationship Id="rId80" Type="http://schemas.openxmlformats.org/officeDocument/2006/relationships/hyperlink" Target="https://youtu.be/pOrt385k3Mg" TargetMode="External"/><Relationship Id="rId81" Type="http://schemas.openxmlformats.org/officeDocument/2006/relationships/hyperlink" Target="https://youtu.be/Huu1FBct8U0" TargetMode="External"/><Relationship Id="rId82" Type="http://schemas.openxmlformats.org/officeDocument/2006/relationships/hyperlink" Target="https://youtu.be/Iaqm3qJT-o0" TargetMode="External"/><Relationship Id="rId83" Type="http://schemas.openxmlformats.org/officeDocument/2006/relationships/hyperlink" Target="https://youtu.be/NouM0V4sWdQ" TargetMode="External"/><Relationship Id="rId84" Type="http://schemas.openxmlformats.org/officeDocument/2006/relationships/hyperlink" Target="https://youtu.be/NouM0V4sWdQ" TargetMode="External"/><Relationship Id="rId85" Type="http://schemas.openxmlformats.org/officeDocument/2006/relationships/hyperlink" Target="https://youtu.be/NeLrZZqcpLo" TargetMode="External"/><Relationship Id="rId86" Type="http://schemas.openxmlformats.org/officeDocument/2006/relationships/hyperlink" Target="https://youtu.be/NeLrZZqcpLo" TargetMode="External"/><Relationship Id="rId87" Type="http://schemas.openxmlformats.org/officeDocument/2006/relationships/hyperlink" Target="https://youtu.be/NeLrZZqcpLo" TargetMode="External"/><Relationship Id="rId88" Type="http://schemas.openxmlformats.org/officeDocument/2006/relationships/hyperlink" Target="https://youtu.be/NeLrZZqcpLo" TargetMode="External"/><Relationship Id="rId89" Type="http://schemas.openxmlformats.org/officeDocument/2006/relationships/hyperlink" Target="https://youtu.be/NeLrZZqcpLo" TargetMode="External"/><Relationship Id="rId90" Type="http://schemas.openxmlformats.org/officeDocument/2006/relationships/hyperlink" Target="https://youtu.be/sH6bqMLx3Is" TargetMode="External"/><Relationship Id="rId91" Type="http://schemas.openxmlformats.org/officeDocument/2006/relationships/hyperlink" Target="https://youtu.be/EsCjVVXgZVI" TargetMode="External"/><Relationship Id="rId92" Type="http://schemas.openxmlformats.org/officeDocument/2006/relationships/hyperlink" Target="https://youtu.be/bET0RH4s-UM" TargetMode="External"/><Relationship Id="rId93" Type="http://schemas.openxmlformats.org/officeDocument/2006/relationships/hyperlink" Target="https://youtu.be/1mTjcUYdmfE" TargetMode="External"/><Relationship Id="rId94" Type="http://schemas.openxmlformats.org/officeDocument/2006/relationships/hyperlink" Target="https://youtu.be/eEUNyIUmfkw" TargetMode="External"/><Relationship Id="rId95" Type="http://schemas.openxmlformats.org/officeDocument/2006/relationships/hyperlink" Target="https://youtu.be/NTWug1MvIaQ" TargetMode="External"/><Relationship Id="rId96" Type="http://schemas.openxmlformats.org/officeDocument/2006/relationships/hyperlink" Target="https://www.youtube.com/watch?v=yTz8t8RCnvE&amp;list=PLX10pjRah52OzPpR1qgFtJ8-5xCenxqmm&amp;index=17" TargetMode="External"/><Relationship Id="rId97" Type="http://schemas.openxmlformats.org/officeDocument/2006/relationships/hyperlink" Target="https://www.youtube.com/watch?v=yTz8t8RCnvE&amp;list=PLX10pjRah52OzPpR1qgFtJ8-5xCenxqmm&amp;index=17" TargetMode="External"/><Relationship Id="rId98" Type="http://schemas.openxmlformats.org/officeDocument/2006/relationships/hyperlink" Target="https://www.youtube.com/watch?v=yTz8t8RCnvE&amp;list=PLX10pjRah52OzPpR1qgFtJ8-5xCenxqmm&amp;index=17" TargetMode="External"/><Relationship Id="rId99" Type="http://schemas.openxmlformats.org/officeDocument/2006/relationships/hyperlink" Target="https://youtu.be/Mk3c-IkXjV4" TargetMode="External"/><Relationship Id="rId100" Type="http://schemas.openxmlformats.org/officeDocument/2006/relationships/hyperlink" Target="https://youtu.be/M_mZx3ecRwQ" TargetMode="External"/><Relationship Id="rId101" Type="http://schemas.openxmlformats.org/officeDocument/2006/relationships/hyperlink" Target="https://youtu.be/quiX6SzJ9QA" TargetMode="External"/><Relationship Id="rId102" Type="http://schemas.openxmlformats.org/officeDocument/2006/relationships/hyperlink" Target="https://youtu.be/quiX6SzJ9QA" TargetMode="External"/><Relationship Id="rId103" Type="http://schemas.openxmlformats.org/officeDocument/2006/relationships/hyperlink" Target="https://youtu.be/quiX6SzJ9QA" TargetMode="External"/><Relationship Id="rId104" Type="http://schemas.openxmlformats.org/officeDocument/2006/relationships/hyperlink" Target="https://youtu.be/quiX6SzJ9QA" TargetMode="External"/><Relationship Id="rId105" Type="http://schemas.openxmlformats.org/officeDocument/2006/relationships/hyperlink" Target="https://youtu.be/quiX6SzJ9QA" TargetMode="External"/><Relationship Id="rId106" Type="http://schemas.openxmlformats.org/officeDocument/2006/relationships/hyperlink" Target="https://youtu.be/quiX6SzJ9QA" TargetMode="External"/><Relationship Id="rId107" Type="http://schemas.openxmlformats.org/officeDocument/2006/relationships/hyperlink" Target="https://youtu.be/quiX6SzJ9QA" TargetMode="External"/><Relationship Id="rId108" Type="http://schemas.openxmlformats.org/officeDocument/2006/relationships/hyperlink" Target="https://youtu.be/quiX6SzJ9QA" TargetMode="External"/><Relationship Id="rId109" Type="http://schemas.openxmlformats.org/officeDocument/2006/relationships/hyperlink" Target="https://youtu.be/quiX6SzJ9QA" TargetMode="External"/><Relationship Id="rId110" Type="http://schemas.openxmlformats.org/officeDocument/2006/relationships/hyperlink" Target="https://youtu.be/quiX6SzJ9QA" TargetMode="External"/><Relationship Id="rId111" Type="http://schemas.openxmlformats.org/officeDocument/2006/relationships/hyperlink" Target="https://youtu.be/PUCQRr1BVuQ" TargetMode="External"/><Relationship Id="rId112" Type="http://schemas.openxmlformats.org/officeDocument/2006/relationships/hyperlink" Target="https://youtu.be/31QGY_oMMJQ" TargetMode="External"/><Relationship Id="rId113" Type="http://schemas.openxmlformats.org/officeDocument/2006/relationships/hyperlink" Target="https://youtu.be/31QGY_oMMJQ" TargetMode="External"/><Relationship Id="rId114" Type="http://schemas.openxmlformats.org/officeDocument/2006/relationships/hyperlink" Target="https://youtu.be/UkfXUhtF-TI" TargetMode="External"/><Relationship Id="rId115" Type="http://schemas.openxmlformats.org/officeDocument/2006/relationships/hyperlink" Target="https://youtu.be/BwBM5mdqTAI" TargetMode="External"/><Relationship Id="rId116" Type="http://schemas.openxmlformats.org/officeDocument/2006/relationships/hyperlink" Target="https://youtu.be/BwBM5mdqTAI" TargetMode="External"/><Relationship Id="rId117" Type="http://schemas.openxmlformats.org/officeDocument/2006/relationships/hyperlink" Target="https://youtu.be/BwBM5mdqTAI" TargetMode="External"/><Relationship Id="rId118" Type="http://schemas.openxmlformats.org/officeDocument/2006/relationships/hyperlink" Target="https://youtu.be/BwBM5mdqTAI" TargetMode="External"/><Relationship Id="rId119" Type="http://schemas.openxmlformats.org/officeDocument/2006/relationships/hyperlink" Target="https://youtu.be/BwBM5mdqTAI" TargetMode="External"/><Relationship Id="rId120" Type="http://schemas.openxmlformats.org/officeDocument/2006/relationships/hyperlink" Target="https://youtu.be/BwBM5mdqTAI" TargetMode="External"/><Relationship Id="rId121" Type="http://schemas.openxmlformats.org/officeDocument/2006/relationships/hyperlink" Target="https://www.youtube.com/watch?v=dZGAwEwoc1g&amp;list=PLGjfh_21bFBeTNSSYIIjGfKXLP2npOZvj&amp;index=288" TargetMode="External"/><Relationship Id="rId122" Type="http://schemas.openxmlformats.org/officeDocument/2006/relationships/hyperlink" Target="https://youtu.be/3Txnk1LyD4Q" TargetMode="External"/><Relationship Id="rId123" Type="http://schemas.openxmlformats.org/officeDocument/2006/relationships/hyperlink" Target="https://www.youtube.com/watch?v=lG6MyN18XYo&amp;list=PLGjfh_21bFBeTNSSYIIjGfKXLP2npOZvj&amp;index=3" TargetMode="External"/><Relationship Id="rId124" Type="http://schemas.openxmlformats.org/officeDocument/2006/relationships/hyperlink" Target="https://www.youtube.com/watch?v=lG6MyN18XYo&amp;list=PLGjfh_21bFBeTNSSYIIjGfKXLP2npOZvj&amp;index=3" TargetMode="External"/><Relationship Id="rId125" Type="http://schemas.openxmlformats.org/officeDocument/2006/relationships/hyperlink" Target="https://www.youtube.com/watch?v=lG6MyN18XYo&amp;list=PLGjfh_21bFBeTNSSYIIjGfKXLP2npOZvj&amp;index=3" TargetMode="External"/><Relationship Id="rId126" Type="http://schemas.openxmlformats.org/officeDocument/2006/relationships/hyperlink" Target="https://www.youtube.com/watch?v=lG6MyN18XYo&amp;list=PLGjfh_21bFBeTNSSYIIjGfKXLP2npOZvj&amp;index=3" TargetMode="External"/><Relationship Id="rId127" Type="http://schemas.openxmlformats.org/officeDocument/2006/relationships/hyperlink" Target="https://www.youtube.com/watch?v=JffjGajN2VA&amp;list=PLGjfh_21bFBeTNSSYIIjGfKXLP2npOZvj&amp;index=17" TargetMode="External"/><Relationship Id="rId128" Type="http://schemas.openxmlformats.org/officeDocument/2006/relationships/hyperlink" Target="https://youtu.be/4cHi--DbEZ0" TargetMode="External"/><Relationship Id="rId129" Type="http://schemas.openxmlformats.org/officeDocument/2006/relationships/hyperlink" Target="https://youtu.be/4cHi--DbEZ0" TargetMode="External"/><Relationship Id="rId130" Type="http://schemas.openxmlformats.org/officeDocument/2006/relationships/hyperlink" Target="https://youtu.be/4cHi--DbEZ0" TargetMode="External"/><Relationship Id="rId131" Type="http://schemas.openxmlformats.org/officeDocument/2006/relationships/hyperlink" Target="https://youtu.be/4cHi--DbEZ0" TargetMode="External"/><Relationship Id="rId132" Type="http://schemas.openxmlformats.org/officeDocument/2006/relationships/hyperlink" Target="https://youtu.be/4cHi--DbEZ0" TargetMode="External"/><Relationship Id="rId133" Type="http://schemas.openxmlformats.org/officeDocument/2006/relationships/hyperlink" Target="https://youtu.be/4cHi--DbEZ0" TargetMode="External"/><Relationship Id="rId134" Type="http://schemas.openxmlformats.org/officeDocument/2006/relationships/hyperlink" Target="https://youtu.be/tP-FWF-Qt9Q" TargetMode="External"/><Relationship Id="rId135" Type="http://schemas.openxmlformats.org/officeDocument/2006/relationships/hyperlink" Target="https://www.youtube.com/watch?v=arMpdlheRg4&amp;list=PLGjfh_21bFBeTNSSYIIjGfKXLP2npOZvj&amp;index=188" TargetMode="External"/><Relationship Id="rId136" Type="http://schemas.openxmlformats.org/officeDocument/2006/relationships/hyperlink" Target="https://www.youtube.com/watch?v=3dX1_Zkwe6M&amp;list=PLGjfh_21bFBeTNSSYIIjGfKXLP2npOZvj&amp;index=199" TargetMode="External"/><Relationship Id="rId137" Type="http://schemas.openxmlformats.org/officeDocument/2006/relationships/hyperlink" Target="https://youtu.be/qxVjxyPBe-E" TargetMode="External"/><Relationship Id="rId138" Type="http://schemas.openxmlformats.org/officeDocument/2006/relationships/hyperlink" Target="https://www.youtube.com/watch?v=UUckMgecBrc&amp;list=PLX10pjRah52OzPpR1qgFtJ8-5xCenxqmm&amp;index=44" TargetMode="External"/><Relationship Id="rId139" Type="http://schemas.openxmlformats.org/officeDocument/2006/relationships/hyperlink" Target="https://youtu.be/1mTjcUYdmfE" TargetMode="External"/><Relationship Id="rId140" Type="http://schemas.openxmlformats.org/officeDocument/2006/relationships/hyperlink" Target="https://youtu.be/1mTjcUYdmfE" TargetMode="External"/><Relationship Id="rId141" Type="http://schemas.openxmlformats.org/officeDocument/2006/relationships/hyperlink" Target="https://youtu.be/1mTjcUYdmfE" TargetMode="External"/><Relationship Id="rId142" Type="http://schemas.openxmlformats.org/officeDocument/2006/relationships/hyperlink" Target="https://www.youtube.com/watch?v=OncxgqpWR70&amp;list=PLX10pjRah52OzPpR1qgFtJ8-5xCenxqmm&amp;index=11" TargetMode="External"/><Relationship Id="rId143" Type="http://schemas.openxmlformats.org/officeDocument/2006/relationships/hyperlink" Target="https://www.youtube.com/watch?v=6UVwtaC0ue0&amp;list=PLX10pjRah52OzPpR1qgFtJ8-5xCenxqmm&amp;index=27" TargetMode="External"/><Relationship Id="rId144" Type="http://schemas.openxmlformats.org/officeDocument/2006/relationships/hyperlink" Target="https://www.youtube.com/watch?v=doWzl8xbgkc&amp;list=PLX10pjRah52OzPpR1qgFtJ8-5xCenxqmm&amp;index=21" TargetMode="External"/><Relationship Id="rId145" Type="http://schemas.openxmlformats.org/officeDocument/2006/relationships/hyperlink" Target="https://www.youtube.com/watch?v=jy__Y_x5RNI&amp;list=PLX10pjRah52OzPpR1qgFtJ8-5xCenxqmm&amp;index=26" TargetMode="External"/><Relationship Id="rId146" Type="http://schemas.openxmlformats.org/officeDocument/2006/relationships/hyperlink" Target="https://www.youtube.com/watch?v=QF9JyASS3Tc&amp;list=PLX10pjRah52OzPpR1qgFtJ8-5xCenxqmm&amp;index=2" TargetMode="External"/><Relationship Id="rId147" Type="http://schemas.openxmlformats.org/officeDocument/2006/relationships/hyperlink" Target="https://www.youtube.com/watch?v=UROEdOOdutQ&amp;list=PLX10pjRah52OzPpR1qgFtJ8-5xCenxqmm&amp;index=23" TargetMode="External"/><Relationship Id="rId148" Type="http://schemas.openxmlformats.org/officeDocument/2006/relationships/hyperlink" Target="https://www.youtube.com/watch?v=9UpSvesBeKQ&amp;list=PLX10pjRah52OzPpR1qgFtJ8-5xCenxqmm&amp;index=32" TargetMode="External"/><Relationship Id="rId149" Type="http://schemas.openxmlformats.org/officeDocument/2006/relationships/hyperlink" Target="https://www.youtube.com/watch?v=vhtgzgpXbpI&amp;list=PLX10pjRah52OzPpR1qgFtJ8-5xCenxqmm&amp;index=18" TargetMode="External"/><Relationship Id="rId150" Type="http://schemas.openxmlformats.org/officeDocument/2006/relationships/hyperlink" Target="https://www.youtube.com/watch?v=vhtgzgpXbpI&amp;list=PLX10pjRah52OzPpR1qgFtJ8-5xCenxqmm&amp;index=18" TargetMode="External"/><Relationship Id="rId151" Type="http://schemas.openxmlformats.org/officeDocument/2006/relationships/hyperlink" Target="https://www.youtube.com/watch?v=Ml7BjHu2zkc&amp;list=PLX10pjRah52OzPpR1qgFtJ8-5xCenxqmm" TargetMode="External"/><Relationship Id="rId152" Type="http://schemas.openxmlformats.org/officeDocument/2006/relationships/hyperlink" Target="https://www.youtube.com/watch?v=3xD2Vs1Pdgg&amp;list=PLX10pjRah52OzPpR1qgFtJ8-5xCenxqmm&amp;index=4" TargetMode="External"/><Relationship Id="rId153" Type="http://schemas.openxmlformats.org/officeDocument/2006/relationships/hyperlink" Target="https://www.youtube.com/watch?v=9SyCo6nIyqQ&amp;list=PLX10pjRah52OzPpR1qgFtJ8-5xCenxqmm&amp;index=33" TargetMode="External"/><Relationship Id="rId154" Type="http://schemas.openxmlformats.org/officeDocument/2006/relationships/hyperlink" Target="https://youtu.be/d-BxjGNZxWQ" TargetMode="External"/><Relationship Id="rId155" Type="http://schemas.openxmlformats.org/officeDocument/2006/relationships/hyperlink" Target="https://www.youtube.com/watch?v=bAzhfegJoMA&amp;list=PLGjfh_21bFBeTNSSYIIjGfKXLP2npOZvj&amp;index=21" TargetMode="External"/><Relationship Id="rId156" Type="http://schemas.openxmlformats.org/officeDocument/2006/relationships/hyperlink" Target="https://www.youtube.com/watch?v=bAzhfegJoMA&amp;list=PLGjfh_21bFBeTNSSYIIjGfKXLP2npOZvj&amp;index=21" TargetMode="External"/><Relationship Id="rId157" Type="http://schemas.openxmlformats.org/officeDocument/2006/relationships/hyperlink" Target="https://www.youtube.com/watch?v=bAzhfegJoMA&amp;list=PLGjfh_21bFBeTNSSYIIjGfKXLP2npOZvj&amp;index=21" TargetMode="External"/><Relationship Id="rId158" Type="http://schemas.openxmlformats.org/officeDocument/2006/relationships/hyperlink" Target="https://www.youtube.com/watch?v=7nYJEalP6_Q" TargetMode="External"/><Relationship Id="rId159" Type="http://schemas.openxmlformats.org/officeDocument/2006/relationships/hyperlink" Target="https://www.youtube.com/watch?v=7nYJEalP6_Q" TargetMode="External"/><Relationship Id="rId160" Type="http://schemas.openxmlformats.org/officeDocument/2006/relationships/hyperlink" Target="https://www.youtube.com/watch?v=7nYJEalP6_Q" TargetMode="External"/><Relationship Id="rId161" Type="http://schemas.openxmlformats.org/officeDocument/2006/relationships/hyperlink" Target="https://www.youtube.com/watch?v=7nYJEalP6_Q" TargetMode="External"/><Relationship Id="rId162" Type="http://schemas.openxmlformats.org/officeDocument/2006/relationships/hyperlink" Target="https://www.youtube.com/watch?v=N1YOxH4cGfU&amp;list=PLGjfh_21bFBeTNSSYIIjGfKXLP2npOZvj&amp;index=20" TargetMode="External"/><Relationship Id="rId163" Type="http://schemas.openxmlformats.org/officeDocument/2006/relationships/hyperlink" Target="https://www.youtube.com/watch?v=N1YOxH4cGfU&amp;list=PLGjfh_21bFBeTNSSYIIjGfKXLP2npOZvj&amp;index=20" TargetMode="External"/><Relationship Id="rId164" Type="http://schemas.openxmlformats.org/officeDocument/2006/relationships/hyperlink" Target="https://www.youtube.com/watch?v=aqrZIajvC74&amp;list=PLGjfh_21bFBeTNSSYIIjGfKXLP2npOZvj&amp;index=22" TargetMode="External"/><Relationship Id="rId165" Type="http://schemas.openxmlformats.org/officeDocument/2006/relationships/hyperlink" Target="https://www.youtube.com/watch?v=aqrZIajvC74&amp;list=PLGjfh_21bFBeTNSSYIIjGfKXLP2npOZvj&amp;index=22" TargetMode="External"/><Relationship Id="rId166" Type="http://schemas.openxmlformats.org/officeDocument/2006/relationships/hyperlink" Target="https://www.youtube.com/watch?v=aqrZIajvC74&amp;list=PLGjfh_21bFBeTNSSYIIjGfKXLP2npOZvj&amp;index=22" TargetMode="External"/><Relationship Id="rId167" Type="http://schemas.openxmlformats.org/officeDocument/2006/relationships/hyperlink" Target="https://www.youtube.com/watch?v=aqrZIajvC74&amp;list=PLGjfh_21bFBeTNSSYIIjGfKXLP2npOZvj&amp;index=22" TargetMode="External"/><Relationship Id="rId168" Type="http://schemas.openxmlformats.org/officeDocument/2006/relationships/hyperlink" Target="https://www.youtube.com/watch?v=UNW2sXCQAn4&amp;list=PLGjfh_21bFBeTNSSYIIjGfKXLP2npOZvj&amp;index=23" TargetMode="External"/><Relationship Id="rId169" Type="http://schemas.openxmlformats.org/officeDocument/2006/relationships/hyperlink" Target="https://www.youtube.com/watch?v=UNW2sXCQAn4&amp;list=PLGjfh_21bFBeTNSSYIIjGfKXLP2npOZvj&amp;index=23" TargetMode="External"/><Relationship Id="rId170" Type="http://schemas.openxmlformats.org/officeDocument/2006/relationships/hyperlink" Target="https://www.youtube.com/watch?v=UNW2sXCQAn4&amp;list=PLGjfh_21bFBeTNSSYIIjGfKXLP2npOZvj&amp;index=23" TargetMode="External"/><Relationship Id="rId171" Type="http://schemas.openxmlformats.org/officeDocument/2006/relationships/hyperlink" Target="https://www.youtube.com/watch?v=MafiDgp5cYc&amp;list=PLX10pjRah52OzPpR1qgFtJ8-5xCenxqmm&amp;index=5" TargetMode="External"/><Relationship Id="rId172" Type="http://schemas.openxmlformats.org/officeDocument/2006/relationships/hyperlink" Target="https://www.youtube.com/watch?v=PhZClHK3QHU&amp;list=PLX10pjRah52OzPpR1qgFtJ8-5xCenxqmm&amp;index=13" TargetMode="External"/><Relationship Id="rId173" Type="http://schemas.openxmlformats.org/officeDocument/2006/relationships/hyperlink" Target="https://www.youtube.com/watch?v=IbMjnofeZKc&amp;list=PLX10pjRah52OzPpR1qgFtJ8-5xCenxqmm&amp;index=22" TargetMode="External"/><Relationship Id="rId174" Type="http://schemas.openxmlformats.org/officeDocument/2006/relationships/hyperlink" Target="https://www.youtube.com/watch?v=GFNMC1lxqko&amp;list=PLX10pjRah52OzPpR1qgFtJ8-5xCenxqmm&amp;index=25" TargetMode="External"/><Relationship Id="rId175" Type="http://schemas.openxmlformats.org/officeDocument/2006/relationships/hyperlink" Target="https://www.youtube.com/watch?v=FDIyf3HNOJo&amp;list=PLX10pjRah52OzPpR1qgFtJ8-5xCenxqmm&amp;index=31" TargetMode="External"/><Relationship Id="rId176" Type="http://schemas.openxmlformats.org/officeDocument/2006/relationships/hyperlink" Target="https://www.youtube.com/watch?v=ku3C1WokNkc&amp;list=PLX10pjRah52OzPpR1qgFtJ8-5xCenxqmm&amp;index=28" TargetMode="External"/><Relationship Id="rId177" Type="http://schemas.openxmlformats.org/officeDocument/2006/relationships/hyperlink" Target="https://www.youtube.com/watch?v=BdDmO073SJ4&amp;list=PLX10pjRah52OzPpR1qgFtJ8-5xCenxqmm&amp;index=9" TargetMode="External"/><Relationship Id="rId178" Type="http://schemas.openxmlformats.org/officeDocument/2006/relationships/hyperlink" Target="https://www.youtube.com/watch?v=IVXtabRcTkI&amp;list=PLX10pjRah52OzPpR1qgFtJ8-5xCenxqmm&amp;index=12" TargetMode="External"/><Relationship Id="rId179" Type="http://schemas.openxmlformats.org/officeDocument/2006/relationships/hyperlink" Target="https://youtu.be/CMs1T6D-JNA" TargetMode="External"/><Relationship Id="rId180" Type="http://schemas.openxmlformats.org/officeDocument/2006/relationships/hyperlink" Target="https://www.youtube.com/watch?v=BWykPjKobu8&amp;list=PLX10pjRah52OzPpR1qgFtJ8-5xCenxqmm&amp;index=30" TargetMode="External"/><Relationship Id="rId181" Type="http://schemas.openxmlformats.org/officeDocument/2006/relationships/hyperlink" Target="https://www.youtube.com/watch?v=BWykPjKobu8&amp;list=PLX10pjRah52OzPpR1qgFtJ8-5xCenxqmm&amp;index=30" TargetMode="External"/><Relationship Id="rId182" Type="http://schemas.openxmlformats.org/officeDocument/2006/relationships/hyperlink" Target="https://www.youtube.com/watch?v=BWykPjKobu8&amp;list=PLX10pjRah52OzPpR1qgFtJ8-5xCenxqmm&amp;index=30" TargetMode="External"/><Relationship Id="rId183" Type="http://schemas.openxmlformats.org/officeDocument/2006/relationships/hyperlink" Target="https://www.youtube.com/watch?v=lnQ9SJ-B-VA&amp;list=PLX10pjRah52OzPpR1qgFtJ8-5xCenxqmm&amp;index=29" TargetMode="External"/><Relationship Id="rId184" Type="http://schemas.openxmlformats.org/officeDocument/2006/relationships/hyperlink" Target="https://www.youtube.com/watch?v=lnQ9SJ-B-VA&amp;list=PLX10pjRah52OzPpR1qgFtJ8-5xCenxqmm&amp;index=29" TargetMode="External"/><Relationship Id="rId185" Type="http://schemas.openxmlformats.org/officeDocument/2006/relationships/hyperlink" Target="https://youtu.be/s93PqscB00Q" TargetMode="External"/><Relationship Id="rId186" Type="http://schemas.openxmlformats.org/officeDocument/2006/relationships/hyperlink" Target="https://youtu.be/s93PqscB00Q" TargetMode="External"/><Relationship Id="rId187" Type="http://schemas.openxmlformats.org/officeDocument/2006/relationships/hyperlink" Target="https://www.youtube.com/watch?v=lnQ9SJ-B-VA&amp;list=PLX10pjRah52OzPpR1qgFtJ8-5xCenxqmm&amp;index=29" TargetMode="External"/><Relationship Id="rId188" Type="http://schemas.openxmlformats.org/officeDocument/2006/relationships/hyperlink" Target="https://youtu.be/DCIRYZOnqeI" TargetMode="External"/><Relationship Id="rId189" Type="http://schemas.openxmlformats.org/officeDocument/2006/relationships/hyperlink" Target="https://youtu.be/DCIRYZOnqeI" TargetMode="External"/><Relationship Id="rId190" Type="http://schemas.openxmlformats.org/officeDocument/2006/relationships/hyperlink" Target="https://youtu.be/T5eOCmbS3Gc" TargetMode="External"/><Relationship Id="rId191" Type="http://schemas.openxmlformats.org/officeDocument/2006/relationships/hyperlink" Target="https://www.youtube.com/watch?v=RXynsTB-dm0&amp;list=PLX10pjRah52OzPpR1qgFtJ8-5xCenxqmm&amp;index=7" TargetMode="External"/><Relationship Id="rId192" Type="http://schemas.openxmlformats.org/officeDocument/2006/relationships/hyperlink" Target="https://www.youtube.com/watch?v=TSjUV31_ezY&amp;list=PLX10pjRah52OzPpR1qgFtJ8-5xCenxqmm&amp;index=8" TargetMode="External"/><Relationship Id="rId193" Type="http://schemas.openxmlformats.org/officeDocument/2006/relationships/hyperlink" Target="https://youtu.be/bhH8TEZes0A" TargetMode="External"/><Relationship Id="rId194" Type="http://schemas.openxmlformats.org/officeDocument/2006/relationships/hyperlink" Target="https://youtu.be/5mif7LaLh6A" TargetMode="External"/><Relationship Id="rId195" Type="http://schemas.openxmlformats.org/officeDocument/2006/relationships/hyperlink" Target="https://youtu.be/7sFhXfwcQyY" TargetMode="External"/><Relationship Id="rId196" Type="http://schemas.openxmlformats.org/officeDocument/2006/relationships/hyperlink" Target="https://youtu.be/7sFhXfwcQyY" TargetMode="External"/><Relationship Id="rId197" Type="http://schemas.openxmlformats.org/officeDocument/2006/relationships/hyperlink" Target="https://youtu.be/7sFhXfwcQyY" TargetMode="External"/><Relationship Id="rId198" Type="http://schemas.openxmlformats.org/officeDocument/2006/relationships/hyperlink" Target="https://youtu.be/7sFhXfwcQyY" TargetMode="External"/><Relationship Id="rId199" Type="http://schemas.openxmlformats.org/officeDocument/2006/relationships/hyperlink" Target="https://youtu.be/7sFhXfwcQyY" TargetMode="External"/><Relationship Id="rId200" Type="http://schemas.openxmlformats.org/officeDocument/2006/relationships/hyperlink" Target="https://youtu.be/7sFhXfwcQyY" TargetMode="External"/><Relationship Id="rId201" Type="http://schemas.openxmlformats.org/officeDocument/2006/relationships/hyperlink" Target="https://youtu.be/7sFhXfwcQyY" TargetMode="External"/><Relationship Id="rId202" Type="http://schemas.openxmlformats.org/officeDocument/2006/relationships/hyperlink" Target="https://youtu.be/7sFhXfwcQyY" TargetMode="External"/><Relationship Id="rId203" Type="http://schemas.openxmlformats.org/officeDocument/2006/relationships/hyperlink" Target="https://www.youtube.com/watch?v=YVC9re3Bkkg" TargetMode="External"/><Relationship Id="rId204" Type="http://schemas.openxmlformats.org/officeDocument/2006/relationships/hyperlink" Target="https://www.youtube.com/watch?v=7A5be01WcbE&amp;list=PLGjfh_21bFBeTNSSYIIjGfKXLP2npOZvj&amp;index=24" TargetMode="External"/><Relationship Id="rId205" Type="http://schemas.openxmlformats.org/officeDocument/2006/relationships/hyperlink" Target="https://www.youtube.com/watch?v=7A5be01WcbE&amp;list=PLGjfh_21bFBeTNSSYIIjGfKXLP2npOZvj&amp;index=24" TargetMode="External"/><Relationship Id="rId206" Type="http://schemas.openxmlformats.org/officeDocument/2006/relationships/hyperlink" Target="https://youtu.be/N3nwKjDFgaE" TargetMode="External"/><Relationship Id="rId207" Type="http://schemas.openxmlformats.org/officeDocument/2006/relationships/hyperlink" Target="https://www.youtube.com/watch?v=gaceitIW4w8&amp;list=PLX10pjRah52OzPpR1qgFtJ8-5xCenxqmm&amp;index=6" TargetMode="External"/><Relationship Id="rId208" Type="http://schemas.openxmlformats.org/officeDocument/2006/relationships/hyperlink" Target="https://www.youtube.com/watch?v=t-VKvet8p48&amp;list=PLX10pjRah52OzPpR1qgFtJ8-5xCenxqmm&amp;index=4" TargetMode="External"/><Relationship Id="rId209" Type="http://schemas.openxmlformats.org/officeDocument/2006/relationships/hyperlink" Target="https://www.youtube.com/watch?v=AfSo0vY5Lbg&amp;list=PLX10pjRah52OzPpR1qgFtJ8-5xCenxqmm&amp;index=34" TargetMode="External"/><Relationship Id="rId210" Type="http://schemas.openxmlformats.org/officeDocument/2006/relationships/hyperlink" Target="https://youtu.be/7JGmXxDYKDw" TargetMode="External"/><Relationship Id="rId211" Type="http://schemas.openxmlformats.org/officeDocument/2006/relationships/hyperlink" Target="https://youtu.be/pFrhulRkzRw" TargetMode="External"/><Relationship Id="rId212" Type="http://schemas.openxmlformats.org/officeDocument/2006/relationships/hyperlink" Target="https://www.youtube.com/watch?v=4Ev1sClwerA&amp;list=PLGjfh_21bFBeTNSSYIIjGfKXLP2npOZvj&amp;index=266" TargetMode="External"/><Relationship Id="rId213" Type="http://schemas.openxmlformats.org/officeDocument/2006/relationships/hyperlink" Target="https://www.youtube.com/watch?v=c93z70xrs0M&amp;list=PLGjfh_21bFBeTNSSYIIjGfKXLP2npOZvj&amp;index=27" TargetMode="External"/><Relationship Id="rId214" Type="http://schemas.openxmlformats.org/officeDocument/2006/relationships/hyperlink" Target="https://www.youtube.com/watch?v=qhlHatC9jGo&amp;list=PLX10pjRah52OzPpR1qgFtJ8-5xCenxqmm&amp;index=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3"/>
  <sheetViews>
    <sheetView workbookViewId="0" zoomScale="100" zoomScaleNormal="100"/>
  </sheetViews>
  <sheetFormatPr defaultRowHeight="15.75" outlineLevelRow="0" outlineLevelCol="0" x14ac:dyDescent="0" defaultColWidth="12.63" customHeight="1"/>
  <cols>
    <col min="1" max="1" width="11.75" customWidth="1"/>
  </cols>
  <sheetData>
    <row r="1" spans="1:7" x14ac:dyDescent="0.25">
      <c r="A1" s="1"/>
      <c r="B1" s="1"/>
      <c r="C1" s="1"/>
      <c r="D1" s="2" t="s">
        <v>0</v>
      </c>
      <c r="E1" s="1"/>
      <c r="F1" s="3" t="s">
        <v>1</v>
      </c>
      <c r="G1" s="4"/>
    </row>
    <row r="2" spans="1:7" x14ac:dyDescent="0.25">
      <c r="A2" s="1" t="s">
        <v>2</v>
      </c>
      <c r="B2" s="1" t="s">
        <v>3</v>
      </c>
      <c r="C2" s="1" t="s">
        <v>4</v>
      </c>
      <c r="D2" s="2" t="s">
        <v>5</v>
      </c>
      <c r="E2" s="1" t="s">
        <v>6</v>
      </c>
      <c r="F2" s="1" t="s">
        <v>7</v>
      </c>
      <c r="G2" s="4"/>
    </row>
    <row r="3" spans="1:9" x14ac:dyDescent="0.25">
      <c r="A3" s="1" t="s">
        <v>8</v>
      </c>
      <c r="B3" s="1">
        <v>150</v>
      </c>
      <c r="D3" s="5">
        <f t="shared" ref="D3:D5" si="0">MROUND((B3*10%)+B3,5)</f>
        <v>165</v>
      </c>
      <c r="E3" s="6">
        <f t="shared" ref="E3:E31" si="1">MROUND((B3*15%)+B3,5)</f>
        <v>175</v>
      </c>
      <c r="F3" s="1">
        <v>199</v>
      </c>
      <c r="G3" s="4">
        <f t="shared" ref="G3:G56" si="2">(F3-B3)/B3</f>
        <v>0.3266666667</v>
      </c>
      <c r="H3" s="6">
        <f t="shared" ref="H3:H56" si="3">F3-D3</f>
        <v>34</v>
      </c>
      <c r="I3" s="6">
        <f t="shared" ref="I3:I56" si="4">F3-E3</f>
        <v>24</v>
      </c>
    </row>
    <row r="4" spans="1:9" x14ac:dyDescent="0.25">
      <c r="A4" s="1" t="s">
        <v>9</v>
      </c>
      <c r="B4" s="1">
        <v>165</v>
      </c>
      <c r="D4" s="5">
        <f t="shared" si="0"/>
        <v>180</v>
      </c>
      <c r="E4" s="6">
        <f t="shared" si="1"/>
        <v>190</v>
      </c>
      <c r="F4" s="1">
        <v>240</v>
      </c>
      <c r="G4" s="4">
        <f t="shared" si="2"/>
        <v>0.4545454545</v>
      </c>
      <c r="H4" s="6">
        <f t="shared" si="3"/>
        <v>60</v>
      </c>
      <c r="I4" s="6">
        <f t="shared" si="4"/>
        <v>50</v>
      </c>
    </row>
    <row r="5" spans="1:9" x14ac:dyDescent="0.25">
      <c r="A5" s="1" t="s">
        <v>10</v>
      </c>
      <c r="B5" s="1">
        <v>150</v>
      </c>
      <c r="D5" s="5">
        <f t="shared" si="0"/>
        <v>165</v>
      </c>
      <c r="E5" s="6">
        <f t="shared" si="1"/>
        <v>175</v>
      </c>
      <c r="F5" s="1">
        <v>240</v>
      </c>
      <c r="G5" s="4">
        <f t="shared" si="2"/>
        <v>0.6</v>
      </c>
      <c r="H5" s="6">
        <f t="shared" si="3"/>
        <v>75</v>
      </c>
      <c r="I5" s="6">
        <f t="shared" si="4"/>
        <v>65</v>
      </c>
    </row>
    <row r="6" spans="1:9" x14ac:dyDescent="0.25">
      <c r="A6" s="1" t="s">
        <v>11</v>
      </c>
      <c r="B6" s="1">
        <v>230</v>
      </c>
      <c r="D6" s="7">
        <v>235</v>
      </c>
      <c r="E6" s="8">
        <f t="shared" si="1"/>
        <v>265</v>
      </c>
      <c r="F6" s="9">
        <v>240</v>
      </c>
      <c r="G6" s="4">
        <f t="shared" si="2"/>
        <v>0.04347826087</v>
      </c>
      <c r="H6" s="6">
        <f t="shared" si="3"/>
        <v>5</v>
      </c>
      <c r="I6" s="6">
        <f t="shared" si="4"/>
        <v>-25</v>
      </c>
    </row>
    <row r="7" spans="1:9" x14ac:dyDescent="0.25">
      <c r="A7" s="1" t="s">
        <v>12</v>
      </c>
      <c r="B7" s="1">
        <v>170</v>
      </c>
      <c r="D7" s="5">
        <f t="shared" ref="D7:D31" si="5">MROUND((B7*10%)+B7,5)</f>
        <v>185</v>
      </c>
      <c r="E7" s="6">
        <f t="shared" si="1"/>
        <v>195</v>
      </c>
      <c r="F7" s="1">
        <v>240</v>
      </c>
      <c r="G7" s="4">
        <f t="shared" si="2"/>
        <v>0.4117647059</v>
      </c>
      <c r="H7" s="6">
        <f t="shared" si="3"/>
        <v>55</v>
      </c>
      <c r="I7" s="6">
        <f t="shared" si="4"/>
        <v>45</v>
      </c>
    </row>
    <row r="8" spans="1:9" x14ac:dyDescent="0.25">
      <c r="A8" s="1" t="s">
        <v>13</v>
      </c>
      <c r="B8" s="1">
        <v>165</v>
      </c>
      <c r="D8" s="5">
        <f t="shared" si="5"/>
        <v>180</v>
      </c>
      <c r="E8" s="6">
        <f t="shared" si="1"/>
        <v>190</v>
      </c>
      <c r="F8" s="1">
        <v>199</v>
      </c>
      <c r="G8" s="4">
        <f t="shared" si="2"/>
        <v>0.2060606061</v>
      </c>
      <c r="H8" s="6">
        <f t="shared" si="3"/>
        <v>19</v>
      </c>
      <c r="I8" s="6">
        <f t="shared" si="4"/>
        <v>9</v>
      </c>
    </row>
    <row r="9" spans="1:9" x14ac:dyDescent="0.25">
      <c r="A9" s="1" t="s">
        <v>14</v>
      </c>
      <c r="B9" s="1">
        <v>120</v>
      </c>
      <c r="D9" s="5">
        <f t="shared" si="5"/>
        <v>130</v>
      </c>
      <c r="E9" s="6">
        <f t="shared" si="1"/>
        <v>140</v>
      </c>
      <c r="F9" s="1">
        <v>165</v>
      </c>
      <c r="G9" s="4">
        <f t="shared" si="2"/>
        <v>0.375</v>
      </c>
      <c r="H9" s="6">
        <f t="shared" si="3"/>
        <v>35</v>
      </c>
      <c r="I9" s="6">
        <f t="shared" si="4"/>
        <v>25</v>
      </c>
    </row>
    <row r="10" spans="1:9" x14ac:dyDescent="0.25">
      <c r="A10" s="1" t="s">
        <v>15</v>
      </c>
      <c r="B10" s="1">
        <v>110</v>
      </c>
      <c r="D10" s="5">
        <f t="shared" si="5"/>
        <v>120</v>
      </c>
      <c r="E10" s="6">
        <f t="shared" si="1"/>
        <v>125</v>
      </c>
      <c r="F10" s="1">
        <v>150</v>
      </c>
      <c r="G10" s="4">
        <f t="shared" si="2"/>
        <v>0.3636363636</v>
      </c>
      <c r="H10" s="6">
        <f t="shared" si="3"/>
        <v>30</v>
      </c>
      <c r="I10" s="6">
        <f t="shared" si="4"/>
        <v>25</v>
      </c>
    </row>
    <row r="11" spans="1:9" x14ac:dyDescent="0.25">
      <c r="A11" s="1" t="s">
        <v>16</v>
      </c>
      <c r="B11" s="1">
        <v>170</v>
      </c>
      <c r="D11" s="5">
        <f t="shared" si="5"/>
        <v>185</v>
      </c>
      <c r="E11" s="6">
        <f t="shared" si="1"/>
        <v>195</v>
      </c>
      <c r="F11" s="1">
        <v>250</v>
      </c>
      <c r="G11" s="4">
        <f t="shared" si="2"/>
        <v>0.4705882353</v>
      </c>
      <c r="H11" s="6">
        <f t="shared" si="3"/>
        <v>65</v>
      </c>
      <c r="I11" s="6">
        <f t="shared" si="4"/>
        <v>55</v>
      </c>
    </row>
    <row r="12" spans="1:9" x14ac:dyDescent="0.25">
      <c r="A12" s="1" t="s">
        <v>17</v>
      </c>
      <c r="B12" s="1">
        <v>140</v>
      </c>
      <c r="D12" s="5">
        <f t="shared" si="5"/>
        <v>155</v>
      </c>
      <c r="E12" s="6">
        <f t="shared" si="1"/>
        <v>160</v>
      </c>
      <c r="F12" s="1">
        <v>190</v>
      </c>
      <c r="G12" s="4">
        <f t="shared" si="2"/>
        <v>0.3571428571</v>
      </c>
      <c r="H12" s="6">
        <f t="shared" si="3"/>
        <v>35</v>
      </c>
      <c r="I12" s="6">
        <f t="shared" si="4"/>
        <v>30</v>
      </c>
    </row>
    <row r="13" spans="1:9" x14ac:dyDescent="0.25">
      <c r="A13" s="1" t="s">
        <v>18</v>
      </c>
      <c r="B13" s="1">
        <v>125</v>
      </c>
      <c r="D13" s="5">
        <f t="shared" si="5"/>
        <v>140</v>
      </c>
      <c r="E13" s="6">
        <f t="shared" si="1"/>
        <v>145</v>
      </c>
      <c r="F13" s="1">
        <v>250</v>
      </c>
      <c r="G13" s="4">
        <f t="shared" si="2"/>
        <v>1</v>
      </c>
      <c r="H13" s="6">
        <f t="shared" si="3"/>
        <v>110</v>
      </c>
      <c r="I13" s="6">
        <f t="shared" si="4"/>
        <v>105</v>
      </c>
    </row>
    <row r="14" spans="1:9" x14ac:dyDescent="0.25">
      <c r="A14" s="1" t="s">
        <v>19</v>
      </c>
      <c r="B14" s="1">
        <v>25</v>
      </c>
      <c r="D14" s="5">
        <f t="shared" si="5"/>
        <v>30</v>
      </c>
      <c r="E14" s="6">
        <f t="shared" si="1"/>
        <v>30</v>
      </c>
      <c r="F14" s="1">
        <v>50</v>
      </c>
      <c r="G14" s="4">
        <f t="shared" si="2"/>
        <v>1</v>
      </c>
      <c r="H14" s="6">
        <f t="shared" si="3"/>
        <v>20</v>
      </c>
      <c r="I14" s="6">
        <f t="shared" si="4"/>
        <v>20</v>
      </c>
    </row>
    <row r="15" spans="1:9" x14ac:dyDescent="0.25">
      <c r="A15" s="1" t="s">
        <v>20</v>
      </c>
      <c r="B15" s="1">
        <v>120</v>
      </c>
      <c r="D15" s="5">
        <f t="shared" si="5"/>
        <v>130</v>
      </c>
      <c r="E15" s="6">
        <f t="shared" si="1"/>
        <v>140</v>
      </c>
      <c r="F15" s="1">
        <v>240</v>
      </c>
      <c r="G15" s="4">
        <f t="shared" si="2"/>
        <v>1</v>
      </c>
      <c r="H15" s="6">
        <f t="shared" si="3"/>
        <v>110</v>
      </c>
      <c r="I15" s="6">
        <f t="shared" si="4"/>
        <v>100</v>
      </c>
    </row>
    <row r="16" spans="1:9" x14ac:dyDescent="0.25">
      <c r="A16" s="1" t="s">
        <v>21</v>
      </c>
      <c r="B16" s="1">
        <v>170</v>
      </c>
      <c r="D16" s="5">
        <f t="shared" si="5"/>
        <v>185</v>
      </c>
      <c r="E16" s="6">
        <f t="shared" si="1"/>
        <v>195</v>
      </c>
      <c r="F16" s="1">
        <v>250</v>
      </c>
      <c r="G16" s="4">
        <f t="shared" si="2"/>
        <v>0.4705882353</v>
      </c>
      <c r="H16" s="6">
        <f t="shared" si="3"/>
        <v>65</v>
      </c>
      <c r="I16" s="6">
        <f t="shared" si="4"/>
        <v>55</v>
      </c>
    </row>
    <row r="17" spans="1:9" x14ac:dyDescent="0.25">
      <c r="A17" s="1" t="s">
        <v>22</v>
      </c>
      <c r="B17" s="1">
        <v>1350</v>
      </c>
      <c r="D17" s="5">
        <f t="shared" si="5"/>
        <v>1485</v>
      </c>
      <c r="E17" s="6">
        <f t="shared" si="1"/>
        <v>1555</v>
      </c>
      <c r="F17" s="1">
        <v>1950</v>
      </c>
      <c r="G17" s="4">
        <f t="shared" si="2"/>
        <v>0.4444444444</v>
      </c>
      <c r="H17" s="6">
        <f t="shared" si="3"/>
        <v>465</v>
      </c>
      <c r="I17" s="6">
        <f t="shared" si="4"/>
        <v>395</v>
      </c>
    </row>
    <row r="18" spans="1:9" x14ac:dyDescent="0.25">
      <c r="A18" s="1" t="s">
        <v>23</v>
      </c>
      <c r="B18" s="1">
        <v>1000</v>
      </c>
      <c r="D18" s="5">
        <f t="shared" si="5"/>
        <v>1100</v>
      </c>
      <c r="E18" s="6">
        <f t="shared" si="1"/>
        <v>1150</v>
      </c>
      <c r="F18" s="1">
        <v>1350</v>
      </c>
      <c r="G18" s="4">
        <f t="shared" si="2"/>
        <v>0.35</v>
      </c>
      <c r="H18" s="6">
        <f t="shared" si="3"/>
        <v>250</v>
      </c>
      <c r="I18" s="6">
        <f t="shared" si="4"/>
        <v>200</v>
      </c>
    </row>
    <row r="19" spans="1:9" x14ac:dyDescent="0.25">
      <c r="A19" s="1" t="s">
        <v>24</v>
      </c>
      <c r="B19" s="1">
        <v>1050</v>
      </c>
      <c r="D19" s="5">
        <f t="shared" si="5"/>
        <v>1155</v>
      </c>
      <c r="E19" s="6">
        <f t="shared" si="1"/>
        <v>1210</v>
      </c>
      <c r="F19" s="1">
        <v>1450</v>
      </c>
      <c r="G19" s="4">
        <f t="shared" si="2"/>
        <v>0.380952381</v>
      </c>
      <c r="H19" s="6">
        <f t="shared" si="3"/>
        <v>295</v>
      </c>
      <c r="I19" s="6">
        <f t="shared" si="4"/>
        <v>240</v>
      </c>
    </row>
    <row r="20" spans="1:9" x14ac:dyDescent="0.25">
      <c r="A20" s="1" t="s">
        <v>25</v>
      </c>
      <c r="B20" s="1">
        <v>1050</v>
      </c>
      <c r="D20" s="5">
        <f t="shared" si="5"/>
        <v>1155</v>
      </c>
      <c r="E20" s="6">
        <f t="shared" si="1"/>
        <v>1210</v>
      </c>
      <c r="F20" s="1">
        <v>1500</v>
      </c>
      <c r="G20" s="4">
        <f t="shared" si="2"/>
        <v>0.4285714286</v>
      </c>
      <c r="H20" s="6">
        <f t="shared" si="3"/>
        <v>345</v>
      </c>
      <c r="I20" s="6">
        <f t="shared" si="4"/>
        <v>290</v>
      </c>
    </row>
    <row r="21" spans="1:9" x14ac:dyDescent="0.25">
      <c r="A21" s="1" t="s">
        <v>26</v>
      </c>
      <c r="B21" s="1">
        <v>420</v>
      </c>
      <c r="C21" s="1">
        <v>65</v>
      </c>
      <c r="D21" s="5">
        <f t="shared" si="5"/>
        <v>460</v>
      </c>
      <c r="E21" s="6">
        <f t="shared" si="1"/>
        <v>485</v>
      </c>
      <c r="F21" s="1">
        <v>750</v>
      </c>
      <c r="G21" s="4">
        <f t="shared" si="2"/>
        <v>0.7857142857</v>
      </c>
      <c r="H21" s="6">
        <f t="shared" si="3"/>
        <v>290</v>
      </c>
      <c r="I21" s="6">
        <f t="shared" si="4"/>
        <v>265</v>
      </c>
    </row>
    <row r="22" spans="1:9" x14ac:dyDescent="0.25">
      <c r="A22" s="1" t="s">
        <v>27</v>
      </c>
      <c r="B22" s="1">
        <v>75</v>
      </c>
      <c r="D22" s="5">
        <f t="shared" si="5"/>
        <v>85</v>
      </c>
      <c r="E22" s="6">
        <f t="shared" si="1"/>
        <v>85</v>
      </c>
      <c r="F22" s="1">
        <v>200</v>
      </c>
      <c r="G22" s="4">
        <f t="shared" si="2"/>
        <v>1.666666667</v>
      </c>
      <c r="H22" s="6">
        <f t="shared" si="3"/>
        <v>115</v>
      </c>
      <c r="I22" s="6">
        <f t="shared" si="4"/>
        <v>115</v>
      </c>
    </row>
    <row r="23" spans="1:25" x14ac:dyDescent="0.25">
      <c r="A23" s="10" t="s">
        <v>28</v>
      </c>
      <c r="B23" s="10">
        <v>38</v>
      </c>
      <c r="C23" s="11"/>
      <c r="D23" s="5">
        <f t="shared" si="5"/>
        <v>40</v>
      </c>
      <c r="E23" s="11">
        <f t="shared" si="1"/>
        <v>45</v>
      </c>
      <c r="F23" s="10">
        <v>150</v>
      </c>
      <c r="G23" s="4">
        <f t="shared" si="2"/>
        <v>2.947368421</v>
      </c>
      <c r="H23" s="6">
        <f t="shared" si="3"/>
        <v>110</v>
      </c>
      <c r="I23" s="6">
        <f t="shared" si="4"/>
        <v>105</v>
      </c>
      <c r="J23" s="11"/>
      <c r="K23" s="11"/>
      <c r="L23" s="11"/>
      <c r="M23" s="11"/>
      <c r="N23" s="11"/>
      <c r="O23" s="11"/>
      <c r="P23" s="11"/>
      <c r="Q23" s="11"/>
      <c r="R23" s="11"/>
      <c r="S23" s="11"/>
      <c r="T23" s="11"/>
      <c r="U23" s="11"/>
      <c r="V23" s="11"/>
      <c r="W23" s="11"/>
      <c r="X23" s="11"/>
      <c r="Y23" s="11"/>
    </row>
    <row r="24" spans="1:9" x14ac:dyDescent="0.25">
      <c r="A24" s="1" t="s">
        <v>29</v>
      </c>
      <c r="B24" s="1">
        <v>140</v>
      </c>
      <c r="D24" s="5">
        <f t="shared" si="5"/>
        <v>155</v>
      </c>
      <c r="E24" s="6">
        <f t="shared" si="1"/>
        <v>160</v>
      </c>
      <c r="F24" s="1">
        <v>250</v>
      </c>
      <c r="G24" s="4">
        <f t="shared" si="2"/>
        <v>0.7857142857</v>
      </c>
      <c r="H24" s="6">
        <f t="shared" si="3"/>
        <v>95</v>
      </c>
      <c r="I24" s="6">
        <f t="shared" si="4"/>
        <v>90</v>
      </c>
    </row>
    <row r="25" spans="1:9" x14ac:dyDescent="0.25">
      <c r="A25" s="1" t="s">
        <v>30</v>
      </c>
      <c r="B25" s="1">
        <v>210</v>
      </c>
      <c r="D25" s="5">
        <f t="shared" si="5"/>
        <v>230</v>
      </c>
      <c r="E25" s="6">
        <f t="shared" si="1"/>
        <v>240</v>
      </c>
      <c r="F25" s="1">
        <v>300</v>
      </c>
      <c r="G25" s="4">
        <f t="shared" si="2"/>
        <v>0.4285714286</v>
      </c>
      <c r="H25" s="6">
        <f t="shared" si="3"/>
        <v>70</v>
      </c>
      <c r="I25" s="6">
        <f t="shared" si="4"/>
        <v>60</v>
      </c>
    </row>
    <row r="26" spans="1:9" x14ac:dyDescent="0.25">
      <c r="A26" s="1" t="s">
        <v>31</v>
      </c>
      <c r="B26" s="1">
        <v>315</v>
      </c>
      <c r="D26" s="5">
        <f t="shared" si="5"/>
        <v>345</v>
      </c>
      <c r="E26" s="6">
        <f t="shared" si="1"/>
        <v>360</v>
      </c>
      <c r="F26" s="1">
        <v>450</v>
      </c>
      <c r="G26" s="4">
        <f t="shared" si="2"/>
        <v>0.4285714286</v>
      </c>
      <c r="H26" s="6">
        <f t="shared" si="3"/>
        <v>105</v>
      </c>
      <c r="I26" s="6">
        <f t="shared" si="4"/>
        <v>90</v>
      </c>
    </row>
    <row r="27" spans="1:9" x14ac:dyDescent="0.25">
      <c r="A27" s="1" t="s">
        <v>32</v>
      </c>
      <c r="B27" s="1">
        <v>325</v>
      </c>
      <c r="D27" s="5">
        <f t="shared" si="5"/>
        <v>360</v>
      </c>
      <c r="E27" s="6">
        <f t="shared" si="1"/>
        <v>375</v>
      </c>
      <c r="F27" s="1">
        <v>450</v>
      </c>
      <c r="G27" s="4">
        <f t="shared" si="2"/>
        <v>0.3846153846</v>
      </c>
      <c r="H27" s="6">
        <f t="shared" si="3"/>
        <v>90</v>
      </c>
      <c r="I27" s="6">
        <f t="shared" si="4"/>
        <v>75</v>
      </c>
    </row>
    <row r="28" spans="1:9" x14ac:dyDescent="0.25">
      <c r="A28" s="1" t="s">
        <v>33</v>
      </c>
      <c r="B28" s="1">
        <v>320</v>
      </c>
      <c r="D28" s="5">
        <f t="shared" si="5"/>
        <v>350</v>
      </c>
      <c r="E28" s="6">
        <f t="shared" si="1"/>
        <v>370</v>
      </c>
      <c r="F28" s="1">
        <v>450</v>
      </c>
      <c r="G28" s="4">
        <f t="shared" si="2"/>
        <v>0.40625</v>
      </c>
      <c r="H28" s="6">
        <f t="shared" si="3"/>
        <v>100</v>
      </c>
      <c r="I28" s="6">
        <f t="shared" si="4"/>
        <v>80</v>
      </c>
    </row>
    <row r="29" spans="1:9" x14ac:dyDescent="0.25">
      <c r="A29" s="1" t="s">
        <v>34</v>
      </c>
      <c r="B29" s="1">
        <v>320</v>
      </c>
      <c r="D29" s="5">
        <f t="shared" si="5"/>
        <v>350</v>
      </c>
      <c r="E29" s="6">
        <f t="shared" si="1"/>
        <v>370</v>
      </c>
      <c r="F29" s="1">
        <v>450</v>
      </c>
      <c r="G29" s="4">
        <f t="shared" si="2"/>
        <v>0.40625</v>
      </c>
      <c r="H29" s="6">
        <f t="shared" si="3"/>
        <v>100</v>
      </c>
      <c r="I29" s="6">
        <f t="shared" si="4"/>
        <v>80</v>
      </c>
    </row>
    <row r="30" spans="1:9" x14ac:dyDescent="0.25">
      <c r="A30" s="1" t="s">
        <v>35</v>
      </c>
      <c r="B30" s="1">
        <v>315</v>
      </c>
      <c r="D30" s="5">
        <f t="shared" si="5"/>
        <v>345</v>
      </c>
      <c r="E30" s="6">
        <f t="shared" si="1"/>
        <v>360</v>
      </c>
      <c r="F30" s="1">
        <v>450</v>
      </c>
      <c r="G30" s="4">
        <f t="shared" si="2"/>
        <v>0.4285714286</v>
      </c>
      <c r="H30" s="6">
        <f t="shared" si="3"/>
        <v>105</v>
      </c>
      <c r="I30" s="6">
        <f t="shared" si="4"/>
        <v>90</v>
      </c>
    </row>
    <row r="31" spans="1:9" x14ac:dyDescent="0.25">
      <c r="A31" s="1" t="s">
        <v>36</v>
      </c>
      <c r="B31" s="1">
        <v>325</v>
      </c>
      <c r="D31" s="5">
        <f t="shared" si="5"/>
        <v>360</v>
      </c>
      <c r="E31" s="6">
        <f t="shared" si="1"/>
        <v>375</v>
      </c>
      <c r="F31" s="1">
        <v>450</v>
      </c>
      <c r="G31" s="4">
        <f t="shared" si="2"/>
        <v>0.3846153846</v>
      </c>
      <c r="H31" s="6">
        <f t="shared" si="3"/>
        <v>90</v>
      </c>
      <c r="I31" s="6">
        <f t="shared" si="4"/>
        <v>75</v>
      </c>
    </row>
    <row r="32" spans="1:9" x14ac:dyDescent="0.25">
      <c r="A32" s="1" t="s">
        <v>37</v>
      </c>
      <c r="B32" s="1">
        <v>400</v>
      </c>
      <c r="D32" s="7">
        <v>425</v>
      </c>
      <c r="E32" s="9">
        <v>430</v>
      </c>
      <c r="F32" s="9">
        <v>435</v>
      </c>
      <c r="G32" s="4">
        <f t="shared" si="2"/>
        <v>0.0875</v>
      </c>
      <c r="H32" s="6">
        <f t="shared" si="3"/>
        <v>10</v>
      </c>
      <c r="I32" s="6">
        <f t="shared" si="4"/>
        <v>5</v>
      </c>
    </row>
    <row r="33" spans="1:9" x14ac:dyDescent="0.25">
      <c r="A33" s="1" t="s">
        <v>38</v>
      </c>
      <c r="B33" s="1">
        <v>150</v>
      </c>
      <c r="D33" s="5">
        <f t="shared" ref="D33:D56" si="6">MROUND((B33*10%)+B33,5)</f>
        <v>165</v>
      </c>
      <c r="E33" s="6">
        <f t="shared" ref="E33:E56" si="7">MROUND((B33*15%)+B33,5)</f>
        <v>175</v>
      </c>
      <c r="F33" s="1">
        <v>190</v>
      </c>
      <c r="G33" s="4">
        <f t="shared" si="2"/>
        <v>0.2666666667</v>
      </c>
      <c r="H33" s="6">
        <f t="shared" si="3"/>
        <v>25</v>
      </c>
      <c r="I33" s="6">
        <f t="shared" si="4"/>
        <v>15</v>
      </c>
    </row>
    <row r="34" spans="1:9" x14ac:dyDescent="0.25">
      <c r="A34" s="1" t="s">
        <v>39</v>
      </c>
      <c r="B34" s="1">
        <v>135</v>
      </c>
      <c r="D34" s="5">
        <f t="shared" si="6"/>
        <v>150</v>
      </c>
      <c r="E34" s="6">
        <f t="shared" si="7"/>
        <v>155</v>
      </c>
      <c r="F34" s="1">
        <v>200</v>
      </c>
      <c r="G34" s="4">
        <f t="shared" si="2"/>
        <v>0.4814814815</v>
      </c>
      <c r="H34" s="6">
        <f t="shared" si="3"/>
        <v>50</v>
      </c>
      <c r="I34" s="6">
        <f t="shared" si="4"/>
        <v>45</v>
      </c>
    </row>
    <row r="35" spans="1:9" x14ac:dyDescent="0.25">
      <c r="A35" s="1" t="s">
        <v>40</v>
      </c>
      <c r="B35" s="1">
        <v>200</v>
      </c>
      <c r="D35" s="5">
        <f t="shared" si="6"/>
        <v>220</v>
      </c>
      <c r="E35" s="6">
        <f t="shared" si="7"/>
        <v>230</v>
      </c>
      <c r="F35" s="1">
        <v>250</v>
      </c>
      <c r="G35" s="4">
        <f t="shared" si="2"/>
        <v>0.25</v>
      </c>
      <c r="H35" s="6">
        <f t="shared" si="3"/>
        <v>30</v>
      </c>
      <c r="I35" s="6">
        <f t="shared" si="4"/>
        <v>20</v>
      </c>
    </row>
    <row r="36" spans="1:9" x14ac:dyDescent="0.25">
      <c r="A36" s="1" t="s">
        <v>41</v>
      </c>
      <c r="B36" s="1">
        <v>150</v>
      </c>
      <c r="D36" s="5">
        <f t="shared" si="6"/>
        <v>165</v>
      </c>
      <c r="E36" s="6">
        <f t="shared" si="7"/>
        <v>175</v>
      </c>
      <c r="F36" s="1">
        <v>190</v>
      </c>
      <c r="G36" s="4">
        <f t="shared" si="2"/>
        <v>0.2666666667</v>
      </c>
      <c r="H36" s="6">
        <f t="shared" si="3"/>
        <v>25</v>
      </c>
      <c r="I36" s="6">
        <f t="shared" si="4"/>
        <v>15</v>
      </c>
    </row>
    <row r="37" spans="1:9" x14ac:dyDescent="0.25">
      <c r="A37" s="1" t="s">
        <v>42</v>
      </c>
      <c r="B37" s="1">
        <v>84</v>
      </c>
      <c r="D37" s="5">
        <f t="shared" si="6"/>
        <v>90</v>
      </c>
      <c r="E37" s="6">
        <f t="shared" si="7"/>
        <v>95</v>
      </c>
      <c r="F37" s="1">
        <v>120</v>
      </c>
      <c r="G37" s="4">
        <f t="shared" si="2"/>
        <v>0.4285714286</v>
      </c>
      <c r="H37" s="6">
        <f t="shared" si="3"/>
        <v>30</v>
      </c>
      <c r="I37" s="6">
        <f t="shared" si="4"/>
        <v>25</v>
      </c>
    </row>
    <row r="38" spans="1:9" x14ac:dyDescent="0.25">
      <c r="A38" s="1" t="s">
        <v>43</v>
      </c>
      <c r="B38" s="1">
        <v>87.08</v>
      </c>
      <c r="D38" s="5">
        <f t="shared" si="6"/>
        <v>95</v>
      </c>
      <c r="E38" s="6">
        <f t="shared" si="7"/>
        <v>100</v>
      </c>
      <c r="F38" s="1">
        <v>120</v>
      </c>
      <c r="G38" s="4">
        <f t="shared" si="2"/>
        <v>0.3780431787</v>
      </c>
      <c r="H38" s="6">
        <f t="shared" si="3"/>
        <v>25</v>
      </c>
      <c r="I38" s="6">
        <f t="shared" si="4"/>
        <v>20</v>
      </c>
    </row>
    <row r="39" spans="1:9" x14ac:dyDescent="0.25">
      <c r="A39" s="1" t="s">
        <v>44</v>
      </c>
      <c r="B39" s="1">
        <v>84</v>
      </c>
      <c r="D39" s="5">
        <f t="shared" si="6"/>
        <v>90</v>
      </c>
      <c r="E39" s="6">
        <f t="shared" si="7"/>
        <v>95</v>
      </c>
      <c r="F39" s="1">
        <v>120</v>
      </c>
      <c r="G39" s="4">
        <f t="shared" si="2"/>
        <v>0.4285714286</v>
      </c>
      <c r="H39" s="6">
        <f t="shared" si="3"/>
        <v>30</v>
      </c>
      <c r="I39" s="6">
        <f t="shared" si="4"/>
        <v>25</v>
      </c>
    </row>
    <row r="40" spans="1:9" x14ac:dyDescent="0.25">
      <c r="A40" s="1" t="s">
        <v>45</v>
      </c>
      <c r="B40" s="1">
        <v>87.08</v>
      </c>
      <c r="D40" s="5">
        <f t="shared" si="6"/>
        <v>95</v>
      </c>
      <c r="E40" s="6">
        <f t="shared" si="7"/>
        <v>100</v>
      </c>
      <c r="F40" s="1">
        <v>120</v>
      </c>
      <c r="G40" s="4">
        <f t="shared" si="2"/>
        <v>0.3780431787</v>
      </c>
      <c r="H40" s="6">
        <f t="shared" si="3"/>
        <v>25</v>
      </c>
      <c r="I40" s="6">
        <f t="shared" si="4"/>
        <v>20</v>
      </c>
    </row>
    <row r="41" spans="1:9" x14ac:dyDescent="0.25">
      <c r="A41" s="1" t="s">
        <v>46</v>
      </c>
      <c r="B41" s="1">
        <v>154</v>
      </c>
      <c r="D41" s="5">
        <f t="shared" si="6"/>
        <v>170</v>
      </c>
      <c r="E41" s="6">
        <f t="shared" si="7"/>
        <v>175</v>
      </c>
      <c r="F41" s="1">
        <v>195</v>
      </c>
      <c r="G41" s="4">
        <f t="shared" si="2"/>
        <v>0.2662337662</v>
      </c>
      <c r="H41" s="6">
        <f t="shared" si="3"/>
        <v>25</v>
      </c>
      <c r="I41" s="6">
        <f t="shared" si="4"/>
        <v>20</v>
      </c>
    </row>
    <row r="42" spans="1:9" x14ac:dyDescent="0.25">
      <c r="A42" s="1" t="s">
        <v>47</v>
      </c>
      <c r="B42" s="1">
        <v>154</v>
      </c>
      <c r="D42" s="5">
        <f t="shared" si="6"/>
        <v>170</v>
      </c>
      <c r="E42" s="6">
        <f t="shared" si="7"/>
        <v>175</v>
      </c>
      <c r="F42" s="1">
        <v>195</v>
      </c>
      <c r="G42" s="4">
        <f t="shared" si="2"/>
        <v>0.2662337662</v>
      </c>
      <c r="H42" s="6">
        <f t="shared" si="3"/>
        <v>25</v>
      </c>
      <c r="I42" s="6">
        <f t="shared" si="4"/>
        <v>20</v>
      </c>
    </row>
    <row r="43" spans="1:9" x14ac:dyDescent="0.25">
      <c r="A43" s="1" t="s">
        <v>48</v>
      </c>
      <c r="B43" s="1">
        <v>100</v>
      </c>
      <c r="D43" s="5">
        <f t="shared" si="6"/>
        <v>110</v>
      </c>
      <c r="E43" s="6">
        <f t="shared" si="7"/>
        <v>115</v>
      </c>
      <c r="F43" s="1">
        <v>135</v>
      </c>
      <c r="G43" s="4">
        <f t="shared" si="2"/>
        <v>0.35</v>
      </c>
      <c r="H43" s="6">
        <f t="shared" si="3"/>
        <v>25</v>
      </c>
      <c r="I43" s="6">
        <f t="shared" si="4"/>
        <v>20</v>
      </c>
    </row>
    <row r="44" spans="1:9" x14ac:dyDescent="0.25">
      <c r="A44" s="1" t="s">
        <v>49</v>
      </c>
      <c r="B44" s="1">
        <v>115</v>
      </c>
      <c r="D44" s="5">
        <f t="shared" si="6"/>
        <v>125</v>
      </c>
      <c r="E44" s="6">
        <f t="shared" si="7"/>
        <v>130</v>
      </c>
      <c r="F44" s="1">
        <v>150</v>
      </c>
      <c r="G44" s="4">
        <f t="shared" si="2"/>
        <v>0.3043478261</v>
      </c>
      <c r="H44" s="6">
        <f t="shared" si="3"/>
        <v>25</v>
      </c>
      <c r="I44" s="6">
        <f t="shared" si="4"/>
        <v>20</v>
      </c>
    </row>
    <row r="45" spans="1:9" x14ac:dyDescent="0.25">
      <c r="A45" s="1" t="s">
        <v>50</v>
      </c>
      <c r="B45" s="1">
        <v>115</v>
      </c>
      <c r="D45" s="5">
        <f t="shared" si="6"/>
        <v>125</v>
      </c>
      <c r="E45" s="6">
        <f t="shared" si="7"/>
        <v>130</v>
      </c>
      <c r="F45" s="1">
        <v>150</v>
      </c>
      <c r="G45" s="4">
        <f t="shared" si="2"/>
        <v>0.3043478261</v>
      </c>
      <c r="H45" s="6">
        <f t="shared" si="3"/>
        <v>25</v>
      </c>
      <c r="I45" s="6">
        <f t="shared" si="4"/>
        <v>20</v>
      </c>
    </row>
    <row r="46" spans="1:9" x14ac:dyDescent="0.25">
      <c r="A46" s="1" t="s">
        <v>51</v>
      </c>
      <c r="B46" s="1">
        <v>28</v>
      </c>
      <c r="D46" s="5">
        <f t="shared" si="6"/>
        <v>30</v>
      </c>
      <c r="E46" s="6">
        <f t="shared" si="7"/>
        <v>30</v>
      </c>
      <c r="F46" s="1">
        <v>60</v>
      </c>
      <c r="G46" s="4">
        <f t="shared" si="2"/>
        <v>1.142857143</v>
      </c>
      <c r="H46" s="6">
        <f t="shared" si="3"/>
        <v>30</v>
      </c>
      <c r="I46" s="6">
        <f t="shared" si="4"/>
        <v>30</v>
      </c>
    </row>
    <row r="47" spans="1:9" x14ac:dyDescent="0.25">
      <c r="A47" s="1" t="s">
        <v>52</v>
      </c>
      <c r="B47" s="1">
        <v>70</v>
      </c>
      <c r="D47" s="5">
        <f t="shared" si="6"/>
        <v>75</v>
      </c>
      <c r="E47" s="6">
        <f t="shared" si="7"/>
        <v>80</v>
      </c>
      <c r="F47" s="1">
        <v>120</v>
      </c>
      <c r="G47" s="4">
        <f t="shared" si="2"/>
        <v>0.7142857143</v>
      </c>
      <c r="H47" s="6">
        <f t="shared" si="3"/>
        <v>45</v>
      </c>
      <c r="I47" s="6">
        <f t="shared" si="4"/>
        <v>40</v>
      </c>
    </row>
    <row r="48" spans="1:9" x14ac:dyDescent="0.25">
      <c r="A48" s="1" t="s">
        <v>53</v>
      </c>
      <c r="B48" s="1">
        <v>28</v>
      </c>
      <c r="D48" s="5">
        <f t="shared" si="6"/>
        <v>30</v>
      </c>
      <c r="E48" s="6">
        <f t="shared" si="7"/>
        <v>30</v>
      </c>
      <c r="F48" s="1">
        <v>60</v>
      </c>
      <c r="G48" s="4">
        <f t="shared" si="2"/>
        <v>1.142857143</v>
      </c>
      <c r="H48" s="6">
        <f t="shared" si="3"/>
        <v>30</v>
      </c>
      <c r="I48" s="6">
        <f t="shared" si="4"/>
        <v>30</v>
      </c>
    </row>
    <row r="49" spans="1:9" x14ac:dyDescent="0.25">
      <c r="A49" s="1" t="s">
        <v>54</v>
      </c>
      <c r="B49" s="1">
        <v>30</v>
      </c>
      <c r="D49" s="5">
        <f t="shared" si="6"/>
        <v>35</v>
      </c>
      <c r="E49" s="6">
        <f t="shared" si="7"/>
        <v>35</v>
      </c>
      <c r="F49" s="1">
        <v>55</v>
      </c>
      <c r="G49" s="4">
        <f t="shared" si="2"/>
        <v>0.8333333333</v>
      </c>
      <c r="H49" s="6">
        <f t="shared" si="3"/>
        <v>20</v>
      </c>
      <c r="I49" s="6">
        <f t="shared" si="4"/>
        <v>20</v>
      </c>
    </row>
    <row r="50" spans="1:9" x14ac:dyDescent="0.25">
      <c r="A50" s="1" t="s">
        <v>55</v>
      </c>
      <c r="B50" s="1">
        <v>50</v>
      </c>
      <c r="D50" s="5">
        <f t="shared" si="6"/>
        <v>55</v>
      </c>
      <c r="E50" s="6">
        <f t="shared" si="7"/>
        <v>60</v>
      </c>
      <c r="F50" s="1">
        <v>100</v>
      </c>
      <c r="G50" s="4">
        <f t="shared" si="2"/>
        <v>1</v>
      </c>
      <c r="H50" s="6">
        <f t="shared" si="3"/>
        <v>45</v>
      </c>
      <c r="I50" s="6">
        <f t="shared" si="4"/>
        <v>40</v>
      </c>
    </row>
    <row r="51" spans="1:9" x14ac:dyDescent="0.25">
      <c r="A51" s="1" t="s">
        <v>56</v>
      </c>
      <c r="B51" s="1">
        <v>50</v>
      </c>
      <c r="D51" s="5">
        <f t="shared" si="6"/>
        <v>55</v>
      </c>
      <c r="E51" s="6">
        <f t="shared" si="7"/>
        <v>60</v>
      </c>
      <c r="F51" s="1">
        <v>100</v>
      </c>
      <c r="G51" s="4">
        <f t="shared" si="2"/>
        <v>1</v>
      </c>
      <c r="H51" s="6">
        <f t="shared" si="3"/>
        <v>45</v>
      </c>
      <c r="I51" s="6">
        <f t="shared" si="4"/>
        <v>40</v>
      </c>
    </row>
    <row r="52" spans="1:9" x14ac:dyDescent="0.25">
      <c r="A52" s="1" t="s">
        <v>57</v>
      </c>
      <c r="B52" s="1">
        <v>50</v>
      </c>
      <c r="D52" s="5">
        <f t="shared" si="6"/>
        <v>55</v>
      </c>
      <c r="E52" s="6">
        <f t="shared" si="7"/>
        <v>60</v>
      </c>
      <c r="F52" s="1">
        <v>100</v>
      </c>
      <c r="G52" s="4">
        <f t="shared" si="2"/>
        <v>1</v>
      </c>
      <c r="H52" s="6">
        <f t="shared" si="3"/>
        <v>45</v>
      </c>
      <c r="I52" s="6">
        <f t="shared" si="4"/>
        <v>40</v>
      </c>
    </row>
    <row r="53" spans="1:9" x14ac:dyDescent="0.25">
      <c r="A53" s="1" t="s">
        <v>58</v>
      </c>
      <c r="B53" s="1">
        <v>45</v>
      </c>
      <c r="D53" s="5">
        <f t="shared" si="6"/>
        <v>50</v>
      </c>
      <c r="E53" s="6">
        <f t="shared" si="7"/>
        <v>50</v>
      </c>
      <c r="F53" s="1">
        <v>135</v>
      </c>
      <c r="G53" s="4">
        <f t="shared" si="2"/>
        <v>2</v>
      </c>
      <c r="H53" s="6">
        <f t="shared" si="3"/>
        <v>85</v>
      </c>
      <c r="I53" s="6">
        <f t="shared" si="4"/>
        <v>85</v>
      </c>
    </row>
    <row r="54" spans="1:9" x14ac:dyDescent="0.25">
      <c r="A54" s="1" t="s">
        <v>59</v>
      </c>
      <c r="B54" s="1">
        <v>35</v>
      </c>
      <c r="D54" s="5">
        <f t="shared" si="6"/>
        <v>40</v>
      </c>
      <c r="E54" s="6">
        <f t="shared" si="7"/>
        <v>40</v>
      </c>
      <c r="F54" s="1">
        <v>150</v>
      </c>
      <c r="G54" s="4">
        <f t="shared" si="2"/>
        <v>3.285714286</v>
      </c>
      <c r="H54" s="6">
        <f t="shared" si="3"/>
        <v>110</v>
      </c>
      <c r="I54" s="6">
        <f t="shared" si="4"/>
        <v>110</v>
      </c>
    </row>
    <row r="55" spans="1:9" x14ac:dyDescent="0.25">
      <c r="A55" s="1" t="s">
        <v>60</v>
      </c>
      <c r="B55" s="1">
        <v>40</v>
      </c>
      <c r="D55" s="5">
        <f t="shared" si="6"/>
        <v>45</v>
      </c>
      <c r="E55" s="6">
        <f t="shared" si="7"/>
        <v>45</v>
      </c>
      <c r="F55" s="1">
        <v>65</v>
      </c>
      <c r="G55" s="4">
        <f t="shared" si="2"/>
        <v>0.625</v>
      </c>
      <c r="H55" s="6">
        <f t="shared" si="3"/>
        <v>20</v>
      </c>
      <c r="I55" s="6">
        <f t="shared" si="4"/>
        <v>20</v>
      </c>
    </row>
    <row r="56" spans="1:9" x14ac:dyDescent="0.25">
      <c r="A56" s="1" t="s">
        <v>61</v>
      </c>
      <c r="B56" s="1">
        <v>42</v>
      </c>
      <c r="D56" s="5">
        <f t="shared" si="6"/>
        <v>45</v>
      </c>
      <c r="E56" s="6">
        <f t="shared" si="7"/>
        <v>50</v>
      </c>
      <c r="F56" s="1">
        <v>65</v>
      </c>
      <c r="G56" s="4">
        <f t="shared" si="2"/>
        <v>0.5476190476</v>
      </c>
      <c r="H56" s="6">
        <f t="shared" si="3"/>
        <v>20</v>
      </c>
      <c r="I56" s="6">
        <f t="shared" si="4"/>
        <v>15</v>
      </c>
    </row>
    <row r="57" spans="4:7" x14ac:dyDescent="0.25">
      <c r="D57" s="5"/>
      <c r="G57" s="4"/>
    </row>
    <row r="58" spans="4:7" x14ac:dyDescent="0.25">
      <c r="D58" s="5"/>
      <c r="G58" s="4"/>
    </row>
    <row r="59" spans="4:7" x14ac:dyDescent="0.25">
      <c r="D59" s="5"/>
      <c r="G59" s="4"/>
    </row>
    <row r="60" spans="4:7" x14ac:dyDescent="0.25">
      <c r="D60" s="5"/>
      <c r="G60" s="4"/>
    </row>
    <row r="61" spans="4:7" x14ac:dyDescent="0.25">
      <c r="D61" s="5"/>
      <c r="G61" s="4"/>
    </row>
    <row r="62" spans="4:7" x14ac:dyDescent="0.25">
      <c r="D62" s="5"/>
      <c r="G62" s="4"/>
    </row>
    <row r="63" spans="4:7" x14ac:dyDescent="0.25">
      <c r="D63" s="5"/>
      <c r="G63" s="4"/>
    </row>
    <row r="64" spans="4:7" x14ac:dyDescent="0.25">
      <c r="D64" s="5"/>
      <c r="G64" s="4"/>
    </row>
    <row r="65" spans="4:7" x14ac:dyDescent="0.25">
      <c r="D65" s="5"/>
      <c r="G65" s="4"/>
    </row>
    <row r="66" spans="4:7" x14ac:dyDescent="0.25">
      <c r="D66" s="5"/>
      <c r="G66" s="4"/>
    </row>
    <row r="67" spans="4:7" x14ac:dyDescent="0.25">
      <c r="D67" s="5"/>
      <c r="G67" s="4"/>
    </row>
    <row r="68" spans="4:7" x14ac:dyDescent="0.25">
      <c r="D68" s="5"/>
      <c r="G68" s="4"/>
    </row>
    <row r="69" spans="4:7" x14ac:dyDescent="0.25">
      <c r="D69" s="5"/>
      <c r="G69" s="4"/>
    </row>
    <row r="70" spans="4:7" x14ac:dyDescent="0.25">
      <c r="D70" s="5"/>
      <c r="G70" s="4"/>
    </row>
    <row r="71" spans="4:7" x14ac:dyDescent="0.25">
      <c r="D71" s="5"/>
      <c r="G71" s="4"/>
    </row>
    <row r="72" spans="4:7" x14ac:dyDescent="0.25">
      <c r="D72" s="5"/>
      <c r="G72" s="4"/>
    </row>
    <row r="73" spans="4:7" x14ac:dyDescent="0.25">
      <c r="D73" s="5"/>
      <c r="G73" s="4"/>
    </row>
    <row r="74" spans="4:7" x14ac:dyDescent="0.25">
      <c r="D74" s="5"/>
      <c r="G74" s="4"/>
    </row>
    <row r="75" spans="4:7" x14ac:dyDescent="0.25">
      <c r="D75" s="5"/>
      <c r="G75" s="4"/>
    </row>
    <row r="76" spans="4:7" x14ac:dyDescent="0.25">
      <c r="D76" s="5"/>
      <c r="G76" s="4"/>
    </row>
    <row r="77" spans="4:7" x14ac:dyDescent="0.25">
      <c r="D77" s="5"/>
      <c r="G77" s="4"/>
    </row>
    <row r="78" spans="4:7" x14ac:dyDescent="0.25">
      <c r="D78" s="5"/>
      <c r="G78" s="4"/>
    </row>
    <row r="79" spans="4:7" x14ac:dyDescent="0.25">
      <c r="D79" s="5"/>
      <c r="G79" s="4"/>
    </row>
    <row r="80" spans="4:7" x14ac:dyDescent="0.25">
      <c r="D80" s="5"/>
      <c r="G80" s="4"/>
    </row>
    <row r="81" spans="4:7" x14ac:dyDescent="0.25">
      <c r="D81" s="5"/>
      <c r="G81" s="4"/>
    </row>
    <row r="82" spans="4:7" x14ac:dyDescent="0.25">
      <c r="D82" s="5"/>
      <c r="G82" s="4"/>
    </row>
    <row r="83" spans="4:7" x14ac:dyDescent="0.25">
      <c r="D83" s="5"/>
      <c r="G83" s="4"/>
    </row>
    <row r="84" spans="4:7" x14ac:dyDescent="0.25">
      <c r="D84" s="5"/>
      <c r="G84" s="4"/>
    </row>
    <row r="85" spans="4:7" x14ac:dyDescent="0.25">
      <c r="D85" s="5"/>
      <c r="G85" s="4"/>
    </row>
    <row r="86" spans="4:7" x14ac:dyDescent="0.25">
      <c r="D86" s="5"/>
      <c r="G86" s="4"/>
    </row>
    <row r="87" spans="4:7" x14ac:dyDescent="0.25">
      <c r="D87" s="5"/>
      <c r="G87" s="4"/>
    </row>
    <row r="88" spans="4:7" x14ac:dyDescent="0.25">
      <c r="D88" s="5"/>
      <c r="G88" s="4"/>
    </row>
    <row r="89" spans="4:7" x14ac:dyDescent="0.25">
      <c r="D89" s="5"/>
      <c r="G89" s="4"/>
    </row>
    <row r="90" spans="4:7" x14ac:dyDescent="0.25">
      <c r="D90" s="5"/>
      <c r="G90" s="4"/>
    </row>
    <row r="91" spans="4:7" x14ac:dyDescent="0.25">
      <c r="D91" s="5"/>
      <c r="G91" s="4"/>
    </row>
    <row r="92" spans="4:7" x14ac:dyDescent="0.25">
      <c r="D92" s="5"/>
      <c r="G92" s="4"/>
    </row>
    <row r="93" spans="4:7" x14ac:dyDescent="0.25">
      <c r="D93" s="5"/>
      <c r="G93" s="4"/>
    </row>
    <row r="94" spans="4:7" x14ac:dyDescent="0.25">
      <c r="D94" s="5"/>
      <c r="G94" s="4"/>
    </row>
    <row r="95" spans="4:7" x14ac:dyDescent="0.25">
      <c r="D95" s="5"/>
      <c r="G95" s="4"/>
    </row>
    <row r="96" spans="4:7" x14ac:dyDescent="0.25">
      <c r="D96" s="5"/>
      <c r="G96" s="4"/>
    </row>
    <row r="97" spans="4:7" x14ac:dyDescent="0.25">
      <c r="D97" s="5"/>
      <c r="G97" s="4"/>
    </row>
    <row r="98" spans="4:7" x14ac:dyDescent="0.25">
      <c r="D98" s="5"/>
      <c r="G98" s="4"/>
    </row>
    <row r="99" spans="4:7" x14ac:dyDescent="0.25">
      <c r="D99" s="5"/>
      <c r="G99" s="4"/>
    </row>
    <row r="100" spans="4:7" x14ac:dyDescent="0.25">
      <c r="D100" s="5"/>
      <c r="G100" s="4"/>
    </row>
    <row r="101" spans="4:7" x14ac:dyDescent="0.25">
      <c r="D101" s="5"/>
      <c r="G101" s="4"/>
    </row>
    <row r="102" spans="4:7" x14ac:dyDescent="0.25">
      <c r="D102" s="5"/>
      <c r="G102" s="4"/>
    </row>
    <row r="103" spans="4:7" x14ac:dyDescent="0.25">
      <c r="D103" s="5"/>
      <c r="G103" s="4"/>
    </row>
    <row r="104" spans="4:7" x14ac:dyDescent="0.25">
      <c r="D104" s="5"/>
      <c r="G104" s="4"/>
    </row>
    <row r="105" spans="4:7" x14ac:dyDescent="0.25">
      <c r="D105" s="5"/>
      <c r="G105" s="4"/>
    </row>
    <row r="106" spans="4:7" x14ac:dyDescent="0.25">
      <c r="D106" s="5"/>
      <c r="G106" s="4"/>
    </row>
    <row r="107" spans="4:7" x14ac:dyDescent="0.25">
      <c r="D107" s="5"/>
      <c r="G107" s="4"/>
    </row>
    <row r="108" spans="4:7" x14ac:dyDescent="0.25">
      <c r="D108" s="5"/>
      <c r="G108" s="4"/>
    </row>
    <row r="109" spans="4:7" x14ac:dyDescent="0.25">
      <c r="D109" s="5"/>
      <c r="G109" s="4"/>
    </row>
    <row r="110" spans="4:7" x14ac:dyDescent="0.25">
      <c r="D110" s="5"/>
      <c r="G110" s="4"/>
    </row>
    <row r="111" spans="4:7" x14ac:dyDescent="0.25">
      <c r="D111" s="5"/>
      <c r="G111" s="4"/>
    </row>
    <row r="112" spans="4:7" x14ac:dyDescent="0.25">
      <c r="D112" s="5"/>
      <c r="G112" s="4"/>
    </row>
    <row r="113" spans="4:7" x14ac:dyDescent="0.25">
      <c r="D113" s="5"/>
      <c r="G113" s="4"/>
    </row>
    <row r="114" spans="4:7" x14ac:dyDescent="0.25">
      <c r="D114" s="5"/>
      <c r="G114" s="4"/>
    </row>
    <row r="115" spans="4:7" x14ac:dyDescent="0.25">
      <c r="D115" s="5"/>
      <c r="G115" s="4"/>
    </row>
    <row r="116" spans="4:7" x14ac:dyDescent="0.25">
      <c r="D116" s="5"/>
      <c r="G116" s="4"/>
    </row>
    <row r="117" spans="4:7" x14ac:dyDescent="0.25">
      <c r="D117" s="5"/>
      <c r="G117" s="4"/>
    </row>
    <row r="118" spans="4:7" x14ac:dyDescent="0.25">
      <c r="D118" s="5"/>
      <c r="G118" s="4"/>
    </row>
    <row r="119" spans="4:7" x14ac:dyDescent="0.25">
      <c r="D119" s="5"/>
      <c r="G119" s="4"/>
    </row>
    <row r="120" spans="4:7" x14ac:dyDescent="0.25">
      <c r="D120" s="5"/>
      <c r="G120" s="4"/>
    </row>
    <row r="121" spans="4:7" x14ac:dyDescent="0.25">
      <c r="D121" s="5"/>
      <c r="G121" s="4"/>
    </row>
    <row r="122" spans="4:7" x14ac:dyDescent="0.25">
      <c r="D122" s="5"/>
      <c r="G122" s="4"/>
    </row>
    <row r="123" spans="4:7" x14ac:dyDescent="0.25">
      <c r="D123" s="5"/>
      <c r="G123" s="4"/>
    </row>
    <row r="124" spans="4:7" x14ac:dyDescent="0.25">
      <c r="D124" s="5"/>
      <c r="G124" s="4"/>
    </row>
    <row r="125" spans="4:7" x14ac:dyDescent="0.25">
      <c r="D125" s="5"/>
      <c r="G125" s="4"/>
    </row>
    <row r="126" spans="4:7" x14ac:dyDescent="0.25">
      <c r="D126" s="5"/>
      <c r="G126" s="4"/>
    </row>
    <row r="127" spans="4:7" x14ac:dyDescent="0.25">
      <c r="D127" s="5"/>
      <c r="G127" s="4"/>
    </row>
    <row r="128" spans="4:7" x14ac:dyDescent="0.25">
      <c r="D128" s="5"/>
      <c r="G128" s="4"/>
    </row>
    <row r="129" spans="4:7" x14ac:dyDescent="0.25">
      <c r="D129" s="5"/>
      <c r="G129" s="4"/>
    </row>
    <row r="130" spans="4:7" x14ac:dyDescent="0.25">
      <c r="D130" s="5"/>
      <c r="G130" s="4"/>
    </row>
    <row r="131" spans="4:7" x14ac:dyDescent="0.25">
      <c r="D131" s="5"/>
      <c r="G131" s="4"/>
    </row>
    <row r="132" spans="4:7" x14ac:dyDescent="0.25">
      <c r="D132" s="5"/>
      <c r="G132" s="4"/>
    </row>
    <row r="133" spans="4:7" x14ac:dyDescent="0.25">
      <c r="D133" s="5"/>
      <c r="G133" s="4"/>
    </row>
    <row r="134" spans="4:7" x14ac:dyDescent="0.25">
      <c r="D134" s="5"/>
      <c r="G134" s="4"/>
    </row>
    <row r="135" spans="4:7" x14ac:dyDescent="0.25">
      <c r="D135" s="5"/>
      <c r="G135" s="4"/>
    </row>
    <row r="136" spans="4:7" x14ac:dyDescent="0.25">
      <c r="D136" s="5"/>
      <c r="G136" s="4"/>
    </row>
    <row r="137" spans="4:7" x14ac:dyDescent="0.25">
      <c r="D137" s="5"/>
      <c r="G137" s="4"/>
    </row>
    <row r="138" spans="4:7" x14ac:dyDescent="0.25">
      <c r="D138" s="5"/>
      <c r="G138" s="4"/>
    </row>
    <row r="139" spans="4:7" x14ac:dyDescent="0.25">
      <c r="D139" s="5"/>
      <c r="G139" s="4"/>
    </row>
    <row r="140" spans="4:7" x14ac:dyDescent="0.25">
      <c r="D140" s="5"/>
      <c r="G140" s="4"/>
    </row>
    <row r="141" spans="4:7" x14ac:dyDescent="0.25">
      <c r="D141" s="5"/>
      <c r="G141" s="4"/>
    </row>
    <row r="142" spans="4:7" x14ac:dyDescent="0.25">
      <c r="D142" s="5"/>
      <c r="G142" s="4"/>
    </row>
    <row r="143" spans="4:7" x14ac:dyDescent="0.25">
      <c r="D143" s="5"/>
      <c r="G143" s="4"/>
    </row>
    <row r="144" spans="4:7" x14ac:dyDescent="0.25">
      <c r="D144" s="5"/>
      <c r="G144" s="4"/>
    </row>
    <row r="145" spans="4:7" x14ac:dyDescent="0.25">
      <c r="D145" s="5"/>
      <c r="G145" s="4"/>
    </row>
    <row r="146" spans="4:7" x14ac:dyDescent="0.25">
      <c r="D146" s="5"/>
      <c r="G146" s="4"/>
    </row>
    <row r="147" spans="4:7" x14ac:dyDescent="0.25">
      <c r="D147" s="5"/>
      <c r="G147" s="4"/>
    </row>
    <row r="148" spans="4:7" x14ac:dyDescent="0.25">
      <c r="D148" s="5"/>
      <c r="G148" s="4"/>
    </row>
    <row r="149" spans="4:7" x14ac:dyDescent="0.25">
      <c r="D149" s="5"/>
      <c r="G149" s="4"/>
    </row>
    <row r="150" spans="4:7" x14ac:dyDescent="0.25">
      <c r="D150" s="5"/>
      <c r="G150" s="4"/>
    </row>
    <row r="151" spans="4:7" x14ac:dyDescent="0.25">
      <c r="D151" s="5"/>
      <c r="G151" s="4"/>
    </row>
    <row r="152" spans="4:7" x14ac:dyDescent="0.25">
      <c r="D152" s="5"/>
      <c r="G152" s="4"/>
    </row>
    <row r="153" spans="4:7" x14ac:dyDescent="0.25">
      <c r="D153" s="5"/>
      <c r="G153" s="4"/>
    </row>
    <row r="154" spans="4:7" x14ac:dyDescent="0.25">
      <c r="D154" s="5"/>
      <c r="G154" s="4"/>
    </row>
    <row r="155" spans="4:7" x14ac:dyDescent="0.25">
      <c r="D155" s="5"/>
      <c r="G155" s="4"/>
    </row>
    <row r="156" spans="4:7" x14ac:dyDescent="0.25">
      <c r="D156" s="5"/>
      <c r="G156" s="4"/>
    </row>
    <row r="157" spans="4:7" x14ac:dyDescent="0.25">
      <c r="D157" s="5"/>
      <c r="G157" s="4"/>
    </row>
    <row r="158" spans="4:7" x14ac:dyDescent="0.25">
      <c r="D158" s="5"/>
      <c r="G158" s="4"/>
    </row>
    <row r="159" spans="4:7" x14ac:dyDescent="0.25">
      <c r="D159" s="5"/>
      <c r="G159" s="4"/>
    </row>
    <row r="160" spans="4:7" x14ac:dyDescent="0.25">
      <c r="D160" s="5"/>
      <c r="G160" s="4"/>
    </row>
    <row r="161" spans="4:7" x14ac:dyDescent="0.25">
      <c r="D161" s="5"/>
      <c r="G161" s="4"/>
    </row>
    <row r="162" spans="4:7" x14ac:dyDescent="0.25">
      <c r="D162" s="5"/>
      <c r="G162" s="4"/>
    </row>
    <row r="163" spans="4:7" x14ac:dyDescent="0.25">
      <c r="D163" s="5"/>
      <c r="G163" s="4"/>
    </row>
    <row r="164" spans="4:7" x14ac:dyDescent="0.25">
      <c r="D164" s="5"/>
      <c r="G164" s="4"/>
    </row>
    <row r="165" spans="4:7" x14ac:dyDescent="0.25">
      <c r="D165" s="5"/>
      <c r="G165" s="4"/>
    </row>
    <row r="166" spans="4:7" x14ac:dyDescent="0.25">
      <c r="D166" s="5"/>
      <c r="G166" s="4"/>
    </row>
    <row r="167" spans="4:7" x14ac:dyDescent="0.25">
      <c r="D167" s="5"/>
      <c r="G167" s="4"/>
    </row>
    <row r="168" spans="4:7" x14ac:dyDescent="0.25">
      <c r="D168" s="5"/>
      <c r="G168" s="4"/>
    </row>
    <row r="169" spans="4:7" x14ac:dyDescent="0.25">
      <c r="D169" s="5"/>
      <c r="G169" s="4"/>
    </row>
    <row r="170" spans="4:7" x14ac:dyDescent="0.25">
      <c r="D170" s="5"/>
      <c r="G170" s="4"/>
    </row>
    <row r="171" spans="4:7" x14ac:dyDescent="0.25">
      <c r="D171" s="5"/>
      <c r="G171" s="4"/>
    </row>
    <row r="172" spans="4:7" x14ac:dyDescent="0.25">
      <c r="D172" s="5"/>
      <c r="G172" s="4"/>
    </row>
    <row r="173" spans="4:7" x14ac:dyDescent="0.25">
      <c r="D173" s="5"/>
      <c r="G173" s="4"/>
    </row>
    <row r="174" spans="4:7" x14ac:dyDescent="0.25">
      <c r="D174" s="5"/>
      <c r="G174" s="4"/>
    </row>
    <row r="175" spans="4:7" x14ac:dyDescent="0.25">
      <c r="D175" s="5"/>
      <c r="G175" s="4"/>
    </row>
    <row r="176" spans="4:7" x14ac:dyDescent="0.25">
      <c r="D176" s="5"/>
      <c r="G176" s="4"/>
    </row>
    <row r="177" spans="4:7" x14ac:dyDescent="0.25">
      <c r="D177" s="5"/>
      <c r="G177" s="4"/>
    </row>
    <row r="178" spans="4:7" x14ac:dyDescent="0.25">
      <c r="D178" s="5"/>
      <c r="G178" s="4"/>
    </row>
    <row r="179" spans="4:7" x14ac:dyDescent="0.25">
      <c r="D179" s="5"/>
      <c r="G179" s="4"/>
    </row>
    <row r="180" spans="4:7" x14ac:dyDescent="0.25">
      <c r="D180" s="5"/>
      <c r="G180" s="4"/>
    </row>
    <row r="181" spans="4:7" x14ac:dyDescent="0.25">
      <c r="D181" s="5"/>
      <c r="G181" s="4"/>
    </row>
    <row r="182" spans="4:7" x14ac:dyDescent="0.25">
      <c r="D182" s="5"/>
      <c r="G182" s="4"/>
    </row>
    <row r="183" spans="4:7" x14ac:dyDescent="0.25">
      <c r="D183" s="5"/>
      <c r="G183" s="4"/>
    </row>
    <row r="184" spans="4:7" x14ac:dyDescent="0.25">
      <c r="D184" s="5"/>
      <c r="G184" s="4"/>
    </row>
    <row r="185" spans="4:7" x14ac:dyDescent="0.25">
      <c r="D185" s="5"/>
      <c r="G185" s="4"/>
    </row>
    <row r="186" spans="4:7" x14ac:dyDescent="0.25">
      <c r="D186" s="5"/>
      <c r="G186" s="4"/>
    </row>
    <row r="187" spans="4:7" x14ac:dyDescent="0.25">
      <c r="D187" s="5"/>
      <c r="G187" s="4"/>
    </row>
    <row r="188" spans="4:7" x14ac:dyDescent="0.25">
      <c r="D188" s="5"/>
      <c r="G188" s="4"/>
    </row>
    <row r="189" spans="4:7" x14ac:dyDescent="0.25">
      <c r="D189" s="5"/>
      <c r="G189" s="4"/>
    </row>
    <row r="190" spans="4:7" x14ac:dyDescent="0.25">
      <c r="D190" s="5"/>
      <c r="G190" s="4"/>
    </row>
    <row r="191" spans="4:7" x14ac:dyDescent="0.25">
      <c r="D191" s="5"/>
      <c r="G191" s="4"/>
    </row>
    <row r="192" spans="4:7" x14ac:dyDescent="0.25">
      <c r="D192" s="5"/>
      <c r="G192" s="4"/>
    </row>
    <row r="193" spans="4:7" x14ac:dyDescent="0.25">
      <c r="D193" s="5"/>
      <c r="G193" s="4"/>
    </row>
    <row r="194" spans="4:7" x14ac:dyDescent="0.25">
      <c r="D194" s="5"/>
      <c r="G194" s="4"/>
    </row>
    <row r="195" spans="4:7" x14ac:dyDescent="0.25">
      <c r="D195" s="5"/>
      <c r="G195" s="4"/>
    </row>
    <row r="196" spans="4:7" x14ac:dyDescent="0.25">
      <c r="D196" s="5"/>
      <c r="G196" s="4"/>
    </row>
    <row r="197" spans="4:7" x14ac:dyDescent="0.25">
      <c r="D197" s="5"/>
      <c r="G197" s="4"/>
    </row>
    <row r="198" spans="4:7" x14ac:dyDescent="0.25">
      <c r="D198" s="5"/>
      <c r="G198" s="4"/>
    </row>
    <row r="199" spans="4:7" x14ac:dyDescent="0.25">
      <c r="D199" s="5"/>
      <c r="G199" s="4"/>
    </row>
    <row r="200" spans="4:7" x14ac:dyDescent="0.25">
      <c r="D200" s="5"/>
      <c r="G200" s="4"/>
    </row>
    <row r="201" spans="4:7" x14ac:dyDescent="0.25">
      <c r="D201" s="5"/>
      <c r="G201" s="4"/>
    </row>
    <row r="202" spans="4:7" x14ac:dyDescent="0.25">
      <c r="D202" s="5"/>
      <c r="G202" s="4"/>
    </row>
    <row r="203" spans="4:7" x14ac:dyDescent="0.25">
      <c r="D203" s="5"/>
      <c r="G203" s="4"/>
    </row>
    <row r="204" spans="4:7" x14ac:dyDescent="0.25">
      <c r="D204" s="5"/>
      <c r="G204" s="4"/>
    </row>
    <row r="205" spans="4:7" x14ac:dyDescent="0.25">
      <c r="D205" s="5"/>
      <c r="G205" s="4"/>
    </row>
    <row r="206" spans="4:7" x14ac:dyDescent="0.25">
      <c r="D206" s="5"/>
      <c r="G206" s="4"/>
    </row>
    <row r="207" spans="4:7" x14ac:dyDescent="0.25">
      <c r="D207" s="5"/>
      <c r="G207" s="4"/>
    </row>
    <row r="208" spans="4:7" x14ac:dyDescent="0.25">
      <c r="D208" s="5"/>
      <c r="G208" s="4"/>
    </row>
    <row r="209" spans="4:7" x14ac:dyDescent="0.25">
      <c r="D209" s="5"/>
      <c r="G209" s="4"/>
    </row>
    <row r="210" spans="4:7" x14ac:dyDescent="0.25">
      <c r="D210" s="5"/>
      <c r="G210" s="4"/>
    </row>
    <row r="211" spans="4:7" x14ac:dyDescent="0.25">
      <c r="D211" s="5"/>
      <c r="G211" s="4"/>
    </row>
    <row r="212" spans="4:7" x14ac:dyDescent="0.25">
      <c r="D212" s="5"/>
      <c r="G212" s="4"/>
    </row>
    <row r="213" spans="4:7" x14ac:dyDescent="0.25">
      <c r="D213" s="5"/>
      <c r="G213" s="4"/>
    </row>
    <row r="214" spans="4:7" x14ac:dyDescent="0.25">
      <c r="D214" s="5"/>
      <c r="G214" s="4"/>
    </row>
    <row r="215" spans="4:7" x14ac:dyDescent="0.25">
      <c r="D215" s="5"/>
      <c r="G215" s="4"/>
    </row>
    <row r="216" spans="4:7" x14ac:dyDescent="0.25">
      <c r="D216" s="5"/>
      <c r="G216" s="4"/>
    </row>
    <row r="217" spans="4:7" x14ac:dyDescent="0.25">
      <c r="D217" s="5"/>
      <c r="G217" s="4"/>
    </row>
    <row r="218" spans="4:7" x14ac:dyDescent="0.25">
      <c r="D218" s="5"/>
      <c r="G218" s="4"/>
    </row>
    <row r="219" spans="4:7" x14ac:dyDescent="0.25">
      <c r="D219" s="5"/>
      <c r="G219" s="4"/>
    </row>
    <row r="220" spans="4:7" x14ac:dyDescent="0.25">
      <c r="D220" s="5"/>
      <c r="G220" s="4"/>
    </row>
    <row r="221" spans="4:7" x14ac:dyDescent="0.25">
      <c r="D221" s="5"/>
      <c r="G221" s="4"/>
    </row>
    <row r="222" spans="4:7" x14ac:dyDescent="0.25">
      <c r="D222" s="5"/>
      <c r="G222" s="4"/>
    </row>
    <row r="223" spans="4:7" x14ac:dyDescent="0.25">
      <c r="D223" s="5"/>
      <c r="G223" s="4"/>
    </row>
    <row r="224" spans="4:7" x14ac:dyDescent="0.25">
      <c r="D224" s="5"/>
      <c r="G224" s="4"/>
    </row>
    <row r="225" spans="4:7" x14ac:dyDescent="0.25">
      <c r="D225" s="5"/>
      <c r="G225" s="4"/>
    </row>
    <row r="226" spans="4:7" x14ac:dyDescent="0.25">
      <c r="D226" s="5"/>
      <c r="G226" s="4"/>
    </row>
    <row r="227" spans="4:7" x14ac:dyDescent="0.25">
      <c r="D227" s="5"/>
      <c r="G227" s="4"/>
    </row>
    <row r="228" spans="4:7" x14ac:dyDescent="0.25">
      <c r="D228" s="5"/>
      <c r="G228" s="4"/>
    </row>
    <row r="229" spans="4:7" x14ac:dyDescent="0.25">
      <c r="D229" s="5"/>
      <c r="G229" s="4"/>
    </row>
    <row r="230" spans="4:7" x14ac:dyDescent="0.25">
      <c r="D230" s="5"/>
      <c r="G230" s="4"/>
    </row>
    <row r="231" spans="4:7" x14ac:dyDescent="0.25">
      <c r="D231" s="5"/>
      <c r="G231" s="4"/>
    </row>
    <row r="232" spans="4:7" x14ac:dyDescent="0.25">
      <c r="D232" s="5"/>
      <c r="G232" s="4"/>
    </row>
    <row r="233" spans="4:7" x14ac:dyDescent="0.25">
      <c r="D233" s="5"/>
      <c r="G233" s="4"/>
    </row>
    <row r="234" spans="4:7" x14ac:dyDescent="0.25">
      <c r="D234" s="5"/>
      <c r="G234" s="4"/>
    </row>
    <row r="235" spans="4:7" x14ac:dyDescent="0.25">
      <c r="D235" s="5"/>
      <c r="G235" s="4"/>
    </row>
    <row r="236" spans="4:7" x14ac:dyDescent="0.25">
      <c r="D236" s="5"/>
      <c r="G236" s="4"/>
    </row>
    <row r="237" spans="4:7" x14ac:dyDescent="0.25">
      <c r="D237" s="5"/>
      <c r="G237" s="4"/>
    </row>
    <row r="238" spans="4:7" x14ac:dyDescent="0.25">
      <c r="D238" s="5"/>
      <c r="G238" s="4"/>
    </row>
    <row r="239" spans="4:7" x14ac:dyDescent="0.25">
      <c r="D239" s="5"/>
      <c r="G239" s="4"/>
    </row>
    <row r="240" spans="4:7" x14ac:dyDescent="0.25">
      <c r="D240" s="5"/>
      <c r="G240" s="4"/>
    </row>
    <row r="241" spans="4:7" x14ac:dyDescent="0.25">
      <c r="D241" s="5"/>
      <c r="G241" s="4"/>
    </row>
    <row r="242" spans="4:7" x14ac:dyDescent="0.25">
      <c r="D242" s="5"/>
      <c r="G242" s="4"/>
    </row>
    <row r="243" spans="4:7" x14ac:dyDescent="0.25">
      <c r="D243" s="5"/>
      <c r="G243" s="4"/>
    </row>
    <row r="244" spans="4:7" x14ac:dyDescent="0.25">
      <c r="D244" s="5"/>
      <c r="G244" s="4"/>
    </row>
    <row r="245" spans="4:7" x14ac:dyDescent="0.25">
      <c r="D245" s="5"/>
      <c r="G245" s="4"/>
    </row>
    <row r="246" spans="4:7" x14ac:dyDescent="0.25">
      <c r="D246" s="5"/>
      <c r="G246" s="4"/>
    </row>
    <row r="247" spans="4:7" x14ac:dyDescent="0.25">
      <c r="D247" s="5"/>
      <c r="G247" s="4"/>
    </row>
    <row r="248" spans="4:7" x14ac:dyDescent="0.25">
      <c r="D248" s="5"/>
      <c r="G248" s="4"/>
    </row>
    <row r="249" spans="4:7" x14ac:dyDescent="0.25">
      <c r="D249" s="5"/>
      <c r="G249" s="4"/>
    </row>
    <row r="250" spans="4:7" x14ac:dyDescent="0.25">
      <c r="D250" s="5"/>
      <c r="G250" s="4"/>
    </row>
    <row r="251" spans="4:7" x14ac:dyDescent="0.25">
      <c r="D251" s="5"/>
      <c r="G251" s="4"/>
    </row>
    <row r="252" spans="4:7" x14ac:dyDescent="0.25">
      <c r="D252" s="5"/>
      <c r="G252" s="4"/>
    </row>
    <row r="253" spans="4:7" x14ac:dyDescent="0.25">
      <c r="D253" s="5"/>
      <c r="G253" s="4"/>
    </row>
    <row r="254" spans="4:7" x14ac:dyDescent="0.25">
      <c r="D254" s="5"/>
      <c r="G254" s="4"/>
    </row>
    <row r="255" spans="4:7" x14ac:dyDescent="0.25">
      <c r="D255" s="5"/>
      <c r="G255" s="4"/>
    </row>
    <row r="256" spans="4:7" x14ac:dyDescent="0.25">
      <c r="D256" s="5"/>
      <c r="G256" s="4"/>
    </row>
    <row r="257" spans="4:7" x14ac:dyDescent="0.25">
      <c r="D257" s="5"/>
      <c r="G257" s="4"/>
    </row>
    <row r="258" spans="4:7" x14ac:dyDescent="0.25">
      <c r="D258" s="5"/>
      <c r="G258" s="4"/>
    </row>
    <row r="259" spans="4:7" x14ac:dyDescent="0.25">
      <c r="D259" s="5"/>
      <c r="G259" s="4"/>
    </row>
    <row r="260" spans="4:7" x14ac:dyDescent="0.25">
      <c r="D260" s="5"/>
      <c r="G260" s="4"/>
    </row>
    <row r="261" spans="4:7" x14ac:dyDescent="0.25">
      <c r="D261" s="5"/>
      <c r="G261" s="4"/>
    </row>
    <row r="262" spans="4:7" x14ac:dyDescent="0.25">
      <c r="D262" s="5"/>
      <c r="G262" s="4"/>
    </row>
    <row r="263" spans="4:7" x14ac:dyDescent="0.25">
      <c r="D263" s="5"/>
      <c r="G263" s="4"/>
    </row>
    <row r="264" spans="4:7" x14ac:dyDescent="0.25">
      <c r="D264" s="5"/>
      <c r="G264" s="4"/>
    </row>
    <row r="265" spans="4:7" x14ac:dyDescent="0.25">
      <c r="D265" s="5"/>
      <c r="G265" s="4"/>
    </row>
    <row r="266" spans="4:7" x14ac:dyDescent="0.25">
      <c r="D266" s="5"/>
      <c r="G266" s="4"/>
    </row>
    <row r="267" spans="4:7" x14ac:dyDescent="0.25">
      <c r="D267" s="5"/>
      <c r="G267" s="4"/>
    </row>
    <row r="268" spans="4:7" x14ac:dyDescent="0.25">
      <c r="D268" s="5"/>
      <c r="G268" s="4"/>
    </row>
    <row r="269" spans="4:7" x14ac:dyDescent="0.25">
      <c r="D269" s="5"/>
      <c r="G269" s="4"/>
    </row>
    <row r="270" spans="4:7" x14ac:dyDescent="0.25">
      <c r="D270" s="5"/>
      <c r="G270" s="4"/>
    </row>
    <row r="271" spans="4:7" x14ac:dyDescent="0.25">
      <c r="D271" s="5"/>
      <c r="G271" s="4"/>
    </row>
    <row r="272" spans="4:7" x14ac:dyDescent="0.25">
      <c r="D272" s="5"/>
      <c r="G272" s="4"/>
    </row>
    <row r="273" spans="4:7" x14ac:dyDescent="0.25">
      <c r="D273" s="5"/>
      <c r="G273" s="4"/>
    </row>
    <row r="274" spans="4:7" x14ac:dyDescent="0.25">
      <c r="D274" s="5"/>
      <c r="G274" s="4"/>
    </row>
    <row r="275" spans="4:7" x14ac:dyDescent="0.25">
      <c r="D275" s="5"/>
      <c r="G275" s="4"/>
    </row>
    <row r="276" spans="4:7" x14ac:dyDescent="0.25">
      <c r="D276" s="5"/>
      <c r="G276" s="4"/>
    </row>
    <row r="277" spans="4:7" x14ac:dyDescent="0.25">
      <c r="D277" s="5"/>
      <c r="G277" s="4"/>
    </row>
    <row r="278" spans="4:7" x14ac:dyDescent="0.25">
      <c r="D278" s="5"/>
      <c r="G278" s="4"/>
    </row>
    <row r="279" spans="4:7" x14ac:dyDescent="0.25">
      <c r="D279" s="5"/>
      <c r="G279" s="4"/>
    </row>
    <row r="280" spans="4:7" x14ac:dyDescent="0.25">
      <c r="D280" s="5"/>
      <c r="G280" s="4"/>
    </row>
    <row r="281" spans="4:7" x14ac:dyDescent="0.25">
      <c r="D281" s="5"/>
      <c r="G281" s="4"/>
    </row>
    <row r="282" spans="4:7" x14ac:dyDescent="0.25">
      <c r="D282" s="5"/>
      <c r="G282" s="4"/>
    </row>
    <row r="283" spans="4:7" x14ac:dyDescent="0.25">
      <c r="D283" s="5"/>
      <c r="G283" s="4"/>
    </row>
    <row r="284" spans="4:7" x14ac:dyDescent="0.25">
      <c r="D284" s="5"/>
      <c r="G284" s="4"/>
    </row>
    <row r="285" spans="4:7" x14ac:dyDescent="0.25">
      <c r="D285" s="5"/>
      <c r="G285" s="4"/>
    </row>
    <row r="286" spans="4:7" x14ac:dyDescent="0.25">
      <c r="D286" s="5"/>
      <c r="G286" s="4"/>
    </row>
    <row r="287" spans="4:7" x14ac:dyDescent="0.25">
      <c r="D287" s="5"/>
      <c r="G287" s="4"/>
    </row>
    <row r="288" spans="4:7" x14ac:dyDescent="0.25">
      <c r="D288" s="5"/>
      <c r="G288" s="4"/>
    </row>
    <row r="289" spans="4:7" x14ac:dyDescent="0.25">
      <c r="D289" s="5"/>
      <c r="G289" s="4"/>
    </row>
    <row r="290" spans="4:7" x14ac:dyDescent="0.25">
      <c r="D290" s="5"/>
      <c r="G290" s="4"/>
    </row>
    <row r="291" spans="4:7" x14ac:dyDescent="0.25">
      <c r="D291" s="5"/>
      <c r="G291" s="4"/>
    </row>
    <row r="292" spans="4:7" x14ac:dyDescent="0.25">
      <c r="D292" s="5"/>
      <c r="G292" s="4"/>
    </row>
    <row r="293" spans="4:7" x14ac:dyDescent="0.25">
      <c r="D293" s="5"/>
      <c r="G293" s="4"/>
    </row>
    <row r="294" spans="4:7" x14ac:dyDescent="0.25">
      <c r="D294" s="5"/>
      <c r="G294" s="4"/>
    </row>
    <row r="295" spans="4:7" x14ac:dyDescent="0.25">
      <c r="D295" s="5"/>
      <c r="G295" s="4"/>
    </row>
    <row r="296" spans="4:7" x14ac:dyDescent="0.25">
      <c r="D296" s="5"/>
      <c r="G296" s="4"/>
    </row>
    <row r="297" spans="4:7" x14ac:dyDescent="0.25">
      <c r="D297" s="5"/>
      <c r="G297" s="4"/>
    </row>
    <row r="298" spans="4:7" x14ac:dyDescent="0.25">
      <c r="D298" s="5"/>
      <c r="G298" s="4"/>
    </row>
    <row r="299" spans="4:7" x14ac:dyDescent="0.25">
      <c r="D299" s="5"/>
      <c r="G299" s="4"/>
    </row>
    <row r="300" spans="4:7" x14ac:dyDescent="0.25">
      <c r="D300" s="5"/>
      <c r="G300" s="4"/>
    </row>
    <row r="301" spans="4:7" x14ac:dyDescent="0.25">
      <c r="D301" s="5"/>
      <c r="G301" s="4"/>
    </row>
    <row r="302" spans="4:7" x14ac:dyDescent="0.25">
      <c r="D302" s="5"/>
      <c r="G302" s="4"/>
    </row>
    <row r="303" spans="4:7" x14ac:dyDescent="0.25">
      <c r="D303" s="5"/>
      <c r="G303" s="4"/>
    </row>
    <row r="304" spans="4:7" x14ac:dyDescent="0.25">
      <c r="D304" s="5"/>
      <c r="G304" s="4"/>
    </row>
    <row r="305" spans="4:7" x14ac:dyDescent="0.25">
      <c r="D305" s="5"/>
      <c r="G305" s="4"/>
    </row>
    <row r="306" spans="4:7" x14ac:dyDescent="0.25">
      <c r="D306" s="5"/>
      <c r="G306" s="4"/>
    </row>
    <row r="307" spans="4:7" x14ac:dyDescent="0.25">
      <c r="D307" s="5"/>
      <c r="G307" s="4"/>
    </row>
    <row r="308" spans="4:7" x14ac:dyDescent="0.25">
      <c r="D308" s="5"/>
      <c r="G308" s="4"/>
    </row>
    <row r="309" spans="4:7" x14ac:dyDescent="0.25">
      <c r="D309" s="5"/>
      <c r="G309" s="4"/>
    </row>
    <row r="310" spans="4:7" x14ac:dyDescent="0.25">
      <c r="D310" s="5"/>
      <c r="G310" s="4"/>
    </row>
    <row r="311" spans="4:7" x14ac:dyDescent="0.25">
      <c r="D311" s="5"/>
      <c r="G311" s="4"/>
    </row>
    <row r="312" spans="4:7" x14ac:dyDescent="0.25">
      <c r="D312" s="5"/>
      <c r="G312" s="4"/>
    </row>
    <row r="313" spans="4:7" x14ac:dyDescent="0.25">
      <c r="D313" s="5"/>
      <c r="G313" s="4"/>
    </row>
    <row r="314" spans="4:7" x14ac:dyDescent="0.25">
      <c r="D314" s="5"/>
      <c r="G314" s="4"/>
    </row>
    <row r="315" spans="4:7" x14ac:dyDescent="0.25">
      <c r="D315" s="5"/>
      <c r="G315" s="4"/>
    </row>
    <row r="316" spans="4:7" x14ac:dyDescent="0.25">
      <c r="D316" s="5"/>
      <c r="G316" s="4"/>
    </row>
    <row r="317" spans="4:7" x14ac:dyDescent="0.25">
      <c r="D317" s="5"/>
      <c r="G317" s="4"/>
    </row>
    <row r="318" spans="4:7" x14ac:dyDescent="0.25">
      <c r="D318" s="5"/>
      <c r="G318" s="4"/>
    </row>
    <row r="319" spans="4:7" x14ac:dyDescent="0.25">
      <c r="D319" s="5"/>
      <c r="G319" s="4"/>
    </row>
    <row r="320" spans="4:7" x14ac:dyDescent="0.25">
      <c r="D320" s="5"/>
      <c r="G320" s="4"/>
    </row>
    <row r="321" spans="4:7" x14ac:dyDescent="0.25">
      <c r="D321" s="5"/>
      <c r="G321" s="4"/>
    </row>
    <row r="322" spans="4:7" x14ac:dyDescent="0.25">
      <c r="D322" s="5"/>
      <c r="G322" s="4"/>
    </row>
    <row r="323" spans="4:7" x14ac:dyDescent="0.25">
      <c r="D323" s="5"/>
      <c r="G323" s="4"/>
    </row>
    <row r="324" spans="4:7" x14ac:dyDescent="0.25">
      <c r="D324" s="5"/>
      <c r="G324" s="4"/>
    </row>
    <row r="325" spans="4:7" x14ac:dyDescent="0.25">
      <c r="D325" s="5"/>
      <c r="G325" s="4"/>
    </row>
    <row r="326" spans="4:7" x14ac:dyDescent="0.25">
      <c r="D326" s="5"/>
      <c r="G326" s="4"/>
    </row>
    <row r="327" spans="4:7" x14ac:dyDescent="0.25">
      <c r="D327" s="5"/>
      <c r="G327" s="4"/>
    </row>
    <row r="328" spans="4:7" x14ac:dyDescent="0.25">
      <c r="D328" s="5"/>
      <c r="G328" s="4"/>
    </row>
    <row r="329" spans="4:7" x14ac:dyDescent="0.25">
      <c r="D329" s="5"/>
      <c r="G329" s="4"/>
    </row>
    <row r="330" spans="4:7" x14ac:dyDescent="0.25">
      <c r="D330" s="5"/>
      <c r="G330" s="4"/>
    </row>
    <row r="331" spans="4:7" x14ac:dyDescent="0.25">
      <c r="D331" s="5"/>
      <c r="G331" s="4"/>
    </row>
    <row r="332" spans="4:7" x14ac:dyDescent="0.25">
      <c r="D332" s="5"/>
      <c r="G332" s="4"/>
    </row>
    <row r="333" spans="4:7" x14ac:dyDescent="0.25">
      <c r="D333" s="5"/>
      <c r="G333" s="4"/>
    </row>
    <row r="334" spans="4:7" x14ac:dyDescent="0.25">
      <c r="D334" s="5"/>
      <c r="G334" s="4"/>
    </row>
    <row r="335" spans="4:7" x14ac:dyDescent="0.25">
      <c r="D335" s="5"/>
      <c r="G335" s="4"/>
    </row>
    <row r="336" spans="4:7" x14ac:dyDescent="0.25">
      <c r="D336" s="5"/>
      <c r="G336" s="4"/>
    </row>
    <row r="337" spans="4:7" x14ac:dyDescent="0.25">
      <c r="D337" s="5"/>
      <c r="G337" s="4"/>
    </row>
    <row r="338" spans="4:7" x14ac:dyDescent="0.25">
      <c r="D338" s="5"/>
      <c r="G338" s="4"/>
    </row>
    <row r="339" spans="4:7" x14ac:dyDescent="0.25">
      <c r="D339" s="5"/>
      <c r="G339" s="4"/>
    </row>
    <row r="340" spans="4:7" x14ac:dyDescent="0.25">
      <c r="D340" s="5"/>
      <c r="G340" s="4"/>
    </row>
    <row r="341" spans="4:7" x14ac:dyDescent="0.25">
      <c r="D341" s="5"/>
      <c r="G341" s="4"/>
    </row>
    <row r="342" spans="4:7" x14ac:dyDescent="0.25">
      <c r="D342" s="5"/>
      <c r="G342" s="4"/>
    </row>
    <row r="343" spans="4:7" x14ac:dyDescent="0.25">
      <c r="D343" s="5"/>
      <c r="G343" s="4"/>
    </row>
    <row r="344" spans="4:7" x14ac:dyDescent="0.25">
      <c r="D344" s="5"/>
      <c r="G344" s="4"/>
    </row>
    <row r="345" spans="4:7" x14ac:dyDescent="0.25">
      <c r="D345" s="5"/>
      <c r="G345" s="4"/>
    </row>
    <row r="346" spans="4:7" x14ac:dyDescent="0.25">
      <c r="D346" s="5"/>
      <c r="G346" s="4"/>
    </row>
    <row r="347" spans="4:7" x14ac:dyDescent="0.25">
      <c r="D347" s="5"/>
      <c r="G347" s="4"/>
    </row>
    <row r="348" spans="4:7" x14ac:dyDescent="0.25">
      <c r="D348" s="5"/>
      <c r="G348" s="4"/>
    </row>
    <row r="349" spans="4:7" x14ac:dyDescent="0.25">
      <c r="D349" s="5"/>
      <c r="G349" s="4"/>
    </row>
    <row r="350" spans="4:7" x14ac:dyDescent="0.25">
      <c r="D350" s="5"/>
      <c r="G350" s="4"/>
    </row>
    <row r="351" spans="4:7" x14ac:dyDescent="0.25">
      <c r="D351" s="5"/>
      <c r="G351" s="4"/>
    </row>
    <row r="352" spans="4:7" x14ac:dyDescent="0.25">
      <c r="D352" s="5"/>
      <c r="G352" s="4"/>
    </row>
    <row r="353" spans="4:7" x14ac:dyDescent="0.25">
      <c r="D353" s="5"/>
      <c r="G353" s="4"/>
    </row>
    <row r="354" spans="4:7" x14ac:dyDescent="0.25">
      <c r="D354" s="5"/>
      <c r="G354" s="4"/>
    </row>
    <row r="355" spans="4:7" x14ac:dyDescent="0.25">
      <c r="D355" s="5"/>
      <c r="G355" s="4"/>
    </row>
    <row r="356" spans="4:7" x14ac:dyDescent="0.25">
      <c r="D356" s="5"/>
      <c r="G356" s="4"/>
    </row>
    <row r="357" spans="4:7" x14ac:dyDescent="0.25">
      <c r="D357" s="5"/>
      <c r="G357" s="4"/>
    </row>
    <row r="358" spans="4:7" x14ac:dyDescent="0.25">
      <c r="D358" s="5"/>
      <c r="G358" s="4"/>
    </row>
    <row r="359" spans="4:7" x14ac:dyDescent="0.25">
      <c r="D359" s="5"/>
      <c r="G359" s="4"/>
    </row>
    <row r="360" spans="4:7" x14ac:dyDescent="0.25">
      <c r="D360" s="5"/>
      <c r="G360" s="4"/>
    </row>
    <row r="361" spans="4:7" x14ac:dyDescent="0.25">
      <c r="D361" s="5"/>
      <c r="G361" s="4"/>
    </row>
    <row r="362" spans="4:7" x14ac:dyDescent="0.25">
      <c r="D362" s="5"/>
      <c r="G362" s="4"/>
    </row>
    <row r="363" spans="4:7" x14ac:dyDescent="0.25">
      <c r="D363" s="5"/>
      <c r="G363" s="4"/>
    </row>
    <row r="364" spans="4:7" x14ac:dyDescent="0.25">
      <c r="D364" s="5"/>
      <c r="G364" s="4"/>
    </row>
    <row r="365" spans="4:7" x14ac:dyDescent="0.25">
      <c r="D365" s="5"/>
      <c r="G365" s="4"/>
    </row>
    <row r="366" spans="4:7" x14ac:dyDescent="0.25">
      <c r="D366" s="5"/>
      <c r="G366" s="4"/>
    </row>
    <row r="367" spans="4:7" x14ac:dyDescent="0.25">
      <c r="D367" s="5"/>
      <c r="G367" s="4"/>
    </row>
    <row r="368" spans="4:7" x14ac:dyDescent="0.25">
      <c r="D368" s="5"/>
      <c r="G368" s="4"/>
    </row>
    <row r="369" spans="4:7" x14ac:dyDescent="0.25">
      <c r="D369" s="5"/>
      <c r="G369" s="4"/>
    </row>
    <row r="370" spans="4:7" x14ac:dyDescent="0.25">
      <c r="D370" s="5"/>
      <c r="G370" s="4"/>
    </row>
    <row r="371" spans="4:7" x14ac:dyDescent="0.25">
      <c r="D371" s="5"/>
      <c r="G371" s="4"/>
    </row>
    <row r="372" spans="4:7" x14ac:dyDescent="0.25">
      <c r="D372" s="5"/>
      <c r="G372" s="4"/>
    </row>
    <row r="373" spans="4:7" x14ac:dyDescent="0.25">
      <c r="D373" s="5"/>
      <c r="G373" s="4"/>
    </row>
    <row r="374" spans="4:7" x14ac:dyDescent="0.25">
      <c r="D374" s="5"/>
      <c r="G374" s="4"/>
    </row>
    <row r="375" spans="4:7" x14ac:dyDescent="0.25">
      <c r="D375" s="5"/>
      <c r="G375" s="4"/>
    </row>
    <row r="376" spans="4:7" x14ac:dyDescent="0.25">
      <c r="D376" s="5"/>
      <c r="G376" s="4"/>
    </row>
    <row r="377" spans="4:7" x14ac:dyDescent="0.25">
      <c r="D377" s="5"/>
      <c r="G377" s="4"/>
    </row>
    <row r="378" spans="4:7" x14ac:dyDescent="0.25">
      <c r="D378" s="5"/>
      <c r="G378" s="4"/>
    </row>
    <row r="379" spans="4:7" x14ac:dyDescent="0.25">
      <c r="D379" s="5"/>
      <c r="G379" s="4"/>
    </row>
    <row r="380" spans="4:7" x14ac:dyDescent="0.25">
      <c r="D380" s="5"/>
      <c r="G380" s="4"/>
    </row>
    <row r="381" spans="4:7" x14ac:dyDescent="0.25">
      <c r="D381" s="5"/>
      <c r="G381" s="4"/>
    </row>
    <row r="382" spans="4:7" x14ac:dyDescent="0.25">
      <c r="D382" s="5"/>
      <c r="G382" s="4"/>
    </row>
    <row r="383" spans="4:7" x14ac:dyDescent="0.25">
      <c r="D383" s="5"/>
      <c r="G383" s="4"/>
    </row>
    <row r="384" spans="4:7" x14ac:dyDescent="0.25">
      <c r="D384" s="5"/>
      <c r="G384" s="4"/>
    </row>
    <row r="385" spans="4:7" x14ac:dyDescent="0.25">
      <c r="D385" s="5"/>
      <c r="G385" s="4"/>
    </row>
    <row r="386" spans="4:7" x14ac:dyDescent="0.25">
      <c r="D386" s="5"/>
      <c r="G386" s="4"/>
    </row>
    <row r="387" spans="4:7" x14ac:dyDescent="0.25">
      <c r="D387" s="5"/>
      <c r="G387" s="4"/>
    </row>
    <row r="388" spans="4:7" x14ac:dyDescent="0.25">
      <c r="D388" s="5"/>
      <c r="G388" s="4"/>
    </row>
    <row r="389" spans="4:7" x14ac:dyDescent="0.25">
      <c r="D389" s="5"/>
      <c r="G389" s="4"/>
    </row>
    <row r="390" spans="4:7" x14ac:dyDescent="0.25">
      <c r="D390" s="5"/>
      <c r="G390" s="4"/>
    </row>
    <row r="391" spans="4:7" x14ac:dyDescent="0.25">
      <c r="D391" s="5"/>
      <c r="G391" s="4"/>
    </row>
    <row r="392" spans="4:7" x14ac:dyDescent="0.25">
      <c r="D392" s="5"/>
      <c r="G392" s="4"/>
    </row>
    <row r="393" spans="4:7" x14ac:dyDescent="0.25">
      <c r="D393" s="5"/>
      <c r="G393" s="4"/>
    </row>
    <row r="394" spans="4:7" x14ac:dyDescent="0.25">
      <c r="D394" s="5"/>
      <c r="G394" s="4"/>
    </row>
    <row r="395" spans="4:7" x14ac:dyDescent="0.25">
      <c r="D395" s="5"/>
      <c r="G395" s="4"/>
    </row>
    <row r="396" spans="4:7" x14ac:dyDescent="0.25">
      <c r="D396" s="5"/>
      <c r="G396" s="4"/>
    </row>
    <row r="397" spans="4:7" x14ac:dyDescent="0.25">
      <c r="D397" s="5"/>
      <c r="G397" s="4"/>
    </row>
    <row r="398" spans="4:7" x14ac:dyDescent="0.25">
      <c r="D398" s="5"/>
      <c r="G398" s="4"/>
    </row>
    <row r="399" spans="4:7" x14ac:dyDescent="0.25">
      <c r="D399" s="5"/>
      <c r="G399" s="4"/>
    </row>
    <row r="400" spans="4:7" x14ac:dyDescent="0.25">
      <c r="D400" s="5"/>
      <c r="G400" s="4"/>
    </row>
    <row r="401" spans="4:7" x14ac:dyDescent="0.25">
      <c r="D401" s="5"/>
      <c r="G401" s="4"/>
    </row>
    <row r="402" spans="4:7" x14ac:dyDescent="0.25">
      <c r="D402" s="5"/>
      <c r="G402" s="4"/>
    </row>
    <row r="403" spans="4:7" x14ac:dyDescent="0.25">
      <c r="D403" s="5"/>
      <c r="G403" s="4"/>
    </row>
    <row r="404" spans="4:7" x14ac:dyDescent="0.25">
      <c r="D404" s="5"/>
      <c r="G404" s="4"/>
    </row>
    <row r="405" spans="4:7" x14ac:dyDescent="0.25">
      <c r="D405" s="5"/>
      <c r="G405" s="4"/>
    </row>
    <row r="406" spans="4:7" x14ac:dyDescent="0.25">
      <c r="D406" s="5"/>
      <c r="G406" s="4"/>
    </row>
    <row r="407" spans="4:7" x14ac:dyDescent="0.25">
      <c r="D407" s="5"/>
      <c r="G407" s="4"/>
    </row>
    <row r="408" spans="4:7" x14ac:dyDescent="0.25">
      <c r="D408" s="5"/>
      <c r="G408" s="4"/>
    </row>
    <row r="409" spans="4:7" x14ac:dyDescent="0.25">
      <c r="D409" s="5"/>
      <c r="G409" s="4"/>
    </row>
    <row r="410" spans="4:7" x14ac:dyDescent="0.25">
      <c r="D410" s="5"/>
      <c r="G410" s="4"/>
    </row>
    <row r="411" spans="4:7" x14ac:dyDescent="0.25">
      <c r="D411" s="5"/>
      <c r="G411" s="4"/>
    </row>
    <row r="412" spans="4:7" x14ac:dyDescent="0.25">
      <c r="D412" s="5"/>
      <c r="G412" s="4"/>
    </row>
    <row r="413" spans="4:7" x14ac:dyDescent="0.25">
      <c r="D413" s="5"/>
      <c r="G413" s="4"/>
    </row>
    <row r="414" spans="4:7" x14ac:dyDescent="0.25">
      <c r="D414" s="5"/>
      <c r="G414" s="4"/>
    </row>
    <row r="415" spans="4:7" x14ac:dyDescent="0.25">
      <c r="D415" s="5"/>
      <c r="G415" s="4"/>
    </row>
    <row r="416" spans="4:7" x14ac:dyDescent="0.25">
      <c r="D416" s="5"/>
      <c r="G416" s="4"/>
    </row>
    <row r="417" spans="4:7" x14ac:dyDescent="0.25">
      <c r="D417" s="5"/>
      <c r="G417" s="4"/>
    </row>
    <row r="418" spans="4:7" x14ac:dyDescent="0.25">
      <c r="D418" s="5"/>
      <c r="G418" s="4"/>
    </row>
    <row r="419" spans="4:7" x14ac:dyDescent="0.25">
      <c r="D419" s="5"/>
      <c r="G419" s="4"/>
    </row>
    <row r="420" spans="4:7" x14ac:dyDescent="0.25">
      <c r="D420" s="5"/>
      <c r="G420" s="4"/>
    </row>
    <row r="421" spans="4:7" x14ac:dyDescent="0.25">
      <c r="D421" s="5"/>
      <c r="G421" s="4"/>
    </row>
    <row r="422" spans="4:7" x14ac:dyDescent="0.25">
      <c r="D422" s="5"/>
      <c r="G422" s="4"/>
    </row>
    <row r="423" spans="4:7" x14ac:dyDescent="0.25">
      <c r="D423" s="5"/>
      <c r="G423" s="4"/>
    </row>
    <row r="424" spans="4:7" x14ac:dyDescent="0.25">
      <c r="D424" s="5"/>
      <c r="G424" s="4"/>
    </row>
    <row r="425" spans="4:7" x14ac:dyDescent="0.25">
      <c r="D425" s="5"/>
      <c r="G425" s="4"/>
    </row>
    <row r="426" spans="4:7" x14ac:dyDescent="0.25">
      <c r="D426" s="5"/>
      <c r="G426" s="4"/>
    </row>
    <row r="427" spans="4:7" x14ac:dyDescent="0.25">
      <c r="D427" s="5"/>
      <c r="G427" s="4"/>
    </row>
    <row r="428" spans="4:7" x14ac:dyDescent="0.25">
      <c r="D428" s="5"/>
      <c r="G428" s="4"/>
    </row>
    <row r="429" spans="4:7" x14ac:dyDescent="0.25">
      <c r="D429" s="5"/>
      <c r="G429" s="4"/>
    </row>
    <row r="430" spans="4:7" x14ac:dyDescent="0.25">
      <c r="D430" s="5"/>
      <c r="G430" s="4"/>
    </row>
    <row r="431" spans="4:7" x14ac:dyDescent="0.25">
      <c r="D431" s="5"/>
      <c r="G431" s="4"/>
    </row>
    <row r="432" spans="4:7" x14ac:dyDescent="0.25">
      <c r="D432" s="5"/>
      <c r="G432" s="4"/>
    </row>
    <row r="433" spans="4:7" x14ac:dyDescent="0.25">
      <c r="D433" s="5"/>
      <c r="G433" s="4"/>
    </row>
    <row r="434" spans="4:7" x14ac:dyDescent="0.25">
      <c r="D434" s="5"/>
      <c r="G434" s="4"/>
    </row>
    <row r="435" spans="4:7" x14ac:dyDescent="0.25">
      <c r="D435" s="5"/>
      <c r="G435" s="4"/>
    </row>
    <row r="436" spans="4:7" x14ac:dyDescent="0.25">
      <c r="D436" s="5"/>
      <c r="G436" s="4"/>
    </row>
    <row r="437" spans="4:7" x14ac:dyDescent="0.25">
      <c r="D437" s="5"/>
      <c r="G437" s="4"/>
    </row>
    <row r="438" spans="4:7" x14ac:dyDescent="0.25">
      <c r="D438" s="5"/>
      <c r="G438" s="4"/>
    </row>
    <row r="439" spans="4:7" x14ac:dyDescent="0.25">
      <c r="D439" s="5"/>
      <c r="G439" s="4"/>
    </row>
    <row r="440" spans="4:7" x14ac:dyDescent="0.25">
      <c r="D440" s="5"/>
      <c r="G440" s="4"/>
    </row>
    <row r="441" spans="4:7" x14ac:dyDescent="0.25">
      <c r="D441" s="5"/>
      <c r="G441" s="4"/>
    </row>
    <row r="442" spans="4:7" x14ac:dyDescent="0.25">
      <c r="D442" s="5"/>
      <c r="G442" s="4"/>
    </row>
    <row r="443" spans="4:7" x14ac:dyDescent="0.25">
      <c r="D443" s="5"/>
      <c r="G443" s="4"/>
    </row>
    <row r="444" spans="4:7" x14ac:dyDescent="0.25">
      <c r="D444" s="5"/>
      <c r="G444" s="4"/>
    </row>
    <row r="445" spans="4:7" x14ac:dyDescent="0.25">
      <c r="D445" s="5"/>
      <c r="G445" s="4"/>
    </row>
    <row r="446" spans="4:7" x14ac:dyDescent="0.25">
      <c r="D446" s="5"/>
      <c r="G446" s="4"/>
    </row>
    <row r="447" spans="4:7" x14ac:dyDescent="0.25">
      <c r="D447" s="5"/>
      <c r="G447" s="4"/>
    </row>
    <row r="448" spans="4:7" x14ac:dyDescent="0.25">
      <c r="D448" s="5"/>
      <c r="G448" s="4"/>
    </row>
    <row r="449" spans="4:7" x14ac:dyDescent="0.25">
      <c r="D449" s="5"/>
      <c r="G449" s="4"/>
    </row>
    <row r="450" spans="4:7" x14ac:dyDescent="0.25">
      <c r="D450" s="5"/>
      <c r="G450" s="4"/>
    </row>
    <row r="451" spans="4:7" x14ac:dyDescent="0.25">
      <c r="D451" s="5"/>
      <c r="G451" s="4"/>
    </row>
    <row r="452" spans="4:7" x14ac:dyDescent="0.25">
      <c r="D452" s="5"/>
      <c r="G452" s="4"/>
    </row>
    <row r="453" spans="4:7" x14ac:dyDescent="0.25">
      <c r="D453" s="5"/>
      <c r="G453" s="4"/>
    </row>
    <row r="454" spans="4:7" x14ac:dyDescent="0.25">
      <c r="D454" s="5"/>
      <c r="G454" s="4"/>
    </row>
    <row r="455" spans="4:7" x14ac:dyDescent="0.25">
      <c r="D455" s="5"/>
      <c r="G455" s="4"/>
    </row>
    <row r="456" spans="4:7" x14ac:dyDescent="0.25">
      <c r="D456" s="5"/>
      <c r="G456" s="4"/>
    </row>
    <row r="457" spans="4:7" x14ac:dyDescent="0.25">
      <c r="D457" s="5"/>
      <c r="G457" s="4"/>
    </row>
    <row r="458" spans="4:7" x14ac:dyDescent="0.25">
      <c r="D458" s="5"/>
      <c r="G458" s="4"/>
    </row>
    <row r="459" spans="4:7" x14ac:dyDescent="0.25">
      <c r="D459" s="5"/>
      <c r="G459" s="4"/>
    </row>
    <row r="460" spans="4:7" x14ac:dyDescent="0.25">
      <c r="D460" s="5"/>
      <c r="G460" s="4"/>
    </row>
    <row r="461" spans="4:7" x14ac:dyDescent="0.25">
      <c r="D461" s="5"/>
      <c r="G461" s="4"/>
    </row>
    <row r="462" spans="4:7" x14ac:dyDescent="0.25">
      <c r="D462" s="5"/>
      <c r="G462" s="4"/>
    </row>
    <row r="463" spans="4:7" x14ac:dyDescent="0.25">
      <c r="D463" s="5"/>
      <c r="G463" s="4"/>
    </row>
    <row r="464" spans="4:7" x14ac:dyDescent="0.25">
      <c r="D464" s="5"/>
      <c r="G464" s="4"/>
    </row>
    <row r="465" spans="4:7" x14ac:dyDescent="0.25">
      <c r="D465" s="5"/>
      <c r="G465" s="4"/>
    </row>
    <row r="466" spans="4:7" x14ac:dyDescent="0.25">
      <c r="D466" s="5"/>
      <c r="G466" s="4"/>
    </row>
    <row r="467" spans="4:7" x14ac:dyDescent="0.25">
      <c r="D467" s="5"/>
      <c r="G467" s="4"/>
    </row>
    <row r="468" spans="4:7" x14ac:dyDescent="0.25">
      <c r="D468" s="5"/>
      <c r="G468" s="4"/>
    </row>
    <row r="469" spans="4:7" x14ac:dyDescent="0.25">
      <c r="D469" s="5"/>
      <c r="G469" s="4"/>
    </row>
    <row r="470" spans="4:7" x14ac:dyDescent="0.25">
      <c r="D470" s="5"/>
      <c r="G470" s="4"/>
    </row>
    <row r="471" spans="4:7" x14ac:dyDescent="0.25">
      <c r="D471" s="5"/>
      <c r="G471" s="4"/>
    </row>
    <row r="472" spans="4:7" x14ac:dyDescent="0.25">
      <c r="D472" s="5"/>
      <c r="G472" s="4"/>
    </row>
    <row r="473" spans="4:7" x14ac:dyDescent="0.25">
      <c r="D473" s="5"/>
      <c r="G473" s="4"/>
    </row>
    <row r="474" spans="4:7" x14ac:dyDescent="0.25">
      <c r="D474" s="5"/>
      <c r="G474" s="4"/>
    </row>
    <row r="475" spans="4:7" x14ac:dyDescent="0.25">
      <c r="D475" s="5"/>
      <c r="G475" s="4"/>
    </row>
    <row r="476" spans="4:7" x14ac:dyDescent="0.25">
      <c r="D476" s="5"/>
      <c r="G476" s="4"/>
    </row>
    <row r="477" spans="4:7" x14ac:dyDescent="0.25">
      <c r="D477" s="5"/>
      <c r="G477" s="4"/>
    </row>
    <row r="478" spans="4:7" x14ac:dyDescent="0.25">
      <c r="D478" s="5"/>
      <c r="G478" s="4"/>
    </row>
    <row r="479" spans="4:7" x14ac:dyDescent="0.25">
      <c r="D479" s="5"/>
      <c r="G479" s="4"/>
    </row>
    <row r="480" spans="4:7" x14ac:dyDescent="0.25">
      <c r="D480" s="5"/>
      <c r="G480" s="4"/>
    </row>
    <row r="481" spans="4:7" x14ac:dyDescent="0.25">
      <c r="D481" s="5"/>
      <c r="G481" s="4"/>
    </row>
    <row r="482" spans="4:7" x14ac:dyDescent="0.25">
      <c r="D482" s="5"/>
      <c r="G482" s="4"/>
    </row>
    <row r="483" spans="4:7" x14ac:dyDescent="0.25">
      <c r="D483" s="5"/>
      <c r="G483" s="4"/>
    </row>
    <row r="484" spans="4:7" x14ac:dyDescent="0.25">
      <c r="D484" s="5"/>
      <c r="G484" s="4"/>
    </row>
    <row r="485" spans="4:7" x14ac:dyDescent="0.25">
      <c r="D485" s="5"/>
      <c r="G485" s="4"/>
    </row>
    <row r="486" spans="4:7" x14ac:dyDescent="0.25">
      <c r="D486" s="5"/>
      <c r="G486" s="4"/>
    </row>
    <row r="487" spans="4:7" x14ac:dyDescent="0.25">
      <c r="D487" s="5"/>
      <c r="G487" s="4"/>
    </row>
    <row r="488" spans="4:7" x14ac:dyDescent="0.25">
      <c r="D488" s="5"/>
      <c r="G488" s="4"/>
    </row>
    <row r="489" spans="4:7" x14ac:dyDescent="0.25">
      <c r="D489" s="5"/>
      <c r="G489" s="4"/>
    </row>
    <row r="490" spans="4:7" x14ac:dyDescent="0.25">
      <c r="D490" s="5"/>
      <c r="G490" s="4"/>
    </row>
    <row r="491" spans="4:7" x14ac:dyDescent="0.25">
      <c r="D491" s="5"/>
      <c r="G491" s="4"/>
    </row>
    <row r="492" spans="4:7" x14ac:dyDescent="0.25">
      <c r="D492" s="5"/>
      <c r="G492" s="4"/>
    </row>
    <row r="493" spans="4:7" x14ac:dyDescent="0.25">
      <c r="D493" s="5"/>
      <c r="G493" s="4"/>
    </row>
    <row r="494" spans="4:7" x14ac:dyDescent="0.25">
      <c r="D494" s="5"/>
      <c r="G494" s="4"/>
    </row>
    <row r="495" spans="4:7" x14ac:dyDescent="0.25">
      <c r="D495" s="5"/>
      <c r="G495" s="4"/>
    </row>
    <row r="496" spans="4:7" x14ac:dyDescent="0.25">
      <c r="D496" s="5"/>
      <c r="G496" s="4"/>
    </row>
    <row r="497" spans="4:7" x14ac:dyDescent="0.25">
      <c r="D497" s="5"/>
      <c r="G497" s="4"/>
    </row>
    <row r="498" spans="4:7" x14ac:dyDescent="0.25">
      <c r="D498" s="5"/>
      <c r="G498" s="4"/>
    </row>
    <row r="499" spans="4:7" x14ac:dyDescent="0.25">
      <c r="D499" s="5"/>
      <c r="G499" s="4"/>
    </row>
    <row r="500" spans="4:7" x14ac:dyDescent="0.25">
      <c r="D500" s="5"/>
      <c r="G500" s="4"/>
    </row>
    <row r="501" spans="4:7" x14ac:dyDescent="0.25">
      <c r="D501" s="5"/>
      <c r="G501" s="4"/>
    </row>
    <row r="502" spans="4:7" x14ac:dyDescent="0.25">
      <c r="D502" s="5"/>
      <c r="G502" s="4"/>
    </row>
    <row r="503" spans="4:7" x14ac:dyDescent="0.25">
      <c r="D503" s="5"/>
      <c r="G503" s="4"/>
    </row>
    <row r="504" spans="4:7" x14ac:dyDescent="0.25">
      <c r="D504" s="5"/>
      <c r="G504" s="4"/>
    </row>
    <row r="505" spans="4:7" x14ac:dyDescent="0.25">
      <c r="D505" s="5"/>
      <c r="G505" s="4"/>
    </row>
    <row r="506" spans="4:7" x14ac:dyDescent="0.25">
      <c r="D506" s="5"/>
      <c r="G506" s="4"/>
    </row>
    <row r="507" spans="4:7" x14ac:dyDescent="0.25">
      <c r="D507" s="5"/>
      <c r="G507" s="4"/>
    </row>
    <row r="508" spans="4:7" x14ac:dyDescent="0.25">
      <c r="D508" s="5"/>
      <c r="G508" s="4"/>
    </row>
    <row r="509" spans="4:7" x14ac:dyDescent="0.25">
      <c r="D509" s="5"/>
      <c r="G509" s="4"/>
    </row>
    <row r="510" spans="4:7" x14ac:dyDescent="0.25">
      <c r="D510" s="5"/>
      <c r="G510" s="4"/>
    </row>
    <row r="511" spans="4:7" x14ac:dyDescent="0.25">
      <c r="D511" s="5"/>
      <c r="G511" s="4"/>
    </row>
    <row r="512" spans="4:7" x14ac:dyDescent="0.25">
      <c r="D512" s="5"/>
      <c r="G512" s="4"/>
    </row>
    <row r="513" spans="4:7" x14ac:dyDescent="0.25">
      <c r="D513" s="5"/>
      <c r="G513" s="4"/>
    </row>
    <row r="514" spans="4:7" x14ac:dyDescent="0.25">
      <c r="D514" s="5"/>
      <c r="G514" s="4"/>
    </row>
    <row r="515" spans="4:7" x14ac:dyDescent="0.25">
      <c r="D515" s="5"/>
      <c r="G515" s="4"/>
    </row>
    <row r="516" spans="4:7" x14ac:dyDescent="0.25">
      <c r="D516" s="5"/>
      <c r="G516" s="4"/>
    </row>
    <row r="517" spans="4:7" x14ac:dyDescent="0.25">
      <c r="D517" s="5"/>
      <c r="G517" s="4"/>
    </row>
    <row r="518" spans="4:7" x14ac:dyDescent="0.25">
      <c r="D518" s="5"/>
      <c r="G518" s="4"/>
    </row>
    <row r="519" spans="4:7" x14ac:dyDescent="0.25">
      <c r="D519" s="5"/>
      <c r="G519" s="4"/>
    </row>
    <row r="520" spans="4:7" x14ac:dyDescent="0.25">
      <c r="D520" s="5"/>
      <c r="G520" s="4"/>
    </row>
    <row r="521" spans="4:7" x14ac:dyDescent="0.25">
      <c r="D521" s="5"/>
      <c r="G521" s="4"/>
    </row>
    <row r="522" spans="4:7" x14ac:dyDescent="0.25">
      <c r="D522" s="5"/>
      <c r="G522" s="4"/>
    </row>
    <row r="523" spans="4:7" x14ac:dyDescent="0.25">
      <c r="D523" s="5"/>
      <c r="G523" s="4"/>
    </row>
    <row r="524" spans="4:7" x14ac:dyDescent="0.25">
      <c r="D524" s="5"/>
      <c r="G524" s="4"/>
    </row>
    <row r="525" spans="4:7" x14ac:dyDescent="0.25">
      <c r="D525" s="5"/>
      <c r="G525" s="4"/>
    </row>
    <row r="526" spans="4:7" x14ac:dyDescent="0.25">
      <c r="D526" s="5"/>
      <c r="G526" s="4"/>
    </row>
    <row r="527" spans="4:7" x14ac:dyDescent="0.25">
      <c r="D527" s="5"/>
      <c r="G527" s="4"/>
    </row>
    <row r="528" spans="4:7" x14ac:dyDescent="0.25">
      <c r="D528" s="5"/>
      <c r="G528" s="4"/>
    </row>
    <row r="529" spans="4:7" x14ac:dyDescent="0.25">
      <c r="D529" s="5"/>
      <c r="G529" s="4"/>
    </row>
    <row r="530" spans="4:7" x14ac:dyDescent="0.25">
      <c r="D530" s="5"/>
      <c r="G530" s="4"/>
    </row>
    <row r="531" spans="4:7" x14ac:dyDescent="0.25">
      <c r="D531" s="5"/>
      <c r="G531" s="4"/>
    </row>
    <row r="532" spans="4:7" x14ac:dyDescent="0.25">
      <c r="D532" s="5"/>
      <c r="G532" s="4"/>
    </row>
    <row r="533" spans="4:7" x14ac:dyDescent="0.25">
      <c r="D533" s="5"/>
      <c r="G533" s="4"/>
    </row>
    <row r="534" spans="4:7" x14ac:dyDescent="0.25">
      <c r="D534" s="5"/>
      <c r="G534" s="4"/>
    </row>
    <row r="535" spans="4:7" x14ac:dyDescent="0.25">
      <c r="D535" s="5"/>
      <c r="G535" s="4"/>
    </row>
    <row r="536" spans="4:7" x14ac:dyDescent="0.25">
      <c r="D536" s="5"/>
      <c r="G536" s="4"/>
    </row>
    <row r="537" spans="4:7" x14ac:dyDescent="0.25">
      <c r="D537" s="5"/>
      <c r="G537" s="4"/>
    </row>
    <row r="538" spans="4:7" x14ac:dyDescent="0.25">
      <c r="D538" s="5"/>
      <c r="G538" s="4"/>
    </row>
    <row r="539" spans="4:7" x14ac:dyDescent="0.25">
      <c r="D539" s="5"/>
      <c r="G539" s="4"/>
    </row>
    <row r="540" spans="4:7" x14ac:dyDescent="0.25">
      <c r="D540" s="5"/>
      <c r="G540" s="4"/>
    </row>
    <row r="541" spans="4:7" x14ac:dyDescent="0.25">
      <c r="D541" s="5"/>
      <c r="G541" s="4"/>
    </row>
    <row r="542" spans="4:7" x14ac:dyDescent="0.25">
      <c r="D542" s="5"/>
      <c r="G542" s="4"/>
    </row>
    <row r="543" spans="4:7" x14ac:dyDescent="0.25">
      <c r="D543" s="5"/>
      <c r="G543" s="4"/>
    </row>
    <row r="544" spans="4:7" x14ac:dyDescent="0.25">
      <c r="D544" s="5"/>
      <c r="G544" s="4"/>
    </row>
    <row r="545" spans="4:7" x14ac:dyDescent="0.25">
      <c r="D545" s="5"/>
      <c r="G545" s="4"/>
    </row>
    <row r="546" spans="4:7" x14ac:dyDescent="0.25">
      <c r="D546" s="5"/>
      <c r="G546" s="4"/>
    </row>
    <row r="547" spans="4:7" x14ac:dyDescent="0.25">
      <c r="D547" s="5"/>
      <c r="G547" s="4"/>
    </row>
    <row r="548" spans="4:7" x14ac:dyDescent="0.25">
      <c r="D548" s="5"/>
      <c r="G548" s="4"/>
    </row>
    <row r="549" spans="4:7" x14ac:dyDescent="0.25">
      <c r="D549" s="5"/>
      <c r="G549" s="4"/>
    </row>
    <row r="550" spans="4:7" x14ac:dyDescent="0.25">
      <c r="D550" s="5"/>
      <c r="G550" s="4"/>
    </row>
    <row r="551" spans="4:7" x14ac:dyDescent="0.25">
      <c r="D551" s="5"/>
      <c r="G551" s="4"/>
    </row>
    <row r="552" spans="4:7" x14ac:dyDescent="0.25">
      <c r="D552" s="5"/>
      <c r="G552" s="4"/>
    </row>
    <row r="553" spans="4:7" x14ac:dyDescent="0.25">
      <c r="D553" s="5"/>
      <c r="G553" s="4"/>
    </row>
    <row r="554" spans="4:7" x14ac:dyDescent="0.25">
      <c r="D554" s="5"/>
      <c r="G554" s="4"/>
    </row>
    <row r="555" spans="4:7" x14ac:dyDescent="0.25">
      <c r="D555" s="5"/>
      <c r="G555" s="4"/>
    </row>
    <row r="556" spans="4:7" x14ac:dyDescent="0.25">
      <c r="D556" s="5"/>
      <c r="G556" s="4"/>
    </row>
    <row r="557" spans="4:7" x14ac:dyDescent="0.25">
      <c r="D557" s="5"/>
      <c r="G557" s="4"/>
    </row>
    <row r="558" spans="4:7" x14ac:dyDescent="0.25">
      <c r="D558" s="5"/>
      <c r="G558" s="4"/>
    </row>
    <row r="559" spans="4:7" x14ac:dyDescent="0.25">
      <c r="D559" s="5"/>
      <c r="G559" s="4"/>
    </row>
    <row r="560" spans="4:7" x14ac:dyDescent="0.25">
      <c r="D560" s="5"/>
      <c r="G560" s="4"/>
    </row>
    <row r="561" spans="4:7" x14ac:dyDescent="0.25">
      <c r="D561" s="5"/>
      <c r="G561" s="4"/>
    </row>
    <row r="562" spans="4:7" x14ac:dyDescent="0.25">
      <c r="D562" s="5"/>
      <c r="G562" s="4"/>
    </row>
    <row r="563" spans="4:7" x14ac:dyDescent="0.25">
      <c r="D563" s="5"/>
      <c r="G563" s="4"/>
    </row>
    <row r="564" spans="4:7" x14ac:dyDescent="0.25">
      <c r="D564" s="5"/>
      <c r="G564" s="4"/>
    </row>
    <row r="565" spans="4:7" x14ac:dyDescent="0.25">
      <c r="D565" s="5"/>
      <c r="G565" s="4"/>
    </row>
    <row r="566" spans="4:7" x14ac:dyDescent="0.25">
      <c r="D566" s="5"/>
      <c r="G566" s="4"/>
    </row>
    <row r="567" spans="4:7" x14ac:dyDescent="0.25">
      <c r="D567" s="5"/>
      <c r="G567" s="4"/>
    </row>
    <row r="568" spans="4:7" x14ac:dyDescent="0.25">
      <c r="D568" s="5"/>
      <c r="G568" s="4"/>
    </row>
    <row r="569" spans="4:7" x14ac:dyDescent="0.25">
      <c r="D569" s="5"/>
      <c r="G569" s="4"/>
    </row>
    <row r="570" spans="4:7" x14ac:dyDescent="0.25">
      <c r="D570" s="5"/>
      <c r="G570" s="4"/>
    </row>
    <row r="571" spans="4:7" x14ac:dyDescent="0.25">
      <c r="D571" s="5"/>
      <c r="G571" s="4"/>
    </row>
    <row r="572" spans="4:7" x14ac:dyDescent="0.25">
      <c r="D572" s="5"/>
      <c r="G572" s="4"/>
    </row>
    <row r="573" spans="4:7" x14ac:dyDescent="0.25">
      <c r="D573" s="5"/>
      <c r="G573" s="4"/>
    </row>
    <row r="574" spans="4:7" x14ac:dyDescent="0.25">
      <c r="D574" s="5"/>
      <c r="G574" s="4"/>
    </row>
    <row r="575" spans="4:7" x14ac:dyDescent="0.25">
      <c r="D575" s="5"/>
      <c r="G575" s="4"/>
    </row>
    <row r="576" spans="4:7" x14ac:dyDescent="0.25">
      <c r="D576" s="5"/>
      <c r="G576" s="4"/>
    </row>
    <row r="577" spans="4:7" x14ac:dyDescent="0.25">
      <c r="D577" s="5"/>
      <c r="G577" s="4"/>
    </row>
    <row r="578" spans="4:7" x14ac:dyDescent="0.25">
      <c r="D578" s="5"/>
      <c r="G578" s="4"/>
    </row>
    <row r="579" spans="4:7" x14ac:dyDescent="0.25">
      <c r="D579" s="5"/>
      <c r="G579" s="4"/>
    </row>
    <row r="580" spans="4:7" x14ac:dyDescent="0.25">
      <c r="D580" s="5"/>
      <c r="G580" s="4"/>
    </row>
    <row r="581" spans="4:7" x14ac:dyDescent="0.25">
      <c r="D581" s="5"/>
      <c r="G581" s="4"/>
    </row>
    <row r="582" spans="4:7" x14ac:dyDescent="0.25">
      <c r="D582" s="5"/>
      <c r="G582" s="4"/>
    </row>
    <row r="583" spans="4:7" x14ac:dyDescent="0.25">
      <c r="D583" s="5"/>
      <c r="G583" s="4"/>
    </row>
    <row r="584" spans="4:7" x14ac:dyDescent="0.25">
      <c r="D584" s="5"/>
      <c r="G584" s="4"/>
    </row>
    <row r="585" spans="4:7" x14ac:dyDescent="0.25">
      <c r="D585" s="5"/>
      <c r="G585" s="4"/>
    </row>
    <row r="586" spans="4:7" x14ac:dyDescent="0.25">
      <c r="D586" s="5"/>
      <c r="G586" s="4"/>
    </row>
    <row r="587" spans="4:7" x14ac:dyDescent="0.25">
      <c r="D587" s="5"/>
      <c r="G587" s="4"/>
    </row>
    <row r="588" spans="4:7" x14ac:dyDescent="0.25">
      <c r="D588" s="5"/>
      <c r="G588" s="4"/>
    </row>
    <row r="589" spans="4:7" x14ac:dyDescent="0.25">
      <c r="D589" s="5"/>
      <c r="G589" s="4"/>
    </row>
    <row r="590" spans="4:7" x14ac:dyDescent="0.25">
      <c r="D590" s="5"/>
      <c r="G590" s="4"/>
    </row>
    <row r="591" spans="4:7" x14ac:dyDescent="0.25">
      <c r="D591" s="5"/>
      <c r="G591" s="4"/>
    </row>
    <row r="592" spans="4:7" x14ac:dyDescent="0.25">
      <c r="D592" s="5"/>
      <c r="G592" s="4"/>
    </row>
    <row r="593" spans="4:7" x14ac:dyDescent="0.25">
      <c r="D593" s="5"/>
      <c r="G593" s="4"/>
    </row>
    <row r="594" spans="4:7" x14ac:dyDescent="0.25">
      <c r="D594" s="5"/>
      <c r="G594" s="4"/>
    </row>
    <row r="595" spans="4:7" x14ac:dyDescent="0.25">
      <c r="D595" s="5"/>
      <c r="G595" s="4"/>
    </row>
    <row r="596" spans="4:7" x14ac:dyDescent="0.25">
      <c r="D596" s="5"/>
      <c r="G596" s="4"/>
    </row>
    <row r="597" spans="4:7" x14ac:dyDescent="0.25">
      <c r="D597" s="5"/>
      <c r="G597" s="4"/>
    </row>
    <row r="598" spans="4:7" x14ac:dyDescent="0.25">
      <c r="D598" s="5"/>
      <c r="G598" s="4"/>
    </row>
    <row r="599" spans="4:7" x14ac:dyDescent="0.25">
      <c r="D599" s="5"/>
      <c r="G599" s="4"/>
    </row>
    <row r="600" spans="4:7" x14ac:dyDescent="0.25">
      <c r="D600" s="5"/>
      <c r="G600" s="4"/>
    </row>
    <row r="601" spans="4:7" x14ac:dyDescent="0.25">
      <c r="D601" s="5"/>
      <c r="G601" s="4"/>
    </row>
    <row r="602" spans="4:7" x14ac:dyDescent="0.25">
      <c r="D602" s="5"/>
      <c r="G602" s="4"/>
    </row>
    <row r="603" spans="4:7" x14ac:dyDescent="0.25">
      <c r="D603" s="5"/>
      <c r="G603" s="4"/>
    </row>
    <row r="604" spans="4:7" x14ac:dyDescent="0.25">
      <c r="D604" s="5"/>
      <c r="G604" s="4"/>
    </row>
    <row r="605" spans="4:7" x14ac:dyDescent="0.25">
      <c r="D605" s="5"/>
      <c r="G605" s="4"/>
    </row>
    <row r="606" spans="4:7" x14ac:dyDescent="0.25">
      <c r="D606" s="5"/>
      <c r="G606" s="4"/>
    </row>
    <row r="607" spans="4:7" x14ac:dyDescent="0.25">
      <c r="D607" s="5"/>
      <c r="G607" s="4"/>
    </row>
    <row r="608" spans="4:7" x14ac:dyDescent="0.25">
      <c r="D608" s="5"/>
      <c r="G608" s="4"/>
    </row>
    <row r="609" spans="4:7" x14ac:dyDescent="0.25">
      <c r="D609" s="5"/>
      <c r="G609" s="4"/>
    </row>
    <row r="610" spans="4:7" x14ac:dyDescent="0.25">
      <c r="D610" s="5"/>
      <c r="G610" s="4"/>
    </row>
    <row r="611" spans="4:7" x14ac:dyDescent="0.25">
      <c r="D611" s="5"/>
      <c r="G611" s="4"/>
    </row>
    <row r="612" spans="4:7" x14ac:dyDescent="0.25">
      <c r="D612" s="5"/>
      <c r="G612" s="4"/>
    </row>
    <row r="613" spans="4:7" x14ac:dyDescent="0.25">
      <c r="D613" s="5"/>
      <c r="G613" s="4"/>
    </row>
    <row r="614" spans="4:7" x14ac:dyDescent="0.25">
      <c r="D614" s="5"/>
      <c r="G614" s="4"/>
    </row>
    <row r="615" spans="4:7" x14ac:dyDescent="0.25">
      <c r="D615" s="5"/>
      <c r="G615" s="4"/>
    </row>
    <row r="616" spans="4:7" x14ac:dyDescent="0.25">
      <c r="D616" s="5"/>
      <c r="G616" s="4"/>
    </row>
    <row r="617" spans="4:7" x14ac:dyDescent="0.25">
      <c r="D617" s="5"/>
      <c r="G617" s="4"/>
    </row>
    <row r="618" spans="4:7" x14ac:dyDescent="0.25">
      <c r="D618" s="5"/>
      <c r="G618" s="4"/>
    </row>
    <row r="619" spans="4:7" x14ac:dyDescent="0.25">
      <c r="D619" s="5"/>
      <c r="G619" s="4"/>
    </row>
    <row r="620" spans="4:7" x14ac:dyDescent="0.25">
      <c r="D620" s="5"/>
      <c r="G620" s="4"/>
    </row>
    <row r="621" spans="4:7" x14ac:dyDescent="0.25">
      <c r="D621" s="5"/>
      <c r="G621" s="4"/>
    </row>
    <row r="622" spans="4:7" x14ac:dyDescent="0.25">
      <c r="D622" s="5"/>
      <c r="G622" s="4"/>
    </row>
    <row r="623" spans="4:7" x14ac:dyDescent="0.25">
      <c r="D623" s="5"/>
      <c r="G623" s="4"/>
    </row>
    <row r="624" spans="4:7" x14ac:dyDescent="0.25">
      <c r="D624" s="5"/>
      <c r="G624" s="4"/>
    </row>
    <row r="625" spans="4:7" x14ac:dyDescent="0.25">
      <c r="D625" s="5"/>
      <c r="G625" s="4"/>
    </row>
    <row r="626" spans="4:7" x14ac:dyDescent="0.25">
      <c r="D626" s="5"/>
      <c r="G626" s="4"/>
    </row>
    <row r="627" spans="4:7" x14ac:dyDescent="0.25">
      <c r="D627" s="5"/>
      <c r="G627" s="4"/>
    </row>
    <row r="628" spans="4:7" x14ac:dyDescent="0.25">
      <c r="D628" s="5"/>
      <c r="G628" s="4"/>
    </row>
    <row r="629" spans="4:7" x14ac:dyDescent="0.25">
      <c r="D629" s="5"/>
      <c r="G629" s="4"/>
    </row>
    <row r="630" spans="4:7" x14ac:dyDescent="0.25">
      <c r="D630" s="5"/>
      <c r="G630" s="4"/>
    </row>
    <row r="631" spans="4:7" x14ac:dyDescent="0.25">
      <c r="D631" s="5"/>
      <c r="G631" s="4"/>
    </row>
    <row r="632" spans="4:7" x14ac:dyDescent="0.25">
      <c r="D632" s="5"/>
      <c r="G632" s="4"/>
    </row>
    <row r="633" spans="4:7" x14ac:dyDescent="0.25">
      <c r="D633" s="5"/>
      <c r="G633" s="4"/>
    </row>
    <row r="634" spans="4:7" x14ac:dyDescent="0.25">
      <c r="D634" s="5"/>
      <c r="G634" s="4"/>
    </row>
    <row r="635" spans="4:7" x14ac:dyDescent="0.25">
      <c r="D635" s="5"/>
      <c r="G635" s="4"/>
    </row>
    <row r="636" spans="4:7" x14ac:dyDescent="0.25">
      <c r="D636" s="5"/>
      <c r="G636" s="4"/>
    </row>
    <row r="637" spans="4:7" x14ac:dyDescent="0.25">
      <c r="D637" s="5"/>
      <c r="G637" s="4"/>
    </row>
    <row r="638" spans="4:7" x14ac:dyDescent="0.25">
      <c r="D638" s="5"/>
      <c r="G638" s="4"/>
    </row>
    <row r="639" spans="4:7" x14ac:dyDescent="0.25">
      <c r="D639" s="5"/>
      <c r="G639" s="4"/>
    </row>
    <row r="640" spans="4:7" x14ac:dyDescent="0.25">
      <c r="D640" s="5"/>
      <c r="G640" s="4"/>
    </row>
    <row r="641" spans="4:7" x14ac:dyDescent="0.25">
      <c r="D641" s="5"/>
      <c r="G641" s="4"/>
    </row>
    <row r="642" spans="4:7" x14ac:dyDescent="0.25">
      <c r="D642" s="5"/>
      <c r="G642" s="4"/>
    </row>
    <row r="643" spans="4:7" x14ac:dyDescent="0.25">
      <c r="D643" s="5"/>
      <c r="G643" s="4"/>
    </row>
    <row r="644" spans="4:7" x14ac:dyDescent="0.25">
      <c r="D644" s="5"/>
      <c r="G644" s="4"/>
    </row>
    <row r="645" spans="4:7" x14ac:dyDescent="0.25">
      <c r="D645" s="5"/>
      <c r="G645" s="4"/>
    </row>
    <row r="646" spans="4:7" x14ac:dyDescent="0.25">
      <c r="D646" s="5"/>
      <c r="G646" s="4"/>
    </row>
    <row r="647" spans="4:7" x14ac:dyDescent="0.25">
      <c r="D647" s="5"/>
      <c r="G647" s="4"/>
    </row>
    <row r="648" spans="4:7" x14ac:dyDescent="0.25">
      <c r="D648" s="5"/>
      <c r="G648" s="4"/>
    </row>
    <row r="649" spans="4:7" x14ac:dyDescent="0.25">
      <c r="D649" s="5"/>
      <c r="G649" s="4"/>
    </row>
    <row r="650" spans="4:7" x14ac:dyDescent="0.25">
      <c r="D650" s="5"/>
      <c r="G650" s="4"/>
    </row>
    <row r="651" spans="4:7" x14ac:dyDescent="0.25">
      <c r="D651" s="5"/>
      <c r="G651" s="4"/>
    </row>
    <row r="652" spans="4:7" x14ac:dyDescent="0.25">
      <c r="D652" s="5"/>
      <c r="G652" s="4"/>
    </row>
    <row r="653" spans="4:7" x14ac:dyDescent="0.25">
      <c r="D653" s="5"/>
      <c r="G653" s="4"/>
    </row>
    <row r="654" spans="4:7" x14ac:dyDescent="0.25">
      <c r="D654" s="5"/>
      <c r="G654" s="4"/>
    </row>
    <row r="655" spans="4:7" x14ac:dyDescent="0.25">
      <c r="D655" s="5"/>
      <c r="G655" s="4"/>
    </row>
    <row r="656" spans="4:7" x14ac:dyDescent="0.25">
      <c r="D656" s="5"/>
      <c r="G656" s="4"/>
    </row>
    <row r="657" spans="4:7" x14ac:dyDescent="0.25">
      <c r="D657" s="5"/>
      <c r="G657" s="4"/>
    </row>
    <row r="658" spans="4:7" x14ac:dyDescent="0.25">
      <c r="D658" s="5"/>
      <c r="G658" s="4"/>
    </row>
    <row r="659" spans="4:7" x14ac:dyDescent="0.25">
      <c r="D659" s="5"/>
      <c r="G659" s="4"/>
    </row>
    <row r="660" spans="4:7" x14ac:dyDescent="0.25">
      <c r="D660" s="5"/>
      <c r="G660" s="4"/>
    </row>
    <row r="661" spans="4:7" x14ac:dyDescent="0.25">
      <c r="D661" s="5"/>
      <c r="G661" s="4"/>
    </row>
    <row r="662" spans="4:7" x14ac:dyDescent="0.25">
      <c r="D662" s="5"/>
      <c r="G662" s="4"/>
    </row>
    <row r="663" spans="4:7" x14ac:dyDescent="0.25">
      <c r="D663" s="5"/>
      <c r="G663" s="4"/>
    </row>
    <row r="664" spans="4:7" x14ac:dyDescent="0.25">
      <c r="D664" s="5"/>
      <c r="G664" s="4"/>
    </row>
    <row r="665" spans="4:7" x14ac:dyDescent="0.25">
      <c r="D665" s="5"/>
      <c r="G665" s="4"/>
    </row>
    <row r="666" spans="4:7" x14ac:dyDescent="0.25">
      <c r="D666" s="5"/>
      <c r="G666" s="4"/>
    </row>
    <row r="667" spans="4:7" x14ac:dyDescent="0.25">
      <c r="D667" s="5"/>
      <c r="G667" s="4"/>
    </row>
    <row r="668" spans="4:7" x14ac:dyDescent="0.25">
      <c r="D668" s="5"/>
      <c r="G668" s="4"/>
    </row>
    <row r="669" spans="4:7" x14ac:dyDescent="0.25">
      <c r="D669" s="5"/>
      <c r="G669" s="4"/>
    </row>
    <row r="670" spans="4:7" x14ac:dyDescent="0.25">
      <c r="D670" s="5"/>
      <c r="G670" s="4"/>
    </row>
    <row r="671" spans="4:7" x14ac:dyDescent="0.25">
      <c r="D671" s="5"/>
      <c r="G671" s="4"/>
    </row>
    <row r="672" spans="4:7" x14ac:dyDescent="0.25">
      <c r="D672" s="5"/>
      <c r="G672" s="4"/>
    </row>
    <row r="673" spans="4:7" x14ac:dyDescent="0.25">
      <c r="D673" s="5"/>
      <c r="G673" s="4"/>
    </row>
    <row r="674" spans="4:7" x14ac:dyDescent="0.25">
      <c r="D674" s="5"/>
      <c r="G674" s="4"/>
    </row>
    <row r="675" spans="4:7" x14ac:dyDescent="0.25">
      <c r="D675" s="5"/>
      <c r="G675" s="4"/>
    </row>
    <row r="676" spans="4:7" x14ac:dyDescent="0.25">
      <c r="D676" s="5"/>
      <c r="G676" s="4"/>
    </row>
    <row r="677" spans="4:7" x14ac:dyDescent="0.25">
      <c r="D677" s="5"/>
      <c r="G677" s="4"/>
    </row>
    <row r="678" spans="4:7" x14ac:dyDescent="0.25">
      <c r="D678" s="5"/>
      <c r="G678" s="4"/>
    </row>
    <row r="679" spans="4:7" x14ac:dyDescent="0.25">
      <c r="D679" s="5"/>
      <c r="G679" s="4"/>
    </row>
    <row r="680" spans="4:7" x14ac:dyDescent="0.25">
      <c r="D680" s="5"/>
      <c r="G680" s="4"/>
    </row>
    <row r="681" spans="4:7" x14ac:dyDescent="0.25">
      <c r="D681" s="5"/>
      <c r="G681" s="4"/>
    </row>
    <row r="682" spans="4:7" x14ac:dyDescent="0.25">
      <c r="D682" s="5"/>
      <c r="G682" s="4"/>
    </row>
    <row r="683" spans="4:7" x14ac:dyDescent="0.25">
      <c r="D683" s="5"/>
      <c r="G683" s="4"/>
    </row>
    <row r="684" spans="4:7" x14ac:dyDescent="0.25">
      <c r="D684" s="5"/>
      <c r="G684" s="4"/>
    </row>
    <row r="685" spans="4:7" x14ac:dyDescent="0.25">
      <c r="D685" s="5"/>
      <c r="G685" s="4"/>
    </row>
    <row r="686" spans="4:7" x14ac:dyDescent="0.25">
      <c r="D686" s="5"/>
      <c r="G686" s="4"/>
    </row>
    <row r="687" spans="4:7" x14ac:dyDescent="0.25">
      <c r="D687" s="5"/>
      <c r="G687" s="4"/>
    </row>
    <row r="688" spans="4:7" x14ac:dyDescent="0.25">
      <c r="D688" s="5"/>
      <c r="G688" s="4"/>
    </row>
    <row r="689" spans="4:7" x14ac:dyDescent="0.25">
      <c r="D689" s="5"/>
      <c r="G689" s="4"/>
    </row>
    <row r="690" spans="4:7" x14ac:dyDescent="0.25">
      <c r="D690" s="5"/>
      <c r="G690" s="4"/>
    </row>
    <row r="691" spans="4:7" x14ac:dyDescent="0.25">
      <c r="D691" s="5"/>
      <c r="G691" s="4"/>
    </row>
    <row r="692" spans="4:7" x14ac:dyDescent="0.25">
      <c r="D692" s="5"/>
      <c r="G692" s="4"/>
    </row>
    <row r="693" spans="4:7" x14ac:dyDescent="0.25">
      <c r="D693" s="5"/>
      <c r="G693" s="4"/>
    </row>
    <row r="694" spans="4:7" x14ac:dyDescent="0.25">
      <c r="D694" s="5"/>
      <c r="G694" s="4"/>
    </row>
    <row r="695" spans="4:7" x14ac:dyDescent="0.25">
      <c r="D695" s="5"/>
      <c r="G695" s="4"/>
    </row>
    <row r="696" spans="4:7" x14ac:dyDescent="0.25">
      <c r="D696" s="5"/>
      <c r="G696" s="4"/>
    </row>
    <row r="697" spans="4:7" x14ac:dyDescent="0.25">
      <c r="D697" s="5"/>
      <c r="G697" s="4"/>
    </row>
    <row r="698" spans="4:7" x14ac:dyDescent="0.25">
      <c r="D698" s="5"/>
      <c r="G698" s="4"/>
    </row>
    <row r="699" spans="4:7" x14ac:dyDescent="0.25">
      <c r="D699" s="5"/>
      <c r="G699" s="4"/>
    </row>
    <row r="700" spans="4:7" x14ac:dyDescent="0.25">
      <c r="D700" s="5"/>
      <c r="G700" s="4"/>
    </row>
    <row r="701" spans="4:7" x14ac:dyDescent="0.25">
      <c r="D701" s="5"/>
      <c r="G701" s="4"/>
    </row>
    <row r="702" spans="4:7" x14ac:dyDescent="0.25">
      <c r="D702" s="5"/>
      <c r="G702" s="4"/>
    </row>
    <row r="703" spans="4:7" x14ac:dyDescent="0.25">
      <c r="D703" s="5"/>
      <c r="G703" s="4"/>
    </row>
    <row r="704" spans="4:7" x14ac:dyDescent="0.25">
      <c r="D704" s="5"/>
      <c r="G704" s="4"/>
    </row>
    <row r="705" spans="4:7" x14ac:dyDescent="0.25">
      <c r="D705" s="5"/>
      <c r="G705" s="4"/>
    </row>
    <row r="706" spans="4:7" x14ac:dyDescent="0.25">
      <c r="D706" s="5"/>
      <c r="G706" s="4"/>
    </row>
    <row r="707" spans="4:7" x14ac:dyDescent="0.25">
      <c r="D707" s="5"/>
      <c r="G707" s="4"/>
    </row>
    <row r="708" spans="4:7" x14ac:dyDescent="0.25">
      <c r="D708" s="5"/>
      <c r="G708" s="4"/>
    </row>
    <row r="709" spans="4:7" x14ac:dyDescent="0.25">
      <c r="D709" s="5"/>
      <c r="G709" s="4"/>
    </row>
    <row r="710" spans="4:7" x14ac:dyDescent="0.25">
      <c r="D710" s="5"/>
      <c r="G710" s="4"/>
    </row>
    <row r="711" spans="4:7" x14ac:dyDescent="0.25">
      <c r="D711" s="5"/>
      <c r="G711" s="4"/>
    </row>
    <row r="712" spans="4:7" x14ac:dyDescent="0.25">
      <c r="D712" s="5"/>
      <c r="G712" s="4"/>
    </row>
    <row r="713" spans="4:7" x14ac:dyDescent="0.25">
      <c r="D713" s="5"/>
      <c r="G713" s="4"/>
    </row>
    <row r="714" spans="4:7" x14ac:dyDescent="0.25">
      <c r="D714" s="5"/>
      <c r="G714" s="4"/>
    </row>
    <row r="715" spans="4:7" x14ac:dyDescent="0.25">
      <c r="D715" s="5"/>
      <c r="G715" s="4"/>
    </row>
    <row r="716" spans="4:7" x14ac:dyDescent="0.25">
      <c r="D716" s="5"/>
      <c r="G716" s="4"/>
    </row>
    <row r="717" spans="4:7" x14ac:dyDescent="0.25">
      <c r="D717" s="5"/>
      <c r="G717" s="4"/>
    </row>
    <row r="718" spans="4:7" x14ac:dyDescent="0.25">
      <c r="D718" s="5"/>
      <c r="G718" s="4"/>
    </row>
    <row r="719" spans="4:7" x14ac:dyDescent="0.25">
      <c r="D719" s="5"/>
      <c r="G719" s="4"/>
    </row>
    <row r="720" spans="4:7" x14ac:dyDescent="0.25">
      <c r="D720" s="5"/>
      <c r="G720" s="4"/>
    </row>
    <row r="721" spans="4:7" x14ac:dyDescent="0.25">
      <c r="D721" s="5"/>
      <c r="G721" s="4"/>
    </row>
    <row r="722" spans="4:7" x14ac:dyDescent="0.25">
      <c r="D722" s="5"/>
      <c r="G722" s="4"/>
    </row>
    <row r="723" spans="4:7" x14ac:dyDescent="0.25">
      <c r="D723" s="5"/>
      <c r="G723" s="4"/>
    </row>
    <row r="724" spans="4:7" x14ac:dyDescent="0.25">
      <c r="D724" s="5"/>
      <c r="G724" s="4"/>
    </row>
    <row r="725" spans="4:7" x14ac:dyDescent="0.25">
      <c r="D725" s="5"/>
      <c r="G725" s="4"/>
    </row>
    <row r="726" spans="4:7" x14ac:dyDescent="0.25">
      <c r="D726" s="5"/>
      <c r="G726" s="4"/>
    </row>
    <row r="727" spans="4:7" x14ac:dyDescent="0.25">
      <c r="D727" s="5"/>
      <c r="G727" s="4"/>
    </row>
    <row r="728" spans="4:7" x14ac:dyDescent="0.25">
      <c r="D728" s="5"/>
      <c r="G728" s="4"/>
    </row>
    <row r="729" spans="4:7" x14ac:dyDescent="0.25">
      <c r="D729" s="5"/>
      <c r="G729" s="4"/>
    </row>
    <row r="730" spans="4:7" x14ac:dyDescent="0.25">
      <c r="D730" s="5"/>
      <c r="G730" s="4"/>
    </row>
    <row r="731" spans="4:7" x14ac:dyDescent="0.25">
      <c r="D731" s="5"/>
      <c r="G731" s="4"/>
    </row>
    <row r="732" spans="4:7" x14ac:dyDescent="0.25">
      <c r="D732" s="5"/>
      <c r="G732" s="4"/>
    </row>
    <row r="733" spans="4:7" x14ac:dyDescent="0.25">
      <c r="D733" s="5"/>
      <c r="G733" s="4"/>
    </row>
    <row r="734" spans="4:7" x14ac:dyDescent="0.25">
      <c r="D734" s="5"/>
      <c r="G734" s="4"/>
    </row>
    <row r="735" spans="4:7" x14ac:dyDescent="0.25">
      <c r="D735" s="5"/>
      <c r="G735" s="4"/>
    </row>
    <row r="736" spans="4:7" x14ac:dyDescent="0.25">
      <c r="D736" s="5"/>
      <c r="G736" s="4"/>
    </row>
    <row r="737" spans="4:7" x14ac:dyDescent="0.25">
      <c r="D737" s="5"/>
      <c r="G737" s="4"/>
    </row>
    <row r="738" spans="4:7" x14ac:dyDescent="0.25">
      <c r="D738" s="5"/>
      <c r="G738" s="4"/>
    </row>
    <row r="739" spans="4:7" x14ac:dyDescent="0.25">
      <c r="D739" s="5"/>
      <c r="G739" s="4"/>
    </row>
    <row r="740" spans="4:7" x14ac:dyDescent="0.25">
      <c r="D740" s="5"/>
      <c r="G740" s="4"/>
    </row>
    <row r="741" spans="4:7" x14ac:dyDescent="0.25">
      <c r="D741" s="5"/>
      <c r="G741" s="4"/>
    </row>
    <row r="742" spans="4:7" x14ac:dyDescent="0.25">
      <c r="D742" s="5"/>
      <c r="G742" s="4"/>
    </row>
    <row r="743" spans="4:7" x14ac:dyDescent="0.25">
      <c r="D743" s="5"/>
      <c r="G743" s="4"/>
    </row>
    <row r="744" spans="4:7" x14ac:dyDescent="0.25">
      <c r="D744" s="5"/>
      <c r="G744" s="4"/>
    </row>
    <row r="745" spans="4:7" x14ac:dyDescent="0.25">
      <c r="D745" s="5"/>
      <c r="G745" s="4"/>
    </row>
    <row r="746" spans="4:7" x14ac:dyDescent="0.25">
      <c r="D746" s="5"/>
      <c r="G746" s="4"/>
    </row>
    <row r="747" spans="4:7" x14ac:dyDescent="0.25">
      <c r="D747" s="5"/>
      <c r="G747" s="4"/>
    </row>
    <row r="748" spans="4:7" x14ac:dyDescent="0.25">
      <c r="D748" s="5"/>
      <c r="G748" s="4"/>
    </row>
    <row r="749" spans="4:7" x14ac:dyDescent="0.25">
      <c r="D749" s="5"/>
      <c r="G749" s="4"/>
    </row>
    <row r="750" spans="4:7" x14ac:dyDescent="0.25">
      <c r="D750" s="5"/>
      <c r="G750" s="4"/>
    </row>
    <row r="751" spans="4:7" x14ac:dyDescent="0.25">
      <c r="D751" s="5"/>
      <c r="G751" s="4"/>
    </row>
    <row r="752" spans="4:7" x14ac:dyDescent="0.25">
      <c r="D752" s="5"/>
      <c r="G752" s="4"/>
    </row>
    <row r="753" spans="4:7" x14ac:dyDescent="0.25">
      <c r="D753" s="5"/>
      <c r="G753" s="4"/>
    </row>
    <row r="754" spans="4:7" x14ac:dyDescent="0.25">
      <c r="D754" s="5"/>
      <c r="G754" s="4"/>
    </row>
    <row r="755" spans="4:7" x14ac:dyDescent="0.25">
      <c r="D755" s="5"/>
      <c r="G755" s="4"/>
    </row>
    <row r="756" spans="4:7" x14ac:dyDescent="0.25">
      <c r="D756" s="5"/>
      <c r="G756" s="4"/>
    </row>
    <row r="757" spans="4:7" x14ac:dyDescent="0.25">
      <c r="D757" s="5"/>
      <c r="G757" s="4"/>
    </row>
    <row r="758" spans="4:7" x14ac:dyDescent="0.25">
      <c r="D758" s="5"/>
      <c r="G758" s="4"/>
    </row>
    <row r="759" spans="4:7" x14ac:dyDescent="0.25">
      <c r="D759" s="5"/>
      <c r="G759" s="4"/>
    </row>
    <row r="760" spans="4:7" x14ac:dyDescent="0.25">
      <c r="D760" s="5"/>
      <c r="G760" s="4"/>
    </row>
    <row r="761" spans="4:7" x14ac:dyDescent="0.25">
      <c r="D761" s="5"/>
      <c r="G761" s="4"/>
    </row>
    <row r="762" spans="4:7" x14ac:dyDescent="0.25">
      <c r="D762" s="5"/>
      <c r="G762" s="4"/>
    </row>
    <row r="763" spans="4:7" x14ac:dyDescent="0.25">
      <c r="D763" s="5"/>
      <c r="G763" s="4"/>
    </row>
    <row r="764" spans="4:7" x14ac:dyDescent="0.25">
      <c r="D764" s="5"/>
      <c r="G764" s="4"/>
    </row>
    <row r="765" spans="4:7" x14ac:dyDescent="0.25">
      <c r="D765" s="5"/>
      <c r="G765" s="4"/>
    </row>
    <row r="766" spans="4:7" x14ac:dyDescent="0.25">
      <c r="D766" s="5"/>
      <c r="G766" s="4"/>
    </row>
    <row r="767" spans="4:7" x14ac:dyDescent="0.25">
      <c r="D767" s="5"/>
      <c r="G767" s="4"/>
    </row>
    <row r="768" spans="4:7" x14ac:dyDescent="0.25">
      <c r="D768" s="5"/>
      <c r="G768" s="4"/>
    </row>
    <row r="769" spans="4:7" x14ac:dyDescent="0.25">
      <c r="D769" s="5"/>
      <c r="G769" s="4"/>
    </row>
    <row r="770" spans="4:7" x14ac:dyDescent="0.25">
      <c r="D770" s="5"/>
      <c r="G770" s="4"/>
    </row>
    <row r="771" spans="4:7" x14ac:dyDescent="0.25">
      <c r="D771" s="5"/>
      <c r="G771" s="4"/>
    </row>
    <row r="772" spans="4:7" x14ac:dyDescent="0.25">
      <c r="D772" s="5"/>
      <c r="G772" s="4"/>
    </row>
    <row r="773" spans="4:7" x14ac:dyDescent="0.25">
      <c r="D773" s="5"/>
      <c r="G773" s="4"/>
    </row>
    <row r="774" spans="4:7" x14ac:dyDescent="0.25">
      <c r="D774" s="5"/>
      <c r="G774" s="4"/>
    </row>
    <row r="775" spans="4:7" x14ac:dyDescent="0.25">
      <c r="D775" s="5"/>
      <c r="G775" s="4"/>
    </row>
    <row r="776" spans="4:7" x14ac:dyDescent="0.25">
      <c r="D776" s="5"/>
      <c r="G776" s="4"/>
    </row>
    <row r="777" spans="4:7" x14ac:dyDescent="0.25">
      <c r="D777" s="5"/>
      <c r="G777" s="4"/>
    </row>
    <row r="778" spans="4:7" x14ac:dyDescent="0.25">
      <c r="D778" s="5"/>
      <c r="G778" s="4"/>
    </row>
    <row r="779" spans="4:7" x14ac:dyDescent="0.25">
      <c r="D779" s="5"/>
      <c r="G779" s="4"/>
    </row>
    <row r="780" spans="4:7" x14ac:dyDescent="0.25">
      <c r="D780" s="5"/>
      <c r="G780" s="4"/>
    </row>
    <row r="781" spans="4:7" x14ac:dyDescent="0.25">
      <c r="D781" s="5"/>
      <c r="G781" s="4"/>
    </row>
    <row r="782" spans="4:7" x14ac:dyDescent="0.25">
      <c r="D782" s="5"/>
      <c r="G782" s="4"/>
    </row>
    <row r="783" spans="4:7" x14ac:dyDescent="0.25">
      <c r="D783" s="5"/>
      <c r="G783" s="4"/>
    </row>
    <row r="784" spans="4:7" x14ac:dyDescent="0.25">
      <c r="D784" s="5"/>
      <c r="G784" s="4"/>
    </row>
    <row r="785" spans="4:7" x14ac:dyDescent="0.25">
      <c r="D785" s="5"/>
      <c r="G785" s="4"/>
    </row>
    <row r="786" spans="4:7" x14ac:dyDescent="0.25">
      <c r="D786" s="5"/>
      <c r="G786" s="4"/>
    </row>
    <row r="787" spans="4:7" x14ac:dyDescent="0.25">
      <c r="D787" s="5"/>
      <c r="G787" s="4"/>
    </row>
    <row r="788" spans="4:7" x14ac:dyDescent="0.25">
      <c r="D788" s="5"/>
      <c r="G788" s="4"/>
    </row>
    <row r="789" spans="4:7" x14ac:dyDescent="0.25">
      <c r="D789" s="5"/>
      <c r="G789" s="4"/>
    </row>
    <row r="790" spans="4:7" x14ac:dyDescent="0.25">
      <c r="D790" s="5"/>
      <c r="G790" s="4"/>
    </row>
    <row r="791" spans="4:7" x14ac:dyDescent="0.25">
      <c r="D791" s="5"/>
      <c r="G791" s="4"/>
    </row>
    <row r="792" spans="4:7" x14ac:dyDescent="0.25">
      <c r="D792" s="5"/>
      <c r="G792" s="4"/>
    </row>
    <row r="793" spans="4:7" x14ac:dyDescent="0.25">
      <c r="D793" s="5"/>
      <c r="G793" s="4"/>
    </row>
    <row r="794" spans="4:7" x14ac:dyDescent="0.25">
      <c r="D794" s="5"/>
      <c r="G794" s="4"/>
    </row>
    <row r="795" spans="4:7" x14ac:dyDescent="0.25">
      <c r="D795" s="5"/>
      <c r="G795" s="4"/>
    </row>
    <row r="796" spans="4:7" x14ac:dyDescent="0.25">
      <c r="D796" s="5"/>
      <c r="G796" s="4"/>
    </row>
    <row r="797" spans="4:7" x14ac:dyDescent="0.25">
      <c r="D797" s="5"/>
      <c r="G797" s="4"/>
    </row>
    <row r="798" spans="4:7" x14ac:dyDescent="0.25">
      <c r="D798" s="5"/>
      <c r="G798" s="4"/>
    </row>
    <row r="799" spans="4:7" x14ac:dyDescent="0.25">
      <c r="D799" s="5"/>
      <c r="G799" s="4"/>
    </row>
    <row r="800" spans="4:7" x14ac:dyDescent="0.25">
      <c r="D800" s="5"/>
      <c r="G800" s="4"/>
    </row>
    <row r="801" spans="4:7" x14ac:dyDescent="0.25">
      <c r="D801" s="5"/>
      <c r="G801" s="4"/>
    </row>
    <row r="802" spans="4:7" x14ac:dyDescent="0.25">
      <c r="D802" s="5"/>
      <c r="G802" s="4"/>
    </row>
    <row r="803" spans="4:7" x14ac:dyDescent="0.25">
      <c r="D803" s="5"/>
      <c r="G803" s="4"/>
    </row>
    <row r="804" spans="4:7" x14ac:dyDescent="0.25">
      <c r="D804" s="5"/>
      <c r="G804" s="4"/>
    </row>
    <row r="805" spans="4:7" x14ac:dyDescent="0.25">
      <c r="D805" s="5"/>
      <c r="G805" s="4"/>
    </row>
    <row r="806" spans="4:7" x14ac:dyDescent="0.25">
      <c r="D806" s="5"/>
      <c r="G806" s="4"/>
    </row>
    <row r="807" spans="4:7" x14ac:dyDescent="0.25">
      <c r="D807" s="5"/>
      <c r="G807" s="4"/>
    </row>
    <row r="808" spans="4:7" x14ac:dyDescent="0.25">
      <c r="D808" s="5"/>
      <c r="G808" s="4"/>
    </row>
    <row r="809" spans="4:7" x14ac:dyDescent="0.25">
      <c r="D809" s="5"/>
      <c r="G809" s="4"/>
    </row>
    <row r="810" spans="4:7" x14ac:dyDescent="0.25">
      <c r="D810" s="5"/>
      <c r="G810" s="4"/>
    </row>
    <row r="811" spans="4:7" x14ac:dyDescent="0.25">
      <c r="D811" s="5"/>
      <c r="G811" s="4"/>
    </row>
    <row r="812" spans="4:7" x14ac:dyDescent="0.25">
      <c r="D812" s="5"/>
      <c r="G812" s="4"/>
    </row>
    <row r="813" spans="4:7" x14ac:dyDescent="0.25">
      <c r="D813" s="5"/>
      <c r="G813" s="4"/>
    </row>
    <row r="814" spans="4:7" x14ac:dyDescent="0.25">
      <c r="D814" s="5"/>
      <c r="G814" s="4"/>
    </row>
    <row r="815" spans="4:7" x14ac:dyDescent="0.25">
      <c r="D815" s="5"/>
      <c r="G815" s="4"/>
    </row>
    <row r="816" spans="4:7" x14ac:dyDescent="0.25">
      <c r="D816" s="5"/>
      <c r="G816" s="4"/>
    </row>
    <row r="817" spans="4:7" x14ac:dyDescent="0.25">
      <c r="D817" s="5"/>
      <c r="G817" s="4"/>
    </row>
    <row r="818" spans="4:7" x14ac:dyDescent="0.25">
      <c r="D818" s="5"/>
      <c r="G818" s="4"/>
    </row>
    <row r="819" spans="4:7" x14ac:dyDescent="0.25">
      <c r="D819" s="5"/>
      <c r="G819" s="4"/>
    </row>
    <row r="820" spans="4:7" x14ac:dyDescent="0.25">
      <c r="D820" s="5"/>
      <c r="G820" s="4"/>
    </row>
    <row r="821" spans="4:7" x14ac:dyDescent="0.25">
      <c r="D821" s="5"/>
      <c r="G821" s="4"/>
    </row>
    <row r="822" spans="4:7" x14ac:dyDescent="0.25">
      <c r="D822" s="5"/>
      <c r="G822" s="4"/>
    </row>
    <row r="823" spans="4:7" x14ac:dyDescent="0.25">
      <c r="D823" s="5"/>
      <c r="G823" s="4"/>
    </row>
    <row r="824" spans="4:7" x14ac:dyDescent="0.25">
      <c r="D824" s="5"/>
      <c r="G824" s="4"/>
    </row>
    <row r="825" spans="4:7" x14ac:dyDescent="0.25">
      <c r="D825" s="5"/>
      <c r="G825" s="4"/>
    </row>
    <row r="826" spans="4:7" x14ac:dyDescent="0.25">
      <c r="D826" s="5"/>
      <c r="G826" s="4"/>
    </row>
    <row r="827" spans="4:7" x14ac:dyDescent="0.25">
      <c r="D827" s="5"/>
      <c r="G827" s="4"/>
    </row>
    <row r="828" spans="4:7" x14ac:dyDescent="0.25">
      <c r="D828" s="5"/>
      <c r="G828" s="4"/>
    </row>
    <row r="829" spans="4:7" x14ac:dyDescent="0.25">
      <c r="D829" s="5"/>
      <c r="G829" s="4"/>
    </row>
    <row r="830" spans="4:7" x14ac:dyDescent="0.25">
      <c r="D830" s="5"/>
      <c r="G830" s="4"/>
    </row>
    <row r="831" spans="4:7" x14ac:dyDescent="0.25">
      <c r="D831" s="5"/>
      <c r="G831" s="4"/>
    </row>
    <row r="832" spans="4:7" x14ac:dyDescent="0.25">
      <c r="D832" s="5"/>
      <c r="G832" s="4"/>
    </row>
    <row r="833" spans="4:7" x14ac:dyDescent="0.25">
      <c r="D833" s="5"/>
      <c r="G833" s="4"/>
    </row>
    <row r="834" spans="4:7" x14ac:dyDescent="0.25">
      <c r="D834" s="5"/>
      <c r="G834" s="4"/>
    </row>
    <row r="835" spans="4:7" x14ac:dyDescent="0.25">
      <c r="D835" s="5"/>
      <c r="G835" s="4"/>
    </row>
    <row r="836" spans="4:7" x14ac:dyDescent="0.25">
      <c r="D836" s="5"/>
      <c r="G836" s="4"/>
    </row>
    <row r="837" spans="4:7" x14ac:dyDescent="0.25">
      <c r="D837" s="5"/>
      <c r="G837" s="4"/>
    </row>
    <row r="838" spans="4:7" x14ac:dyDescent="0.25">
      <c r="D838" s="5"/>
      <c r="G838" s="4"/>
    </row>
    <row r="839" spans="4:7" x14ac:dyDescent="0.25">
      <c r="D839" s="5"/>
      <c r="G839" s="4"/>
    </row>
    <row r="840" spans="4:7" x14ac:dyDescent="0.25">
      <c r="D840" s="5"/>
      <c r="G840" s="4"/>
    </row>
    <row r="841" spans="4:7" x14ac:dyDescent="0.25">
      <c r="D841" s="5"/>
      <c r="G841" s="4"/>
    </row>
    <row r="842" spans="4:7" x14ac:dyDescent="0.25">
      <c r="D842" s="5"/>
      <c r="G842" s="4"/>
    </row>
    <row r="843" spans="4:7" x14ac:dyDescent="0.25">
      <c r="D843" s="5"/>
      <c r="G843" s="4"/>
    </row>
    <row r="844" spans="4:7" x14ac:dyDescent="0.25">
      <c r="D844" s="5"/>
      <c r="G844" s="4"/>
    </row>
    <row r="845" spans="4:7" x14ac:dyDescent="0.25">
      <c r="D845" s="5"/>
      <c r="G845" s="4"/>
    </row>
    <row r="846" spans="4:7" x14ac:dyDescent="0.25">
      <c r="D846" s="5"/>
      <c r="G846" s="4"/>
    </row>
    <row r="847" spans="4:7" x14ac:dyDescent="0.25">
      <c r="D847" s="5"/>
      <c r="G847" s="4"/>
    </row>
    <row r="848" spans="4:7" x14ac:dyDescent="0.25">
      <c r="D848" s="5"/>
      <c r="G848" s="4"/>
    </row>
    <row r="849" spans="4:7" x14ac:dyDescent="0.25">
      <c r="D849" s="5"/>
      <c r="G849" s="4"/>
    </row>
    <row r="850" spans="4:7" x14ac:dyDescent="0.25">
      <c r="D850" s="5"/>
      <c r="G850" s="4"/>
    </row>
    <row r="851" spans="4:7" x14ac:dyDescent="0.25">
      <c r="D851" s="5"/>
      <c r="G851" s="4"/>
    </row>
    <row r="852" spans="4:7" x14ac:dyDescent="0.25">
      <c r="D852" s="5"/>
      <c r="G852" s="4"/>
    </row>
    <row r="853" spans="4:7" x14ac:dyDescent="0.25">
      <c r="D853" s="5"/>
      <c r="G853" s="4"/>
    </row>
    <row r="854" spans="4:7" x14ac:dyDescent="0.25">
      <c r="D854" s="5"/>
      <c r="G854" s="4"/>
    </row>
    <row r="855" spans="4:7" x14ac:dyDescent="0.25">
      <c r="D855" s="5"/>
      <c r="G855" s="4"/>
    </row>
    <row r="856" spans="4:7" x14ac:dyDescent="0.25">
      <c r="D856" s="5"/>
      <c r="G856" s="4"/>
    </row>
    <row r="857" spans="4:7" x14ac:dyDescent="0.25">
      <c r="D857" s="5"/>
      <c r="G857" s="4"/>
    </row>
    <row r="858" spans="4:7" x14ac:dyDescent="0.25">
      <c r="D858" s="5"/>
      <c r="G858" s="4"/>
    </row>
    <row r="859" spans="4:7" x14ac:dyDescent="0.25">
      <c r="D859" s="5"/>
      <c r="G859" s="4"/>
    </row>
    <row r="860" spans="4:7" x14ac:dyDescent="0.25">
      <c r="D860" s="5"/>
      <c r="G860" s="4"/>
    </row>
    <row r="861" spans="4:7" x14ac:dyDescent="0.25">
      <c r="D861" s="5"/>
      <c r="G861" s="4"/>
    </row>
    <row r="862" spans="4:7" x14ac:dyDescent="0.25">
      <c r="D862" s="5"/>
      <c r="G862" s="4"/>
    </row>
    <row r="863" spans="4:7" x14ac:dyDescent="0.25">
      <c r="D863" s="5"/>
      <c r="G863" s="4"/>
    </row>
    <row r="864" spans="4:7" x14ac:dyDescent="0.25">
      <c r="D864" s="5"/>
      <c r="G864" s="4"/>
    </row>
    <row r="865" spans="4:7" x14ac:dyDescent="0.25">
      <c r="D865" s="5"/>
      <c r="G865" s="4"/>
    </row>
    <row r="866" spans="4:7" x14ac:dyDescent="0.25">
      <c r="D866" s="5"/>
      <c r="G866" s="4"/>
    </row>
    <row r="867" spans="4:7" x14ac:dyDescent="0.25">
      <c r="D867" s="5"/>
      <c r="G867" s="4"/>
    </row>
    <row r="868" spans="4:7" x14ac:dyDescent="0.25">
      <c r="D868" s="5"/>
      <c r="G868" s="4"/>
    </row>
    <row r="869" spans="4:7" x14ac:dyDescent="0.25">
      <c r="D869" s="5"/>
      <c r="G869" s="4"/>
    </row>
    <row r="870" spans="4:7" x14ac:dyDescent="0.25">
      <c r="D870" s="5"/>
      <c r="G870" s="4"/>
    </row>
    <row r="871" spans="4:7" x14ac:dyDescent="0.25">
      <c r="D871" s="5"/>
      <c r="G871" s="4"/>
    </row>
    <row r="872" spans="4:7" x14ac:dyDescent="0.25">
      <c r="D872" s="5"/>
      <c r="G872" s="4"/>
    </row>
    <row r="873" spans="4:7" x14ac:dyDescent="0.25">
      <c r="D873" s="5"/>
      <c r="G873" s="4"/>
    </row>
    <row r="874" spans="4:7" x14ac:dyDescent="0.25">
      <c r="D874" s="5"/>
      <c r="G874" s="4"/>
    </row>
    <row r="875" spans="4:7" x14ac:dyDescent="0.25">
      <c r="D875" s="5"/>
      <c r="G875" s="4"/>
    </row>
    <row r="876" spans="4:7" x14ac:dyDescent="0.25">
      <c r="D876" s="5"/>
      <c r="G876" s="4"/>
    </row>
    <row r="877" spans="4:7" x14ac:dyDescent="0.25">
      <c r="D877" s="5"/>
      <c r="G877" s="4"/>
    </row>
    <row r="878" spans="4:7" x14ac:dyDescent="0.25">
      <c r="D878" s="5"/>
      <c r="G878" s="4"/>
    </row>
    <row r="879" spans="4:7" x14ac:dyDescent="0.25">
      <c r="D879" s="5"/>
      <c r="G879" s="4"/>
    </row>
    <row r="880" spans="4:7" x14ac:dyDescent="0.25">
      <c r="D880" s="5"/>
      <c r="G880" s="4"/>
    </row>
    <row r="881" spans="4:7" x14ac:dyDescent="0.25">
      <c r="D881" s="5"/>
      <c r="G881" s="4"/>
    </row>
    <row r="882" spans="4:7" x14ac:dyDescent="0.25">
      <c r="D882" s="5"/>
      <c r="G882" s="4"/>
    </row>
    <row r="883" spans="4:7" x14ac:dyDescent="0.25">
      <c r="D883" s="5"/>
      <c r="G883" s="4"/>
    </row>
    <row r="884" spans="4:7" x14ac:dyDescent="0.25">
      <c r="D884" s="5"/>
      <c r="G884" s="4"/>
    </row>
    <row r="885" spans="4:7" x14ac:dyDescent="0.25">
      <c r="D885" s="5"/>
      <c r="G885" s="4"/>
    </row>
    <row r="886" spans="4:7" x14ac:dyDescent="0.25">
      <c r="D886" s="5"/>
      <c r="G886" s="4"/>
    </row>
    <row r="887" spans="4:7" x14ac:dyDescent="0.25">
      <c r="D887" s="5"/>
      <c r="G887" s="4"/>
    </row>
    <row r="888" spans="4:7" x14ac:dyDescent="0.25">
      <c r="D888" s="5"/>
      <c r="G888" s="4"/>
    </row>
    <row r="889" spans="4:7" x14ac:dyDescent="0.25">
      <c r="D889" s="5"/>
      <c r="G889" s="4"/>
    </row>
    <row r="890" spans="4:7" x14ac:dyDescent="0.25">
      <c r="D890" s="5"/>
      <c r="G890" s="4"/>
    </row>
    <row r="891" spans="4:7" x14ac:dyDescent="0.25">
      <c r="D891" s="5"/>
      <c r="G891" s="4"/>
    </row>
    <row r="892" spans="4:7" x14ac:dyDescent="0.25">
      <c r="D892" s="5"/>
      <c r="G892" s="4"/>
    </row>
    <row r="893" spans="4:7" x14ac:dyDescent="0.25">
      <c r="D893" s="5"/>
      <c r="G893" s="4"/>
    </row>
    <row r="894" spans="4:7" x14ac:dyDescent="0.25">
      <c r="D894" s="5"/>
      <c r="G894" s="4"/>
    </row>
    <row r="895" spans="4:7" x14ac:dyDescent="0.25">
      <c r="D895" s="5"/>
      <c r="G895" s="4"/>
    </row>
    <row r="896" spans="4:7" x14ac:dyDescent="0.25">
      <c r="D896" s="5"/>
      <c r="G896" s="4"/>
    </row>
    <row r="897" spans="4:7" x14ac:dyDescent="0.25">
      <c r="D897" s="5"/>
      <c r="G897" s="4"/>
    </row>
    <row r="898" spans="4:7" x14ac:dyDescent="0.25">
      <c r="D898" s="5"/>
      <c r="G898" s="4"/>
    </row>
    <row r="899" spans="4:7" x14ac:dyDescent="0.25">
      <c r="D899" s="5"/>
      <c r="G899" s="4"/>
    </row>
    <row r="900" spans="4:7" x14ac:dyDescent="0.25">
      <c r="D900" s="5"/>
      <c r="G900" s="4"/>
    </row>
    <row r="901" spans="4:7" x14ac:dyDescent="0.25">
      <c r="D901" s="5"/>
      <c r="G901" s="4"/>
    </row>
    <row r="902" spans="4:7" x14ac:dyDescent="0.25">
      <c r="D902" s="5"/>
      <c r="G902" s="4"/>
    </row>
    <row r="903" spans="4:7" x14ac:dyDescent="0.25">
      <c r="D903" s="5"/>
      <c r="G903" s="4"/>
    </row>
    <row r="904" spans="4:7" x14ac:dyDescent="0.25">
      <c r="D904" s="5"/>
      <c r="G904" s="4"/>
    </row>
    <row r="905" spans="4:7" x14ac:dyDescent="0.25">
      <c r="D905" s="5"/>
      <c r="G905" s="4"/>
    </row>
    <row r="906" spans="4:7" x14ac:dyDescent="0.25">
      <c r="D906" s="5"/>
      <c r="G906" s="4"/>
    </row>
    <row r="907" spans="4:7" x14ac:dyDescent="0.25">
      <c r="D907" s="5"/>
      <c r="G907" s="4"/>
    </row>
    <row r="908" spans="4:7" x14ac:dyDescent="0.25">
      <c r="D908" s="5"/>
      <c r="G908" s="4"/>
    </row>
    <row r="909" spans="4:7" x14ac:dyDescent="0.25">
      <c r="D909" s="5"/>
      <c r="G909" s="4"/>
    </row>
    <row r="910" spans="4:7" x14ac:dyDescent="0.25">
      <c r="D910" s="5"/>
      <c r="G910" s="4"/>
    </row>
    <row r="911" spans="4:7" x14ac:dyDescent="0.25">
      <c r="D911" s="5"/>
      <c r="G911" s="4"/>
    </row>
    <row r="912" spans="4:7" x14ac:dyDescent="0.25">
      <c r="D912" s="5"/>
      <c r="G912" s="4"/>
    </row>
    <row r="913" spans="4:7" x14ac:dyDescent="0.25">
      <c r="D913" s="5"/>
      <c r="G913" s="4"/>
    </row>
    <row r="914" spans="4:7" x14ac:dyDescent="0.25">
      <c r="D914" s="5"/>
      <c r="G914" s="4"/>
    </row>
    <row r="915" spans="4:7" x14ac:dyDescent="0.25">
      <c r="D915" s="5"/>
      <c r="G915" s="4"/>
    </row>
    <row r="916" spans="4:7" x14ac:dyDescent="0.25">
      <c r="D916" s="5"/>
      <c r="G916" s="4"/>
    </row>
    <row r="917" spans="4:7" x14ac:dyDescent="0.25">
      <c r="D917" s="5"/>
      <c r="G917" s="4"/>
    </row>
    <row r="918" spans="4:7" x14ac:dyDescent="0.25">
      <c r="D918" s="5"/>
      <c r="G918" s="4"/>
    </row>
    <row r="919" spans="4:7" x14ac:dyDescent="0.25">
      <c r="D919" s="5"/>
      <c r="G919" s="4"/>
    </row>
    <row r="920" spans="4:7" x14ac:dyDescent="0.25">
      <c r="D920" s="5"/>
      <c r="G920" s="4"/>
    </row>
    <row r="921" spans="4:7" x14ac:dyDescent="0.25">
      <c r="D921" s="5"/>
      <c r="G921" s="4"/>
    </row>
    <row r="922" spans="4:7" x14ac:dyDescent="0.25">
      <c r="D922" s="5"/>
      <c r="G922" s="4"/>
    </row>
    <row r="923" spans="4:7" x14ac:dyDescent="0.25">
      <c r="D923" s="5"/>
      <c r="G923" s="4"/>
    </row>
    <row r="924" spans="4:7" x14ac:dyDescent="0.25">
      <c r="D924" s="5"/>
      <c r="G924" s="4"/>
    </row>
    <row r="925" spans="4:7" x14ac:dyDescent="0.25">
      <c r="D925" s="5"/>
      <c r="G925" s="4"/>
    </row>
    <row r="926" spans="4:7" x14ac:dyDescent="0.25">
      <c r="D926" s="5"/>
      <c r="G926" s="4"/>
    </row>
    <row r="927" spans="4:7" x14ac:dyDescent="0.25">
      <c r="D927" s="5"/>
      <c r="G927" s="4"/>
    </row>
    <row r="928" spans="4:7" x14ac:dyDescent="0.25">
      <c r="D928" s="5"/>
      <c r="G928" s="4"/>
    </row>
    <row r="929" spans="4:7" x14ac:dyDescent="0.25">
      <c r="D929" s="5"/>
      <c r="G929" s="4"/>
    </row>
    <row r="930" spans="4:7" x14ac:dyDescent="0.25">
      <c r="D930" s="5"/>
      <c r="G930" s="4"/>
    </row>
    <row r="931" spans="4:7" x14ac:dyDescent="0.25">
      <c r="D931" s="5"/>
      <c r="G931" s="4"/>
    </row>
    <row r="932" spans="4:7" x14ac:dyDescent="0.25">
      <c r="D932" s="5"/>
      <c r="G932" s="4"/>
    </row>
    <row r="933" spans="4:7" x14ac:dyDescent="0.25">
      <c r="D933" s="5"/>
      <c r="G933" s="4"/>
    </row>
    <row r="934" spans="4:7" x14ac:dyDescent="0.25">
      <c r="D934" s="5"/>
      <c r="G934" s="4"/>
    </row>
    <row r="935" spans="4:7" x14ac:dyDescent="0.25">
      <c r="D935" s="5"/>
      <c r="G935" s="4"/>
    </row>
    <row r="936" spans="4:7" x14ac:dyDescent="0.25">
      <c r="D936" s="5"/>
      <c r="G936" s="4"/>
    </row>
    <row r="937" spans="4:7" x14ac:dyDescent="0.25">
      <c r="D937" s="5"/>
      <c r="G937" s="4"/>
    </row>
    <row r="938" spans="4:7" x14ac:dyDescent="0.25">
      <c r="D938" s="5"/>
      <c r="G938" s="4"/>
    </row>
    <row r="939" spans="4:7" x14ac:dyDescent="0.25">
      <c r="D939" s="5"/>
      <c r="G939" s="4"/>
    </row>
    <row r="940" spans="4:7" x14ac:dyDescent="0.25">
      <c r="D940" s="5"/>
      <c r="G940" s="4"/>
    </row>
    <row r="941" spans="4:7" x14ac:dyDescent="0.25">
      <c r="D941" s="5"/>
      <c r="G941" s="4"/>
    </row>
    <row r="942" spans="4:7" x14ac:dyDescent="0.25">
      <c r="D942" s="5"/>
      <c r="G942" s="4"/>
    </row>
    <row r="943" spans="4:7" x14ac:dyDescent="0.25">
      <c r="D943" s="5"/>
      <c r="G943" s="4"/>
    </row>
    <row r="944" spans="4:7" x14ac:dyDescent="0.25">
      <c r="D944" s="5"/>
      <c r="G944" s="4"/>
    </row>
    <row r="945" spans="4:7" x14ac:dyDescent="0.25">
      <c r="D945" s="5"/>
      <c r="G945" s="4"/>
    </row>
    <row r="946" spans="4:7" x14ac:dyDescent="0.25">
      <c r="D946" s="5"/>
      <c r="G946" s="4"/>
    </row>
    <row r="947" spans="4:7" x14ac:dyDescent="0.25">
      <c r="D947" s="5"/>
      <c r="G947" s="4"/>
    </row>
    <row r="948" spans="4:7" x14ac:dyDescent="0.25">
      <c r="D948" s="5"/>
      <c r="G948" s="4"/>
    </row>
    <row r="949" spans="4:7" x14ac:dyDescent="0.25">
      <c r="D949" s="5"/>
      <c r="G949" s="4"/>
    </row>
    <row r="950" spans="4:7" x14ac:dyDescent="0.25">
      <c r="D950" s="5"/>
      <c r="G950" s="4"/>
    </row>
    <row r="951" spans="4:7" x14ac:dyDescent="0.25">
      <c r="D951" s="5"/>
      <c r="G951" s="4"/>
    </row>
    <row r="952" spans="4:7" x14ac:dyDescent="0.25">
      <c r="D952" s="5"/>
      <c r="G952" s="4"/>
    </row>
    <row r="953" spans="4:7" x14ac:dyDescent="0.25">
      <c r="D953" s="5"/>
      <c r="G953" s="4"/>
    </row>
    <row r="954" spans="4:7" x14ac:dyDescent="0.25">
      <c r="D954" s="5"/>
      <c r="G954" s="4"/>
    </row>
    <row r="955" spans="4:7" x14ac:dyDescent="0.25">
      <c r="D955" s="5"/>
      <c r="G955" s="4"/>
    </row>
    <row r="956" spans="4:7" x14ac:dyDescent="0.25">
      <c r="D956" s="5"/>
      <c r="G956" s="4"/>
    </row>
    <row r="957" spans="4:7" x14ac:dyDescent="0.25">
      <c r="D957" s="5"/>
      <c r="G957" s="4"/>
    </row>
    <row r="958" spans="4:7" x14ac:dyDescent="0.25">
      <c r="D958" s="5"/>
      <c r="G958" s="4"/>
    </row>
    <row r="959" spans="4:7" x14ac:dyDescent="0.25">
      <c r="D959" s="5"/>
      <c r="G959" s="4"/>
    </row>
    <row r="960" spans="4:7" x14ac:dyDescent="0.25">
      <c r="D960" s="5"/>
      <c r="G960" s="4"/>
    </row>
    <row r="961" spans="4:7" x14ac:dyDescent="0.25">
      <c r="D961" s="5"/>
      <c r="G961" s="4"/>
    </row>
    <row r="962" spans="4:7" x14ac:dyDescent="0.25">
      <c r="D962" s="5"/>
      <c r="G962" s="4"/>
    </row>
    <row r="963" spans="4:7" x14ac:dyDescent="0.25">
      <c r="D963" s="5"/>
      <c r="G963" s="4"/>
    </row>
    <row r="964" spans="4:7" x14ac:dyDescent="0.25">
      <c r="D964" s="5"/>
      <c r="G964" s="4"/>
    </row>
    <row r="965" spans="4:7" x14ac:dyDescent="0.25">
      <c r="D965" s="5"/>
      <c r="G965" s="4"/>
    </row>
    <row r="966" spans="4:7" x14ac:dyDescent="0.25">
      <c r="D966" s="5"/>
      <c r="G966" s="4"/>
    </row>
    <row r="967" spans="4:7" x14ac:dyDescent="0.25">
      <c r="D967" s="5"/>
      <c r="G967" s="4"/>
    </row>
    <row r="968" spans="4:7" x14ac:dyDescent="0.25">
      <c r="D968" s="5"/>
      <c r="G968" s="4"/>
    </row>
    <row r="969" spans="4:7" x14ac:dyDescent="0.25">
      <c r="D969" s="5"/>
      <c r="G969" s="4"/>
    </row>
    <row r="970" spans="4:7" x14ac:dyDescent="0.25">
      <c r="D970" s="5"/>
      <c r="G970" s="4"/>
    </row>
    <row r="971" spans="4:7" x14ac:dyDescent="0.25">
      <c r="D971" s="5"/>
      <c r="G971" s="4"/>
    </row>
    <row r="972" spans="4:7" x14ac:dyDescent="0.25">
      <c r="D972" s="5"/>
      <c r="G972" s="4"/>
    </row>
    <row r="973" spans="4:7" x14ac:dyDescent="0.25">
      <c r="D973" s="5"/>
      <c r="G973" s="4"/>
    </row>
    <row r="974" spans="4:7" x14ac:dyDescent="0.25">
      <c r="D974" s="5"/>
      <c r="G974" s="4"/>
    </row>
    <row r="975" spans="4:7" x14ac:dyDescent="0.25">
      <c r="D975" s="5"/>
      <c r="G975" s="4"/>
    </row>
    <row r="976" spans="4:7" x14ac:dyDescent="0.25">
      <c r="D976" s="5"/>
      <c r="G976" s="4"/>
    </row>
    <row r="977" spans="4:7" x14ac:dyDescent="0.25">
      <c r="D977" s="5"/>
      <c r="G977" s="4"/>
    </row>
    <row r="978" spans="4:7" x14ac:dyDescent="0.25">
      <c r="D978" s="5"/>
      <c r="G978" s="4"/>
    </row>
    <row r="979" spans="4:7" x14ac:dyDescent="0.25">
      <c r="D979" s="5"/>
      <c r="G979" s="4"/>
    </row>
    <row r="980" spans="4:7" x14ac:dyDescent="0.25">
      <c r="D980" s="5"/>
      <c r="G980" s="4"/>
    </row>
    <row r="981" spans="4:7" x14ac:dyDescent="0.25">
      <c r="D981" s="5"/>
      <c r="G981" s="4"/>
    </row>
    <row r="982" spans="4:7" x14ac:dyDescent="0.25">
      <c r="D982" s="5"/>
      <c r="G982" s="4"/>
    </row>
    <row r="983" spans="4:7" x14ac:dyDescent="0.25">
      <c r="D983" s="5"/>
      <c r="G983" s="4"/>
    </row>
    <row r="984" spans="4:7" x14ac:dyDescent="0.25">
      <c r="D984" s="5"/>
      <c r="G984" s="4"/>
    </row>
    <row r="985" spans="4:7" x14ac:dyDescent="0.25">
      <c r="D985" s="5"/>
      <c r="G985" s="4"/>
    </row>
    <row r="986" spans="4:7" x14ac:dyDescent="0.25">
      <c r="D986" s="5"/>
      <c r="G986" s="4"/>
    </row>
    <row r="987" spans="4:7" x14ac:dyDescent="0.25">
      <c r="D987" s="5"/>
      <c r="G987" s="4"/>
    </row>
    <row r="988" spans="4:7" x14ac:dyDescent="0.25">
      <c r="D988" s="5"/>
      <c r="G988" s="4"/>
    </row>
    <row r="989" spans="4:7" x14ac:dyDescent="0.25">
      <c r="D989" s="5"/>
      <c r="G989" s="4"/>
    </row>
    <row r="990" spans="4:7" x14ac:dyDescent="0.25">
      <c r="D990" s="5"/>
      <c r="G990" s="4"/>
    </row>
    <row r="991" spans="4:7" x14ac:dyDescent="0.25">
      <c r="D991" s="5"/>
      <c r="G991" s="4"/>
    </row>
    <row r="992" spans="4:7" x14ac:dyDescent="0.25">
      <c r="D992" s="5"/>
      <c r="G992" s="4"/>
    </row>
    <row r="993" spans="4:7" x14ac:dyDescent="0.25">
      <c r="D993" s="5"/>
      <c r="G993" s="4"/>
    </row>
    <row r="994" spans="4:7" x14ac:dyDescent="0.25">
      <c r="D994" s="5"/>
      <c r="G994" s="4"/>
    </row>
    <row r="995" spans="4:7" x14ac:dyDescent="0.25">
      <c r="D995" s="5"/>
      <c r="G995" s="4"/>
    </row>
    <row r="996" spans="4:7" x14ac:dyDescent="0.25">
      <c r="D996" s="5"/>
      <c r="G996" s="4"/>
    </row>
    <row r="997" spans="4:7" x14ac:dyDescent="0.25">
      <c r="D997" s="5"/>
      <c r="G997" s="4"/>
    </row>
    <row r="998" spans="4:7" x14ac:dyDescent="0.25">
      <c r="D998" s="5"/>
      <c r="G998" s="4"/>
    </row>
    <row r="999" spans="4:7" x14ac:dyDescent="0.25">
      <c r="D999" s="5"/>
      <c r="G999" s="4"/>
    </row>
    <row r="1000" spans="4:7" x14ac:dyDescent="0.25">
      <c r="D1000" s="5"/>
      <c r="G1000" s="4"/>
    </row>
    <row r="1001" spans="4:7" x14ac:dyDescent="0.25">
      <c r="D1001" s="5"/>
      <c r="G1001" s="4"/>
    </row>
    <row r="1002" spans="1:9" x14ac:dyDescent="0.25">
      <c r="A1002" t="s">
        <v>62</v>
      </c>
      <c r="B1002">
        <v>200</v>
      </c>
      <c r="D1002">
        <f>MROUND((B1002*10%)+B1002,5)</f>
      </c>
      <c r="E1002">
        <f>MROUND((B1002*15%)+B1002,5)</f>
      </c>
      <c r="F1002">
        <v>290</v>
      </c>
      <c r="G1002">
        <f>(F1002-B1002)/B1002</f>
      </c>
      <c r="H1002">
        <f>F1002-D1002</f>
      </c>
      <c r="I1002">
        <f>F1002-E1002</f>
      </c>
    </row>
    <row r="1003" spans="1:9" x14ac:dyDescent="0.25">
      <c r="A1003" t="s">
        <v>63</v>
      </c>
      <c r="B1003">
        <v>220</v>
      </c>
      <c r="D1003">
        <f>MROUND((B1003*10%)+B1003,5)</f>
      </c>
      <c r="E1003">
        <f>MROUND((B1003*15%)+B1003,5)</f>
      </c>
      <c r="F1003">
        <v>320</v>
      </c>
      <c r="G1003">
        <f>(F1003-B1003)/B1003</f>
      </c>
      <c r="H1003">
        <f>F1003-D1003</f>
      </c>
      <c r="I1003">
        <f>F1003-E1003</f>
      </c>
    </row>
  </sheetData>
  <conditionalFormatting sqref="G1:G1001">
    <cfRule type="cellIs" dxfId="0" priority="1" operator="lessThanOrEqual">
      <formula>"30%"</formula>
    </cfRule>
  </conditionalFormatting>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E1CD"/>
    <pageSetUpPr fitToPage="1"/>
    <outlinePr summaryBelow="0" summaryRight="0"/>
  </sheetPr>
  <dimension ref="A1:Z1015"/>
  <sheetViews>
    <sheetView workbookViewId="0" zoomScale="100" zoomScaleNormal="100"/>
  </sheetViews>
  <sheetFormatPr defaultRowHeight="15.75" outlineLevelRow="0" outlineLevelCol="0" x14ac:dyDescent="0" defaultColWidth="12.63" customHeight="1"/>
  <cols>
    <col min="1" max="1" width="7.63" customWidth="1"/>
    <col min="2" max="2" width="8.75" customWidth="1"/>
    <col min="3" max="3" width="14.38" customWidth="1"/>
    <col min="5" max="5" width="76.5" customWidth="1"/>
    <col min="6" max="6" width="11.25" customWidth="1"/>
    <col min="7" max="7" width="24.13" customWidth="1"/>
    <col min="8" max="8" width="20.38" customWidth="1"/>
    <col min="9" max="9" width="20.63" customWidth="1"/>
  </cols>
  <sheetData>
    <row r="1" spans="1:26" x14ac:dyDescent="0.25">
      <c r="A1" s="12"/>
      <c r="B1" s="13"/>
      <c r="C1" s="13"/>
      <c r="D1" s="13"/>
      <c r="E1" s="13"/>
      <c r="F1" s="14"/>
      <c r="G1" s="15" t="s">
        <v>64</v>
      </c>
      <c r="H1" s="13"/>
      <c r="I1" s="13"/>
      <c r="J1" s="13"/>
      <c r="K1" s="14"/>
      <c r="L1" s="16"/>
      <c r="M1" s="16"/>
      <c r="N1" s="16"/>
      <c r="O1" s="16"/>
      <c r="P1" s="16"/>
      <c r="Q1" s="16"/>
      <c r="R1" s="16"/>
      <c r="S1" s="16"/>
      <c r="T1" s="16"/>
      <c r="U1" s="16"/>
      <c r="V1" s="16"/>
      <c r="W1" s="16"/>
      <c r="X1" s="16"/>
      <c r="Y1" s="16"/>
      <c r="Z1" s="16"/>
    </row>
    <row r="2" spans="1:26" x14ac:dyDescent="0.25">
      <c r="A2" s="17" t="s">
        <v>65</v>
      </c>
      <c r="B2" s="17" t="s">
        <v>66</v>
      </c>
      <c r="C2" s="17" t="s">
        <v>67</v>
      </c>
      <c r="D2" s="17" t="s">
        <v>2</v>
      </c>
      <c r="E2" s="17" t="s">
        <v>68</v>
      </c>
      <c r="F2" s="17" t="s">
        <v>69</v>
      </c>
      <c r="G2" s="18" t="s">
        <v>70</v>
      </c>
      <c r="H2" s="13"/>
      <c r="I2" s="14"/>
      <c r="J2" s="19" t="s">
        <v>71</v>
      </c>
      <c r="K2" s="19" t="s">
        <v>72</v>
      </c>
      <c r="L2" s="20"/>
      <c r="M2" s="20"/>
      <c r="N2" s="20"/>
      <c r="O2" s="20"/>
      <c r="P2" s="20"/>
      <c r="Q2" s="20"/>
      <c r="R2" s="20"/>
      <c r="S2" s="20"/>
      <c r="T2" s="20"/>
      <c r="U2" s="20"/>
      <c r="V2" s="20"/>
      <c r="W2" s="20"/>
      <c r="X2" s="20"/>
      <c r="Y2" s="20"/>
      <c r="Z2" s="20"/>
    </row>
    <row r="3" spans="1:26" x14ac:dyDescent="0.25">
      <c r="A3" s="21"/>
      <c r="B3" s="21"/>
      <c r="C3" s="21"/>
      <c r="D3" s="21"/>
      <c r="E3" s="21"/>
      <c r="F3" s="21"/>
      <c r="G3" s="22" t="s">
        <v>73</v>
      </c>
      <c r="H3" s="22" t="s">
        <v>74</v>
      </c>
      <c r="I3" s="22" t="s">
        <v>75</v>
      </c>
      <c r="J3" s="21"/>
      <c r="K3" s="21"/>
      <c r="L3" s="16"/>
      <c r="M3" s="16"/>
      <c r="N3" s="16"/>
      <c r="O3" s="16"/>
      <c r="P3" s="16"/>
      <c r="Q3" s="16"/>
      <c r="R3" s="16"/>
      <c r="S3" s="16"/>
      <c r="T3" s="16"/>
      <c r="U3" s="16"/>
      <c r="V3" s="16"/>
      <c r="W3" s="16"/>
      <c r="X3" s="16"/>
      <c r="Y3" s="16"/>
      <c r="Z3" s="16"/>
    </row>
    <row r="4" spans="1:26" x14ac:dyDescent="0.25">
      <c r="A4" s="23">
        <v>1</v>
      </c>
      <c r="B4" s="24" t="s">
        <v>76</v>
      </c>
      <c r="C4" s="25" t="s">
        <v>77</v>
      </c>
      <c r="D4" s="25" t="s">
        <v>78</v>
      </c>
      <c r="E4" s="26" t="s">
        <v>79</v>
      </c>
      <c r="F4" s="27" t="s">
        <v>80</v>
      </c>
      <c r="G4" s="26" t="s">
        <v>81</v>
      </c>
      <c r="H4" s="26" t="s">
        <v>82</v>
      </c>
      <c r="I4" s="26" t="s">
        <v>83</v>
      </c>
      <c r="J4" s="28"/>
      <c r="K4" s="28"/>
      <c r="L4" s="16"/>
      <c r="M4" s="16"/>
      <c r="N4" s="16"/>
      <c r="O4" s="16"/>
      <c r="P4" s="16"/>
      <c r="Q4" s="16"/>
      <c r="R4" s="16"/>
      <c r="S4" s="16"/>
      <c r="T4" s="16"/>
      <c r="U4" s="16"/>
      <c r="V4" s="16"/>
      <c r="W4" s="16"/>
      <c r="X4" s="16"/>
      <c r="Y4" s="16"/>
      <c r="Z4" s="16"/>
    </row>
    <row r="5" spans="1:26" x14ac:dyDescent="0.25">
      <c r="A5" s="23">
        <v>1</v>
      </c>
      <c r="B5" s="24" t="s">
        <v>76</v>
      </c>
      <c r="C5" s="25" t="s">
        <v>77</v>
      </c>
      <c r="D5" s="25" t="s">
        <v>84</v>
      </c>
      <c r="E5" s="26" t="s">
        <v>85</v>
      </c>
      <c r="F5" s="27" t="s">
        <v>86</v>
      </c>
      <c r="G5" s="26" t="s">
        <v>87</v>
      </c>
      <c r="H5" s="26" t="s">
        <v>88</v>
      </c>
      <c r="I5" s="26" t="s">
        <v>88</v>
      </c>
      <c r="J5" s="28"/>
      <c r="K5" s="28"/>
      <c r="L5" s="16"/>
      <c r="M5" s="16"/>
      <c r="N5" s="16"/>
      <c r="O5" s="16"/>
      <c r="P5" s="16"/>
      <c r="Q5" s="16"/>
      <c r="R5" s="16"/>
      <c r="S5" s="16"/>
      <c r="T5" s="16"/>
      <c r="U5" s="16"/>
      <c r="V5" s="16"/>
      <c r="W5" s="16"/>
      <c r="X5" s="16"/>
      <c r="Y5" s="16"/>
      <c r="Z5" s="16"/>
    </row>
    <row r="6" spans="1:26" x14ac:dyDescent="0.25">
      <c r="A6" s="23">
        <v>1</v>
      </c>
      <c r="B6" s="24" t="s">
        <v>76</v>
      </c>
      <c r="C6" s="25" t="s">
        <v>77</v>
      </c>
      <c r="D6" s="25" t="s">
        <v>89</v>
      </c>
      <c r="E6" s="1" t="s">
        <v>90</v>
      </c>
      <c r="F6" s="27" t="s">
        <v>86</v>
      </c>
      <c r="G6" s="26" t="s">
        <v>87</v>
      </c>
      <c r="H6" s="26" t="s">
        <v>88</v>
      </c>
      <c r="I6" s="26" t="s">
        <v>88</v>
      </c>
      <c r="J6" s="28"/>
      <c r="K6" s="28"/>
      <c r="L6" s="16"/>
      <c r="M6" s="16"/>
      <c r="N6" s="16"/>
      <c r="O6" s="16"/>
      <c r="P6" s="16"/>
      <c r="Q6" s="16"/>
      <c r="R6" s="16"/>
      <c r="S6" s="16"/>
      <c r="T6" s="16"/>
      <c r="U6" s="16"/>
      <c r="V6" s="16"/>
      <c r="W6" s="16"/>
      <c r="X6" s="16"/>
      <c r="Y6" s="16"/>
      <c r="Z6" s="16"/>
    </row>
    <row r="7" spans="1:26" x14ac:dyDescent="0.25">
      <c r="A7" s="23">
        <v>1</v>
      </c>
      <c r="B7" s="24" t="s">
        <v>76</v>
      </c>
      <c r="C7" s="25" t="s">
        <v>77</v>
      </c>
      <c r="D7" s="25" t="s">
        <v>91</v>
      </c>
      <c r="E7" s="26" t="s">
        <v>92</v>
      </c>
      <c r="F7" s="27" t="s">
        <v>80</v>
      </c>
      <c r="G7" s="26" t="s">
        <v>81</v>
      </c>
      <c r="H7" s="26" t="s">
        <v>82</v>
      </c>
      <c r="I7" s="26" t="s">
        <v>83</v>
      </c>
      <c r="J7" s="28"/>
      <c r="K7" s="28"/>
      <c r="L7" s="16"/>
      <c r="M7" s="16"/>
      <c r="N7" s="16"/>
      <c r="O7" s="16"/>
      <c r="P7" s="16"/>
      <c r="Q7" s="16"/>
      <c r="R7" s="16"/>
      <c r="S7" s="16"/>
      <c r="T7" s="16"/>
      <c r="U7" s="16"/>
      <c r="V7" s="16"/>
      <c r="W7" s="16"/>
      <c r="X7" s="16"/>
      <c r="Y7" s="16"/>
      <c r="Z7" s="16"/>
    </row>
    <row r="8" spans="1:26" x14ac:dyDescent="0.25">
      <c r="A8" s="23">
        <v>1</v>
      </c>
      <c r="B8" s="24" t="s">
        <v>76</v>
      </c>
      <c r="C8" s="25" t="s">
        <v>77</v>
      </c>
      <c r="D8" s="25" t="s">
        <v>93</v>
      </c>
      <c r="E8" s="26" t="s">
        <v>94</v>
      </c>
      <c r="F8" s="27" t="s">
        <v>95</v>
      </c>
      <c r="G8" s="26" t="s">
        <v>96</v>
      </c>
      <c r="H8" s="26" t="s">
        <v>96</v>
      </c>
      <c r="I8" s="26" t="s">
        <v>96</v>
      </c>
      <c r="J8" s="28"/>
      <c r="K8" s="28"/>
      <c r="L8" s="16"/>
      <c r="M8" s="16"/>
      <c r="N8" s="16"/>
      <c r="O8" s="16"/>
      <c r="P8" s="16"/>
      <c r="Q8" s="16"/>
      <c r="R8" s="16"/>
      <c r="S8" s="16"/>
      <c r="T8" s="16"/>
      <c r="U8" s="16"/>
      <c r="V8" s="16"/>
      <c r="W8" s="16"/>
      <c r="X8" s="16"/>
      <c r="Y8" s="16"/>
      <c r="Z8" s="16"/>
    </row>
    <row r="9" spans="1:26" x14ac:dyDescent="0.25">
      <c r="A9" s="23">
        <v>2</v>
      </c>
      <c r="B9" s="24" t="s">
        <v>76</v>
      </c>
      <c r="C9" s="25" t="s">
        <v>77</v>
      </c>
      <c r="D9" s="25" t="s">
        <v>97</v>
      </c>
      <c r="E9" s="25" t="s">
        <v>98</v>
      </c>
      <c r="F9" s="23" t="s">
        <v>99</v>
      </c>
      <c r="G9" s="26" t="s">
        <v>100</v>
      </c>
      <c r="H9" s="26" t="s">
        <v>101</v>
      </c>
      <c r="I9" s="26" t="s">
        <v>102</v>
      </c>
      <c r="J9" s="28"/>
      <c r="K9" s="28"/>
      <c r="L9" s="16"/>
      <c r="M9" s="16"/>
      <c r="N9" s="16"/>
      <c r="O9" s="16"/>
      <c r="P9" s="16"/>
      <c r="Q9" s="16"/>
      <c r="R9" s="16"/>
      <c r="S9" s="16"/>
      <c r="T9" s="16"/>
      <c r="U9" s="16"/>
      <c r="V9" s="16"/>
      <c r="W9" s="16"/>
      <c r="X9" s="16"/>
      <c r="Y9" s="16"/>
      <c r="Z9" s="16"/>
    </row>
    <row r="10" spans="1:26" x14ac:dyDescent="0.25">
      <c r="A10" s="23">
        <v>2</v>
      </c>
      <c r="B10" s="24" t="s">
        <v>76</v>
      </c>
      <c r="C10" s="25" t="s">
        <v>77</v>
      </c>
      <c r="D10" s="25" t="s">
        <v>103</v>
      </c>
      <c r="E10" s="25" t="s">
        <v>104</v>
      </c>
      <c r="F10" s="23" t="s">
        <v>99</v>
      </c>
      <c r="G10" s="26" t="s">
        <v>105</v>
      </c>
      <c r="H10" s="26" t="s">
        <v>105</v>
      </c>
      <c r="I10" s="26" t="s">
        <v>105</v>
      </c>
      <c r="J10" s="28"/>
      <c r="K10" s="28"/>
      <c r="L10" s="16"/>
      <c r="M10" s="16"/>
      <c r="N10" s="16"/>
      <c r="O10" s="16"/>
      <c r="P10" s="16"/>
      <c r="Q10" s="16"/>
      <c r="R10" s="16"/>
      <c r="S10" s="16"/>
      <c r="T10" s="16"/>
      <c r="U10" s="16"/>
      <c r="V10" s="16"/>
      <c r="W10" s="16"/>
      <c r="X10" s="16"/>
      <c r="Y10" s="16"/>
      <c r="Z10" s="16"/>
    </row>
    <row r="11" spans="1:26" x14ac:dyDescent="0.25">
      <c r="A11" s="23">
        <v>2</v>
      </c>
      <c r="B11" s="24" t="s">
        <v>76</v>
      </c>
      <c r="C11" s="25" t="s">
        <v>77</v>
      </c>
      <c r="D11" s="25" t="s">
        <v>106</v>
      </c>
      <c r="E11" s="25" t="s">
        <v>107</v>
      </c>
      <c r="F11" s="23" t="s">
        <v>108</v>
      </c>
      <c r="G11" s="26" t="s">
        <v>109</v>
      </c>
      <c r="H11" s="26" t="s">
        <v>109</v>
      </c>
      <c r="I11" s="26" t="s">
        <v>109</v>
      </c>
      <c r="J11" s="28"/>
      <c r="K11" s="28"/>
      <c r="L11" s="16"/>
      <c r="M11" s="16"/>
      <c r="N11" s="16"/>
      <c r="O11" s="16"/>
      <c r="P11" s="16"/>
      <c r="Q11" s="16"/>
      <c r="R11" s="16"/>
      <c r="S11" s="16"/>
      <c r="T11" s="16"/>
      <c r="U11" s="16"/>
      <c r="V11" s="16"/>
      <c r="W11" s="16"/>
      <c r="X11" s="16"/>
      <c r="Y11" s="16"/>
      <c r="Z11" s="16"/>
    </row>
    <row r="12" spans="1:26" x14ac:dyDescent="0.25">
      <c r="A12" s="23">
        <v>2</v>
      </c>
      <c r="B12" s="24" t="s">
        <v>76</v>
      </c>
      <c r="C12" s="25" t="s">
        <v>77</v>
      </c>
      <c r="D12" s="25" t="s">
        <v>110</v>
      </c>
      <c r="E12" s="25" t="s">
        <v>111</v>
      </c>
      <c r="F12" s="23" t="s">
        <v>99</v>
      </c>
      <c r="G12" s="26" t="s">
        <v>100</v>
      </c>
      <c r="H12" s="26" t="s">
        <v>101</v>
      </c>
      <c r="I12" s="26" t="s">
        <v>102</v>
      </c>
      <c r="J12" s="28"/>
      <c r="K12" s="28"/>
      <c r="L12" s="16"/>
      <c r="M12" s="16"/>
      <c r="N12" s="16"/>
      <c r="O12" s="16"/>
      <c r="P12" s="16"/>
      <c r="Q12" s="16"/>
      <c r="R12" s="16"/>
      <c r="S12" s="16"/>
      <c r="T12" s="16"/>
      <c r="U12" s="16"/>
      <c r="V12" s="16"/>
      <c r="W12" s="16"/>
      <c r="X12" s="16"/>
      <c r="Y12" s="16"/>
      <c r="Z12" s="16"/>
    </row>
    <row r="13" spans="1:26" x14ac:dyDescent="0.25">
      <c r="A13" s="23">
        <v>2</v>
      </c>
      <c r="B13" s="24" t="s">
        <v>76</v>
      </c>
      <c r="C13" s="25" t="s">
        <v>77</v>
      </c>
      <c r="D13" s="25" t="s">
        <v>112</v>
      </c>
      <c r="E13" s="25" t="s">
        <v>113</v>
      </c>
      <c r="F13" s="23" t="s">
        <v>99</v>
      </c>
      <c r="G13" s="26" t="s">
        <v>105</v>
      </c>
      <c r="H13" s="26" t="s">
        <v>105</v>
      </c>
      <c r="I13" s="26" t="s">
        <v>105</v>
      </c>
      <c r="J13" s="28"/>
      <c r="K13" s="28"/>
      <c r="L13" s="16"/>
      <c r="M13" s="16"/>
      <c r="N13" s="16"/>
      <c r="O13" s="16"/>
      <c r="P13" s="16"/>
      <c r="Q13" s="16"/>
      <c r="R13" s="16"/>
      <c r="S13" s="16"/>
      <c r="T13" s="16"/>
      <c r="U13" s="16"/>
      <c r="V13" s="16"/>
      <c r="W13" s="16"/>
      <c r="X13" s="16"/>
      <c r="Y13" s="16"/>
      <c r="Z13" s="16"/>
    </row>
    <row r="14" spans="1:26" x14ac:dyDescent="0.25">
      <c r="A14" s="23">
        <v>2</v>
      </c>
      <c r="B14" s="24" t="s">
        <v>76</v>
      </c>
      <c r="C14" s="25" t="s">
        <v>77</v>
      </c>
      <c r="D14" s="25" t="s">
        <v>114</v>
      </c>
      <c r="E14" s="25" t="s">
        <v>115</v>
      </c>
      <c r="F14" s="23" t="s">
        <v>108</v>
      </c>
      <c r="G14" s="26" t="s">
        <v>109</v>
      </c>
      <c r="H14" s="26" t="s">
        <v>109</v>
      </c>
      <c r="I14" s="26" t="s">
        <v>109</v>
      </c>
      <c r="J14" s="28"/>
      <c r="K14" s="28"/>
      <c r="L14" s="16"/>
      <c r="M14" s="16"/>
      <c r="N14" s="16"/>
      <c r="O14" s="16"/>
      <c r="P14" s="16"/>
      <c r="Q14" s="16"/>
      <c r="R14" s="16"/>
      <c r="S14" s="16"/>
      <c r="T14" s="16"/>
      <c r="U14" s="16"/>
      <c r="V14" s="16"/>
      <c r="W14" s="16"/>
      <c r="X14" s="16"/>
      <c r="Y14" s="16"/>
      <c r="Z14" s="16"/>
    </row>
    <row r="15" spans="1:26" x14ac:dyDescent="0.25">
      <c r="A15" s="23">
        <v>3</v>
      </c>
      <c r="B15" s="28"/>
      <c r="C15" s="25" t="s">
        <v>116</v>
      </c>
      <c r="D15" s="25" t="s">
        <v>117</v>
      </c>
      <c r="E15" s="25" t="s">
        <v>118</v>
      </c>
      <c r="F15" s="23" t="s">
        <v>119</v>
      </c>
      <c r="G15" s="26" t="s">
        <v>120</v>
      </c>
      <c r="H15" s="26" t="s">
        <v>121</v>
      </c>
      <c r="I15" s="26" t="s">
        <v>122</v>
      </c>
      <c r="J15" s="28"/>
      <c r="K15" s="28"/>
      <c r="L15" s="16"/>
      <c r="M15" s="16"/>
      <c r="N15" s="16"/>
      <c r="O15" s="16"/>
      <c r="P15" s="16"/>
      <c r="Q15" s="16"/>
      <c r="R15" s="16"/>
      <c r="S15" s="16"/>
      <c r="T15" s="16"/>
      <c r="U15" s="16"/>
      <c r="V15" s="16"/>
      <c r="W15" s="16"/>
      <c r="X15" s="16"/>
      <c r="Y15" s="16"/>
      <c r="Z15" s="16"/>
    </row>
    <row r="16" spans="1:26" x14ac:dyDescent="0.25">
      <c r="A16" s="23">
        <v>3</v>
      </c>
      <c r="B16" s="28"/>
      <c r="C16" s="25" t="s">
        <v>116</v>
      </c>
      <c r="D16" s="25" t="s">
        <v>123</v>
      </c>
      <c r="E16" s="25" t="s">
        <v>124</v>
      </c>
      <c r="F16" s="27" t="s">
        <v>125</v>
      </c>
      <c r="G16" s="26" t="s">
        <v>126</v>
      </c>
      <c r="H16" s="26" t="s">
        <v>127</v>
      </c>
      <c r="I16" s="26" t="s">
        <v>128</v>
      </c>
      <c r="J16" s="28"/>
      <c r="K16" s="28"/>
      <c r="L16" s="16"/>
      <c r="M16" s="16"/>
      <c r="N16" s="16"/>
      <c r="O16" s="16"/>
      <c r="P16" s="16"/>
      <c r="Q16" s="16"/>
      <c r="R16" s="16"/>
      <c r="S16" s="16"/>
      <c r="T16" s="16"/>
      <c r="U16" s="16"/>
      <c r="V16" s="16"/>
      <c r="W16" s="16"/>
      <c r="X16" s="16"/>
      <c r="Y16" s="16"/>
      <c r="Z16" s="16"/>
    </row>
    <row r="17" spans="1:26" x14ac:dyDescent="0.25">
      <c r="A17" s="23">
        <v>3</v>
      </c>
      <c r="B17" s="28"/>
      <c r="C17" s="25" t="s">
        <v>116</v>
      </c>
      <c r="D17" s="25" t="s">
        <v>129</v>
      </c>
      <c r="E17" s="25" t="s">
        <v>130</v>
      </c>
      <c r="F17" s="23" t="s">
        <v>131</v>
      </c>
      <c r="G17" s="26" t="s">
        <v>126</v>
      </c>
      <c r="H17" s="26" t="s">
        <v>127</v>
      </c>
      <c r="I17" s="26" t="s">
        <v>128</v>
      </c>
      <c r="J17" s="28"/>
      <c r="K17" s="28"/>
      <c r="L17" s="16"/>
      <c r="M17" s="16"/>
      <c r="N17" s="16"/>
      <c r="O17" s="16"/>
      <c r="P17" s="16"/>
      <c r="Q17" s="16"/>
      <c r="R17" s="16"/>
      <c r="S17" s="16"/>
      <c r="T17" s="16"/>
      <c r="U17" s="16"/>
      <c r="V17" s="16"/>
      <c r="W17" s="16"/>
      <c r="X17" s="16"/>
      <c r="Y17" s="16"/>
      <c r="Z17" s="16"/>
    </row>
    <row r="18" spans="1:26" x14ac:dyDescent="0.25">
      <c r="A18" s="23">
        <v>4</v>
      </c>
      <c r="B18" s="28"/>
      <c r="C18" s="25" t="s">
        <v>132</v>
      </c>
      <c r="D18" s="25" t="s">
        <v>133</v>
      </c>
      <c r="E18" s="26" t="s">
        <v>134</v>
      </c>
      <c r="F18" s="27" t="s">
        <v>135</v>
      </c>
      <c r="G18" s="26" t="s">
        <v>136</v>
      </c>
      <c r="H18" s="26" t="s">
        <v>137</v>
      </c>
      <c r="I18" s="26" t="s">
        <v>138</v>
      </c>
      <c r="J18" s="28"/>
      <c r="K18" s="28"/>
      <c r="L18" s="16"/>
      <c r="M18" s="16"/>
      <c r="N18" s="16"/>
      <c r="O18" s="16"/>
      <c r="P18" s="16"/>
      <c r="Q18" s="16"/>
      <c r="R18" s="16"/>
      <c r="S18" s="16"/>
      <c r="T18" s="16"/>
      <c r="U18" s="16"/>
      <c r="V18" s="16"/>
      <c r="W18" s="16"/>
      <c r="X18" s="16"/>
      <c r="Y18" s="16"/>
      <c r="Z18" s="16"/>
    </row>
    <row r="19" spans="1:26" x14ac:dyDescent="0.25">
      <c r="A19" s="23">
        <v>4</v>
      </c>
      <c r="B19" s="28"/>
      <c r="C19" s="25" t="s">
        <v>132</v>
      </c>
      <c r="D19" s="25" t="s">
        <v>139</v>
      </c>
      <c r="E19" s="26" t="s">
        <v>140</v>
      </c>
      <c r="F19" s="27" t="s">
        <v>141</v>
      </c>
      <c r="G19" s="26" t="s">
        <v>142</v>
      </c>
      <c r="H19" s="26" t="s">
        <v>143</v>
      </c>
      <c r="I19" s="26" t="s">
        <v>144</v>
      </c>
      <c r="J19" s="28"/>
      <c r="K19" s="28"/>
      <c r="L19" s="16"/>
      <c r="M19" s="16"/>
      <c r="N19" s="16"/>
      <c r="O19" s="16"/>
      <c r="P19" s="16"/>
      <c r="Q19" s="16"/>
      <c r="R19" s="16"/>
      <c r="S19" s="16"/>
      <c r="T19" s="16"/>
      <c r="U19" s="16"/>
      <c r="V19" s="16"/>
      <c r="W19" s="16"/>
      <c r="X19" s="16"/>
      <c r="Y19" s="16"/>
      <c r="Z19" s="16"/>
    </row>
    <row r="20" spans="1:26" x14ac:dyDescent="0.25">
      <c r="A20" s="23">
        <v>4</v>
      </c>
      <c r="B20" s="28"/>
      <c r="C20" s="25" t="s">
        <v>145</v>
      </c>
      <c r="D20" s="25" t="s">
        <v>18</v>
      </c>
      <c r="E20" s="29" t="s">
        <v>146</v>
      </c>
      <c r="F20" s="27" t="s">
        <v>147</v>
      </c>
      <c r="G20" s="28"/>
      <c r="H20" s="28"/>
      <c r="I20" s="28"/>
      <c r="J20" s="28"/>
      <c r="K20" s="28"/>
      <c r="L20" s="16"/>
      <c r="M20" s="16"/>
      <c r="N20" s="16"/>
      <c r="O20" s="16"/>
      <c r="P20" s="16"/>
      <c r="Q20" s="16"/>
      <c r="R20" s="16"/>
      <c r="S20" s="16"/>
      <c r="T20" s="16"/>
      <c r="U20" s="16"/>
      <c r="V20" s="16"/>
      <c r="W20" s="16"/>
      <c r="X20" s="16"/>
      <c r="Y20" s="16"/>
      <c r="Z20" s="16"/>
    </row>
    <row r="21" spans="1:26" x14ac:dyDescent="0.25">
      <c r="A21" s="23"/>
      <c r="B21" s="28"/>
      <c r="C21" s="25"/>
      <c r="D21" s="25"/>
      <c r="E21" s="29" t="s">
        <v>148</v>
      </c>
      <c r="F21" s="27"/>
      <c r="G21" s="26" t="s">
        <v>149</v>
      </c>
      <c r="H21" s="26" t="s">
        <v>149</v>
      </c>
      <c r="I21" s="26" t="s">
        <v>149</v>
      </c>
      <c r="J21" s="28"/>
      <c r="K21" s="28"/>
      <c r="L21" s="16"/>
      <c r="M21" s="16"/>
      <c r="N21" s="16"/>
      <c r="O21" s="16"/>
      <c r="P21" s="16"/>
      <c r="Q21" s="16"/>
      <c r="R21" s="16"/>
      <c r="S21" s="16"/>
      <c r="T21" s="16"/>
      <c r="U21" s="16"/>
      <c r="V21" s="16"/>
      <c r="W21" s="16"/>
      <c r="X21" s="16"/>
      <c r="Y21" s="16"/>
      <c r="Z21" s="16"/>
    </row>
    <row r="22" spans="1:26" x14ac:dyDescent="0.25">
      <c r="A22" s="23"/>
      <c r="B22" s="28"/>
      <c r="C22" s="25"/>
      <c r="D22" s="25"/>
      <c r="E22" s="29" t="s">
        <v>150</v>
      </c>
      <c r="F22" s="27"/>
      <c r="G22" s="26" t="s">
        <v>151</v>
      </c>
      <c r="H22" s="26" t="s">
        <v>151</v>
      </c>
      <c r="I22" s="26" t="s">
        <v>151</v>
      </c>
      <c r="J22" s="28"/>
      <c r="K22" s="28"/>
      <c r="L22" s="16"/>
      <c r="M22" s="16"/>
      <c r="N22" s="16"/>
      <c r="O22" s="16"/>
      <c r="P22" s="16"/>
      <c r="Q22" s="16"/>
      <c r="R22" s="16"/>
      <c r="S22" s="16"/>
      <c r="T22" s="16"/>
      <c r="U22" s="16"/>
      <c r="V22" s="16"/>
      <c r="W22" s="16"/>
      <c r="X22" s="16"/>
      <c r="Y22" s="16"/>
      <c r="Z22" s="16"/>
    </row>
    <row r="23" spans="1:26" x14ac:dyDescent="0.25">
      <c r="A23" s="23"/>
      <c r="B23" s="28"/>
      <c r="C23" s="25"/>
      <c r="D23" s="25"/>
      <c r="E23" s="29" t="s">
        <v>152</v>
      </c>
      <c r="F23" s="27"/>
      <c r="G23" s="26" t="s">
        <v>153</v>
      </c>
      <c r="H23" s="26" t="s">
        <v>154</v>
      </c>
      <c r="I23" s="26" t="s">
        <v>154</v>
      </c>
      <c r="J23" s="28"/>
      <c r="K23" s="28"/>
      <c r="L23" s="16"/>
      <c r="M23" s="16"/>
      <c r="N23" s="16"/>
      <c r="O23" s="16"/>
      <c r="P23" s="16"/>
      <c r="Q23" s="16"/>
      <c r="R23" s="16"/>
      <c r="S23" s="16"/>
      <c r="T23" s="16"/>
      <c r="U23" s="16"/>
      <c r="V23" s="16"/>
      <c r="W23" s="16"/>
      <c r="X23" s="16"/>
      <c r="Y23" s="16"/>
      <c r="Z23" s="16"/>
    </row>
    <row r="24" spans="1:26" x14ac:dyDescent="0.25">
      <c r="A24" s="23"/>
      <c r="B24" s="28"/>
      <c r="C24" s="25"/>
      <c r="D24" s="25"/>
      <c r="E24" s="29" t="s">
        <v>155</v>
      </c>
      <c r="F24" s="27"/>
      <c r="G24" s="26" t="s">
        <v>153</v>
      </c>
      <c r="H24" s="26" t="s">
        <v>156</v>
      </c>
      <c r="I24" s="26" t="s">
        <v>154</v>
      </c>
      <c r="J24" s="28"/>
      <c r="K24" s="28"/>
      <c r="L24" s="16"/>
      <c r="M24" s="16"/>
      <c r="N24" s="16"/>
      <c r="O24" s="16"/>
      <c r="P24" s="16"/>
      <c r="Q24" s="16"/>
      <c r="R24" s="16"/>
      <c r="S24" s="16"/>
      <c r="T24" s="16"/>
      <c r="U24" s="16"/>
      <c r="V24" s="16"/>
      <c r="W24" s="16"/>
      <c r="X24" s="16"/>
      <c r="Y24" s="16"/>
      <c r="Z24" s="16"/>
    </row>
    <row r="25" spans="1:26" x14ac:dyDescent="0.25">
      <c r="A25" s="23"/>
      <c r="B25" s="28"/>
      <c r="C25" s="25"/>
      <c r="D25" s="25"/>
      <c r="E25" s="29" t="s">
        <v>157</v>
      </c>
      <c r="F25" s="27"/>
      <c r="G25" s="26" t="s">
        <v>158</v>
      </c>
      <c r="H25" s="26" t="s">
        <v>159</v>
      </c>
      <c r="I25" s="26" t="s">
        <v>159</v>
      </c>
      <c r="J25" s="28"/>
      <c r="K25" s="28"/>
      <c r="L25" s="16"/>
      <c r="M25" s="16"/>
      <c r="N25" s="16"/>
      <c r="O25" s="16"/>
      <c r="P25" s="16"/>
      <c r="Q25" s="16"/>
      <c r="R25" s="16"/>
      <c r="S25" s="16"/>
      <c r="T25" s="16"/>
      <c r="U25" s="16"/>
      <c r="V25" s="16"/>
      <c r="W25" s="16"/>
      <c r="X25" s="16"/>
      <c r="Y25" s="16"/>
      <c r="Z25" s="16"/>
    </row>
    <row r="26" spans="1:26" x14ac:dyDescent="0.25">
      <c r="A26" s="23"/>
      <c r="B26" s="28"/>
      <c r="C26" s="25"/>
      <c r="D26" s="25"/>
      <c r="E26" s="29" t="s">
        <v>160</v>
      </c>
      <c r="F26" s="27"/>
      <c r="G26" s="26" t="s">
        <v>159</v>
      </c>
      <c r="H26" s="26" t="s">
        <v>156</v>
      </c>
      <c r="I26" s="26" t="s">
        <v>159</v>
      </c>
      <c r="J26" s="28"/>
      <c r="K26" s="28"/>
      <c r="L26" s="16"/>
      <c r="M26" s="16"/>
      <c r="N26" s="16"/>
      <c r="O26" s="16"/>
      <c r="P26" s="16"/>
      <c r="Q26" s="16"/>
      <c r="R26" s="16"/>
      <c r="S26" s="16"/>
      <c r="T26" s="16"/>
      <c r="U26" s="16"/>
      <c r="V26" s="16"/>
      <c r="W26" s="16"/>
      <c r="X26" s="16"/>
      <c r="Y26" s="16"/>
      <c r="Z26" s="16"/>
    </row>
    <row r="27" spans="1:26" x14ac:dyDescent="0.25">
      <c r="A27" s="23"/>
      <c r="B27" s="28"/>
      <c r="C27" s="25"/>
      <c r="D27" s="25"/>
      <c r="E27" s="29" t="s">
        <v>161</v>
      </c>
      <c r="F27" s="27"/>
      <c r="G27" s="26" t="s">
        <v>159</v>
      </c>
      <c r="H27" s="26" t="s">
        <v>159</v>
      </c>
      <c r="I27" s="26" t="s">
        <v>159</v>
      </c>
      <c r="J27" s="28"/>
      <c r="K27" s="28"/>
      <c r="L27" s="16"/>
      <c r="M27" s="16"/>
      <c r="N27" s="16"/>
      <c r="O27" s="16"/>
      <c r="P27" s="16"/>
      <c r="Q27" s="16"/>
      <c r="R27" s="16"/>
      <c r="S27" s="16"/>
      <c r="T27" s="16"/>
      <c r="U27" s="16"/>
      <c r="V27" s="16"/>
      <c r="W27" s="16"/>
      <c r="X27" s="16"/>
      <c r="Y27" s="16"/>
      <c r="Z27" s="16"/>
    </row>
    <row r="28" spans="1:26" x14ac:dyDescent="0.25">
      <c r="A28" s="23"/>
      <c r="B28" s="28"/>
      <c r="C28" s="25"/>
      <c r="D28" s="25"/>
      <c r="E28" s="29" t="s">
        <v>162</v>
      </c>
      <c r="F28" s="27"/>
      <c r="G28" s="26" t="s">
        <v>159</v>
      </c>
      <c r="H28" s="26" t="s">
        <v>159</v>
      </c>
      <c r="I28" s="26" t="s">
        <v>159</v>
      </c>
      <c r="J28" s="28"/>
      <c r="K28" s="28"/>
      <c r="L28" s="16"/>
      <c r="M28" s="16"/>
      <c r="N28" s="16"/>
      <c r="O28" s="16"/>
      <c r="P28" s="16"/>
      <c r="Q28" s="16"/>
      <c r="R28" s="16"/>
      <c r="S28" s="16"/>
      <c r="T28" s="16"/>
      <c r="U28" s="16"/>
      <c r="V28" s="16"/>
      <c r="W28" s="16"/>
      <c r="X28" s="16"/>
      <c r="Y28" s="16"/>
      <c r="Z28" s="16"/>
    </row>
    <row r="29" spans="1:26" x14ac:dyDescent="0.25">
      <c r="A29" s="23">
        <v>4</v>
      </c>
      <c r="B29" s="28"/>
      <c r="C29" s="25" t="s">
        <v>145</v>
      </c>
      <c r="D29" s="25" t="s">
        <v>19</v>
      </c>
      <c r="E29" s="29" t="s">
        <v>163</v>
      </c>
      <c r="F29" s="27" t="s">
        <v>164</v>
      </c>
      <c r="G29" s="26" t="s">
        <v>165</v>
      </c>
      <c r="H29" s="26" t="s">
        <v>165</v>
      </c>
      <c r="I29" s="26" t="s">
        <v>165</v>
      </c>
      <c r="J29" s="28"/>
      <c r="K29" s="28"/>
      <c r="L29" s="16"/>
      <c r="M29" s="16"/>
      <c r="N29" s="16"/>
      <c r="O29" s="16"/>
      <c r="P29" s="16"/>
      <c r="Q29" s="16"/>
      <c r="R29" s="16"/>
      <c r="S29" s="16"/>
      <c r="T29" s="16"/>
      <c r="U29" s="16"/>
      <c r="V29" s="16"/>
      <c r="W29" s="16"/>
      <c r="X29" s="16"/>
      <c r="Y29" s="16"/>
      <c r="Z29" s="16"/>
    </row>
    <row r="30" spans="1:26" x14ac:dyDescent="0.25">
      <c r="A30" s="23"/>
      <c r="B30" s="28"/>
      <c r="C30" s="25"/>
      <c r="D30" s="25"/>
      <c r="E30" s="29" t="s">
        <v>166</v>
      </c>
      <c r="F30" s="23"/>
      <c r="G30" s="26" t="s">
        <v>167</v>
      </c>
      <c r="H30" s="26" t="s">
        <v>167</v>
      </c>
      <c r="I30" s="26" t="s">
        <v>167</v>
      </c>
      <c r="J30" s="28"/>
      <c r="K30" s="28"/>
      <c r="L30" s="16"/>
      <c r="M30" s="16"/>
      <c r="N30" s="16"/>
      <c r="O30" s="16"/>
      <c r="P30" s="16"/>
      <c r="Q30" s="16"/>
      <c r="R30" s="16"/>
      <c r="S30" s="16"/>
      <c r="T30" s="16"/>
      <c r="U30" s="16"/>
      <c r="V30" s="16"/>
      <c r="W30" s="16"/>
      <c r="X30" s="16"/>
      <c r="Y30" s="16"/>
      <c r="Z30" s="16"/>
    </row>
    <row r="31" spans="1:26" x14ac:dyDescent="0.25">
      <c r="A31" s="23"/>
      <c r="B31" s="28"/>
      <c r="C31" s="25"/>
      <c r="D31" s="25"/>
      <c r="E31" s="29" t="s">
        <v>168</v>
      </c>
      <c r="F31" s="23"/>
      <c r="G31" s="26" t="s">
        <v>169</v>
      </c>
      <c r="H31" s="26" t="s">
        <v>169</v>
      </c>
      <c r="I31" s="26" t="s">
        <v>169</v>
      </c>
      <c r="J31" s="28"/>
      <c r="K31" s="28"/>
      <c r="L31" s="16"/>
      <c r="M31" s="16"/>
      <c r="N31" s="16"/>
      <c r="O31" s="16"/>
      <c r="P31" s="16"/>
      <c r="Q31" s="16"/>
      <c r="R31" s="16"/>
      <c r="S31" s="16"/>
      <c r="T31" s="16"/>
      <c r="U31" s="16"/>
      <c r="V31" s="16"/>
      <c r="W31" s="16"/>
      <c r="X31" s="16"/>
      <c r="Y31" s="16"/>
      <c r="Z31" s="16"/>
    </row>
    <row r="32" spans="1:26" x14ac:dyDescent="0.25">
      <c r="A32" s="23">
        <v>5</v>
      </c>
      <c r="B32" s="28"/>
      <c r="C32" s="25" t="s">
        <v>170</v>
      </c>
      <c r="D32" s="25" t="s">
        <v>171</v>
      </c>
      <c r="E32" s="25" t="s">
        <v>172</v>
      </c>
      <c r="F32" s="23" t="s">
        <v>173</v>
      </c>
      <c r="G32" s="28"/>
      <c r="H32" s="28"/>
      <c r="I32" s="28"/>
      <c r="J32" s="28"/>
      <c r="K32" s="28"/>
      <c r="L32" s="16"/>
      <c r="M32" s="16"/>
      <c r="N32" s="16"/>
      <c r="O32" s="16"/>
      <c r="P32" s="16"/>
      <c r="Q32" s="16"/>
      <c r="R32" s="16"/>
      <c r="S32" s="16"/>
      <c r="T32" s="16"/>
      <c r="U32" s="16"/>
      <c r="V32" s="16"/>
      <c r="W32" s="16"/>
      <c r="X32" s="16"/>
      <c r="Y32" s="16"/>
      <c r="Z32" s="16"/>
    </row>
    <row r="33" spans="1:26" x14ac:dyDescent="0.25">
      <c r="A33" s="23"/>
      <c r="B33" s="28"/>
      <c r="C33" s="25"/>
      <c r="D33" s="25"/>
      <c r="E33" s="29" t="s">
        <v>174</v>
      </c>
      <c r="F33" s="23"/>
      <c r="G33" s="26" t="s">
        <v>175</v>
      </c>
      <c r="H33" s="26" t="s">
        <v>176</v>
      </c>
      <c r="I33" s="26" t="s">
        <v>177</v>
      </c>
      <c r="J33" s="28"/>
      <c r="K33" s="28"/>
      <c r="L33" s="16"/>
      <c r="M33" s="16"/>
      <c r="N33" s="16"/>
      <c r="O33" s="16"/>
      <c r="P33" s="16"/>
      <c r="Q33" s="16"/>
      <c r="R33" s="16"/>
      <c r="S33" s="16"/>
      <c r="T33" s="16"/>
      <c r="U33" s="16"/>
      <c r="V33" s="16"/>
      <c r="W33" s="16"/>
      <c r="X33" s="16"/>
      <c r="Y33" s="16"/>
      <c r="Z33" s="16"/>
    </row>
    <row r="34" spans="1:26" x14ac:dyDescent="0.25">
      <c r="A34" s="23"/>
      <c r="B34" s="28"/>
      <c r="C34" s="25"/>
      <c r="D34" s="25"/>
      <c r="E34" s="29" t="s">
        <v>178</v>
      </c>
      <c r="F34" s="23"/>
      <c r="G34" s="26" t="s">
        <v>179</v>
      </c>
      <c r="H34" s="26" t="s">
        <v>180</v>
      </c>
      <c r="I34" s="26" t="s">
        <v>181</v>
      </c>
      <c r="J34" s="28"/>
      <c r="K34" s="28"/>
      <c r="L34" s="16"/>
      <c r="M34" s="16"/>
      <c r="N34" s="16"/>
      <c r="O34" s="16"/>
      <c r="P34" s="16"/>
      <c r="Q34" s="16"/>
      <c r="R34" s="16"/>
      <c r="S34" s="16"/>
      <c r="T34" s="16"/>
      <c r="U34" s="16"/>
      <c r="V34" s="16"/>
      <c r="W34" s="16"/>
      <c r="X34" s="16"/>
      <c r="Y34" s="16"/>
      <c r="Z34" s="16"/>
    </row>
    <row r="35" spans="1:26" x14ac:dyDescent="0.25">
      <c r="A35" s="23"/>
      <c r="B35" s="28"/>
      <c r="C35" s="25"/>
      <c r="D35" s="25"/>
      <c r="E35" s="29" t="s">
        <v>182</v>
      </c>
      <c r="F35" s="23"/>
      <c r="G35" s="26" t="s">
        <v>183</v>
      </c>
      <c r="H35" s="26" t="s">
        <v>184</v>
      </c>
      <c r="I35" s="26" t="s">
        <v>185</v>
      </c>
      <c r="J35" s="28"/>
      <c r="K35" s="28"/>
      <c r="L35" s="16"/>
      <c r="M35" s="16"/>
      <c r="N35" s="16"/>
      <c r="O35" s="16"/>
      <c r="P35" s="16"/>
      <c r="Q35" s="16"/>
      <c r="R35" s="16"/>
      <c r="S35" s="16"/>
      <c r="T35" s="16"/>
      <c r="U35" s="16"/>
      <c r="V35" s="16"/>
      <c r="W35" s="16"/>
      <c r="X35" s="16"/>
      <c r="Y35" s="16"/>
      <c r="Z35" s="16"/>
    </row>
    <row r="36" spans="1:26" x14ac:dyDescent="0.25">
      <c r="A36" s="23">
        <v>5</v>
      </c>
      <c r="B36" s="28"/>
      <c r="C36" s="25" t="s">
        <v>186</v>
      </c>
      <c r="D36" s="25" t="s">
        <v>187</v>
      </c>
      <c r="E36" s="25" t="s">
        <v>188</v>
      </c>
      <c r="F36" s="23" t="s">
        <v>189</v>
      </c>
      <c r="G36" s="26" t="s">
        <v>190</v>
      </c>
      <c r="H36" s="26" t="s">
        <v>191</v>
      </c>
      <c r="I36" s="26" t="s">
        <v>192</v>
      </c>
      <c r="J36" s="28"/>
      <c r="K36" s="28"/>
      <c r="L36" s="16"/>
      <c r="M36" s="16"/>
      <c r="N36" s="16"/>
      <c r="O36" s="16"/>
      <c r="P36" s="16"/>
      <c r="Q36" s="16"/>
      <c r="R36" s="16"/>
      <c r="S36" s="16"/>
      <c r="T36" s="16"/>
      <c r="U36" s="16"/>
      <c r="V36" s="16"/>
      <c r="W36" s="16"/>
      <c r="X36" s="16"/>
      <c r="Y36" s="16"/>
      <c r="Z36" s="16"/>
    </row>
    <row r="37" spans="1:26" x14ac:dyDescent="0.25">
      <c r="A37" s="23">
        <v>5</v>
      </c>
      <c r="B37" s="28"/>
      <c r="C37" s="25" t="s">
        <v>193</v>
      </c>
      <c r="D37" s="25" t="s">
        <v>194</v>
      </c>
      <c r="E37" s="25" t="s">
        <v>195</v>
      </c>
      <c r="F37" s="27" t="s">
        <v>196</v>
      </c>
      <c r="G37" s="26" t="s">
        <v>197</v>
      </c>
      <c r="H37" s="26" t="s">
        <v>198</v>
      </c>
      <c r="I37" s="26" t="s">
        <v>199</v>
      </c>
      <c r="J37" s="28"/>
      <c r="K37" s="28"/>
      <c r="L37" s="16"/>
      <c r="M37" s="16"/>
      <c r="N37" s="16"/>
      <c r="O37" s="16"/>
      <c r="P37" s="16"/>
      <c r="Q37" s="16"/>
      <c r="R37" s="16"/>
      <c r="S37" s="16"/>
      <c r="T37" s="16"/>
      <c r="U37" s="16"/>
      <c r="V37" s="16"/>
      <c r="W37" s="16"/>
      <c r="X37" s="16"/>
      <c r="Y37" s="16"/>
      <c r="Z37" s="16"/>
    </row>
    <row r="38" spans="1:26" x14ac:dyDescent="0.25">
      <c r="A38" s="23">
        <v>5</v>
      </c>
      <c r="B38" s="28"/>
      <c r="C38" s="25" t="s">
        <v>193</v>
      </c>
      <c r="D38" s="25" t="s">
        <v>200</v>
      </c>
      <c r="E38" s="25" t="s">
        <v>201</v>
      </c>
      <c r="F38" s="27" t="s">
        <v>196</v>
      </c>
      <c r="G38" s="26" t="s">
        <v>197</v>
      </c>
      <c r="H38" s="26" t="s">
        <v>198</v>
      </c>
      <c r="I38" s="26" t="s">
        <v>199</v>
      </c>
      <c r="J38" s="28"/>
      <c r="K38" s="28"/>
      <c r="L38" s="16"/>
      <c r="M38" s="16"/>
      <c r="N38" s="16"/>
      <c r="O38" s="16"/>
      <c r="P38" s="16"/>
      <c r="Q38" s="16"/>
      <c r="R38" s="16"/>
      <c r="S38" s="16"/>
      <c r="T38" s="16"/>
      <c r="U38" s="16"/>
      <c r="V38" s="16"/>
      <c r="W38" s="16"/>
      <c r="X38" s="16"/>
      <c r="Y38" s="16"/>
      <c r="Z38" s="16"/>
    </row>
    <row r="39" spans="1:26" x14ac:dyDescent="0.25">
      <c r="A39" s="23">
        <v>5</v>
      </c>
      <c r="B39" s="28"/>
      <c r="C39" s="25" t="s">
        <v>77</v>
      </c>
      <c r="D39" s="25" t="s">
        <v>202</v>
      </c>
      <c r="E39" s="25" t="s">
        <v>203</v>
      </c>
      <c r="F39" s="23" t="s">
        <v>189</v>
      </c>
      <c r="G39" s="28"/>
      <c r="H39" s="28"/>
      <c r="I39" s="28"/>
      <c r="J39" s="28"/>
      <c r="K39" s="28"/>
      <c r="L39" s="16"/>
      <c r="M39" s="16"/>
      <c r="N39" s="16"/>
      <c r="O39" s="16"/>
      <c r="P39" s="16"/>
      <c r="Q39" s="16"/>
      <c r="R39" s="16"/>
      <c r="S39" s="16"/>
      <c r="T39" s="16"/>
      <c r="U39" s="16"/>
      <c r="V39" s="16"/>
      <c r="W39" s="16"/>
      <c r="X39" s="16"/>
      <c r="Y39" s="16"/>
      <c r="Z39" s="16"/>
    </row>
    <row r="40" spans="1:26" x14ac:dyDescent="0.25">
      <c r="A40" s="23"/>
      <c r="B40" s="28"/>
      <c r="C40" s="25"/>
      <c r="D40" s="25"/>
      <c r="E40" s="29" t="s">
        <v>204</v>
      </c>
      <c r="F40" s="23"/>
      <c r="G40" s="26" t="s">
        <v>205</v>
      </c>
      <c r="H40" s="26" t="s">
        <v>206</v>
      </c>
      <c r="I40" s="26" t="s">
        <v>207</v>
      </c>
      <c r="J40" s="28"/>
      <c r="K40" s="28"/>
      <c r="L40" s="16"/>
      <c r="M40" s="16"/>
      <c r="N40" s="16"/>
      <c r="O40" s="16"/>
      <c r="P40" s="16"/>
      <c r="Q40" s="16"/>
      <c r="R40" s="16"/>
      <c r="S40" s="16"/>
      <c r="T40" s="16"/>
      <c r="U40" s="16"/>
      <c r="V40" s="16"/>
      <c r="W40" s="16"/>
      <c r="X40" s="16"/>
      <c r="Y40" s="16"/>
      <c r="Z40" s="16"/>
    </row>
    <row r="41" spans="1:26" x14ac:dyDescent="0.25">
      <c r="A41" s="23"/>
      <c r="B41" s="28"/>
      <c r="C41" s="25"/>
      <c r="D41" s="25"/>
      <c r="E41" s="29" t="s">
        <v>208</v>
      </c>
      <c r="F41" s="23"/>
      <c r="G41" s="26" t="s">
        <v>207</v>
      </c>
      <c r="H41" s="26" t="s">
        <v>209</v>
      </c>
      <c r="I41" s="26" t="s">
        <v>190</v>
      </c>
      <c r="J41" s="28"/>
      <c r="K41" s="28"/>
      <c r="L41" s="16"/>
      <c r="M41" s="16"/>
      <c r="N41" s="16"/>
      <c r="O41" s="16"/>
      <c r="P41" s="16"/>
      <c r="Q41" s="16"/>
      <c r="R41" s="16"/>
      <c r="S41" s="16"/>
      <c r="T41" s="16"/>
      <c r="U41" s="16"/>
      <c r="V41" s="16"/>
      <c r="W41" s="16"/>
      <c r="X41" s="16"/>
      <c r="Y41" s="16"/>
      <c r="Z41" s="16"/>
    </row>
    <row r="42" spans="1:26" x14ac:dyDescent="0.25">
      <c r="A42" s="23">
        <v>5</v>
      </c>
      <c r="B42" s="28"/>
      <c r="C42" s="25" t="s">
        <v>77</v>
      </c>
      <c r="D42" s="25" t="s">
        <v>210</v>
      </c>
      <c r="E42" s="25" t="s">
        <v>211</v>
      </c>
      <c r="F42" s="23" t="s">
        <v>212</v>
      </c>
      <c r="G42" s="26" t="s">
        <v>213</v>
      </c>
      <c r="H42" s="26" t="s">
        <v>214</v>
      </c>
      <c r="I42" s="26" t="s">
        <v>207</v>
      </c>
      <c r="J42" s="28"/>
      <c r="K42" s="28"/>
      <c r="L42" s="16"/>
      <c r="M42" s="16"/>
      <c r="N42" s="16"/>
      <c r="O42" s="16"/>
      <c r="P42" s="16"/>
      <c r="Q42" s="16"/>
      <c r="R42" s="16"/>
      <c r="S42" s="16"/>
      <c r="T42" s="16"/>
      <c r="U42" s="16"/>
      <c r="V42" s="16"/>
      <c r="W42" s="16"/>
      <c r="X42" s="16"/>
      <c r="Y42" s="16"/>
      <c r="Z42" s="16"/>
    </row>
    <row r="43" spans="1:26" x14ac:dyDescent="0.25">
      <c r="A43" s="23">
        <v>5</v>
      </c>
      <c r="B43" s="28"/>
      <c r="C43" s="25" t="s">
        <v>77</v>
      </c>
      <c r="D43" s="25" t="s">
        <v>215</v>
      </c>
      <c r="E43" s="25" t="s">
        <v>216</v>
      </c>
      <c r="F43" s="23" t="s">
        <v>217</v>
      </c>
      <c r="G43" s="26" t="s">
        <v>218</v>
      </c>
      <c r="H43" s="26" t="s">
        <v>219</v>
      </c>
      <c r="I43" s="26" t="s">
        <v>220</v>
      </c>
      <c r="J43" s="28"/>
      <c r="K43" s="28"/>
      <c r="L43" s="16"/>
      <c r="M43" s="16"/>
      <c r="N43" s="16"/>
      <c r="O43" s="16"/>
      <c r="P43" s="16"/>
      <c r="Q43" s="16"/>
      <c r="R43" s="16"/>
      <c r="S43" s="16"/>
      <c r="T43" s="16"/>
      <c r="U43" s="16"/>
      <c r="V43" s="16"/>
      <c r="W43" s="16"/>
      <c r="X43" s="16"/>
      <c r="Y43" s="16"/>
      <c r="Z43" s="16"/>
    </row>
    <row r="44" spans="1:26" x14ac:dyDescent="0.25">
      <c r="A44" s="23">
        <v>6</v>
      </c>
      <c r="B44" s="28"/>
      <c r="C44" s="25" t="s">
        <v>77</v>
      </c>
      <c r="D44" s="25" t="s">
        <v>221</v>
      </c>
      <c r="E44" s="25" t="s">
        <v>222</v>
      </c>
      <c r="F44" s="23" t="s">
        <v>223</v>
      </c>
      <c r="G44" s="26" t="s">
        <v>224</v>
      </c>
      <c r="H44" s="26" t="s">
        <v>225</v>
      </c>
      <c r="I44" s="26" t="s">
        <v>225</v>
      </c>
      <c r="J44" s="28"/>
      <c r="K44" s="28"/>
      <c r="L44" s="16"/>
      <c r="M44" s="16"/>
      <c r="N44" s="16"/>
      <c r="O44" s="16"/>
      <c r="P44" s="16"/>
      <c r="Q44" s="16"/>
      <c r="R44" s="16"/>
      <c r="S44" s="16"/>
      <c r="T44" s="16"/>
      <c r="U44" s="16"/>
      <c r="V44" s="16"/>
      <c r="W44" s="16"/>
      <c r="X44" s="16"/>
      <c r="Y44" s="16"/>
      <c r="Z44" s="16"/>
    </row>
    <row r="45" spans="1:26" x14ac:dyDescent="0.25">
      <c r="A45" s="23">
        <v>6</v>
      </c>
      <c r="B45" s="28"/>
      <c r="C45" s="25" t="s">
        <v>77</v>
      </c>
      <c r="D45" s="25" t="s">
        <v>226</v>
      </c>
      <c r="E45" s="25" t="s">
        <v>227</v>
      </c>
      <c r="F45" s="23" t="s">
        <v>223</v>
      </c>
      <c r="G45" s="26" t="s">
        <v>224</v>
      </c>
      <c r="H45" s="26" t="s">
        <v>225</v>
      </c>
      <c r="I45" s="26" t="s">
        <v>225</v>
      </c>
      <c r="J45" s="28"/>
      <c r="K45" s="28"/>
      <c r="L45" s="16"/>
      <c r="M45" s="16"/>
      <c r="N45" s="16"/>
      <c r="O45" s="16"/>
      <c r="P45" s="16"/>
      <c r="Q45" s="16"/>
      <c r="R45" s="16"/>
      <c r="S45" s="16"/>
      <c r="T45" s="16"/>
      <c r="U45" s="16"/>
      <c r="V45" s="16"/>
      <c r="W45" s="16"/>
      <c r="X45" s="16"/>
      <c r="Y45" s="16"/>
      <c r="Z45" s="16"/>
    </row>
    <row r="46" spans="1:26" x14ac:dyDescent="0.25">
      <c r="A46" s="23">
        <v>6</v>
      </c>
      <c r="B46" s="28"/>
      <c r="C46" s="25" t="s">
        <v>77</v>
      </c>
      <c r="D46" s="25" t="s">
        <v>228</v>
      </c>
      <c r="E46" s="25" t="s">
        <v>229</v>
      </c>
      <c r="F46" s="23" t="s">
        <v>223</v>
      </c>
      <c r="G46" s="26" t="s">
        <v>224</v>
      </c>
      <c r="H46" s="26" t="s">
        <v>225</v>
      </c>
      <c r="I46" s="26" t="s">
        <v>225</v>
      </c>
      <c r="J46" s="28"/>
      <c r="K46" s="28"/>
      <c r="L46" s="16"/>
      <c r="M46" s="16"/>
      <c r="N46" s="16"/>
      <c r="O46" s="16"/>
      <c r="P46" s="16"/>
      <c r="Q46" s="16"/>
      <c r="R46" s="16"/>
      <c r="S46" s="16"/>
      <c r="T46" s="16"/>
      <c r="U46" s="16"/>
      <c r="V46" s="16"/>
      <c r="W46" s="16"/>
      <c r="X46" s="16"/>
      <c r="Y46" s="16"/>
      <c r="Z46" s="16"/>
    </row>
    <row r="47" spans="1:26" x14ac:dyDescent="0.25">
      <c r="A47" s="16"/>
      <c r="B47" s="16"/>
      <c r="C47" s="16"/>
      <c r="D47" s="16"/>
      <c r="E47" s="16"/>
      <c r="F47" s="30"/>
      <c r="G47" s="16"/>
      <c r="H47" s="16"/>
      <c r="I47" s="16"/>
      <c r="J47" s="16"/>
      <c r="K47" s="16"/>
      <c r="L47" s="16"/>
      <c r="M47" s="16"/>
      <c r="N47" s="16"/>
      <c r="O47" s="16"/>
      <c r="P47" s="16"/>
      <c r="Q47" s="16"/>
      <c r="R47" s="16"/>
      <c r="S47" s="16"/>
      <c r="T47" s="16"/>
      <c r="U47" s="16"/>
      <c r="V47" s="16"/>
      <c r="W47" s="16"/>
      <c r="X47" s="16"/>
      <c r="Y47" s="16"/>
      <c r="Z47" s="16"/>
    </row>
    <row r="48" spans="1:26" x14ac:dyDescent="0.25">
      <c r="A48" s="16"/>
      <c r="B48" s="16"/>
      <c r="C48" s="16"/>
      <c r="D48" s="16"/>
      <c r="E48" s="16"/>
      <c r="F48" s="30"/>
      <c r="G48" s="16"/>
      <c r="H48" s="16"/>
      <c r="I48" s="16"/>
      <c r="J48" s="16"/>
      <c r="K48" s="16"/>
      <c r="L48" s="16"/>
      <c r="M48" s="16"/>
      <c r="N48" s="16"/>
      <c r="O48" s="16"/>
      <c r="P48" s="16"/>
      <c r="Q48" s="16"/>
      <c r="R48" s="16"/>
      <c r="S48" s="16"/>
      <c r="T48" s="16"/>
      <c r="U48" s="16"/>
      <c r="V48" s="16"/>
      <c r="W48" s="16"/>
      <c r="X48" s="16"/>
      <c r="Y48" s="16"/>
      <c r="Z48" s="16"/>
    </row>
    <row r="49" spans="1:26" x14ac:dyDescent="0.25">
      <c r="A49" s="16"/>
      <c r="B49" s="16"/>
      <c r="C49" s="16"/>
      <c r="D49" s="16"/>
      <c r="E49" s="16"/>
      <c r="F49" s="30"/>
      <c r="G49" s="16"/>
      <c r="H49" s="16"/>
      <c r="I49" s="16"/>
      <c r="J49" s="16"/>
      <c r="K49" s="16"/>
      <c r="L49" s="16"/>
      <c r="M49" s="16"/>
      <c r="N49" s="16"/>
      <c r="O49" s="16"/>
      <c r="P49" s="16"/>
      <c r="Q49" s="16"/>
      <c r="R49" s="16"/>
      <c r="S49" s="16"/>
      <c r="T49" s="16"/>
      <c r="U49" s="16"/>
      <c r="V49" s="16"/>
      <c r="W49" s="16"/>
      <c r="X49" s="16"/>
      <c r="Y49" s="16"/>
      <c r="Z49" s="16"/>
    </row>
    <row r="50" spans="1:26" x14ac:dyDescent="0.25">
      <c r="A50" s="16"/>
      <c r="B50" s="16"/>
      <c r="C50" s="16"/>
      <c r="D50" s="16"/>
      <c r="E50" s="16"/>
      <c r="F50" s="30"/>
      <c r="G50" s="16"/>
      <c r="H50" s="16"/>
      <c r="I50" s="16"/>
      <c r="J50" s="16"/>
      <c r="K50" s="16"/>
      <c r="L50" s="16"/>
      <c r="M50" s="16"/>
      <c r="N50" s="16"/>
      <c r="O50" s="16"/>
      <c r="P50" s="16"/>
      <c r="Q50" s="16"/>
      <c r="R50" s="16"/>
      <c r="S50" s="16"/>
      <c r="T50" s="16"/>
      <c r="U50" s="16"/>
      <c r="V50" s="16"/>
      <c r="W50" s="16"/>
      <c r="X50" s="16"/>
      <c r="Y50" s="16"/>
      <c r="Z50" s="16"/>
    </row>
    <row r="51" spans="1:26" x14ac:dyDescent="0.25">
      <c r="A51" s="16"/>
      <c r="B51" s="16"/>
      <c r="C51" s="16"/>
      <c r="D51" s="16"/>
      <c r="E51" s="16"/>
      <c r="F51" s="30"/>
      <c r="G51" s="16"/>
      <c r="H51" s="16"/>
      <c r="I51" s="16"/>
      <c r="J51" s="16"/>
      <c r="K51" s="16"/>
      <c r="L51" s="16"/>
      <c r="M51" s="16"/>
      <c r="N51" s="16"/>
      <c r="O51" s="16"/>
      <c r="P51" s="16"/>
      <c r="Q51" s="16"/>
      <c r="R51" s="16"/>
      <c r="S51" s="16"/>
      <c r="T51" s="16"/>
      <c r="U51" s="16"/>
      <c r="V51" s="16"/>
      <c r="W51" s="16"/>
      <c r="X51" s="16"/>
      <c r="Y51" s="16"/>
      <c r="Z51" s="16"/>
    </row>
    <row r="52" spans="1:26" x14ac:dyDescent="0.25">
      <c r="A52" s="16"/>
      <c r="B52" s="16"/>
      <c r="C52" s="16"/>
      <c r="D52" s="16"/>
      <c r="E52" s="16"/>
      <c r="F52" s="30"/>
      <c r="G52" s="16"/>
      <c r="H52" s="16"/>
      <c r="I52" s="16"/>
      <c r="J52" s="16"/>
      <c r="K52" s="16"/>
      <c r="L52" s="16"/>
      <c r="M52" s="16"/>
      <c r="N52" s="16"/>
      <c r="O52" s="16"/>
      <c r="P52" s="16"/>
      <c r="Q52" s="16"/>
      <c r="R52" s="16"/>
      <c r="S52" s="16"/>
      <c r="T52" s="16"/>
      <c r="U52" s="16"/>
      <c r="V52" s="16"/>
      <c r="W52" s="16"/>
      <c r="X52" s="16"/>
      <c r="Y52" s="16"/>
      <c r="Z52" s="16"/>
    </row>
    <row r="53" spans="1:26" x14ac:dyDescent="0.25">
      <c r="A53" s="16"/>
      <c r="B53" s="16"/>
      <c r="C53" s="16"/>
      <c r="D53" s="16"/>
      <c r="E53" s="16"/>
      <c r="F53" s="30"/>
      <c r="G53" s="16"/>
      <c r="H53" s="16"/>
      <c r="I53" s="16"/>
      <c r="J53" s="16"/>
      <c r="K53" s="16"/>
      <c r="L53" s="16"/>
      <c r="M53" s="16"/>
      <c r="N53" s="16"/>
      <c r="O53" s="16"/>
      <c r="P53" s="16"/>
      <c r="Q53" s="16"/>
      <c r="R53" s="16"/>
      <c r="S53" s="16"/>
      <c r="T53" s="16"/>
      <c r="U53" s="16"/>
      <c r="V53" s="16"/>
      <c r="W53" s="16"/>
      <c r="X53" s="16"/>
      <c r="Y53" s="16"/>
      <c r="Z53" s="16"/>
    </row>
    <row r="54" spans="1:26" x14ac:dyDescent="0.25">
      <c r="A54" s="16"/>
      <c r="B54" s="16"/>
      <c r="C54" s="16"/>
      <c r="D54" s="16"/>
      <c r="E54" s="16"/>
      <c r="F54" s="30"/>
      <c r="G54" s="16"/>
      <c r="H54" s="16"/>
      <c r="I54" s="16"/>
      <c r="J54" s="16"/>
      <c r="K54" s="16"/>
      <c r="L54" s="16"/>
      <c r="M54" s="16"/>
      <c r="N54" s="16"/>
      <c r="O54" s="16"/>
      <c r="P54" s="16"/>
      <c r="Q54" s="16"/>
      <c r="R54" s="16"/>
      <c r="S54" s="16"/>
      <c r="T54" s="16"/>
      <c r="U54" s="16"/>
      <c r="V54" s="16"/>
      <c r="W54" s="16"/>
      <c r="X54" s="16"/>
      <c r="Y54" s="16"/>
      <c r="Z54" s="16"/>
    </row>
    <row r="55" spans="1:26" x14ac:dyDescent="0.25">
      <c r="A55" s="16"/>
      <c r="B55" s="16"/>
      <c r="C55" s="16"/>
      <c r="D55" s="16"/>
      <c r="E55" s="16"/>
      <c r="F55" s="30"/>
      <c r="G55" s="16"/>
      <c r="H55" s="16"/>
      <c r="I55" s="16"/>
      <c r="J55" s="16"/>
      <c r="K55" s="16"/>
      <c r="L55" s="16"/>
      <c r="M55" s="16"/>
      <c r="N55" s="16"/>
      <c r="O55" s="16"/>
      <c r="P55" s="16"/>
      <c r="Q55" s="16"/>
      <c r="R55" s="16"/>
      <c r="S55" s="16"/>
      <c r="T55" s="16"/>
      <c r="U55" s="16"/>
      <c r="V55" s="16"/>
      <c r="W55" s="16"/>
      <c r="X55" s="16"/>
      <c r="Y55" s="16"/>
      <c r="Z55" s="16"/>
    </row>
    <row r="56" spans="1:26" x14ac:dyDescent="0.25">
      <c r="A56" s="16"/>
      <c r="B56" s="16"/>
      <c r="C56" s="16"/>
      <c r="D56" s="16"/>
      <c r="E56" s="16"/>
      <c r="F56" s="30"/>
      <c r="G56" s="16"/>
      <c r="H56" s="16"/>
      <c r="I56" s="16"/>
      <c r="J56" s="16"/>
      <c r="K56" s="16"/>
      <c r="L56" s="16"/>
      <c r="M56" s="16"/>
      <c r="N56" s="16"/>
      <c r="O56" s="16"/>
      <c r="P56" s="16"/>
      <c r="Q56" s="16"/>
      <c r="R56" s="16"/>
      <c r="S56" s="16"/>
      <c r="T56" s="16"/>
      <c r="U56" s="16"/>
      <c r="V56" s="16"/>
      <c r="W56" s="16"/>
      <c r="X56" s="16"/>
      <c r="Y56" s="16"/>
      <c r="Z56" s="16"/>
    </row>
    <row r="57" spans="1:26" x14ac:dyDescent="0.25">
      <c r="A57" s="16"/>
      <c r="B57" s="16"/>
      <c r="C57" s="16"/>
      <c r="D57" s="16"/>
      <c r="E57" s="16"/>
      <c r="F57" s="30"/>
      <c r="G57" s="16"/>
      <c r="H57" s="16"/>
      <c r="I57" s="16"/>
      <c r="J57" s="16"/>
      <c r="K57" s="16"/>
      <c r="L57" s="16"/>
      <c r="M57" s="16"/>
      <c r="N57" s="16"/>
      <c r="O57" s="16"/>
      <c r="P57" s="16"/>
      <c r="Q57" s="16"/>
      <c r="R57" s="16"/>
      <c r="S57" s="16"/>
      <c r="T57" s="16"/>
      <c r="U57" s="16"/>
      <c r="V57" s="16"/>
      <c r="W57" s="16"/>
      <c r="X57" s="16"/>
      <c r="Y57" s="16"/>
      <c r="Z57" s="16"/>
    </row>
    <row r="58" spans="1:26" x14ac:dyDescent="0.25">
      <c r="A58" s="16"/>
      <c r="B58" s="16"/>
      <c r="C58" s="16"/>
      <c r="D58" s="16"/>
      <c r="E58" s="16"/>
      <c r="F58" s="30"/>
      <c r="G58" s="16"/>
      <c r="H58" s="16"/>
      <c r="I58" s="16"/>
      <c r="J58" s="16"/>
      <c r="K58" s="16"/>
      <c r="L58" s="16"/>
      <c r="M58" s="16"/>
      <c r="N58" s="16"/>
      <c r="O58" s="16"/>
      <c r="P58" s="16"/>
      <c r="Q58" s="16"/>
      <c r="R58" s="16"/>
      <c r="S58" s="16"/>
      <c r="T58" s="16"/>
      <c r="U58" s="16"/>
      <c r="V58" s="16"/>
      <c r="W58" s="16"/>
      <c r="X58" s="16"/>
      <c r="Y58" s="16"/>
      <c r="Z58" s="16"/>
    </row>
    <row r="59" spans="1:26" x14ac:dyDescent="0.25">
      <c r="A59" s="16"/>
      <c r="B59" s="16"/>
      <c r="C59" s="16"/>
      <c r="D59" s="16"/>
      <c r="E59" s="16"/>
      <c r="F59" s="30"/>
      <c r="G59" s="16"/>
      <c r="H59" s="16"/>
      <c r="I59" s="16"/>
      <c r="J59" s="16"/>
      <c r="K59" s="16"/>
      <c r="L59" s="16"/>
      <c r="M59" s="16"/>
      <c r="N59" s="16"/>
      <c r="O59" s="16"/>
      <c r="P59" s="16"/>
      <c r="Q59" s="16"/>
      <c r="R59" s="16"/>
      <c r="S59" s="16"/>
      <c r="T59" s="16"/>
      <c r="U59" s="16"/>
      <c r="V59" s="16"/>
      <c r="W59" s="16"/>
      <c r="X59" s="16"/>
      <c r="Y59" s="16"/>
      <c r="Z59" s="16"/>
    </row>
    <row r="60" spans="1:26" x14ac:dyDescent="0.25">
      <c r="A60" s="16"/>
      <c r="B60" s="16"/>
      <c r="C60" s="16"/>
      <c r="D60" s="16"/>
      <c r="E60" s="16"/>
      <c r="F60" s="30"/>
      <c r="G60" s="16"/>
      <c r="H60" s="16"/>
      <c r="I60" s="16"/>
      <c r="J60" s="16"/>
      <c r="K60" s="16"/>
      <c r="L60" s="16"/>
      <c r="M60" s="16"/>
      <c r="N60" s="16"/>
      <c r="O60" s="16"/>
      <c r="P60" s="16"/>
      <c r="Q60" s="16"/>
      <c r="R60" s="16"/>
      <c r="S60" s="16"/>
      <c r="T60" s="16"/>
      <c r="U60" s="16"/>
      <c r="V60" s="16"/>
      <c r="W60" s="16"/>
      <c r="X60" s="16"/>
      <c r="Y60" s="16"/>
      <c r="Z60" s="16"/>
    </row>
    <row r="61" spans="1:26" x14ac:dyDescent="0.25">
      <c r="A61" s="16"/>
      <c r="B61" s="16"/>
      <c r="C61" s="16"/>
      <c r="D61" s="16"/>
      <c r="E61" s="16"/>
      <c r="F61" s="30"/>
      <c r="G61" s="16"/>
      <c r="H61" s="16"/>
      <c r="I61" s="16"/>
      <c r="J61" s="16"/>
      <c r="K61" s="16"/>
      <c r="L61" s="16"/>
      <c r="M61" s="16"/>
      <c r="N61" s="16"/>
      <c r="O61" s="16"/>
      <c r="P61" s="16"/>
      <c r="Q61" s="16"/>
      <c r="R61" s="16"/>
      <c r="S61" s="16"/>
      <c r="T61" s="16"/>
      <c r="U61" s="16"/>
      <c r="V61" s="16"/>
      <c r="W61" s="16"/>
      <c r="X61" s="16"/>
      <c r="Y61" s="16"/>
      <c r="Z61" s="16"/>
    </row>
    <row r="62" spans="1:26" x14ac:dyDescent="0.25">
      <c r="A62" s="16"/>
      <c r="B62" s="16"/>
      <c r="C62" s="16"/>
      <c r="D62" s="16"/>
      <c r="E62" s="16"/>
      <c r="F62" s="30"/>
      <c r="G62" s="16"/>
      <c r="H62" s="16"/>
      <c r="I62" s="16"/>
      <c r="J62" s="16"/>
      <c r="K62" s="16"/>
      <c r="L62" s="16"/>
      <c r="M62" s="16"/>
      <c r="N62" s="16"/>
      <c r="O62" s="16"/>
      <c r="P62" s="16"/>
      <c r="Q62" s="16"/>
      <c r="R62" s="16"/>
      <c r="S62" s="16"/>
      <c r="T62" s="16"/>
      <c r="U62" s="16"/>
      <c r="V62" s="16"/>
      <c r="W62" s="16"/>
      <c r="X62" s="16"/>
      <c r="Y62" s="16"/>
      <c r="Z62" s="16"/>
    </row>
    <row r="63" spans="1:26" x14ac:dyDescent="0.25">
      <c r="A63" s="16"/>
      <c r="B63" s="16"/>
      <c r="C63" s="16"/>
      <c r="D63" s="16"/>
      <c r="E63" s="16"/>
      <c r="F63" s="30"/>
      <c r="G63" s="16"/>
      <c r="H63" s="16"/>
      <c r="I63" s="16"/>
      <c r="J63" s="16"/>
      <c r="K63" s="16"/>
      <c r="L63" s="16"/>
      <c r="M63" s="16"/>
      <c r="N63" s="16"/>
      <c r="O63" s="16"/>
      <c r="P63" s="16"/>
      <c r="Q63" s="16"/>
      <c r="R63" s="16"/>
      <c r="S63" s="16"/>
      <c r="T63" s="16"/>
      <c r="U63" s="16"/>
      <c r="V63" s="16"/>
      <c r="W63" s="16"/>
      <c r="X63" s="16"/>
      <c r="Y63" s="16"/>
      <c r="Z63" s="16"/>
    </row>
    <row r="64" spans="1:26" x14ac:dyDescent="0.25">
      <c r="A64" s="16"/>
      <c r="B64" s="16"/>
      <c r="C64" s="16"/>
      <c r="D64" s="16"/>
      <c r="E64" s="16"/>
      <c r="F64" s="30"/>
      <c r="G64" s="16"/>
      <c r="H64" s="16"/>
      <c r="I64" s="16"/>
      <c r="J64" s="16"/>
      <c r="K64" s="16"/>
      <c r="L64" s="16"/>
      <c r="M64" s="16"/>
      <c r="N64" s="16"/>
      <c r="O64" s="16"/>
      <c r="P64" s="16"/>
      <c r="Q64" s="16"/>
      <c r="R64" s="16"/>
      <c r="S64" s="16"/>
      <c r="T64" s="16"/>
      <c r="U64" s="16"/>
      <c r="V64" s="16"/>
      <c r="W64" s="16"/>
      <c r="X64" s="16"/>
      <c r="Y64" s="16"/>
      <c r="Z64" s="16"/>
    </row>
    <row r="65" spans="1:26" x14ac:dyDescent="0.25">
      <c r="A65" s="16"/>
      <c r="B65" s="16"/>
      <c r="C65" s="16"/>
      <c r="D65" s="16"/>
      <c r="E65" s="16"/>
      <c r="F65" s="30"/>
      <c r="G65" s="16"/>
      <c r="H65" s="16"/>
      <c r="I65" s="16"/>
      <c r="J65" s="16"/>
      <c r="K65" s="16"/>
      <c r="L65" s="16"/>
      <c r="M65" s="16"/>
      <c r="N65" s="16"/>
      <c r="O65" s="16"/>
      <c r="P65" s="16"/>
      <c r="Q65" s="16"/>
      <c r="R65" s="16"/>
      <c r="S65" s="16"/>
      <c r="T65" s="16"/>
      <c r="U65" s="16"/>
      <c r="V65" s="16"/>
      <c r="W65" s="16"/>
      <c r="X65" s="16"/>
      <c r="Y65" s="16"/>
      <c r="Z65" s="16"/>
    </row>
    <row r="66" spans="1:26" x14ac:dyDescent="0.25">
      <c r="A66" s="16"/>
      <c r="B66" s="16"/>
      <c r="C66" s="16"/>
      <c r="D66" s="16"/>
      <c r="E66" s="16"/>
      <c r="F66" s="30"/>
      <c r="G66" s="16"/>
      <c r="H66" s="16"/>
      <c r="I66" s="16"/>
      <c r="J66" s="16"/>
      <c r="K66" s="16"/>
      <c r="L66" s="16"/>
      <c r="M66" s="16"/>
      <c r="N66" s="16"/>
      <c r="O66" s="16"/>
      <c r="P66" s="16"/>
      <c r="Q66" s="16"/>
      <c r="R66" s="16"/>
      <c r="S66" s="16"/>
      <c r="T66" s="16"/>
      <c r="U66" s="16"/>
      <c r="V66" s="16"/>
      <c r="W66" s="16"/>
      <c r="X66" s="16"/>
      <c r="Y66" s="16"/>
      <c r="Z66" s="16"/>
    </row>
    <row r="67" spans="1:26" x14ac:dyDescent="0.25">
      <c r="A67" s="16"/>
      <c r="B67" s="16"/>
      <c r="C67" s="16"/>
      <c r="D67" s="16"/>
      <c r="E67" s="16"/>
      <c r="F67" s="30"/>
      <c r="G67" s="16"/>
      <c r="H67" s="16"/>
      <c r="I67" s="16"/>
      <c r="J67" s="16"/>
      <c r="K67" s="16"/>
      <c r="L67" s="16"/>
      <c r="M67" s="16"/>
      <c r="N67" s="16"/>
      <c r="O67" s="16"/>
      <c r="P67" s="16"/>
      <c r="Q67" s="16"/>
      <c r="R67" s="16"/>
      <c r="S67" s="16"/>
      <c r="T67" s="16"/>
      <c r="U67" s="16"/>
      <c r="V67" s="16"/>
      <c r="W67" s="16"/>
      <c r="X67" s="16"/>
      <c r="Y67" s="16"/>
      <c r="Z67" s="16"/>
    </row>
    <row r="68" spans="1:26" x14ac:dyDescent="0.25">
      <c r="A68" s="16"/>
      <c r="B68" s="16"/>
      <c r="C68" s="16"/>
      <c r="D68" s="16"/>
      <c r="E68" s="16"/>
      <c r="F68" s="30"/>
      <c r="G68" s="16"/>
      <c r="H68" s="16"/>
      <c r="I68" s="16"/>
      <c r="J68" s="16"/>
      <c r="K68" s="16"/>
      <c r="L68" s="16"/>
      <c r="M68" s="16"/>
      <c r="N68" s="16"/>
      <c r="O68" s="16"/>
      <c r="P68" s="16"/>
      <c r="Q68" s="16"/>
      <c r="R68" s="16"/>
      <c r="S68" s="16"/>
      <c r="T68" s="16"/>
      <c r="U68" s="16"/>
      <c r="V68" s="16"/>
      <c r="W68" s="16"/>
      <c r="X68" s="16"/>
      <c r="Y68" s="16"/>
      <c r="Z68" s="16"/>
    </row>
    <row r="69" spans="1:26" x14ac:dyDescent="0.25">
      <c r="A69" s="16"/>
      <c r="B69" s="16"/>
      <c r="C69" s="16"/>
      <c r="D69" s="16"/>
      <c r="E69" s="16"/>
      <c r="F69" s="30"/>
      <c r="G69" s="16"/>
      <c r="H69" s="16"/>
      <c r="I69" s="16"/>
      <c r="J69" s="16"/>
      <c r="K69" s="16"/>
      <c r="L69" s="16"/>
      <c r="M69" s="16"/>
      <c r="N69" s="16"/>
      <c r="O69" s="16"/>
      <c r="P69" s="16"/>
      <c r="Q69" s="16"/>
      <c r="R69" s="16"/>
      <c r="S69" s="16"/>
      <c r="T69" s="16"/>
      <c r="U69" s="16"/>
      <c r="V69" s="16"/>
      <c r="W69" s="16"/>
      <c r="X69" s="16"/>
      <c r="Y69" s="16"/>
      <c r="Z69" s="16"/>
    </row>
    <row r="70" spans="1:26" x14ac:dyDescent="0.25">
      <c r="A70" s="16"/>
      <c r="B70" s="16"/>
      <c r="C70" s="16"/>
      <c r="D70" s="16"/>
      <c r="E70" s="16"/>
      <c r="F70" s="30"/>
      <c r="G70" s="16"/>
      <c r="H70" s="16"/>
      <c r="I70" s="16"/>
      <c r="J70" s="16"/>
      <c r="K70" s="16"/>
      <c r="L70" s="16"/>
      <c r="M70" s="16"/>
      <c r="N70" s="16"/>
      <c r="O70" s="16"/>
      <c r="P70" s="16"/>
      <c r="Q70" s="16"/>
      <c r="R70" s="16"/>
      <c r="S70" s="16"/>
      <c r="T70" s="16"/>
      <c r="U70" s="16"/>
      <c r="V70" s="16"/>
      <c r="W70" s="16"/>
      <c r="X70" s="16"/>
      <c r="Y70" s="16"/>
      <c r="Z70" s="16"/>
    </row>
    <row r="71" spans="1:26" x14ac:dyDescent="0.25">
      <c r="A71" s="16"/>
      <c r="B71" s="16"/>
      <c r="C71" s="16"/>
      <c r="D71" s="16"/>
      <c r="E71" s="16"/>
      <c r="F71" s="30"/>
      <c r="G71" s="16"/>
      <c r="H71" s="16"/>
      <c r="I71" s="16"/>
      <c r="J71" s="16"/>
      <c r="K71" s="16"/>
      <c r="L71" s="16"/>
      <c r="M71" s="16"/>
      <c r="N71" s="16"/>
      <c r="O71" s="16"/>
      <c r="P71" s="16"/>
      <c r="Q71" s="16"/>
      <c r="R71" s="16"/>
      <c r="S71" s="16"/>
      <c r="T71" s="16"/>
      <c r="U71" s="16"/>
      <c r="V71" s="16"/>
      <c r="W71" s="16"/>
      <c r="X71" s="16"/>
      <c r="Y71" s="16"/>
      <c r="Z71" s="16"/>
    </row>
    <row r="72" spans="1:26" x14ac:dyDescent="0.25">
      <c r="A72" s="16"/>
      <c r="B72" s="16"/>
      <c r="C72" s="16"/>
      <c r="D72" s="16"/>
      <c r="E72" s="16"/>
      <c r="F72" s="30"/>
      <c r="G72" s="16"/>
      <c r="H72" s="16"/>
      <c r="I72" s="16"/>
      <c r="J72" s="16"/>
      <c r="K72" s="16"/>
      <c r="L72" s="16"/>
      <c r="M72" s="16"/>
      <c r="N72" s="16"/>
      <c r="O72" s="16"/>
      <c r="P72" s="16"/>
      <c r="Q72" s="16"/>
      <c r="R72" s="16"/>
      <c r="S72" s="16"/>
      <c r="T72" s="16"/>
      <c r="U72" s="16"/>
      <c r="V72" s="16"/>
      <c r="W72" s="16"/>
      <c r="X72" s="16"/>
      <c r="Y72" s="16"/>
      <c r="Z72" s="16"/>
    </row>
    <row r="73" spans="1:26" x14ac:dyDescent="0.25">
      <c r="A73" s="16"/>
      <c r="B73" s="16"/>
      <c r="C73" s="16"/>
      <c r="D73" s="16"/>
      <c r="E73" s="16"/>
      <c r="F73" s="30"/>
      <c r="G73" s="16"/>
      <c r="H73" s="16"/>
      <c r="I73" s="16"/>
      <c r="J73" s="16"/>
      <c r="K73" s="16"/>
      <c r="L73" s="16"/>
      <c r="M73" s="16"/>
      <c r="N73" s="16"/>
      <c r="O73" s="16"/>
      <c r="P73" s="16"/>
      <c r="Q73" s="16"/>
      <c r="R73" s="16"/>
      <c r="S73" s="16"/>
      <c r="T73" s="16"/>
      <c r="U73" s="16"/>
      <c r="V73" s="16"/>
      <c r="W73" s="16"/>
      <c r="X73" s="16"/>
      <c r="Y73" s="16"/>
      <c r="Z73" s="16"/>
    </row>
    <row r="74" spans="1:26" x14ac:dyDescent="0.25">
      <c r="A74" s="16"/>
      <c r="B74" s="16"/>
      <c r="C74" s="16"/>
      <c r="D74" s="16"/>
      <c r="E74" s="16"/>
      <c r="F74" s="30"/>
      <c r="G74" s="16"/>
      <c r="H74" s="16"/>
      <c r="I74" s="16"/>
      <c r="J74" s="16"/>
      <c r="K74" s="16"/>
      <c r="L74" s="16"/>
      <c r="M74" s="16"/>
      <c r="N74" s="16"/>
      <c r="O74" s="16"/>
      <c r="P74" s="16"/>
      <c r="Q74" s="16"/>
      <c r="R74" s="16"/>
      <c r="S74" s="16"/>
      <c r="T74" s="16"/>
      <c r="U74" s="16"/>
      <c r="V74" s="16"/>
      <c r="W74" s="16"/>
      <c r="X74" s="16"/>
      <c r="Y74" s="16"/>
      <c r="Z74" s="16"/>
    </row>
    <row r="75" spans="1:26" x14ac:dyDescent="0.25">
      <c r="A75" s="16"/>
      <c r="B75" s="16"/>
      <c r="C75" s="16"/>
      <c r="D75" s="16"/>
      <c r="E75" s="16"/>
      <c r="F75" s="30"/>
      <c r="G75" s="16"/>
      <c r="H75" s="16"/>
      <c r="I75" s="16"/>
      <c r="J75" s="16"/>
      <c r="K75" s="16"/>
      <c r="L75" s="16"/>
      <c r="M75" s="16"/>
      <c r="N75" s="16"/>
      <c r="O75" s="16"/>
      <c r="P75" s="16"/>
      <c r="Q75" s="16"/>
      <c r="R75" s="16"/>
      <c r="S75" s="16"/>
      <c r="T75" s="16"/>
      <c r="U75" s="16"/>
      <c r="V75" s="16"/>
      <c r="W75" s="16"/>
      <c r="X75" s="16"/>
      <c r="Y75" s="16"/>
      <c r="Z75" s="16"/>
    </row>
    <row r="76" spans="1:26" x14ac:dyDescent="0.25">
      <c r="A76" s="16"/>
      <c r="B76" s="16"/>
      <c r="C76" s="16"/>
      <c r="D76" s="16"/>
      <c r="E76" s="16"/>
      <c r="F76" s="30"/>
      <c r="G76" s="16"/>
      <c r="H76" s="16"/>
      <c r="I76" s="16"/>
      <c r="J76" s="16"/>
      <c r="K76" s="16"/>
      <c r="L76" s="16"/>
      <c r="M76" s="16"/>
      <c r="N76" s="16"/>
      <c r="O76" s="16"/>
      <c r="P76" s="16"/>
      <c r="Q76" s="16"/>
      <c r="R76" s="16"/>
      <c r="S76" s="16"/>
      <c r="T76" s="16"/>
      <c r="U76" s="16"/>
      <c r="V76" s="16"/>
      <c r="W76" s="16"/>
      <c r="X76" s="16"/>
      <c r="Y76" s="16"/>
      <c r="Z76" s="16"/>
    </row>
    <row r="77" spans="1:26" x14ac:dyDescent="0.25">
      <c r="A77" s="16"/>
      <c r="B77" s="16"/>
      <c r="C77" s="16"/>
      <c r="D77" s="16"/>
      <c r="E77" s="16"/>
      <c r="F77" s="30"/>
      <c r="G77" s="16"/>
      <c r="H77" s="16"/>
      <c r="I77" s="16"/>
      <c r="J77" s="16"/>
      <c r="K77" s="16"/>
      <c r="L77" s="16"/>
      <c r="M77" s="16"/>
      <c r="N77" s="16"/>
      <c r="O77" s="16"/>
      <c r="P77" s="16"/>
      <c r="Q77" s="16"/>
      <c r="R77" s="16"/>
      <c r="S77" s="16"/>
      <c r="T77" s="16"/>
      <c r="U77" s="16"/>
      <c r="V77" s="16"/>
      <c r="W77" s="16"/>
      <c r="X77" s="16"/>
      <c r="Y77" s="16"/>
      <c r="Z77" s="16"/>
    </row>
    <row r="78" spans="1:26" x14ac:dyDescent="0.25">
      <c r="A78" s="16"/>
      <c r="B78" s="16"/>
      <c r="C78" s="16"/>
      <c r="D78" s="16"/>
      <c r="E78" s="16"/>
      <c r="F78" s="30"/>
      <c r="G78" s="16"/>
      <c r="H78" s="16"/>
      <c r="I78" s="16"/>
      <c r="J78" s="16"/>
      <c r="K78" s="16"/>
      <c r="L78" s="16"/>
      <c r="M78" s="16"/>
      <c r="N78" s="16"/>
      <c r="O78" s="16"/>
      <c r="P78" s="16"/>
      <c r="Q78" s="16"/>
      <c r="R78" s="16"/>
      <c r="S78" s="16"/>
      <c r="T78" s="16"/>
      <c r="U78" s="16"/>
      <c r="V78" s="16"/>
      <c r="W78" s="16"/>
      <c r="X78" s="16"/>
      <c r="Y78" s="16"/>
      <c r="Z78" s="16"/>
    </row>
    <row r="79" spans="1:26" x14ac:dyDescent="0.25">
      <c r="A79" s="16"/>
      <c r="B79" s="16"/>
      <c r="C79" s="16"/>
      <c r="D79" s="16"/>
      <c r="E79" s="16"/>
      <c r="F79" s="30"/>
      <c r="G79" s="16"/>
      <c r="H79" s="16"/>
      <c r="I79" s="16"/>
      <c r="J79" s="16"/>
      <c r="K79" s="16"/>
      <c r="L79" s="16"/>
      <c r="M79" s="16"/>
      <c r="N79" s="16"/>
      <c r="O79" s="16"/>
      <c r="P79" s="16"/>
      <c r="Q79" s="16"/>
      <c r="R79" s="16"/>
      <c r="S79" s="16"/>
      <c r="T79" s="16"/>
      <c r="U79" s="16"/>
      <c r="V79" s="16"/>
      <c r="W79" s="16"/>
      <c r="X79" s="16"/>
      <c r="Y79" s="16"/>
      <c r="Z79" s="16"/>
    </row>
    <row r="80" spans="1:26" x14ac:dyDescent="0.25">
      <c r="A80" s="16"/>
      <c r="B80" s="16"/>
      <c r="C80" s="16"/>
      <c r="D80" s="16"/>
      <c r="E80" s="16"/>
      <c r="F80" s="30"/>
      <c r="G80" s="16"/>
      <c r="H80" s="16"/>
      <c r="I80" s="16"/>
      <c r="J80" s="16"/>
      <c r="K80" s="16"/>
      <c r="L80" s="16"/>
      <c r="M80" s="16"/>
      <c r="N80" s="16"/>
      <c r="O80" s="16"/>
      <c r="P80" s="16"/>
      <c r="Q80" s="16"/>
      <c r="R80" s="16"/>
      <c r="S80" s="16"/>
      <c r="T80" s="16"/>
      <c r="U80" s="16"/>
      <c r="V80" s="16"/>
      <c r="W80" s="16"/>
      <c r="X80" s="16"/>
      <c r="Y80" s="16"/>
      <c r="Z80" s="16"/>
    </row>
    <row r="81" spans="1:26" x14ac:dyDescent="0.25">
      <c r="A81" s="16"/>
      <c r="B81" s="16"/>
      <c r="C81" s="16"/>
      <c r="D81" s="16"/>
      <c r="E81" s="16"/>
      <c r="F81" s="30"/>
      <c r="G81" s="16"/>
      <c r="H81" s="16"/>
      <c r="I81" s="16"/>
      <c r="J81" s="16"/>
      <c r="K81" s="16"/>
      <c r="L81" s="16"/>
      <c r="M81" s="16"/>
      <c r="N81" s="16"/>
      <c r="O81" s="16"/>
      <c r="P81" s="16"/>
      <c r="Q81" s="16"/>
      <c r="R81" s="16"/>
      <c r="S81" s="16"/>
      <c r="T81" s="16"/>
      <c r="U81" s="16"/>
      <c r="V81" s="16"/>
      <c r="W81" s="16"/>
      <c r="X81" s="16"/>
      <c r="Y81" s="16"/>
      <c r="Z81" s="16"/>
    </row>
    <row r="82" spans="1:26" x14ac:dyDescent="0.25">
      <c r="A82" s="16"/>
      <c r="B82" s="16"/>
      <c r="C82" s="16"/>
      <c r="D82" s="16"/>
      <c r="E82" s="16"/>
      <c r="F82" s="30"/>
      <c r="G82" s="16"/>
      <c r="H82" s="16"/>
      <c r="I82" s="16"/>
      <c r="J82" s="16"/>
      <c r="K82" s="16"/>
      <c r="L82" s="16"/>
      <c r="M82" s="16"/>
      <c r="N82" s="16"/>
      <c r="O82" s="16"/>
      <c r="P82" s="16"/>
      <c r="Q82" s="16"/>
      <c r="R82" s="16"/>
      <c r="S82" s="16"/>
      <c r="T82" s="16"/>
      <c r="U82" s="16"/>
      <c r="V82" s="16"/>
      <c r="W82" s="16"/>
      <c r="X82" s="16"/>
      <c r="Y82" s="16"/>
      <c r="Z82" s="16"/>
    </row>
    <row r="83" spans="1:26" x14ac:dyDescent="0.25">
      <c r="A83" s="16"/>
      <c r="B83" s="16"/>
      <c r="C83" s="16"/>
      <c r="D83" s="16"/>
      <c r="E83" s="16"/>
      <c r="F83" s="30"/>
      <c r="G83" s="16"/>
      <c r="H83" s="16"/>
      <c r="I83" s="16"/>
      <c r="J83" s="16"/>
      <c r="K83" s="16"/>
      <c r="L83" s="16"/>
      <c r="M83" s="16"/>
      <c r="N83" s="16"/>
      <c r="O83" s="16"/>
      <c r="P83" s="16"/>
      <c r="Q83" s="16"/>
      <c r="R83" s="16"/>
      <c r="S83" s="16"/>
      <c r="T83" s="16"/>
      <c r="U83" s="16"/>
      <c r="V83" s="16"/>
      <c r="W83" s="16"/>
      <c r="X83" s="16"/>
      <c r="Y83" s="16"/>
      <c r="Z83" s="16"/>
    </row>
    <row r="84" spans="1:26" x14ac:dyDescent="0.25">
      <c r="A84" s="16"/>
      <c r="B84" s="16"/>
      <c r="C84" s="16"/>
      <c r="D84" s="16"/>
      <c r="E84" s="16"/>
      <c r="F84" s="30"/>
      <c r="G84" s="16"/>
      <c r="H84" s="16"/>
      <c r="I84" s="16"/>
      <c r="J84" s="16"/>
      <c r="K84" s="16"/>
      <c r="L84" s="16"/>
      <c r="M84" s="16"/>
      <c r="N84" s="16"/>
      <c r="O84" s="16"/>
      <c r="P84" s="16"/>
      <c r="Q84" s="16"/>
      <c r="R84" s="16"/>
      <c r="S84" s="16"/>
      <c r="T84" s="16"/>
      <c r="U84" s="16"/>
      <c r="V84" s="16"/>
      <c r="W84" s="16"/>
      <c r="X84" s="16"/>
      <c r="Y84" s="16"/>
      <c r="Z84" s="16"/>
    </row>
    <row r="85" spans="1:26" x14ac:dyDescent="0.25">
      <c r="A85" s="16"/>
      <c r="B85" s="16"/>
      <c r="C85" s="16"/>
      <c r="D85" s="16"/>
      <c r="E85" s="16"/>
      <c r="F85" s="30"/>
      <c r="G85" s="16"/>
      <c r="H85" s="16"/>
      <c r="I85" s="16"/>
      <c r="J85" s="16"/>
      <c r="K85" s="16"/>
      <c r="L85" s="16"/>
      <c r="M85" s="16"/>
      <c r="N85" s="16"/>
      <c r="O85" s="16"/>
      <c r="P85" s="16"/>
      <c r="Q85" s="16"/>
      <c r="R85" s="16"/>
      <c r="S85" s="16"/>
      <c r="T85" s="16"/>
      <c r="U85" s="16"/>
      <c r="V85" s="16"/>
      <c r="W85" s="16"/>
      <c r="X85" s="16"/>
      <c r="Y85" s="16"/>
      <c r="Z85" s="16"/>
    </row>
    <row r="86" spans="1:26" x14ac:dyDescent="0.25">
      <c r="A86" s="16"/>
      <c r="B86" s="16"/>
      <c r="C86" s="16"/>
      <c r="D86" s="16"/>
      <c r="E86" s="16"/>
      <c r="F86" s="30"/>
      <c r="G86" s="16"/>
      <c r="H86" s="16"/>
      <c r="I86" s="16"/>
      <c r="J86" s="16"/>
      <c r="K86" s="16"/>
      <c r="L86" s="16"/>
      <c r="M86" s="16"/>
      <c r="N86" s="16"/>
      <c r="O86" s="16"/>
      <c r="P86" s="16"/>
      <c r="Q86" s="16"/>
      <c r="R86" s="16"/>
      <c r="S86" s="16"/>
      <c r="T86" s="16"/>
      <c r="U86" s="16"/>
      <c r="V86" s="16"/>
      <c r="W86" s="16"/>
      <c r="X86" s="16"/>
      <c r="Y86" s="16"/>
      <c r="Z86" s="16"/>
    </row>
    <row r="87" spans="1:26" x14ac:dyDescent="0.25">
      <c r="A87" s="16"/>
      <c r="B87" s="16"/>
      <c r="C87" s="16"/>
      <c r="D87" s="16"/>
      <c r="E87" s="16"/>
      <c r="F87" s="30"/>
      <c r="G87" s="16"/>
      <c r="H87" s="16"/>
      <c r="I87" s="16"/>
      <c r="J87" s="16"/>
      <c r="K87" s="16"/>
      <c r="L87" s="16"/>
      <c r="M87" s="16"/>
      <c r="N87" s="16"/>
      <c r="O87" s="16"/>
      <c r="P87" s="16"/>
      <c r="Q87" s="16"/>
      <c r="R87" s="16"/>
      <c r="S87" s="16"/>
      <c r="T87" s="16"/>
      <c r="U87" s="16"/>
      <c r="V87" s="16"/>
      <c r="W87" s="16"/>
      <c r="X87" s="16"/>
      <c r="Y87" s="16"/>
      <c r="Z87" s="16"/>
    </row>
    <row r="88" spans="1:26" x14ac:dyDescent="0.25">
      <c r="A88" s="16"/>
      <c r="B88" s="16"/>
      <c r="C88" s="16"/>
      <c r="D88" s="16"/>
      <c r="E88" s="16"/>
      <c r="F88" s="30"/>
      <c r="G88" s="16"/>
      <c r="H88" s="16"/>
      <c r="I88" s="16"/>
      <c r="J88" s="16"/>
      <c r="K88" s="16"/>
      <c r="L88" s="16"/>
      <c r="M88" s="16"/>
      <c r="N88" s="16"/>
      <c r="O88" s="16"/>
      <c r="P88" s="16"/>
      <c r="Q88" s="16"/>
      <c r="R88" s="16"/>
      <c r="S88" s="16"/>
      <c r="T88" s="16"/>
      <c r="U88" s="16"/>
      <c r="V88" s="16"/>
      <c r="W88" s="16"/>
      <c r="X88" s="16"/>
      <c r="Y88" s="16"/>
      <c r="Z88" s="16"/>
    </row>
    <row r="89" spans="1:26" x14ac:dyDescent="0.25">
      <c r="A89" s="16"/>
      <c r="B89" s="16"/>
      <c r="C89" s="16"/>
      <c r="D89" s="16"/>
      <c r="E89" s="16"/>
      <c r="F89" s="30"/>
      <c r="G89" s="16"/>
      <c r="H89" s="16"/>
      <c r="I89" s="16"/>
      <c r="J89" s="16"/>
      <c r="K89" s="16"/>
      <c r="L89" s="16"/>
      <c r="M89" s="16"/>
      <c r="N89" s="16"/>
      <c r="O89" s="16"/>
      <c r="P89" s="16"/>
      <c r="Q89" s="16"/>
      <c r="R89" s="16"/>
      <c r="S89" s="16"/>
      <c r="T89" s="16"/>
      <c r="U89" s="16"/>
      <c r="V89" s="16"/>
      <c r="W89" s="16"/>
      <c r="X89" s="16"/>
      <c r="Y89" s="16"/>
      <c r="Z89" s="16"/>
    </row>
    <row r="90" spans="1:26" x14ac:dyDescent="0.25">
      <c r="A90" s="16"/>
      <c r="B90" s="16"/>
      <c r="C90" s="16"/>
      <c r="D90" s="16"/>
      <c r="E90" s="16"/>
      <c r="F90" s="30"/>
      <c r="G90" s="16"/>
      <c r="H90" s="16"/>
      <c r="I90" s="16"/>
      <c r="J90" s="16"/>
      <c r="K90" s="16"/>
      <c r="L90" s="16"/>
      <c r="M90" s="16"/>
      <c r="N90" s="16"/>
      <c r="O90" s="16"/>
      <c r="P90" s="16"/>
      <c r="Q90" s="16"/>
      <c r="R90" s="16"/>
      <c r="S90" s="16"/>
      <c r="T90" s="16"/>
      <c r="U90" s="16"/>
      <c r="V90" s="16"/>
      <c r="W90" s="16"/>
      <c r="X90" s="16"/>
      <c r="Y90" s="16"/>
      <c r="Z90" s="16"/>
    </row>
    <row r="91" spans="1:26" x14ac:dyDescent="0.25">
      <c r="A91" s="16"/>
      <c r="B91" s="16"/>
      <c r="C91" s="16"/>
      <c r="D91" s="16"/>
      <c r="E91" s="16"/>
      <c r="F91" s="30"/>
      <c r="G91" s="16"/>
      <c r="H91" s="16"/>
      <c r="I91" s="16"/>
      <c r="J91" s="16"/>
      <c r="K91" s="16"/>
      <c r="L91" s="16"/>
      <c r="M91" s="16"/>
      <c r="N91" s="16"/>
      <c r="O91" s="16"/>
      <c r="P91" s="16"/>
      <c r="Q91" s="16"/>
      <c r="R91" s="16"/>
      <c r="S91" s="16"/>
      <c r="T91" s="16"/>
      <c r="U91" s="16"/>
      <c r="V91" s="16"/>
      <c r="W91" s="16"/>
      <c r="X91" s="16"/>
      <c r="Y91" s="16"/>
      <c r="Z91" s="16"/>
    </row>
    <row r="92" spans="1:26" x14ac:dyDescent="0.25">
      <c r="A92" s="16"/>
      <c r="B92" s="16"/>
      <c r="C92" s="16"/>
      <c r="D92" s="16"/>
      <c r="E92" s="16"/>
      <c r="F92" s="30"/>
      <c r="G92" s="16"/>
      <c r="H92" s="16"/>
      <c r="I92" s="16"/>
      <c r="J92" s="16"/>
      <c r="K92" s="16"/>
      <c r="L92" s="16"/>
      <c r="M92" s="16"/>
      <c r="N92" s="16"/>
      <c r="O92" s="16"/>
      <c r="P92" s="16"/>
      <c r="Q92" s="16"/>
      <c r="R92" s="16"/>
      <c r="S92" s="16"/>
      <c r="T92" s="16"/>
      <c r="U92" s="16"/>
      <c r="V92" s="16"/>
      <c r="W92" s="16"/>
      <c r="X92" s="16"/>
      <c r="Y92" s="16"/>
      <c r="Z92" s="16"/>
    </row>
    <row r="93" spans="1:26" x14ac:dyDescent="0.25">
      <c r="A93" s="16"/>
      <c r="B93" s="16"/>
      <c r="C93" s="16"/>
      <c r="D93" s="16"/>
      <c r="E93" s="16"/>
      <c r="F93" s="30"/>
      <c r="G93" s="16"/>
      <c r="H93" s="16"/>
      <c r="I93" s="16"/>
      <c r="J93" s="16"/>
      <c r="K93" s="16"/>
      <c r="L93" s="16"/>
      <c r="M93" s="16"/>
      <c r="N93" s="16"/>
      <c r="O93" s="16"/>
      <c r="P93" s="16"/>
      <c r="Q93" s="16"/>
      <c r="R93" s="16"/>
      <c r="S93" s="16"/>
      <c r="T93" s="16"/>
      <c r="U93" s="16"/>
      <c r="V93" s="16"/>
      <c r="W93" s="16"/>
      <c r="X93" s="16"/>
      <c r="Y93" s="16"/>
      <c r="Z93" s="16"/>
    </row>
    <row r="94" spans="1:26" x14ac:dyDescent="0.25">
      <c r="A94" s="16"/>
      <c r="B94" s="16"/>
      <c r="C94" s="16"/>
      <c r="D94" s="16"/>
      <c r="E94" s="16"/>
      <c r="F94" s="30"/>
      <c r="G94" s="16"/>
      <c r="H94" s="16"/>
      <c r="I94" s="16"/>
      <c r="J94" s="16"/>
      <c r="K94" s="16"/>
      <c r="L94" s="16"/>
      <c r="M94" s="16"/>
      <c r="N94" s="16"/>
      <c r="O94" s="16"/>
      <c r="P94" s="16"/>
      <c r="Q94" s="16"/>
      <c r="R94" s="16"/>
      <c r="S94" s="16"/>
      <c r="T94" s="16"/>
      <c r="U94" s="16"/>
      <c r="V94" s="16"/>
      <c r="W94" s="16"/>
      <c r="X94" s="16"/>
      <c r="Y94" s="16"/>
      <c r="Z94" s="16"/>
    </row>
    <row r="95" spans="1:26" x14ac:dyDescent="0.25">
      <c r="A95" s="16"/>
      <c r="B95" s="16"/>
      <c r="C95" s="16"/>
      <c r="D95" s="16"/>
      <c r="E95" s="16"/>
      <c r="F95" s="30"/>
      <c r="G95" s="16"/>
      <c r="H95" s="16"/>
      <c r="I95" s="16"/>
      <c r="J95" s="16"/>
      <c r="K95" s="16"/>
      <c r="L95" s="16"/>
      <c r="M95" s="16"/>
      <c r="N95" s="16"/>
      <c r="O95" s="16"/>
      <c r="P95" s="16"/>
      <c r="Q95" s="16"/>
      <c r="R95" s="16"/>
      <c r="S95" s="16"/>
      <c r="T95" s="16"/>
      <c r="U95" s="16"/>
      <c r="V95" s="16"/>
      <c r="W95" s="16"/>
      <c r="X95" s="16"/>
      <c r="Y95" s="16"/>
      <c r="Z95" s="16"/>
    </row>
    <row r="96" spans="1:26" x14ac:dyDescent="0.25">
      <c r="A96" s="16"/>
      <c r="B96" s="16"/>
      <c r="C96" s="16"/>
      <c r="D96" s="16"/>
      <c r="E96" s="16"/>
      <c r="F96" s="30"/>
      <c r="G96" s="16"/>
      <c r="H96" s="16"/>
      <c r="I96" s="16"/>
      <c r="J96" s="16"/>
      <c r="K96" s="16"/>
      <c r="L96" s="16"/>
      <c r="M96" s="16"/>
      <c r="N96" s="16"/>
      <c r="O96" s="16"/>
      <c r="P96" s="16"/>
      <c r="Q96" s="16"/>
      <c r="R96" s="16"/>
      <c r="S96" s="16"/>
      <c r="T96" s="16"/>
      <c r="U96" s="16"/>
      <c r="V96" s="16"/>
      <c r="W96" s="16"/>
      <c r="X96" s="16"/>
      <c r="Y96" s="16"/>
      <c r="Z96" s="16"/>
    </row>
    <row r="97" spans="1:26" x14ac:dyDescent="0.25">
      <c r="A97" s="16"/>
      <c r="B97" s="16"/>
      <c r="C97" s="16"/>
      <c r="D97" s="16"/>
      <c r="E97" s="16"/>
      <c r="F97" s="30"/>
      <c r="G97" s="16"/>
      <c r="H97" s="16"/>
      <c r="I97" s="16"/>
      <c r="J97" s="16"/>
      <c r="K97" s="16"/>
      <c r="L97" s="16"/>
      <c r="M97" s="16"/>
      <c r="N97" s="16"/>
      <c r="O97" s="16"/>
      <c r="P97" s="16"/>
      <c r="Q97" s="16"/>
      <c r="R97" s="16"/>
      <c r="S97" s="16"/>
      <c r="T97" s="16"/>
      <c r="U97" s="16"/>
      <c r="V97" s="16"/>
      <c r="W97" s="16"/>
      <c r="X97" s="16"/>
      <c r="Y97" s="16"/>
      <c r="Z97" s="16"/>
    </row>
    <row r="98" spans="1:26" x14ac:dyDescent="0.25">
      <c r="A98" s="16"/>
      <c r="B98" s="16"/>
      <c r="C98" s="16"/>
      <c r="D98" s="16"/>
      <c r="E98" s="16"/>
      <c r="F98" s="30"/>
      <c r="G98" s="16"/>
      <c r="H98" s="16"/>
      <c r="I98" s="16"/>
      <c r="J98" s="16"/>
      <c r="K98" s="16"/>
      <c r="L98" s="16"/>
      <c r="M98" s="16"/>
      <c r="N98" s="16"/>
      <c r="O98" s="16"/>
      <c r="P98" s="16"/>
      <c r="Q98" s="16"/>
      <c r="R98" s="16"/>
      <c r="S98" s="16"/>
      <c r="T98" s="16"/>
      <c r="U98" s="16"/>
      <c r="V98" s="16"/>
      <c r="W98" s="16"/>
      <c r="X98" s="16"/>
      <c r="Y98" s="16"/>
      <c r="Z98" s="16"/>
    </row>
    <row r="99" spans="1:26" x14ac:dyDescent="0.25">
      <c r="A99" s="16"/>
      <c r="B99" s="16"/>
      <c r="C99" s="16"/>
      <c r="D99" s="16"/>
      <c r="E99" s="16"/>
      <c r="F99" s="30"/>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16"/>
      <c r="C100" s="16"/>
      <c r="D100" s="16"/>
      <c r="E100" s="16"/>
      <c r="F100" s="30"/>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16"/>
      <c r="C101" s="16"/>
      <c r="D101" s="16"/>
      <c r="E101" s="16"/>
      <c r="F101" s="30"/>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16"/>
      <c r="C102" s="16"/>
      <c r="D102" s="16"/>
      <c r="E102" s="16"/>
      <c r="F102" s="30"/>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16"/>
      <c r="C103" s="16"/>
      <c r="D103" s="16"/>
      <c r="E103" s="16"/>
      <c r="F103" s="30"/>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16"/>
      <c r="C104" s="16"/>
      <c r="D104" s="16"/>
      <c r="E104" s="16"/>
      <c r="F104" s="30"/>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16"/>
      <c r="C105" s="16"/>
      <c r="D105" s="16"/>
      <c r="E105" s="16"/>
      <c r="F105" s="30"/>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16"/>
      <c r="C106" s="16"/>
      <c r="D106" s="16"/>
      <c r="E106" s="16"/>
      <c r="F106" s="30"/>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16"/>
      <c r="C107" s="16"/>
      <c r="D107" s="16"/>
      <c r="E107" s="16"/>
      <c r="F107" s="30"/>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16"/>
      <c r="C108" s="16"/>
      <c r="D108" s="16"/>
      <c r="E108" s="16"/>
      <c r="F108" s="30"/>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16"/>
      <c r="C109" s="16"/>
      <c r="D109" s="16"/>
      <c r="E109" s="16"/>
      <c r="F109" s="30"/>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16"/>
      <c r="C110" s="16"/>
      <c r="D110" s="16"/>
      <c r="E110" s="16"/>
      <c r="F110" s="30"/>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16"/>
      <c r="C111" s="16"/>
      <c r="D111" s="16"/>
      <c r="E111" s="16"/>
      <c r="F111" s="30"/>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16"/>
      <c r="C112" s="16"/>
      <c r="D112" s="16"/>
      <c r="E112" s="16"/>
      <c r="F112" s="30"/>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16"/>
      <c r="C113" s="16"/>
      <c r="D113" s="16"/>
      <c r="E113" s="16"/>
      <c r="F113" s="30"/>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16"/>
      <c r="C114" s="16"/>
      <c r="D114" s="16"/>
      <c r="E114" s="16"/>
      <c r="F114" s="30"/>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16"/>
      <c r="C115" s="16"/>
      <c r="D115" s="16"/>
      <c r="E115" s="16"/>
      <c r="F115" s="30"/>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16"/>
      <c r="C116" s="16"/>
      <c r="D116" s="16"/>
      <c r="E116" s="16"/>
      <c r="F116" s="30"/>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16"/>
      <c r="C117" s="16"/>
      <c r="D117" s="16"/>
      <c r="E117" s="16"/>
      <c r="F117" s="30"/>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16"/>
      <c r="C118" s="16"/>
      <c r="D118" s="16"/>
      <c r="E118" s="16"/>
      <c r="F118" s="30"/>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16"/>
      <c r="C119" s="16"/>
      <c r="D119" s="16"/>
      <c r="E119" s="16"/>
      <c r="F119" s="30"/>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16"/>
      <c r="C120" s="16"/>
      <c r="D120" s="16"/>
      <c r="E120" s="16"/>
      <c r="F120" s="30"/>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16"/>
      <c r="C121" s="16"/>
      <c r="D121" s="16"/>
      <c r="E121" s="16"/>
      <c r="F121" s="30"/>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16"/>
      <c r="C122" s="16"/>
      <c r="D122" s="16"/>
      <c r="E122" s="16"/>
      <c r="F122" s="30"/>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16"/>
      <c r="C123" s="16"/>
      <c r="D123" s="16"/>
      <c r="E123" s="16"/>
      <c r="F123" s="30"/>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16"/>
      <c r="C124" s="16"/>
      <c r="D124" s="16"/>
      <c r="E124" s="16"/>
      <c r="F124" s="30"/>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16"/>
      <c r="C125" s="16"/>
      <c r="D125" s="16"/>
      <c r="E125" s="16"/>
      <c r="F125" s="30"/>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16"/>
      <c r="C126" s="16"/>
      <c r="D126" s="16"/>
      <c r="E126" s="16"/>
      <c r="F126" s="30"/>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16"/>
      <c r="C127" s="16"/>
      <c r="D127" s="16"/>
      <c r="E127" s="16"/>
      <c r="F127" s="30"/>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16"/>
      <c r="C128" s="16"/>
      <c r="D128" s="16"/>
      <c r="E128" s="16"/>
      <c r="F128" s="30"/>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16"/>
      <c r="C129" s="16"/>
      <c r="D129" s="16"/>
      <c r="E129" s="16"/>
      <c r="F129" s="30"/>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16"/>
      <c r="C130" s="16"/>
      <c r="D130" s="16"/>
      <c r="E130" s="16"/>
      <c r="F130" s="30"/>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16"/>
      <c r="C131" s="16"/>
      <c r="D131" s="16"/>
      <c r="E131" s="16"/>
      <c r="F131" s="30"/>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16"/>
      <c r="C132" s="16"/>
      <c r="D132" s="16"/>
      <c r="E132" s="16"/>
      <c r="F132" s="30"/>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16"/>
      <c r="C133" s="16"/>
      <c r="D133" s="16"/>
      <c r="E133" s="16"/>
      <c r="F133" s="30"/>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16"/>
      <c r="C134" s="16"/>
      <c r="D134" s="16"/>
      <c r="E134" s="16"/>
      <c r="F134" s="30"/>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16"/>
      <c r="C135" s="16"/>
      <c r="D135" s="16"/>
      <c r="E135" s="16"/>
      <c r="F135" s="30"/>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16"/>
      <c r="C136" s="16"/>
      <c r="D136" s="16"/>
      <c r="E136" s="16"/>
      <c r="F136" s="30"/>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16"/>
      <c r="C137" s="16"/>
      <c r="D137" s="16"/>
      <c r="E137" s="16"/>
      <c r="F137" s="30"/>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16"/>
      <c r="C138" s="16"/>
      <c r="D138" s="16"/>
      <c r="E138" s="16"/>
      <c r="F138" s="30"/>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16"/>
      <c r="C139" s="16"/>
      <c r="D139" s="16"/>
      <c r="E139" s="16"/>
      <c r="F139" s="30"/>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16"/>
      <c r="C140" s="16"/>
      <c r="D140" s="16"/>
      <c r="E140" s="16"/>
      <c r="F140" s="30"/>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16"/>
      <c r="C141" s="16"/>
      <c r="D141" s="16"/>
      <c r="E141" s="16"/>
      <c r="F141" s="30"/>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16"/>
      <c r="C142" s="16"/>
      <c r="D142" s="16"/>
      <c r="E142" s="16"/>
      <c r="F142" s="30"/>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16"/>
      <c r="C143" s="16"/>
      <c r="D143" s="16"/>
      <c r="E143" s="16"/>
      <c r="F143" s="30"/>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16"/>
      <c r="C144" s="16"/>
      <c r="D144" s="16"/>
      <c r="E144" s="16"/>
      <c r="F144" s="30"/>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16"/>
      <c r="C145" s="16"/>
      <c r="D145" s="16"/>
      <c r="E145" s="16"/>
      <c r="F145" s="30"/>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16"/>
      <c r="C146" s="16"/>
      <c r="D146" s="16"/>
      <c r="E146" s="16"/>
      <c r="F146" s="30"/>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16"/>
      <c r="C147" s="16"/>
      <c r="D147" s="16"/>
      <c r="E147" s="16"/>
      <c r="F147" s="30"/>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16"/>
      <c r="C148" s="16"/>
      <c r="D148" s="16"/>
      <c r="E148" s="16"/>
      <c r="F148" s="30"/>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16"/>
      <c r="C149" s="16"/>
      <c r="D149" s="16"/>
      <c r="E149" s="16"/>
      <c r="F149" s="30"/>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16"/>
      <c r="C150" s="16"/>
      <c r="D150" s="16"/>
      <c r="E150" s="16"/>
      <c r="F150" s="30"/>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16"/>
      <c r="C151" s="16"/>
      <c r="D151" s="16"/>
      <c r="E151" s="16"/>
      <c r="F151" s="30"/>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16"/>
      <c r="C152" s="16"/>
      <c r="D152" s="16"/>
      <c r="E152" s="16"/>
      <c r="F152" s="30"/>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16"/>
      <c r="C153" s="16"/>
      <c r="D153" s="16"/>
      <c r="E153" s="16"/>
      <c r="F153" s="30"/>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16"/>
      <c r="C154" s="16"/>
      <c r="D154" s="16"/>
      <c r="E154" s="16"/>
      <c r="F154" s="30"/>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16"/>
      <c r="C155" s="16"/>
      <c r="D155" s="16"/>
      <c r="E155" s="16"/>
      <c r="F155" s="30"/>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16"/>
      <c r="C156" s="16"/>
      <c r="D156" s="16"/>
      <c r="E156" s="16"/>
      <c r="F156" s="30"/>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16"/>
      <c r="C157" s="16"/>
      <c r="D157" s="16"/>
      <c r="E157" s="16"/>
      <c r="F157" s="30"/>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16"/>
      <c r="C158" s="16"/>
      <c r="D158" s="16"/>
      <c r="E158" s="16"/>
      <c r="F158" s="30"/>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16"/>
      <c r="C159" s="16"/>
      <c r="D159" s="16"/>
      <c r="E159" s="16"/>
      <c r="F159" s="30"/>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16"/>
      <c r="C160" s="16"/>
      <c r="D160" s="16"/>
      <c r="E160" s="16"/>
      <c r="F160" s="30"/>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16"/>
      <c r="C161" s="16"/>
      <c r="D161" s="16"/>
      <c r="E161" s="16"/>
      <c r="F161" s="30"/>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16"/>
      <c r="C162" s="16"/>
      <c r="D162" s="16"/>
      <c r="E162" s="16"/>
      <c r="F162" s="30"/>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16"/>
      <c r="C163" s="16"/>
      <c r="D163" s="16"/>
      <c r="E163" s="16"/>
      <c r="F163" s="30"/>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16"/>
      <c r="C164" s="16"/>
      <c r="D164" s="16"/>
      <c r="E164" s="16"/>
      <c r="F164" s="30"/>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16"/>
      <c r="C165" s="16"/>
      <c r="D165" s="16"/>
      <c r="E165" s="16"/>
      <c r="F165" s="30"/>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16"/>
      <c r="C166" s="16"/>
      <c r="D166" s="16"/>
      <c r="E166" s="16"/>
      <c r="F166" s="30"/>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16"/>
      <c r="C167" s="16"/>
      <c r="D167" s="16"/>
      <c r="E167" s="16"/>
      <c r="F167" s="30"/>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16"/>
      <c r="C168" s="16"/>
      <c r="D168" s="16"/>
      <c r="E168" s="16"/>
      <c r="F168" s="30"/>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16"/>
      <c r="C169" s="16"/>
      <c r="D169" s="16"/>
      <c r="E169" s="16"/>
      <c r="F169" s="30"/>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16"/>
      <c r="C170" s="16"/>
      <c r="D170" s="16"/>
      <c r="E170" s="16"/>
      <c r="F170" s="30"/>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16"/>
      <c r="C171" s="16"/>
      <c r="D171" s="16"/>
      <c r="E171" s="16"/>
      <c r="F171" s="30"/>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16"/>
      <c r="C172" s="16"/>
      <c r="D172" s="16"/>
      <c r="E172" s="16"/>
      <c r="F172" s="30"/>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16"/>
      <c r="C173" s="16"/>
      <c r="D173" s="16"/>
      <c r="E173" s="16"/>
      <c r="F173" s="30"/>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16"/>
      <c r="C174" s="16"/>
      <c r="D174" s="16"/>
      <c r="E174" s="16"/>
      <c r="F174" s="30"/>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16"/>
      <c r="C175" s="16"/>
      <c r="D175" s="16"/>
      <c r="E175" s="16"/>
      <c r="F175" s="30"/>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16"/>
      <c r="C176" s="16"/>
      <c r="D176" s="16"/>
      <c r="E176" s="16"/>
      <c r="F176" s="30"/>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16"/>
      <c r="C177" s="16"/>
      <c r="D177" s="16"/>
      <c r="E177" s="16"/>
      <c r="F177" s="30"/>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16"/>
      <c r="C178" s="16"/>
      <c r="D178" s="16"/>
      <c r="E178" s="16"/>
      <c r="F178" s="30"/>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16"/>
      <c r="C179" s="16"/>
      <c r="D179" s="16"/>
      <c r="E179" s="16"/>
      <c r="F179" s="30"/>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16"/>
      <c r="C180" s="16"/>
      <c r="D180" s="16"/>
      <c r="E180" s="16"/>
      <c r="F180" s="30"/>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16"/>
      <c r="C181" s="16"/>
      <c r="D181" s="16"/>
      <c r="E181" s="16"/>
      <c r="F181" s="30"/>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16"/>
      <c r="C182" s="16"/>
      <c r="D182" s="16"/>
      <c r="E182" s="16"/>
      <c r="F182" s="30"/>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16"/>
      <c r="C183" s="16"/>
      <c r="D183" s="16"/>
      <c r="E183" s="16"/>
      <c r="F183" s="30"/>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16"/>
      <c r="C184" s="16"/>
      <c r="D184" s="16"/>
      <c r="E184" s="16"/>
      <c r="F184" s="30"/>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16"/>
      <c r="C185" s="16"/>
      <c r="D185" s="16"/>
      <c r="E185" s="16"/>
      <c r="F185" s="30"/>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16"/>
      <c r="C186" s="16"/>
      <c r="D186" s="16"/>
      <c r="E186" s="16"/>
      <c r="F186" s="30"/>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16"/>
      <c r="C187" s="16"/>
      <c r="D187" s="16"/>
      <c r="E187" s="16"/>
      <c r="F187" s="30"/>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16"/>
      <c r="C188" s="16"/>
      <c r="D188" s="16"/>
      <c r="E188" s="16"/>
      <c r="F188" s="30"/>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16"/>
      <c r="C189" s="16"/>
      <c r="D189" s="16"/>
      <c r="E189" s="16"/>
      <c r="F189" s="30"/>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16"/>
      <c r="C190" s="16"/>
      <c r="D190" s="16"/>
      <c r="E190" s="16"/>
      <c r="F190" s="30"/>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16"/>
      <c r="C191" s="16"/>
      <c r="D191" s="16"/>
      <c r="E191" s="16"/>
      <c r="F191" s="30"/>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16"/>
      <c r="C192" s="16"/>
      <c r="D192" s="16"/>
      <c r="E192" s="16"/>
      <c r="F192" s="30"/>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16"/>
      <c r="C193" s="16"/>
      <c r="D193" s="16"/>
      <c r="E193" s="16"/>
      <c r="F193" s="30"/>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16"/>
      <c r="C194" s="16"/>
      <c r="D194" s="16"/>
      <c r="E194" s="16"/>
      <c r="F194" s="30"/>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16"/>
      <c r="C195" s="16"/>
      <c r="D195" s="16"/>
      <c r="E195" s="16"/>
      <c r="F195" s="30"/>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16"/>
      <c r="C196" s="16"/>
      <c r="D196" s="16"/>
      <c r="E196" s="16"/>
      <c r="F196" s="30"/>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16"/>
      <c r="C197" s="16"/>
      <c r="D197" s="16"/>
      <c r="E197" s="16"/>
      <c r="F197" s="30"/>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16"/>
      <c r="C198" s="16"/>
      <c r="D198" s="16"/>
      <c r="E198" s="16"/>
      <c r="F198" s="30"/>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16"/>
      <c r="C199" s="16"/>
      <c r="D199" s="16"/>
      <c r="E199" s="16"/>
      <c r="F199" s="30"/>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16"/>
      <c r="C200" s="16"/>
      <c r="D200" s="16"/>
      <c r="E200" s="16"/>
      <c r="F200" s="30"/>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16"/>
      <c r="C201" s="16"/>
      <c r="D201" s="16"/>
      <c r="E201" s="16"/>
      <c r="F201" s="30"/>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16"/>
      <c r="C202" s="16"/>
      <c r="D202" s="16"/>
      <c r="E202" s="16"/>
      <c r="F202" s="30"/>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16"/>
      <c r="C203" s="16"/>
      <c r="D203" s="16"/>
      <c r="E203" s="16"/>
      <c r="F203" s="30"/>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16"/>
      <c r="C204" s="16"/>
      <c r="D204" s="16"/>
      <c r="E204" s="16"/>
      <c r="F204" s="30"/>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16"/>
      <c r="C205" s="16"/>
      <c r="D205" s="16"/>
      <c r="E205" s="16"/>
      <c r="F205" s="30"/>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16"/>
      <c r="C206" s="16"/>
      <c r="D206" s="16"/>
      <c r="E206" s="16"/>
      <c r="F206" s="30"/>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16"/>
      <c r="C207" s="16"/>
      <c r="D207" s="16"/>
      <c r="E207" s="16"/>
      <c r="F207" s="30"/>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16"/>
      <c r="C208" s="16"/>
      <c r="D208" s="16"/>
      <c r="E208" s="16"/>
      <c r="F208" s="30"/>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16"/>
      <c r="C209" s="16"/>
      <c r="D209" s="16"/>
      <c r="E209" s="16"/>
      <c r="F209" s="30"/>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16"/>
      <c r="C210" s="16"/>
      <c r="D210" s="16"/>
      <c r="E210" s="16"/>
      <c r="F210" s="30"/>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16"/>
      <c r="C211" s="16"/>
      <c r="D211" s="16"/>
      <c r="E211" s="16"/>
      <c r="F211" s="30"/>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16"/>
      <c r="C212" s="16"/>
      <c r="D212" s="16"/>
      <c r="E212" s="16"/>
      <c r="F212" s="30"/>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16"/>
      <c r="C213" s="16"/>
      <c r="D213" s="16"/>
      <c r="E213" s="16"/>
      <c r="F213" s="30"/>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16"/>
      <c r="C214" s="16"/>
      <c r="D214" s="16"/>
      <c r="E214" s="16"/>
      <c r="F214" s="30"/>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16"/>
      <c r="C215" s="16"/>
      <c r="D215" s="16"/>
      <c r="E215" s="16"/>
      <c r="F215" s="30"/>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16"/>
      <c r="C216" s="16"/>
      <c r="D216" s="16"/>
      <c r="E216" s="16"/>
      <c r="F216" s="30"/>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16"/>
      <c r="C217" s="16"/>
      <c r="D217" s="16"/>
      <c r="E217" s="16"/>
      <c r="F217" s="30"/>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16"/>
      <c r="C218" s="16"/>
      <c r="D218" s="16"/>
      <c r="E218" s="16"/>
      <c r="F218" s="30"/>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16"/>
      <c r="C219" s="16"/>
      <c r="D219" s="16"/>
      <c r="E219" s="16"/>
      <c r="F219" s="30"/>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16"/>
      <c r="C220" s="16"/>
      <c r="D220" s="16"/>
      <c r="E220" s="16"/>
      <c r="F220" s="30"/>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16"/>
      <c r="C221" s="16"/>
      <c r="D221" s="16"/>
      <c r="E221" s="16"/>
      <c r="F221" s="30"/>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16"/>
      <c r="C222" s="16"/>
      <c r="D222" s="16"/>
      <c r="E222" s="16"/>
      <c r="F222" s="30"/>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16"/>
      <c r="C223" s="16"/>
      <c r="D223" s="16"/>
      <c r="E223" s="16"/>
      <c r="F223" s="30"/>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16"/>
      <c r="C224" s="16"/>
      <c r="D224" s="16"/>
      <c r="E224" s="16"/>
      <c r="F224" s="30"/>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16"/>
      <c r="C225" s="16"/>
      <c r="D225" s="16"/>
      <c r="E225" s="16"/>
      <c r="F225" s="30"/>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16"/>
      <c r="C226" s="16"/>
      <c r="D226" s="16"/>
      <c r="E226" s="16"/>
      <c r="F226" s="30"/>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16"/>
      <c r="C227" s="16"/>
      <c r="D227" s="16"/>
      <c r="E227" s="16"/>
      <c r="F227" s="30"/>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16"/>
      <c r="C228" s="16"/>
      <c r="D228" s="16"/>
      <c r="E228" s="16"/>
      <c r="F228" s="30"/>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16"/>
      <c r="C229" s="16"/>
      <c r="D229" s="16"/>
      <c r="E229" s="16"/>
      <c r="F229" s="30"/>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16"/>
      <c r="C230" s="16"/>
      <c r="D230" s="16"/>
      <c r="E230" s="16"/>
      <c r="F230" s="30"/>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16"/>
      <c r="C231" s="16"/>
      <c r="D231" s="16"/>
      <c r="E231" s="16"/>
      <c r="F231" s="30"/>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16"/>
      <c r="C232" s="16"/>
      <c r="D232" s="16"/>
      <c r="E232" s="16"/>
      <c r="F232" s="30"/>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16"/>
      <c r="C233" s="16"/>
      <c r="D233" s="16"/>
      <c r="E233" s="16"/>
      <c r="F233" s="30"/>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16"/>
      <c r="C234" s="16"/>
      <c r="D234" s="16"/>
      <c r="E234" s="16"/>
      <c r="F234" s="30"/>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16"/>
      <c r="C235" s="16"/>
      <c r="D235" s="16"/>
      <c r="E235" s="16"/>
      <c r="F235" s="30"/>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16"/>
      <c r="C236" s="16"/>
      <c r="D236" s="16"/>
      <c r="E236" s="16"/>
      <c r="F236" s="30"/>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16"/>
      <c r="C237" s="16"/>
      <c r="D237" s="16"/>
      <c r="E237" s="16"/>
      <c r="F237" s="30"/>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16"/>
      <c r="C238" s="16"/>
      <c r="D238" s="16"/>
      <c r="E238" s="16"/>
      <c r="F238" s="30"/>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16"/>
      <c r="C239" s="16"/>
      <c r="D239" s="16"/>
      <c r="E239" s="16"/>
      <c r="F239" s="30"/>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16"/>
      <c r="C240" s="16"/>
      <c r="D240" s="16"/>
      <c r="E240" s="16"/>
      <c r="F240" s="30"/>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16"/>
      <c r="C241" s="16"/>
      <c r="D241" s="16"/>
      <c r="E241" s="16"/>
      <c r="F241" s="30"/>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16"/>
      <c r="C242" s="16"/>
      <c r="D242" s="16"/>
      <c r="E242" s="16"/>
      <c r="F242" s="30"/>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16"/>
      <c r="C243" s="16"/>
      <c r="D243" s="16"/>
      <c r="E243" s="16"/>
      <c r="F243" s="30"/>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16"/>
      <c r="C244" s="16"/>
      <c r="D244" s="16"/>
      <c r="E244" s="16"/>
      <c r="F244" s="30"/>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16"/>
      <c r="C245" s="16"/>
      <c r="D245" s="16"/>
      <c r="E245" s="16"/>
      <c r="F245" s="30"/>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16"/>
      <c r="C246" s="16"/>
      <c r="D246" s="16"/>
      <c r="E246" s="16"/>
      <c r="F246" s="30"/>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16"/>
      <c r="C247" s="16"/>
      <c r="D247" s="16"/>
      <c r="E247" s="16"/>
      <c r="F247" s="30"/>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16"/>
      <c r="C248" s="16"/>
      <c r="D248" s="16"/>
      <c r="E248" s="16"/>
      <c r="F248" s="30"/>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16"/>
      <c r="C249" s="16"/>
      <c r="D249" s="16"/>
      <c r="E249" s="16"/>
      <c r="F249" s="30"/>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16"/>
      <c r="C250" s="16"/>
      <c r="D250" s="16"/>
      <c r="E250" s="16"/>
      <c r="F250" s="30"/>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16"/>
      <c r="C251" s="16"/>
      <c r="D251" s="16"/>
      <c r="E251" s="16"/>
      <c r="F251" s="30"/>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16"/>
      <c r="C252" s="16"/>
      <c r="D252" s="16"/>
      <c r="E252" s="16"/>
      <c r="F252" s="30"/>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16"/>
      <c r="C253" s="16"/>
      <c r="D253" s="16"/>
      <c r="E253" s="16"/>
      <c r="F253" s="30"/>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16"/>
      <c r="C254" s="16"/>
      <c r="D254" s="16"/>
      <c r="E254" s="16"/>
      <c r="F254" s="30"/>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16"/>
      <c r="C255" s="16"/>
      <c r="D255" s="16"/>
      <c r="E255" s="16"/>
      <c r="F255" s="30"/>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16"/>
      <c r="C256" s="16"/>
      <c r="D256" s="16"/>
      <c r="E256" s="16"/>
      <c r="F256" s="30"/>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16"/>
      <c r="C257" s="16"/>
      <c r="D257" s="16"/>
      <c r="E257" s="16"/>
      <c r="F257" s="30"/>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16"/>
      <c r="C258" s="16"/>
      <c r="D258" s="16"/>
      <c r="E258" s="16"/>
      <c r="F258" s="30"/>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16"/>
      <c r="C259" s="16"/>
      <c r="D259" s="16"/>
      <c r="E259" s="16"/>
      <c r="F259" s="30"/>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16"/>
      <c r="C260" s="16"/>
      <c r="D260" s="16"/>
      <c r="E260" s="16"/>
      <c r="F260" s="30"/>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16"/>
      <c r="C261" s="16"/>
      <c r="D261" s="16"/>
      <c r="E261" s="16"/>
      <c r="F261" s="30"/>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16"/>
      <c r="C262" s="16"/>
      <c r="D262" s="16"/>
      <c r="E262" s="16"/>
      <c r="F262" s="30"/>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16"/>
      <c r="C263" s="16"/>
      <c r="D263" s="16"/>
      <c r="E263" s="16"/>
      <c r="F263" s="30"/>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16"/>
      <c r="C264" s="16"/>
      <c r="D264" s="16"/>
      <c r="E264" s="16"/>
      <c r="F264" s="30"/>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16"/>
      <c r="C265" s="16"/>
      <c r="D265" s="16"/>
      <c r="E265" s="16"/>
      <c r="F265" s="30"/>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16"/>
      <c r="C266" s="16"/>
      <c r="D266" s="16"/>
      <c r="E266" s="16"/>
      <c r="F266" s="30"/>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16"/>
      <c r="C267" s="16"/>
      <c r="D267" s="16"/>
      <c r="E267" s="16"/>
      <c r="F267" s="30"/>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16"/>
      <c r="C268" s="16"/>
      <c r="D268" s="16"/>
      <c r="E268" s="16"/>
      <c r="F268" s="30"/>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16"/>
      <c r="C269" s="16"/>
      <c r="D269" s="16"/>
      <c r="E269" s="16"/>
      <c r="F269" s="30"/>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16"/>
      <c r="C270" s="16"/>
      <c r="D270" s="16"/>
      <c r="E270" s="16"/>
      <c r="F270" s="30"/>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16"/>
      <c r="C271" s="16"/>
      <c r="D271" s="16"/>
      <c r="E271" s="16"/>
      <c r="F271" s="30"/>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16"/>
      <c r="C272" s="16"/>
      <c r="D272" s="16"/>
      <c r="E272" s="16"/>
      <c r="F272" s="30"/>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16"/>
      <c r="C273" s="16"/>
      <c r="D273" s="16"/>
      <c r="E273" s="16"/>
      <c r="F273" s="30"/>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16"/>
      <c r="C274" s="16"/>
      <c r="D274" s="16"/>
      <c r="E274" s="16"/>
      <c r="F274" s="30"/>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16"/>
      <c r="C275" s="16"/>
      <c r="D275" s="16"/>
      <c r="E275" s="16"/>
      <c r="F275" s="30"/>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16"/>
      <c r="C276" s="16"/>
      <c r="D276" s="16"/>
      <c r="E276" s="16"/>
      <c r="F276" s="30"/>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16"/>
      <c r="C277" s="16"/>
      <c r="D277" s="16"/>
      <c r="E277" s="16"/>
      <c r="F277" s="30"/>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16"/>
      <c r="C278" s="16"/>
      <c r="D278" s="16"/>
      <c r="E278" s="16"/>
      <c r="F278" s="30"/>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16"/>
      <c r="C279" s="16"/>
      <c r="D279" s="16"/>
      <c r="E279" s="16"/>
      <c r="F279" s="30"/>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16"/>
      <c r="C280" s="16"/>
      <c r="D280" s="16"/>
      <c r="E280" s="16"/>
      <c r="F280" s="30"/>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16"/>
      <c r="C281" s="16"/>
      <c r="D281" s="16"/>
      <c r="E281" s="16"/>
      <c r="F281" s="30"/>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16"/>
      <c r="C282" s="16"/>
      <c r="D282" s="16"/>
      <c r="E282" s="16"/>
      <c r="F282" s="30"/>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16"/>
      <c r="C283" s="16"/>
      <c r="D283" s="16"/>
      <c r="E283" s="16"/>
      <c r="F283" s="30"/>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16"/>
      <c r="C284" s="16"/>
      <c r="D284" s="16"/>
      <c r="E284" s="16"/>
      <c r="F284" s="30"/>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16"/>
      <c r="C285" s="16"/>
      <c r="D285" s="16"/>
      <c r="E285" s="16"/>
      <c r="F285" s="30"/>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16"/>
      <c r="C286" s="16"/>
      <c r="D286" s="16"/>
      <c r="E286" s="16"/>
      <c r="F286" s="30"/>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16"/>
      <c r="C287" s="16"/>
      <c r="D287" s="16"/>
      <c r="E287" s="16"/>
      <c r="F287" s="30"/>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16"/>
      <c r="C288" s="16"/>
      <c r="D288" s="16"/>
      <c r="E288" s="16"/>
      <c r="F288" s="30"/>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16"/>
      <c r="C289" s="16"/>
      <c r="D289" s="16"/>
      <c r="E289" s="16"/>
      <c r="F289" s="30"/>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16"/>
      <c r="C290" s="16"/>
      <c r="D290" s="16"/>
      <c r="E290" s="16"/>
      <c r="F290" s="30"/>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16"/>
      <c r="C291" s="16"/>
      <c r="D291" s="16"/>
      <c r="E291" s="16"/>
      <c r="F291" s="30"/>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16"/>
      <c r="C292" s="16"/>
      <c r="D292" s="16"/>
      <c r="E292" s="16"/>
      <c r="F292" s="30"/>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16"/>
      <c r="C293" s="16"/>
      <c r="D293" s="16"/>
      <c r="E293" s="16"/>
      <c r="F293" s="30"/>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16"/>
      <c r="C294" s="16"/>
      <c r="D294" s="16"/>
      <c r="E294" s="16"/>
      <c r="F294" s="30"/>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16"/>
      <c r="C295" s="16"/>
      <c r="D295" s="16"/>
      <c r="E295" s="16"/>
      <c r="F295" s="30"/>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16"/>
      <c r="C296" s="16"/>
      <c r="D296" s="16"/>
      <c r="E296" s="16"/>
      <c r="F296" s="30"/>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16"/>
      <c r="C297" s="16"/>
      <c r="D297" s="16"/>
      <c r="E297" s="16"/>
      <c r="F297" s="30"/>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16"/>
      <c r="C298" s="16"/>
      <c r="D298" s="16"/>
      <c r="E298" s="16"/>
      <c r="F298" s="30"/>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16"/>
      <c r="C299" s="16"/>
      <c r="D299" s="16"/>
      <c r="E299" s="16"/>
      <c r="F299" s="30"/>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16"/>
      <c r="C300" s="16"/>
      <c r="D300" s="16"/>
      <c r="E300" s="16"/>
      <c r="F300" s="30"/>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16"/>
      <c r="C301" s="16"/>
      <c r="D301" s="16"/>
      <c r="E301" s="16"/>
      <c r="F301" s="30"/>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16"/>
      <c r="C302" s="16"/>
      <c r="D302" s="16"/>
      <c r="E302" s="16"/>
      <c r="F302" s="30"/>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16"/>
      <c r="C303" s="16"/>
      <c r="D303" s="16"/>
      <c r="E303" s="16"/>
      <c r="F303" s="30"/>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16"/>
      <c r="C304" s="16"/>
      <c r="D304" s="16"/>
      <c r="E304" s="16"/>
      <c r="F304" s="30"/>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16"/>
      <c r="C305" s="16"/>
      <c r="D305" s="16"/>
      <c r="E305" s="16"/>
      <c r="F305" s="30"/>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16"/>
      <c r="C306" s="16"/>
      <c r="D306" s="16"/>
      <c r="E306" s="16"/>
      <c r="F306" s="30"/>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16"/>
      <c r="C307" s="16"/>
      <c r="D307" s="16"/>
      <c r="E307" s="16"/>
      <c r="F307" s="30"/>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16"/>
      <c r="C308" s="16"/>
      <c r="D308" s="16"/>
      <c r="E308" s="16"/>
      <c r="F308" s="30"/>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16"/>
      <c r="C309" s="16"/>
      <c r="D309" s="16"/>
      <c r="E309" s="16"/>
      <c r="F309" s="30"/>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16"/>
      <c r="C310" s="16"/>
      <c r="D310" s="16"/>
      <c r="E310" s="16"/>
      <c r="F310" s="30"/>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16"/>
      <c r="C311" s="16"/>
      <c r="D311" s="16"/>
      <c r="E311" s="16"/>
      <c r="F311" s="30"/>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16"/>
      <c r="C312" s="16"/>
      <c r="D312" s="16"/>
      <c r="E312" s="16"/>
      <c r="F312" s="30"/>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16"/>
      <c r="C313" s="16"/>
      <c r="D313" s="16"/>
      <c r="E313" s="16"/>
      <c r="F313" s="30"/>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16"/>
      <c r="C314" s="16"/>
      <c r="D314" s="16"/>
      <c r="E314" s="16"/>
      <c r="F314" s="30"/>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16"/>
      <c r="C315" s="16"/>
      <c r="D315" s="16"/>
      <c r="E315" s="16"/>
      <c r="F315" s="30"/>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16"/>
      <c r="C316" s="16"/>
      <c r="D316" s="16"/>
      <c r="E316" s="16"/>
      <c r="F316" s="30"/>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16"/>
      <c r="C317" s="16"/>
      <c r="D317" s="16"/>
      <c r="E317" s="16"/>
      <c r="F317" s="30"/>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16"/>
      <c r="C318" s="16"/>
      <c r="D318" s="16"/>
      <c r="E318" s="16"/>
      <c r="F318" s="30"/>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16"/>
      <c r="C319" s="16"/>
      <c r="D319" s="16"/>
      <c r="E319" s="16"/>
      <c r="F319" s="30"/>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16"/>
      <c r="C320" s="16"/>
      <c r="D320" s="16"/>
      <c r="E320" s="16"/>
      <c r="F320" s="30"/>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16"/>
      <c r="C321" s="16"/>
      <c r="D321" s="16"/>
      <c r="E321" s="16"/>
      <c r="F321" s="30"/>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16"/>
      <c r="C322" s="16"/>
      <c r="D322" s="16"/>
      <c r="E322" s="16"/>
      <c r="F322" s="30"/>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16"/>
      <c r="C323" s="16"/>
      <c r="D323" s="16"/>
      <c r="E323" s="16"/>
      <c r="F323" s="30"/>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16"/>
      <c r="C324" s="16"/>
      <c r="D324" s="16"/>
      <c r="E324" s="16"/>
      <c r="F324" s="30"/>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16"/>
      <c r="C325" s="16"/>
      <c r="D325" s="16"/>
      <c r="E325" s="16"/>
      <c r="F325" s="30"/>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16"/>
      <c r="C326" s="16"/>
      <c r="D326" s="16"/>
      <c r="E326" s="16"/>
      <c r="F326" s="30"/>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16"/>
      <c r="C327" s="16"/>
      <c r="D327" s="16"/>
      <c r="E327" s="16"/>
      <c r="F327" s="30"/>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16"/>
      <c r="C328" s="16"/>
      <c r="D328" s="16"/>
      <c r="E328" s="16"/>
      <c r="F328" s="30"/>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16"/>
      <c r="C329" s="16"/>
      <c r="D329" s="16"/>
      <c r="E329" s="16"/>
      <c r="F329" s="30"/>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16"/>
      <c r="C330" s="16"/>
      <c r="D330" s="16"/>
      <c r="E330" s="16"/>
      <c r="F330" s="30"/>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16"/>
      <c r="C331" s="16"/>
      <c r="D331" s="16"/>
      <c r="E331" s="16"/>
      <c r="F331" s="30"/>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16"/>
      <c r="C332" s="16"/>
      <c r="D332" s="16"/>
      <c r="E332" s="16"/>
      <c r="F332" s="30"/>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16"/>
      <c r="C333" s="16"/>
      <c r="D333" s="16"/>
      <c r="E333" s="16"/>
      <c r="F333" s="30"/>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16"/>
      <c r="C334" s="16"/>
      <c r="D334" s="16"/>
      <c r="E334" s="16"/>
      <c r="F334" s="30"/>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16"/>
      <c r="C335" s="16"/>
      <c r="D335" s="16"/>
      <c r="E335" s="16"/>
      <c r="F335" s="30"/>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16"/>
      <c r="C336" s="16"/>
      <c r="D336" s="16"/>
      <c r="E336" s="16"/>
      <c r="F336" s="30"/>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16"/>
      <c r="C337" s="16"/>
      <c r="D337" s="16"/>
      <c r="E337" s="16"/>
      <c r="F337" s="30"/>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16"/>
      <c r="C338" s="16"/>
      <c r="D338" s="16"/>
      <c r="E338" s="16"/>
      <c r="F338" s="30"/>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16"/>
      <c r="C339" s="16"/>
      <c r="D339" s="16"/>
      <c r="E339" s="16"/>
      <c r="F339" s="30"/>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16"/>
      <c r="C340" s="16"/>
      <c r="D340" s="16"/>
      <c r="E340" s="16"/>
      <c r="F340" s="30"/>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16"/>
      <c r="C341" s="16"/>
      <c r="D341" s="16"/>
      <c r="E341" s="16"/>
      <c r="F341" s="30"/>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16"/>
      <c r="C342" s="16"/>
      <c r="D342" s="16"/>
      <c r="E342" s="16"/>
      <c r="F342" s="30"/>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16"/>
      <c r="C343" s="16"/>
      <c r="D343" s="16"/>
      <c r="E343" s="16"/>
      <c r="F343" s="30"/>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16"/>
      <c r="C344" s="16"/>
      <c r="D344" s="16"/>
      <c r="E344" s="16"/>
      <c r="F344" s="30"/>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16"/>
      <c r="C345" s="16"/>
      <c r="D345" s="16"/>
      <c r="E345" s="16"/>
      <c r="F345" s="30"/>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16"/>
      <c r="C346" s="16"/>
      <c r="D346" s="16"/>
      <c r="E346" s="16"/>
      <c r="F346" s="30"/>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16"/>
      <c r="C347" s="16"/>
      <c r="D347" s="16"/>
      <c r="E347" s="16"/>
      <c r="F347" s="30"/>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16"/>
      <c r="C348" s="16"/>
      <c r="D348" s="16"/>
      <c r="E348" s="16"/>
      <c r="F348" s="30"/>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16"/>
      <c r="C349" s="16"/>
      <c r="D349" s="16"/>
      <c r="E349" s="16"/>
      <c r="F349" s="30"/>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16"/>
      <c r="C350" s="16"/>
      <c r="D350" s="16"/>
      <c r="E350" s="16"/>
      <c r="F350" s="30"/>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16"/>
      <c r="C351" s="16"/>
      <c r="D351" s="16"/>
      <c r="E351" s="16"/>
      <c r="F351" s="30"/>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16"/>
      <c r="C352" s="16"/>
      <c r="D352" s="16"/>
      <c r="E352" s="16"/>
      <c r="F352" s="30"/>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16"/>
      <c r="C353" s="16"/>
      <c r="D353" s="16"/>
      <c r="E353" s="16"/>
      <c r="F353" s="30"/>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16"/>
      <c r="C354" s="16"/>
      <c r="D354" s="16"/>
      <c r="E354" s="16"/>
      <c r="F354" s="30"/>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16"/>
      <c r="C355" s="16"/>
      <c r="D355" s="16"/>
      <c r="E355" s="16"/>
      <c r="F355" s="30"/>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16"/>
      <c r="C356" s="16"/>
      <c r="D356" s="16"/>
      <c r="E356" s="16"/>
      <c r="F356" s="30"/>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16"/>
      <c r="C357" s="16"/>
      <c r="D357" s="16"/>
      <c r="E357" s="16"/>
      <c r="F357" s="30"/>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16"/>
      <c r="C358" s="16"/>
      <c r="D358" s="16"/>
      <c r="E358" s="16"/>
      <c r="F358" s="30"/>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16"/>
      <c r="C359" s="16"/>
      <c r="D359" s="16"/>
      <c r="E359" s="16"/>
      <c r="F359" s="30"/>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16"/>
      <c r="C360" s="16"/>
      <c r="D360" s="16"/>
      <c r="E360" s="16"/>
      <c r="F360" s="30"/>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16"/>
      <c r="C361" s="16"/>
      <c r="D361" s="16"/>
      <c r="E361" s="16"/>
      <c r="F361" s="30"/>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16"/>
      <c r="C362" s="16"/>
      <c r="D362" s="16"/>
      <c r="E362" s="16"/>
      <c r="F362" s="30"/>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16"/>
      <c r="C363" s="16"/>
      <c r="D363" s="16"/>
      <c r="E363" s="16"/>
      <c r="F363" s="30"/>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16"/>
      <c r="C364" s="16"/>
      <c r="D364" s="16"/>
      <c r="E364" s="16"/>
      <c r="F364" s="30"/>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16"/>
      <c r="C365" s="16"/>
      <c r="D365" s="16"/>
      <c r="E365" s="16"/>
      <c r="F365" s="30"/>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16"/>
      <c r="C366" s="16"/>
      <c r="D366" s="16"/>
      <c r="E366" s="16"/>
      <c r="F366" s="30"/>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16"/>
      <c r="C367" s="16"/>
      <c r="D367" s="16"/>
      <c r="E367" s="16"/>
      <c r="F367" s="30"/>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16"/>
      <c r="C368" s="16"/>
      <c r="D368" s="16"/>
      <c r="E368" s="16"/>
      <c r="F368" s="30"/>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16"/>
      <c r="C369" s="16"/>
      <c r="D369" s="16"/>
      <c r="E369" s="16"/>
      <c r="F369" s="30"/>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16"/>
      <c r="C370" s="16"/>
      <c r="D370" s="16"/>
      <c r="E370" s="16"/>
      <c r="F370" s="30"/>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16"/>
      <c r="C371" s="16"/>
      <c r="D371" s="16"/>
      <c r="E371" s="16"/>
      <c r="F371" s="30"/>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16"/>
      <c r="C372" s="16"/>
      <c r="D372" s="16"/>
      <c r="E372" s="16"/>
      <c r="F372" s="30"/>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16"/>
      <c r="C373" s="16"/>
      <c r="D373" s="16"/>
      <c r="E373" s="16"/>
      <c r="F373" s="30"/>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16"/>
      <c r="C374" s="16"/>
      <c r="D374" s="16"/>
      <c r="E374" s="16"/>
      <c r="F374" s="30"/>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16"/>
      <c r="C375" s="16"/>
      <c r="D375" s="16"/>
      <c r="E375" s="16"/>
      <c r="F375" s="30"/>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16"/>
      <c r="C376" s="16"/>
      <c r="D376" s="16"/>
      <c r="E376" s="16"/>
      <c r="F376" s="30"/>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16"/>
      <c r="C377" s="16"/>
      <c r="D377" s="16"/>
      <c r="E377" s="16"/>
      <c r="F377" s="30"/>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16"/>
      <c r="C378" s="16"/>
      <c r="D378" s="16"/>
      <c r="E378" s="16"/>
      <c r="F378" s="30"/>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16"/>
      <c r="C379" s="16"/>
      <c r="D379" s="16"/>
      <c r="E379" s="16"/>
      <c r="F379" s="30"/>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16"/>
      <c r="C380" s="16"/>
      <c r="D380" s="16"/>
      <c r="E380" s="16"/>
      <c r="F380" s="30"/>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16"/>
      <c r="C381" s="16"/>
      <c r="D381" s="16"/>
      <c r="E381" s="16"/>
      <c r="F381" s="30"/>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16"/>
      <c r="C382" s="16"/>
      <c r="D382" s="16"/>
      <c r="E382" s="16"/>
      <c r="F382" s="30"/>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16"/>
      <c r="C383" s="16"/>
      <c r="D383" s="16"/>
      <c r="E383" s="16"/>
      <c r="F383" s="30"/>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16"/>
      <c r="C384" s="16"/>
      <c r="D384" s="16"/>
      <c r="E384" s="16"/>
      <c r="F384" s="30"/>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16"/>
      <c r="C385" s="16"/>
      <c r="D385" s="16"/>
      <c r="E385" s="16"/>
      <c r="F385" s="30"/>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16"/>
      <c r="C386" s="16"/>
      <c r="D386" s="16"/>
      <c r="E386" s="16"/>
      <c r="F386" s="30"/>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16"/>
      <c r="C387" s="16"/>
      <c r="D387" s="16"/>
      <c r="E387" s="16"/>
      <c r="F387" s="30"/>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16"/>
      <c r="C388" s="16"/>
      <c r="D388" s="16"/>
      <c r="E388" s="16"/>
      <c r="F388" s="30"/>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16"/>
      <c r="C389" s="16"/>
      <c r="D389" s="16"/>
      <c r="E389" s="16"/>
      <c r="F389" s="30"/>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16"/>
      <c r="C390" s="16"/>
      <c r="D390" s="16"/>
      <c r="E390" s="16"/>
      <c r="F390" s="30"/>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16"/>
      <c r="C391" s="16"/>
      <c r="D391" s="16"/>
      <c r="E391" s="16"/>
      <c r="F391" s="30"/>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16"/>
      <c r="C392" s="16"/>
      <c r="D392" s="16"/>
      <c r="E392" s="16"/>
      <c r="F392" s="30"/>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16"/>
      <c r="C393" s="16"/>
      <c r="D393" s="16"/>
      <c r="E393" s="16"/>
      <c r="F393" s="30"/>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16"/>
      <c r="C394" s="16"/>
      <c r="D394" s="16"/>
      <c r="E394" s="16"/>
      <c r="F394" s="30"/>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16"/>
      <c r="C395" s="16"/>
      <c r="D395" s="16"/>
      <c r="E395" s="16"/>
      <c r="F395" s="30"/>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16"/>
      <c r="C396" s="16"/>
      <c r="D396" s="16"/>
      <c r="E396" s="16"/>
      <c r="F396" s="30"/>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16"/>
      <c r="C397" s="16"/>
      <c r="D397" s="16"/>
      <c r="E397" s="16"/>
      <c r="F397" s="30"/>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16"/>
      <c r="C398" s="16"/>
      <c r="D398" s="16"/>
      <c r="E398" s="16"/>
      <c r="F398" s="30"/>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16"/>
      <c r="C399" s="16"/>
      <c r="D399" s="16"/>
      <c r="E399" s="16"/>
      <c r="F399" s="30"/>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16"/>
      <c r="C400" s="16"/>
      <c r="D400" s="16"/>
      <c r="E400" s="16"/>
      <c r="F400" s="30"/>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16"/>
      <c r="C401" s="16"/>
      <c r="D401" s="16"/>
      <c r="E401" s="16"/>
      <c r="F401" s="30"/>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16"/>
      <c r="C402" s="16"/>
      <c r="D402" s="16"/>
      <c r="E402" s="16"/>
      <c r="F402" s="30"/>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16"/>
      <c r="C403" s="16"/>
      <c r="D403" s="16"/>
      <c r="E403" s="16"/>
      <c r="F403" s="30"/>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16"/>
      <c r="C404" s="16"/>
      <c r="D404" s="16"/>
      <c r="E404" s="16"/>
      <c r="F404" s="30"/>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16"/>
      <c r="C405" s="16"/>
      <c r="D405" s="16"/>
      <c r="E405" s="16"/>
      <c r="F405" s="30"/>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16"/>
      <c r="C406" s="16"/>
      <c r="D406" s="16"/>
      <c r="E406" s="16"/>
      <c r="F406" s="30"/>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16"/>
      <c r="C407" s="16"/>
      <c r="D407" s="16"/>
      <c r="E407" s="16"/>
      <c r="F407" s="30"/>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16"/>
      <c r="C408" s="16"/>
      <c r="D408" s="16"/>
      <c r="E408" s="16"/>
      <c r="F408" s="30"/>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16"/>
      <c r="C409" s="16"/>
      <c r="D409" s="16"/>
      <c r="E409" s="16"/>
      <c r="F409" s="30"/>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16"/>
      <c r="C410" s="16"/>
      <c r="D410" s="16"/>
      <c r="E410" s="16"/>
      <c r="F410" s="30"/>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16"/>
      <c r="C411" s="16"/>
      <c r="D411" s="16"/>
      <c r="E411" s="16"/>
      <c r="F411" s="30"/>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16"/>
      <c r="C412" s="16"/>
      <c r="D412" s="16"/>
      <c r="E412" s="16"/>
      <c r="F412" s="30"/>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16"/>
      <c r="C413" s="16"/>
      <c r="D413" s="16"/>
      <c r="E413" s="16"/>
      <c r="F413" s="30"/>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16"/>
      <c r="C414" s="16"/>
      <c r="D414" s="16"/>
      <c r="E414" s="16"/>
      <c r="F414" s="30"/>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16"/>
      <c r="C415" s="16"/>
      <c r="D415" s="16"/>
      <c r="E415" s="16"/>
      <c r="F415" s="30"/>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16"/>
      <c r="C416" s="16"/>
      <c r="D416" s="16"/>
      <c r="E416" s="16"/>
      <c r="F416" s="30"/>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16"/>
      <c r="C417" s="16"/>
      <c r="D417" s="16"/>
      <c r="E417" s="16"/>
      <c r="F417" s="30"/>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16"/>
      <c r="C418" s="16"/>
      <c r="D418" s="16"/>
      <c r="E418" s="16"/>
      <c r="F418" s="30"/>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16"/>
      <c r="C419" s="16"/>
      <c r="D419" s="16"/>
      <c r="E419" s="16"/>
      <c r="F419" s="30"/>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16"/>
      <c r="C420" s="16"/>
      <c r="D420" s="16"/>
      <c r="E420" s="16"/>
      <c r="F420" s="30"/>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16"/>
      <c r="C421" s="16"/>
      <c r="D421" s="16"/>
      <c r="E421" s="16"/>
      <c r="F421" s="30"/>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16"/>
      <c r="C422" s="16"/>
      <c r="D422" s="16"/>
      <c r="E422" s="16"/>
      <c r="F422" s="30"/>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16"/>
      <c r="C423" s="16"/>
      <c r="D423" s="16"/>
      <c r="E423" s="16"/>
      <c r="F423" s="30"/>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16"/>
      <c r="C424" s="16"/>
      <c r="D424" s="16"/>
      <c r="E424" s="16"/>
      <c r="F424" s="30"/>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16"/>
      <c r="C425" s="16"/>
      <c r="D425" s="16"/>
      <c r="E425" s="16"/>
      <c r="F425" s="30"/>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16"/>
      <c r="C426" s="16"/>
      <c r="D426" s="16"/>
      <c r="E426" s="16"/>
      <c r="F426" s="30"/>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16"/>
      <c r="C427" s="16"/>
      <c r="D427" s="16"/>
      <c r="E427" s="16"/>
      <c r="F427" s="30"/>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16"/>
      <c r="C428" s="16"/>
      <c r="D428" s="16"/>
      <c r="E428" s="16"/>
      <c r="F428" s="30"/>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16"/>
      <c r="C429" s="16"/>
      <c r="D429" s="16"/>
      <c r="E429" s="16"/>
      <c r="F429" s="30"/>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16"/>
      <c r="C430" s="16"/>
      <c r="D430" s="16"/>
      <c r="E430" s="16"/>
      <c r="F430" s="30"/>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16"/>
      <c r="C431" s="16"/>
      <c r="D431" s="16"/>
      <c r="E431" s="16"/>
      <c r="F431" s="30"/>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16"/>
      <c r="C432" s="16"/>
      <c r="D432" s="16"/>
      <c r="E432" s="16"/>
      <c r="F432" s="30"/>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16"/>
      <c r="C433" s="16"/>
      <c r="D433" s="16"/>
      <c r="E433" s="16"/>
      <c r="F433" s="30"/>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16"/>
      <c r="C434" s="16"/>
      <c r="D434" s="16"/>
      <c r="E434" s="16"/>
      <c r="F434" s="30"/>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16"/>
      <c r="C435" s="16"/>
      <c r="D435" s="16"/>
      <c r="E435" s="16"/>
      <c r="F435" s="30"/>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16"/>
      <c r="C436" s="16"/>
      <c r="D436" s="16"/>
      <c r="E436" s="16"/>
      <c r="F436" s="30"/>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16"/>
      <c r="C437" s="16"/>
      <c r="D437" s="16"/>
      <c r="E437" s="16"/>
      <c r="F437" s="30"/>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16"/>
      <c r="C438" s="16"/>
      <c r="D438" s="16"/>
      <c r="E438" s="16"/>
      <c r="F438" s="30"/>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16"/>
      <c r="C439" s="16"/>
      <c r="D439" s="16"/>
      <c r="E439" s="16"/>
      <c r="F439" s="30"/>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16"/>
      <c r="C440" s="16"/>
      <c r="D440" s="16"/>
      <c r="E440" s="16"/>
      <c r="F440" s="30"/>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16"/>
      <c r="C441" s="16"/>
      <c r="D441" s="16"/>
      <c r="E441" s="16"/>
      <c r="F441" s="30"/>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16"/>
      <c r="C442" s="16"/>
      <c r="D442" s="16"/>
      <c r="E442" s="16"/>
      <c r="F442" s="30"/>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16"/>
      <c r="C443" s="16"/>
      <c r="D443" s="16"/>
      <c r="E443" s="16"/>
      <c r="F443" s="30"/>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16"/>
      <c r="C444" s="16"/>
      <c r="D444" s="16"/>
      <c r="E444" s="16"/>
      <c r="F444" s="30"/>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16"/>
      <c r="C445" s="16"/>
      <c r="D445" s="16"/>
      <c r="E445" s="16"/>
      <c r="F445" s="30"/>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16"/>
      <c r="C446" s="16"/>
      <c r="D446" s="16"/>
      <c r="E446" s="16"/>
      <c r="F446" s="30"/>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16"/>
      <c r="C447" s="16"/>
      <c r="D447" s="16"/>
      <c r="E447" s="16"/>
      <c r="F447" s="30"/>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16"/>
      <c r="C448" s="16"/>
      <c r="D448" s="16"/>
      <c r="E448" s="16"/>
      <c r="F448" s="30"/>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16"/>
      <c r="C449" s="16"/>
      <c r="D449" s="16"/>
      <c r="E449" s="16"/>
      <c r="F449" s="30"/>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16"/>
      <c r="C450" s="16"/>
      <c r="D450" s="16"/>
      <c r="E450" s="16"/>
      <c r="F450" s="30"/>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16"/>
      <c r="C451" s="16"/>
      <c r="D451" s="16"/>
      <c r="E451" s="16"/>
      <c r="F451" s="30"/>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16"/>
      <c r="C452" s="16"/>
      <c r="D452" s="16"/>
      <c r="E452" s="16"/>
      <c r="F452" s="30"/>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16"/>
      <c r="C453" s="16"/>
      <c r="D453" s="16"/>
      <c r="E453" s="16"/>
      <c r="F453" s="30"/>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16"/>
      <c r="C454" s="16"/>
      <c r="D454" s="16"/>
      <c r="E454" s="16"/>
      <c r="F454" s="30"/>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16"/>
      <c r="C455" s="16"/>
      <c r="D455" s="16"/>
      <c r="E455" s="16"/>
      <c r="F455" s="30"/>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16"/>
      <c r="C456" s="16"/>
      <c r="D456" s="16"/>
      <c r="E456" s="16"/>
      <c r="F456" s="30"/>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16"/>
      <c r="C457" s="16"/>
      <c r="D457" s="16"/>
      <c r="E457" s="16"/>
      <c r="F457" s="30"/>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16"/>
      <c r="C458" s="16"/>
      <c r="D458" s="16"/>
      <c r="E458" s="16"/>
      <c r="F458" s="30"/>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16"/>
      <c r="C459" s="16"/>
      <c r="D459" s="16"/>
      <c r="E459" s="16"/>
      <c r="F459" s="30"/>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16"/>
      <c r="C460" s="16"/>
      <c r="D460" s="16"/>
      <c r="E460" s="16"/>
      <c r="F460" s="30"/>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16"/>
      <c r="C461" s="16"/>
      <c r="D461" s="16"/>
      <c r="E461" s="16"/>
      <c r="F461" s="30"/>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16"/>
      <c r="C462" s="16"/>
      <c r="D462" s="16"/>
      <c r="E462" s="16"/>
      <c r="F462" s="30"/>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16"/>
      <c r="C463" s="16"/>
      <c r="D463" s="16"/>
      <c r="E463" s="16"/>
      <c r="F463" s="30"/>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16"/>
      <c r="C464" s="16"/>
      <c r="D464" s="16"/>
      <c r="E464" s="16"/>
      <c r="F464" s="30"/>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16"/>
      <c r="C465" s="16"/>
      <c r="D465" s="16"/>
      <c r="E465" s="16"/>
      <c r="F465" s="30"/>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16"/>
      <c r="C466" s="16"/>
      <c r="D466" s="16"/>
      <c r="E466" s="16"/>
      <c r="F466" s="30"/>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16"/>
      <c r="C467" s="16"/>
      <c r="D467" s="16"/>
      <c r="E467" s="16"/>
      <c r="F467" s="30"/>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16"/>
      <c r="C468" s="16"/>
      <c r="D468" s="16"/>
      <c r="E468" s="16"/>
      <c r="F468" s="30"/>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16"/>
      <c r="C469" s="16"/>
      <c r="D469" s="16"/>
      <c r="E469" s="16"/>
      <c r="F469" s="30"/>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16"/>
      <c r="C470" s="16"/>
      <c r="D470" s="16"/>
      <c r="E470" s="16"/>
      <c r="F470" s="30"/>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16"/>
      <c r="C471" s="16"/>
      <c r="D471" s="16"/>
      <c r="E471" s="16"/>
      <c r="F471" s="30"/>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16"/>
      <c r="C472" s="16"/>
      <c r="D472" s="16"/>
      <c r="E472" s="16"/>
      <c r="F472" s="30"/>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16"/>
      <c r="C473" s="16"/>
      <c r="D473" s="16"/>
      <c r="E473" s="16"/>
      <c r="F473" s="30"/>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16"/>
      <c r="C474" s="16"/>
      <c r="D474" s="16"/>
      <c r="E474" s="16"/>
      <c r="F474" s="30"/>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16"/>
      <c r="C475" s="16"/>
      <c r="D475" s="16"/>
      <c r="E475" s="16"/>
      <c r="F475" s="30"/>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16"/>
      <c r="C476" s="16"/>
      <c r="D476" s="16"/>
      <c r="E476" s="16"/>
      <c r="F476" s="30"/>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16"/>
      <c r="C477" s="16"/>
      <c r="D477" s="16"/>
      <c r="E477" s="16"/>
      <c r="F477" s="30"/>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16"/>
      <c r="C478" s="16"/>
      <c r="D478" s="16"/>
      <c r="E478" s="16"/>
      <c r="F478" s="30"/>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16"/>
      <c r="C479" s="16"/>
      <c r="D479" s="16"/>
      <c r="E479" s="16"/>
      <c r="F479" s="30"/>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16"/>
      <c r="C480" s="16"/>
      <c r="D480" s="16"/>
      <c r="E480" s="16"/>
      <c r="F480" s="30"/>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16"/>
      <c r="C481" s="16"/>
      <c r="D481" s="16"/>
      <c r="E481" s="16"/>
      <c r="F481" s="30"/>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16"/>
      <c r="C482" s="16"/>
      <c r="D482" s="16"/>
      <c r="E482" s="16"/>
      <c r="F482" s="30"/>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16"/>
      <c r="C483" s="16"/>
      <c r="D483" s="16"/>
      <c r="E483" s="16"/>
      <c r="F483" s="30"/>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16"/>
      <c r="C484" s="16"/>
      <c r="D484" s="16"/>
      <c r="E484" s="16"/>
      <c r="F484" s="30"/>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16"/>
      <c r="C485" s="16"/>
      <c r="D485" s="16"/>
      <c r="E485" s="16"/>
      <c r="F485" s="30"/>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16"/>
      <c r="C486" s="16"/>
      <c r="D486" s="16"/>
      <c r="E486" s="16"/>
      <c r="F486" s="30"/>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16"/>
      <c r="C487" s="16"/>
      <c r="D487" s="16"/>
      <c r="E487" s="16"/>
      <c r="F487" s="30"/>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16"/>
      <c r="C488" s="16"/>
      <c r="D488" s="16"/>
      <c r="E488" s="16"/>
      <c r="F488" s="30"/>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16"/>
      <c r="C489" s="16"/>
      <c r="D489" s="16"/>
      <c r="E489" s="16"/>
      <c r="F489" s="30"/>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16"/>
      <c r="C490" s="16"/>
      <c r="D490" s="16"/>
      <c r="E490" s="16"/>
      <c r="F490" s="30"/>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16"/>
      <c r="C491" s="16"/>
      <c r="D491" s="16"/>
      <c r="E491" s="16"/>
      <c r="F491" s="30"/>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16"/>
      <c r="C492" s="16"/>
      <c r="D492" s="16"/>
      <c r="E492" s="16"/>
      <c r="F492" s="30"/>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16"/>
      <c r="C493" s="16"/>
      <c r="D493" s="16"/>
      <c r="E493" s="16"/>
      <c r="F493" s="30"/>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16"/>
      <c r="C494" s="16"/>
      <c r="D494" s="16"/>
      <c r="E494" s="16"/>
      <c r="F494" s="30"/>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16"/>
      <c r="C495" s="16"/>
      <c r="D495" s="16"/>
      <c r="E495" s="16"/>
      <c r="F495" s="30"/>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16"/>
      <c r="C496" s="16"/>
      <c r="D496" s="16"/>
      <c r="E496" s="16"/>
      <c r="F496" s="30"/>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16"/>
      <c r="C497" s="16"/>
      <c r="D497" s="16"/>
      <c r="E497" s="16"/>
      <c r="F497" s="30"/>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16"/>
      <c r="C498" s="16"/>
      <c r="D498" s="16"/>
      <c r="E498" s="16"/>
      <c r="F498" s="30"/>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16"/>
      <c r="C499" s="16"/>
      <c r="D499" s="16"/>
      <c r="E499" s="16"/>
      <c r="F499" s="30"/>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16"/>
      <c r="C500" s="16"/>
      <c r="D500" s="16"/>
      <c r="E500" s="16"/>
      <c r="F500" s="30"/>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16"/>
      <c r="C501" s="16"/>
      <c r="D501" s="16"/>
      <c r="E501" s="16"/>
      <c r="F501" s="30"/>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16"/>
      <c r="C502" s="16"/>
      <c r="D502" s="16"/>
      <c r="E502" s="16"/>
      <c r="F502" s="30"/>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16"/>
      <c r="C503" s="16"/>
      <c r="D503" s="16"/>
      <c r="E503" s="16"/>
      <c r="F503" s="30"/>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16"/>
      <c r="C504" s="16"/>
      <c r="D504" s="16"/>
      <c r="E504" s="16"/>
      <c r="F504" s="30"/>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16"/>
      <c r="C505" s="16"/>
      <c r="D505" s="16"/>
      <c r="E505" s="16"/>
      <c r="F505" s="30"/>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16"/>
      <c r="C506" s="16"/>
      <c r="D506" s="16"/>
      <c r="E506" s="16"/>
      <c r="F506" s="30"/>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16"/>
      <c r="C507" s="16"/>
      <c r="D507" s="16"/>
      <c r="E507" s="16"/>
      <c r="F507" s="30"/>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16"/>
      <c r="C508" s="16"/>
      <c r="D508" s="16"/>
      <c r="E508" s="16"/>
      <c r="F508" s="30"/>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16"/>
      <c r="C509" s="16"/>
      <c r="D509" s="16"/>
      <c r="E509" s="16"/>
      <c r="F509" s="30"/>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16"/>
      <c r="C510" s="16"/>
      <c r="D510" s="16"/>
      <c r="E510" s="16"/>
      <c r="F510" s="30"/>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16"/>
      <c r="C511" s="16"/>
      <c r="D511" s="16"/>
      <c r="E511" s="16"/>
      <c r="F511" s="30"/>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16"/>
      <c r="C512" s="16"/>
      <c r="D512" s="16"/>
      <c r="E512" s="16"/>
      <c r="F512" s="30"/>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16"/>
      <c r="C513" s="16"/>
      <c r="D513" s="16"/>
      <c r="E513" s="16"/>
      <c r="F513" s="30"/>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16"/>
      <c r="C514" s="16"/>
      <c r="D514" s="16"/>
      <c r="E514" s="16"/>
      <c r="F514" s="30"/>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16"/>
      <c r="C515" s="16"/>
      <c r="D515" s="16"/>
      <c r="E515" s="16"/>
      <c r="F515" s="30"/>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16"/>
      <c r="C516" s="16"/>
      <c r="D516" s="16"/>
      <c r="E516" s="16"/>
      <c r="F516" s="30"/>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16"/>
      <c r="C517" s="16"/>
      <c r="D517" s="16"/>
      <c r="E517" s="16"/>
      <c r="F517" s="30"/>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16"/>
      <c r="C518" s="16"/>
      <c r="D518" s="16"/>
      <c r="E518" s="16"/>
      <c r="F518" s="30"/>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16"/>
      <c r="C519" s="16"/>
      <c r="D519" s="16"/>
      <c r="E519" s="16"/>
      <c r="F519" s="30"/>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16"/>
      <c r="C520" s="16"/>
      <c r="D520" s="16"/>
      <c r="E520" s="16"/>
      <c r="F520" s="30"/>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16"/>
      <c r="C521" s="16"/>
      <c r="D521" s="16"/>
      <c r="E521" s="16"/>
      <c r="F521" s="30"/>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16"/>
      <c r="C522" s="16"/>
      <c r="D522" s="16"/>
      <c r="E522" s="16"/>
      <c r="F522" s="30"/>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16"/>
      <c r="C523" s="16"/>
      <c r="D523" s="16"/>
      <c r="E523" s="16"/>
      <c r="F523" s="30"/>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16"/>
      <c r="C524" s="16"/>
      <c r="D524" s="16"/>
      <c r="E524" s="16"/>
      <c r="F524" s="30"/>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16"/>
      <c r="C525" s="16"/>
      <c r="D525" s="16"/>
      <c r="E525" s="16"/>
      <c r="F525" s="30"/>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16"/>
      <c r="C526" s="16"/>
      <c r="D526" s="16"/>
      <c r="E526" s="16"/>
      <c r="F526" s="30"/>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16"/>
      <c r="C527" s="16"/>
      <c r="D527" s="16"/>
      <c r="E527" s="16"/>
      <c r="F527" s="30"/>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16"/>
      <c r="C528" s="16"/>
      <c r="D528" s="16"/>
      <c r="E528" s="16"/>
      <c r="F528" s="30"/>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16"/>
      <c r="C529" s="16"/>
      <c r="D529" s="16"/>
      <c r="E529" s="16"/>
      <c r="F529" s="30"/>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16"/>
      <c r="C530" s="16"/>
      <c r="D530" s="16"/>
      <c r="E530" s="16"/>
      <c r="F530" s="30"/>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16"/>
      <c r="C531" s="16"/>
      <c r="D531" s="16"/>
      <c r="E531" s="16"/>
      <c r="F531" s="30"/>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16"/>
      <c r="C532" s="16"/>
      <c r="D532" s="16"/>
      <c r="E532" s="16"/>
      <c r="F532" s="30"/>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16"/>
      <c r="C533" s="16"/>
      <c r="D533" s="16"/>
      <c r="E533" s="16"/>
      <c r="F533" s="30"/>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16"/>
      <c r="C534" s="16"/>
      <c r="D534" s="16"/>
      <c r="E534" s="16"/>
      <c r="F534" s="30"/>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16"/>
      <c r="C535" s="16"/>
      <c r="D535" s="16"/>
      <c r="E535" s="16"/>
      <c r="F535" s="30"/>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16"/>
      <c r="C536" s="16"/>
      <c r="D536" s="16"/>
      <c r="E536" s="16"/>
      <c r="F536" s="30"/>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16"/>
      <c r="C537" s="16"/>
      <c r="D537" s="16"/>
      <c r="E537" s="16"/>
      <c r="F537" s="30"/>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16"/>
      <c r="C538" s="16"/>
      <c r="D538" s="16"/>
      <c r="E538" s="16"/>
      <c r="F538" s="30"/>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16"/>
      <c r="C539" s="16"/>
      <c r="D539" s="16"/>
      <c r="E539" s="16"/>
      <c r="F539" s="30"/>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16"/>
      <c r="C540" s="16"/>
      <c r="D540" s="16"/>
      <c r="E540" s="16"/>
      <c r="F540" s="30"/>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16"/>
      <c r="C541" s="16"/>
      <c r="D541" s="16"/>
      <c r="E541" s="16"/>
      <c r="F541" s="30"/>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16"/>
      <c r="C542" s="16"/>
      <c r="D542" s="16"/>
      <c r="E542" s="16"/>
      <c r="F542" s="30"/>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16"/>
      <c r="C543" s="16"/>
      <c r="D543" s="16"/>
      <c r="E543" s="16"/>
      <c r="F543" s="30"/>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16"/>
      <c r="C544" s="16"/>
      <c r="D544" s="16"/>
      <c r="E544" s="16"/>
      <c r="F544" s="30"/>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16"/>
      <c r="C545" s="16"/>
      <c r="D545" s="16"/>
      <c r="E545" s="16"/>
      <c r="F545" s="30"/>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16"/>
      <c r="C546" s="16"/>
      <c r="D546" s="16"/>
      <c r="E546" s="16"/>
      <c r="F546" s="30"/>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16"/>
      <c r="C547" s="16"/>
      <c r="D547" s="16"/>
      <c r="E547" s="16"/>
      <c r="F547" s="30"/>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16"/>
      <c r="C548" s="16"/>
      <c r="D548" s="16"/>
      <c r="E548" s="16"/>
      <c r="F548" s="30"/>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16"/>
      <c r="C549" s="16"/>
      <c r="D549" s="16"/>
      <c r="E549" s="16"/>
      <c r="F549" s="30"/>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16"/>
      <c r="C550" s="16"/>
      <c r="D550" s="16"/>
      <c r="E550" s="16"/>
      <c r="F550" s="30"/>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16"/>
      <c r="C551" s="16"/>
      <c r="D551" s="16"/>
      <c r="E551" s="16"/>
      <c r="F551" s="30"/>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16"/>
      <c r="C552" s="16"/>
      <c r="D552" s="16"/>
      <c r="E552" s="16"/>
      <c r="F552" s="30"/>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16"/>
      <c r="C553" s="16"/>
      <c r="D553" s="16"/>
      <c r="E553" s="16"/>
      <c r="F553" s="30"/>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16"/>
      <c r="C554" s="16"/>
      <c r="D554" s="16"/>
      <c r="E554" s="16"/>
      <c r="F554" s="30"/>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16"/>
      <c r="C555" s="16"/>
      <c r="D555" s="16"/>
      <c r="E555" s="16"/>
      <c r="F555" s="30"/>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16"/>
      <c r="C556" s="16"/>
      <c r="D556" s="16"/>
      <c r="E556" s="16"/>
      <c r="F556" s="30"/>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16"/>
      <c r="C557" s="16"/>
      <c r="D557" s="16"/>
      <c r="E557" s="16"/>
      <c r="F557" s="30"/>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16"/>
      <c r="C558" s="16"/>
      <c r="D558" s="16"/>
      <c r="E558" s="16"/>
      <c r="F558" s="30"/>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16"/>
      <c r="C559" s="16"/>
      <c r="D559" s="16"/>
      <c r="E559" s="16"/>
      <c r="F559" s="30"/>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16"/>
      <c r="C560" s="16"/>
      <c r="D560" s="16"/>
      <c r="E560" s="16"/>
      <c r="F560" s="30"/>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16"/>
      <c r="C561" s="16"/>
      <c r="D561" s="16"/>
      <c r="E561" s="16"/>
      <c r="F561" s="30"/>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16"/>
      <c r="C562" s="16"/>
      <c r="D562" s="16"/>
      <c r="E562" s="16"/>
      <c r="F562" s="30"/>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16"/>
      <c r="C563" s="16"/>
      <c r="D563" s="16"/>
      <c r="E563" s="16"/>
      <c r="F563" s="30"/>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16"/>
      <c r="C564" s="16"/>
      <c r="D564" s="16"/>
      <c r="E564" s="16"/>
      <c r="F564" s="30"/>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16"/>
      <c r="C565" s="16"/>
      <c r="D565" s="16"/>
      <c r="E565" s="16"/>
      <c r="F565" s="30"/>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16"/>
      <c r="C566" s="16"/>
      <c r="D566" s="16"/>
      <c r="E566" s="16"/>
      <c r="F566" s="30"/>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16"/>
      <c r="C567" s="16"/>
      <c r="D567" s="16"/>
      <c r="E567" s="16"/>
      <c r="F567" s="30"/>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16"/>
      <c r="C568" s="16"/>
      <c r="D568" s="16"/>
      <c r="E568" s="16"/>
      <c r="F568" s="30"/>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16"/>
      <c r="C569" s="16"/>
      <c r="D569" s="16"/>
      <c r="E569" s="16"/>
      <c r="F569" s="30"/>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16"/>
      <c r="C570" s="16"/>
      <c r="D570" s="16"/>
      <c r="E570" s="16"/>
      <c r="F570" s="30"/>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16"/>
      <c r="C571" s="16"/>
      <c r="D571" s="16"/>
      <c r="E571" s="16"/>
      <c r="F571" s="30"/>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16"/>
      <c r="C572" s="16"/>
      <c r="D572" s="16"/>
      <c r="E572" s="16"/>
      <c r="F572" s="30"/>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16"/>
      <c r="C573" s="16"/>
      <c r="D573" s="16"/>
      <c r="E573" s="16"/>
      <c r="F573" s="30"/>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16"/>
      <c r="C574" s="16"/>
      <c r="D574" s="16"/>
      <c r="E574" s="16"/>
      <c r="F574" s="30"/>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16"/>
      <c r="C575" s="16"/>
      <c r="D575" s="16"/>
      <c r="E575" s="16"/>
      <c r="F575" s="30"/>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16"/>
      <c r="C576" s="16"/>
      <c r="D576" s="16"/>
      <c r="E576" s="16"/>
      <c r="F576" s="30"/>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16"/>
      <c r="C577" s="16"/>
      <c r="D577" s="16"/>
      <c r="E577" s="16"/>
      <c r="F577" s="30"/>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16"/>
      <c r="C578" s="16"/>
      <c r="D578" s="16"/>
      <c r="E578" s="16"/>
      <c r="F578" s="30"/>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16"/>
      <c r="C579" s="16"/>
      <c r="D579" s="16"/>
      <c r="E579" s="16"/>
      <c r="F579" s="30"/>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16"/>
      <c r="C580" s="16"/>
      <c r="D580" s="16"/>
      <c r="E580" s="16"/>
      <c r="F580" s="30"/>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16"/>
      <c r="C581" s="16"/>
      <c r="D581" s="16"/>
      <c r="E581" s="16"/>
      <c r="F581" s="30"/>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16"/>
      <c r="C582" s="16"/>
      <c r="D582" s="16"/>
      <c r="E582" s="16"/>
      <c r="F582" s="30"/>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16"/>
      <c r="C583" s="16"/>
      <c r="D583" s="16"/>
      <c r="E583" s="16"/>
      <c r="F583" s="30"/>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16"/>
      <c r="C584" s="16"/>
      <c r="D584" s="16"/>
      <c r="E584" s="16"/>
      <c r="F584" s="30"/>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16"/>
      <c r="C585" s="16"/>
      <c r="D585" s="16"/>
      <c r="E585" s="16"/>
      <c r="F585" s="30"/>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16"/>
      <c r="C586" s="16"/>
      <c r="D586" s="16"/>
      <c r="E586" s="16"/>
      <c r="F586" s="30"/>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16"/>
      <c r="C587" s="16"/>
      <c r="D587" s="16"/>
      <c r="E587" s="16"/>
      <c r="F587" s="30"/>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16"/>
      <c r="C588" s="16"/>
      <c r="D588" s="16"/>
      <c r="E588" s="16"/>
      <c r="F588" s="30"/>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16"/>
      <c r="C589" s="16"/>
      <c r="D589" s="16"/>
      <c r="E589" s="16"/>
      <c r="F589" s="30"/>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16"/>
      <c r="C590" s="16"/>
      <c r="D590" s="16"/>
      <c r="E590" s="16"/>
      <c r="F590" s="30"/>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16"/>
      <c r="C591" s="16"/>
      <c r="D591" s="16"/>
      <c r="E591" s="16"/>
      <c r="F591" s="30"/>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16"/>
      <c r="C592" s="16"/>
      <c r="D592" s="16"/>
      <c r="E592" s="16"/>
      <c r="F592" s="30"/>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16"/>
      <c r="C593" s="16"/>
      <c r="D593" s="16"/>
      <c r="E593" s="16"/>
      <c r="F593" s="30"/>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16"/>
      <c r="C594" s="16"/>
      <c r="D594" s="16"/>
      <c r="E594" s="16"/>
      <c r="F594" s="30"/>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16"/>
      <c r="C595" s="16"/>
      <c r="D595" s="16"/>
      <c r="E595" s="16"/>
      <c r="F595" s="30"/>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16"/>
      <c r="C596" s="16"/>
      <c r="D596" s="16"/>
      <c r="E596" s="16"/>
      <c r="F596" s="30"/>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16"/>
      <c r="C597" s="16"/>
      <c r="D597" s="16"/>
      <c r="E597" s="16"/>
      <c r="F597" s="30"/>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16"/>
      <c r="C598" s="16"/>
      <c r="D598" s="16"/>
      <c r="E598" s="16"/>
      <c r="F598" s="30"/>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16"/>
      <c r="C599" s="16"/>
      <c r="D599" s="16"/>
      <c r="E599" s="16"/>
      <c r="F599" s="30"/>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16"/>
      <c r="C600" s="16"/>
      <c r="D600" s="16"/>
      <c r="E600" s="16"/>
      <c r="F600" s="30"/>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16"/>
      <c r="C601" s="16"/>
      <c r="D601" s="16"/>
      <c r="E601" s="16"/>
      <c r="F601" s="30"/>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16"/>
      <c r="C602" s="16"/>
      <c r="D602" s="16"/>
      <c r="E602" s="16"/>
      <c r="F602" s="30"/>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16"/>
      <c r="C603" s="16"/>
      <c r="D603" s="16"/>
      <c r="E603" s="16"/>
      <c r="F603" s="30"/>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16"/>
      <c r="C604" s="16"/>
      <c r="D604" s="16"/>
      <c r="E604" s="16"/>
      <c r="F604" s="30"/>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16"/>
      <c r="C605" s="16"/>
      <c r="D605" s="16"/>
      <c r="E605" s="16"/>
      <c r="F605" s="30"/>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16"/>
      <c r="C606" s="16"/>
      <c r="D606" s="16"/>
      <c r="E606" s="16"/>
      <c r="F606" s="30"/>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16"/>
      <c r="C607" s="16"/>
      <c r="D607" s="16"/>
      <c r="E607" s="16"/>
      <c r="F607" s="30"/>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16"/>
      <c r="C608" s="16"/>
      <c r="D608" s="16"/>
      <c r="E608" s="16"/>
      <c r="F608" s="30"/>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16"/>
      <c r="C609" s="16"/>
      <c r="D609" s="16"/>
      <c r="E609" s="16"/>
      <c r="F609" s="30"/>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16"/>
      <c r="C610" s="16"/>
      <c r="D610" s="16"/>
      <c r="E610" s="16"/>
      <c r="F610" s="30"/>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16"/>
      <c r="C611" s="16"/>
      <c r="D611" s="16"/>
      <c r="E611" s="16"/>
      <c r="F611" s="30"/>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16"/>
      <c r="C612" s="16"/>
      <c r="D612" s="16"/>
      <c r="E612" s="16"/>
      <c r="F612" s="30"/>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16"/>
      <c r="C613" s="16"/>
      <c r="D613" s="16"/>
      <c r="E613" s="16"/>
      <c r="F613" s="30"/>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16"/>
      <c r="C614" s="16"/>
      <c r="D614" s="16"/>
      <c r="E614" s="16"/>
      <c r="F614" s="30"/>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16"/>
      <c r="C615" s="16"/>
      <c r="D615" s="16"/>
      <c r="E615" s="16"/>
      <c r="F615" s="30"/>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16"/>
      <c r="C616" s="16"/>
      <c r="D616" s="16"/>
      <c r="E616" s="16"/>
      <c r="F616" s="30"/>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16"/>
      <c r="C617" s="16"/>
      <c r="D617" s="16"/>
      <c r="E617" s="16"/>
      <c r="F617" s="30"/>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16"/>
      <c r="C618" s="16"/>
      <c r="D618" s="16"/>
      <c r="E618" s="16"/>
      <c r="F618" s="30"/>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16"/>
      <c r="C619" s="16"/>
      <c r="D619" s="16"/>
      <c r="E619" s="16"/>
      <c r="F619" s="30"/>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16"/>
      <c r="C620" s="16"/>
      <c r="D620" s="16"/>
      <c r="E620" s="16"/>
      <c r="F620" s="30"/>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16"/>
      <c r="C621" s="16"/>
      <c r="D621" s="16"/>
      <c r="E621" s="16"/>
      <c r="F621" s="30"/>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16"/>
      <c r="C622" s="16"/>
      <c r="D622" s="16"/>
      <c r="E622" s="16"/>
      <c r="F622" s="30"/>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16"/>
      <c r="C623" s="16"/>
      <c r="D623" s="16"/>
      <c r="E623" s="16"/>
      <c r="F623" s="30"/>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16"/>
      <c r="C624" s="16"/>
      <c r="D624" s="16"/>
      <c r="E624" s="16"/>
      <c r="F624" s="30"/>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16"/>
      <c r="C625" s="16"/>
      <c r="D625" s="16"/>
      <c r="E625" s="16"/>
      <c r="F625" s="30"/>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16"/>
      <c r="C626" s="16"/>
      <c r="D626" s="16"/>
      <c r="E626" s="16"/>
      <c r="F626" s="30"/>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16"/>
      <c r="C627" s="16"/>
      <c r="D627" s="16"/>
      <c r="E627" s="16"/>
      <c r="F627" s="30"/>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16"/>
      <c r="C628" s="16"/>
      <c r="D628" s="16"/>
      <c r="E628" s="16"/>
      <c r="F628" s="30"/>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16"/>
      <c r="C629" s="16"/>
      <c r="D629" s="16"/>
      <c r="E629" s="16"/>
      <c r="F629" s="30"/>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16"/>
      <c r="C630" s="16"/>
      <c r="D630" s="16"/>
      <c r="E630" s="16"/>
      <c r="F630" s="30"/>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16"/>
      <c r="C631" s="16"/>
      <c r="D631" s="16"/>
      <c r="E631" s="16"/>
      <c r="F631" s="30"/>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16"/>
      <c r="C632" s="16"/>
      <c r="D632" s="16"/>
      <c r="E632" s="16"/>
      <c r="F632" s="30"/>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16"/>
      <c r="C633" s="16"/>
      <c r="D633" s="16"/>
      <c r="E633" s="16"/>
      <c r="F633" s="30"/>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16"/>
      <c r="C634" s="16"/>
      <c r="D634" s="16"/>
      <c r="E634" s="16"/>
      <c r="F634" s="30"/>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16"/>
      <c r="C635" s="16"/>
      <c r="D635" s="16"/>
      <c r="E635" s="16"/>
      <c r="F635" s="30"/>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16"/>
      <c r="C636" s="16"/>
      <c r="D636" s="16"/>
      <c r="E636" s="16"/>
      <c r="F636" s="30"/>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16"/>
      <c r="C637" s="16"/>
      <c r="D637" s="16"/>
      <c r="E637" s="16"/>
      <c r="F637" s="30"/>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16"/>
      <c r="C638" s="16"/>
      <c r="D638" s="16"/>
      <c r="E638" s="16"/>
      <c r="F638" s="30"/>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16"/>
      <c r="C639" s="16"/>
      <c r="D639" s="16"/>
      <c r="E639" s="16"/>
      <c r="F639" s="30"/>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16"/>
      <c r="C640" s="16"/>
      <c r="D640" s="16"/>
      <c r="E640" s="16"/>
      <c r="F640" s="30"/>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16"/>
      <c r="C641" s="16"/>
      <c r="D641" s="16"/>
      <c r="E641" s="16"/>
      <c r="F641" s="30"/>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16"/>
      <c r="C642" s="16"/>
      <c r="D642" s="16"/>
      <c r="E642" s="16"/>
      <c r="F642" s="30"/>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16"/>
      <c r="C643" s="16"/>
      <c r="D643" s="16"/>
      <c r="E643" s="16"/>
      <c r="F643" s="30"/>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16"/>
      <c r="C644" s="16"/>
      <c r="D644" s="16"/>
      <c r="E644" s="16"/>
      <c r="F644" s="30"/>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16"/>
      <c r="C645" s="16"/>
      <c r="D645" s="16"/>
      <c r="E645" s="16"/>
      <c r="F645" s="30"/>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16"/>
      <c r="C646" s="16"/>
      <c r="D646" s="16"/>
      <c r="E646" s="16"/>
      <c r="F646" s="30"/>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16"/>
      <c r="C647" s="16"/>
      <c r="D647" s="16"/>
      <c r="E647" s="16"/>
      <c r="F647" s="30"/>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16"/>
      <c r="C648" s="16"/>
      <c r="D648" s="16"/>
      <c r="E648" s="16"/>
      <c r="F648" s="30"/>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16"/>
      <c r="C649" s="16"/>
      <c r="D649" s="16"/>
      <c r="E649" s="16"/>
      <c r="F649" s="30"/>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16"/>
      <c r="C650" s="16"/>
      <c r="D650" s="16"/>
      <c r="E650" s="16"/>
      <c r="F650" s="30"/>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16"/>
      <c r="C651" s="16"/>
      <c r="D651" s="16"/>
      <c r="E651" s="16"/>
      <c r="F651" s="30"/>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16"/>
      <c r="C652" s="16"/>
      <c r="D652" s="16"/>
      <c r="E652" s="16"/>
      <c r="F652" s="30"/>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16"/>
      <c r="C653" s="16"/>
      <c r="D653" s="16"/>
      <c r="E653" s="16"/>
      <c r="F653" s="30"/>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16"/>
      <c r="C654" s="16"/>
      <c r="D654" s="16"/>
      <c r="E654" s="16"/>
      <c r="F654" s="30"/>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16"/>
      <c r="C655" s="16"/>
      <c r="D655" s="16"/>
      <c r="E655" s="16"/>
      <c r="F655" s="30"/>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16"/>
      <c r="C656" s="16"/>
      <c r="D656" s="16"/>
      <c r="E656" s="16"/>
      <c r="F656" s="30"/>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16"/>
      <c r="C657" s="16"/>
      <c r="D657" s="16"/>
      <c r="E657" s="16"/>
      <c r="F657" s="30"/>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16"/>
      <c r="C658" s="16"/>
      <c r="D658" s="16"/>
      <c r="E658" s="16"/>
      <c r="F658" s="30"/>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16"/>
      <c r="C659" s="16"/>
      <c r="D659" s="16"/>
      <c r="E659" s="16"/>
      <c r="F659" s="30"/>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16"/>
      <c r="C660" s="16"/>
      <c r="D660" s="16"/>
      <c r="E660" s="16"/>
      <c r="F660" s="30"/>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16"/>
      <c r="C661" s="16"/>
      <c r="D661" s="16"/>
      <c r="E661" s="16"/>
      <c r="F661" s="30"/>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16"/>
      <c r="C662" s="16"/>
      <c r="D662" s="16"/>
      <c r="E662" s="16"/>
      <c r="F662" s="30"/>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16"/>
      <c r="C663" s="16"/>
      <c r="D663" s="16"/>
      <c r="E663" s="16"/>
      <c r="F663" s="30"/>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16"/>
      <c r="C664" s="16"/>
      <c r="D664" s="16"/>
      <c r="E664" s="16"/>
      <c r="F664" s="30"/>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16"/>
      <c r="C665" s="16"/>
      <c r="D665" s="16"/>
      <c r="E665" s="16"/>
      <c r="F665" s="30"/>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16"/>
      <c r="C666" s="16"/>
      <c r="D666" s="16"/>
      <c r="E666" s="16"/>
      <c r="F666" s="30"/>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16"/>
      <c r="C667" s="16"/>
      <c r="D667" s="16"/>
      <c r="E667" s="16"/>
      <c r="F667" s="30"/>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16"/>
      <c r="C668" s="16"/>
      <c r="D668" s="16"/>
      <c r="E668" s="16"/>
      <c r="F668" s="30"/>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16"/>
      <c r="C669" s="16"/>
      <c r="D669" s="16"/>
      <c r="E669" s="16"/>
      <c r="F669" s="30"/>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16"/>
      <c r="C670" s="16"/>
      <c r="D670" s="16"/>
      <c r="E670" s="16"/>
      <c r="F670" s="30"/>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16"/>
      <c r="C671" s="16"/>
      <c r="D671" s="16"/>
      <c r="E671" s="16"/>
      <c r="F671" s="30"/>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16"/>
      <c r="C672" s="16"/>
      <c r="D672" s="16"/>
      <c r="E672" s="16"/>
      <c r="F672" s="30"/>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16"/>
      <c r="C673" s="16"/>
      <c r="D673" s="16"/>
      <c r="E673" s="16"/>
      <c r="F673" s="30"/>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16"/>
      <c r="C674" s="16"/>
      <c r="D674" s="16"/>
      <c r="E674" s="16"/>
      <c r="F674" s="30"/>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16"/>
      <c r="C675" s="16"/>
      <c r="D675" s="16"/>
      <c r="E675" s="16"/>
      <c r="F675" s="30"/>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16"/>
      <c r="C676" s="16"/>
      <c r="D676" s="16"/>
      <c r="E676" s="16"/>
      <c r="F676" s="30"/>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16"/>
      <c r="C677" s="16"/>
      <c r="D677" s="16"/>
      <c r="E677" s="16"/>
      <c r="F677" s="30"/>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16"/>
      <c r="C678" s="16"/>
      <c r="D678" s="16"/>
      <c r="E678" s="16"/>
      <c r="F678" s="30"/>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16"/>
      <c r="C679" s="16"/>
      <c r="D679" s="16"/>
      <c r="E679" s="16"/>
      <c r="F679" s="30"/>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16"/>
      <c r="C680" s="16"/>
      <c r="D680" s="16"/>
      <c r="E680" s="16"/>
      <c r="F680" s="30"/>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16"/>
      <c r="C681" s="16"/>
      <c r="D681" s="16"/>
      <c r="E681" s="16"/>
      <c r="F681" s="30"/>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16"/>
      <c r="C682" s="16"/>
      <c r="D682" s="16"/>
      <c r="E682" s="16"/>
      <c r="F682" s="30"/>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16"/>
      <c r="C683" s="16"/>
      <c r="D683" s="16"/>
      <c r="E683" s="16"/>
      <c r="F683" s="30"/>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16"/>
      <c r="C684" s="16"/>
      <c r="D684" s="16"/>
      <c r="E684" s="16"/>
      <c r="F684" s="30"/>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16"/>
      <c r="C685" s="16"/>
      <c r="D685" s="16"/>
      <c r="E685" s="16"/>
      <c r="F685" s="30"/>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16"/>
      <c r="C686" s="16"/>
      <c r="D686" s="16"/>
      <c r="E686" s="16"/>
      <c r="F686" s="30"/>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16"/>
      <c r="C687" s="16"/>
      <c r="D687" s="16"/>
      <c r="E687" s="16"/>
      <c r="F687" s="30"/>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16"/>
      <c r="C688" s="16"/>
      <c r="D688" s="16"/>
      <c r="E688" s="16"/>
      <c r="F688" s="30"/>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16"/>
      <c r="C689" s="16"/>
      <c r="D689" s="16"/>
      <c r="E689" s="16"/>
      <c r="F689" s="30"/>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16"/>
      <c r="C690" s="16"/>
      <c r="D690" s="16"/>
      <c r="E690" s="16"/>
      <c r="F690" s="30"/>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16"/>
      <c r="C691" s="16"/>
      <c r="D691" s="16"/>
      <c r="E691" s="16"/>
      <c r="F691" s="30"/>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16"/>
      <c r="C692" s="16"/>
      <c r="D692" s="16"/>
      <c r="E692" s="16"/>
      <c r="F692" s="30"/>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16"/>
      <c r="C693" s="16"/>
      <c r="D693" s="16"/>
      <c r="E693" s="16"/>
      <c r="F693" s="30"/>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16"/>
      <c r="C694" s="16"/>
      <c r="D694" s="16"/>
      <c r="E694" s="16"/>
      <c r="F694" s="30"/>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16"/>
      <c r="C695" s="16"/>
      <c r="D695" s="16"/>
      <c r="E695" s="16"/>
      <c r="F695" s="30"/>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16"/>
      <c r="C696" s="16"/>
      <c r="D696" s="16"/>
      <c r="E696" s="16"/>
      <c r="F696" s="30"/>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16"/>
      <c r="C697" s="16"/>
      <c r="D697" s="16"/>
      <c r="E697" s="16"/>
      <c r="F697" s="30"/>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16"/>
      <c r="C698" s="16"/>
      <c r="D698" s="16"/>
      <c r="E698" s="16"/>
      <c r="F698" s="30"/>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16"/>
      <c r="C699" s="16"/>
      <c r="D699" s="16"/>
      <c r="E699" s="16"/>
      <c r="F699" s="30"/>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16"/>
      <c r="C700" s="16"/>
      <c r="D700" s="16"/>
      <c r="E700" s="16"/>
      <c r="F700" s="30"/>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16"/>
      <c r="C701" s="16"/>
      <c r="D701" s="16"/>
      <c r="E701" s="16"/>
      <c r="F701" s="30"/>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16"/>
      <c r="C702" s="16"/>
      <c r="D702" s="16"/>
      <c r="E702" s="16"/>
      <c r="F702" s="30"/>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16"/>
      <c r="C703" s="16"/>
      <c r="D703" s="16"/>
      <c r="E703" s="16"/>
      <c r="F703" s="30"/>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16"/>
      <c r="C704" s="16"/>
      <c r="D704" s="16"/>
      <c r="E704" s="16"/>
      <c r="F704" s="30"/>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16"/>
      <c r="C705" s="16"/>
      <c r="D705" s="16"/>
      <c r="E705" s="16"/>
      <c r="F705" s="30"/>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16"/>
      <c r="C706" s="16"/>
      <c r="D706" s="16"/>
      <c r="E706" s="16"/>
      <c r="F706" s="30"/>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16"/>
      <c r="C707" s="16"/>
      <c r="D707" s="16"/>
      <c r="E707" s="16"/>
      <c r="F707" s="30"/>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16"/>
      <c r="C708" s="16"/>
      <c r="D708" s="16"/>
      <c r="E708" s="16"/>
      <c r="F708" s="30"/>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16"/>
      <c r="C709" s="16"/>
      <c r="D709" s="16"/>
      <c r="E709" s="16"/>
      <c r="F709" s="30"/>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16"/>
      <c r="C710" s="16"/>
      <c r="D710" s="16"/>
      <c r="E710" s="16"/>
      <c r="F710" s="30"/>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16"/>
      <c r="C711" s="16"/>
      <c r="D711" s="16"/>
      <c r="E711" s="16"/>
      <c r="F711" s="30"/>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16"/>
      <c r="C712" s="16"/>
      <c r="D712" s="16"/>
      <c r="E712" s="16"/>
      <c r="F712" s="30"/>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16"/>
      <c r="C713" s="16"/>
      <c r="D713" s="16"/>
      <c r="E713" s="16"/>
      <c r="F713" s="30"/>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16"/>
      <c r="C714" s="16"/>
      <c r="D714" s="16"/>
      <c r="E714" s="16"/>
      <c r="F714" s="30"/>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16"/>
      <c r="C715" s="16"/>
      <c r="D715" s="16"/>
      <c r="E715" s="16"/>
      <c r="F715" s="30"/>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16"/>
      <c r="C716" s="16"/>
      <c r="D716" s="16"/>
      <c r="E716" s="16"/>
      <c r="F716" s="30"/>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16"/>
      <c r="C717" s="16"/>
      <c r="D717" s="16"/>
      <c r="E717" s="16"/>
      <c r="F717" s="30"/>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16"/>
      <c r="C718" s="16"/>
      <c r="D718" s="16"/>
      <c r="E718" s="16"/>
      <c r="F718" s="30"/>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16"/>
      <c r="C719" s="16"/>
      <c r="D719" s="16"/>
      <c r="E719" s="16"/>
      <c r="F719" s="30"/>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16"/>
      <c r="C720" s="16"/>
      <c r="D720" s="16"/>
      <c r="E720" s="16"/>
      <c r="F720" s="30"/>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16"/>
      <c r="C721" s="16"/>
      <c r="D721" s="16"/>
      <c r="E721" s="16"/>
      <c r="F721" s="30"/>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16"/>
      <c r="C722" s="16"/>
      <c r="D722" s="16"/>
      <c r="E722" s="16"/>
      <c r="F722" s="30"/>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16"/>
      <c r="C723" s="16"/>
      <c r="D723" s="16"/>
      <c r="E723" s="16"/>
      <c r="F723" s="30"/>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16"/>
      <c r="C724" s="16"/>
      <c r="D724" s="16"/>
      <c r="E724" s="16"/>
      <c r="F724" s="30"/>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16"/>
      <c r="C725" s="16"/>
      <c r="D725" s="16"/>
      <c r="E725" s="16"/>
      <c r="F725" s="30"/>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16"/>
      <c r="C726" s="16"/>
      <c r="D726" s="16"/>
      <c r="E726" s="16"/>
      <c r="F726" s="30"/>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16"/>
      <c r="C727" s="16"/>
      <c r="D727" s="16"/>
      <c r="E727" s="16"/>
      <c r="F727" s="30"/>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16"/>
      <c r="C728" s="16"/>
      <c r="D728" s="16"/>
      <c r="E728" s="16"/>
      <c r="F728" s="30"/>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16"/>
      <c r="C729" s="16"/>
      <c r="D729" s="16"/>
      <c r="E729" s="16"/>
      <c r="F729" s="30"/>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16"/>
      <c r="C730" s="16"/>
      <c r="D730" s="16"/>
      <c r="E730" s="16"/>
      <c r="F730" s="30"/>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16"/>
      <c r="C731" s="16"/>
      <c r="D731" s="16"/>
      <c r="E731" s="16"/>
      <c r="F731" s="30"/>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16"/>
      <c r="C732" s="16"/>
      <c r="D732" s="16"/>
      <c r="E732" s="16"/>
      <c r="F732" s="30"/>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16"/>
      <c r="C733" s="16"/>
      <c r="D733" s="16"/>
      <c r="E733" s="16"/>
      <c r="F733" s="30"/>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16"/>
      <c r="C734" s="16"/>
      <c r="D734" s="16"/>
      <c r="E734" s="16"/>
      <c r="F734" s="30"/>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16"/>
      <c r="C735" s="16"/>
      <c r="D735" s="16"/>
      <c r="E735" s="16"/>
      <c r="F735" s="30"/>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16"/>
      <c r="C736" s="16"/>
      <c r="D736" s="16"/>
      <c r="E736" s="16"/>
      <c r="F736" s="30"/>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16"/>
      <c r="C737" s="16"/>
      <c r="D737" s="16"/>
      <c r="E737" s="16"/>
      <c r="F737" s="30"/>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16"/>
      <c r="C738" s="16"/>
      <c r="D738" s="16"/>
      <c r="E738" s="16"/>
      <c r="F738" s="30"/>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16"/>
      <c r="C739" s="16"/>
      <c r="D739" s="16"/>
      <c r="E739" s="16"/>
      <c r="F739" s="30"/>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16"/>
      <c r="C740" s="16"/>
      <c r="D740" s="16"/>
      <c r="E740" s="16"/>
      <c r="F740" s="30"/>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16"/>
      <c r="C741" s="16"/>
      <c r="D741" s="16"/>
      <c r="E741" s="16"/>
      <c r="F741" s="30"/>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16"/>
      <c r="C742" s="16"/>
      <c r="D742" s="16"/>
      <c r="E742" s="16"/>
      <c r="F742" s="30"/>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16"/>
      <c r="C743" s="16"/>
      <c r="D743" s="16"/>
      <c r="E743" s="16"/>
      <c r="F743" s="30"/>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16"/>
      <c r="C744" s="16"/>
      <c r="D744" s="16"/>
      <c r="E744" s="16"/>
      <c r="F744" s="30"/>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16"/>
      <c r="C745" s="16"/>
      <c r="D745" s="16"/>
      <c r="E745" s="16"/>
      <c r="F745" s="30"/>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16"/>
      <c r="C746" s="16"/>
      <c r="D746" s="16"/>
      <c r="E746" s="16"/>
      <c r="F746" s="30"/>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16"/>
      <c r="C747" s="16"/>
      <c r="D747" s="16"/>
      <c r="E747" s="16"/>
      <c r="F747" s="30"/>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16"/>
      <c r="C748" s="16"/>
      <c r="D748" s="16"/>
      <c r="E748" s="16"/>
      <c r="F748" s="30"/>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16"/>
      <c r="C749" s="16"/>
      <c r="D749" s="16"/>
      <c r="E749" s="16"/>
      <c r="F749" s="30"/>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16"/>
      <c r="C750" s="16"/>
      <c r="D750" s="16"/>
      <c r="E750" s="16"/>
      <c r="F750" s="30"/>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16"/>
      <c r="C751" s="16"/>
      <c r="D751" s="16"/>
      <c r="E751" s="16"/>
      <c r="F751" s="30"/>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16"/>
      <c r="C752" s="16"/>
      <c r="D752" s="16"/>
      <c r="E752" s="16"/>
      <c r="F752" s="30"/>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16"/>
      <c r="C753" s="16"/>
      <c r="D753" s="16"/>
      <c r="E753" s="16"/>
      <c r="F753" s="30"/>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16"/>
      <c r="C754" s="16"/>
      <c r="D754" s="16"/>
      <c r="E754" s="16"/>
      <c r="F754" s="30"/>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16"/>
      <c r="C755" s="16"/>
      <c r="D755" s="16"/>
      <c r="E755" s="16"/>
      <c r="F755" s="30"/>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16"/>
      <c r="C756" s="16"/>
      <c r="D756" s="16"/>
      <c r="E756" s="16"/>
      <c r="F756" s="30"/>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16"/>
      <c r="C757" s="16"/>
      <c r="D757" s="16"/>
      <c r="E757" s="16"/>
      <c r="F757" s="30"/>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16"/>
      <c r="C758" s="16"/>
      <c r="D758" s="16"/>
      <c r="E758" s="16"/>
      <c r="F758" s="30"/>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16"/>
      <c r="C759" s="16"/>
      <c r="D759" s="16"/>
      <c r="E759" s="16"/>
      <c r="F759" s="30"/>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16"/>
      <c r="C760" s="16"/>
      <c r="D760" s="16"/>
      <c r="E760" s="16"/>
      <c r="F760" s="30"/>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16"/>
      <c r="C761" s="16"/>
      <c r="D761" s="16"/>
      <c r="E761" s="16"/>
      <c r="F761" s="30"/>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16"/>
      <c r="C762" s="16"/>
      <c r="D762" s="16"/>
      <c r="E762" s="16"/>
      <c r="F762" s="30"/>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16"/>
      <c r="C763" s="16"/>
      <c r="D763" s="16"/>
      <c r="E763" s="16"/>
      <c r="F763" s="30"/>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16"/>
      <c r="C764" s="16"/>
      <c r="D764" s="16"/>
      <c r="E764" s="16"/>
      <c r="F764" s="30"/>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16"/>
      <c r="C765" s="16"/>
      <c r="D765" s="16"/>
      <c r="E765" s="16"/>
      <c r="F765" s="30"/>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16"/>
      <c r="C766" s="16"/>
      <c r="D766" s="16"/>
      <c r="E766" s="16"/>
      <c r="F766" s="30"/>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16"/>
      <c r="C767" s="16"/>
      <c r="D767" s="16"/>
      <c r="E767" s="16"/>
      <c r="F767" s="30"/>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16"/>
      <c r="C768" s="16"/>
      <c r="D768" s="16"/>
      <c r="E768" s="16"/>
      <c r="F768" s="30"/>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16"/>
      <c r="C769" s="16"/>
      <c r="D769" s="16"/>
      <c r="E769" s="16"/>
      <c r="F769" s="30"/>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16"/>
      <c r="C770" s="16"/>
      <c r="D770" s="16"/>
      <c r="E770" s="16"/>
      <c r="F770" s="30"/>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16"/>
      <c r="C771" s="16"/>
      <c r="D771" s="16"/>
      <c r="E771" s="16"/>
      <c r="F771" s="30"/>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16"/>
      <c r="C772" s="16"/>
      <c r="D772" s="16"/>
      <c r="E772" s="16"/>
      <c r="F772" s="30"/>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16"/>
      <c r="C773" s="16"/>
      <c r="D773" s="16"/>
      <c r="E773" s="16"/>
      <c r="F773" s="30"/>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16"/>
      <c r="C774" s="16"/>
      <c r="D774" s="16"/>
      <c r="E774" s="16"/>
      <c r="F774" s="30"/>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16"/>
      <c r="C775" s="16"/>
      <c r="D775" s="16"/>
      <c r="E775" s="16"/>
      <c r="F775" s="30"/>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16"/>
      <c r="C776" s="16"/>
      <c r="D776" s="16"/>
      <c r="E776" s="16"/>
      <c r="F776" s="30"/>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16"/>
      <c r="C777" s="16"/>
      <c r="D777" s="16"/>
      <c r="E777" s="16"/>
      <c r="F777" s="30"/>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16"/>
      <c r="C778" s="16"/>
      <c r="D778" s="16"/>
      <c r="E778" s="16"/>
      <c r="F778" s="30"/>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16"/>
      <c r="C779" s="16"/>
      <c r="D779" s="16"/>
      <c r="E779" s="16"/>
      <c r="F779" s="30"/>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16"/>
      <c r="C780" s="16"/>
      <c r="D780" s="16"/>
      <c r="E780" s="16"/>
      <c r="F780" s="30"/>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16"/>
      <c r="C781" s="16"/>
      <c r="D781" s="16"/>
      <c r="E781" s="16"/>
      <c r="F781" s="30"/>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16"/>
      <c r="C782" s="16"/>
      <c r="D782" s="16"/>
      <c r="E782" s="16"/>
      <c r="F782" s="30"/>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16"/>
      <c r="C783" s="16"/>
      <c r="D783" s="16"/>
      <c r="E783" s="16"/>
      <c r="F783" s="30"/>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16"/>
      <c r="C784" s="16"/>
      <c r="D784" s="16"/>
      <c r="E784" s="16"/>
      <c r="F784" s="30"/>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16"/>
      <c r="C785" s="16"/>
      <c r="D785" s="16"/>
      <c r="E785" s="16"/>
      <c r="F785" s="30"/>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16"/>
      <c r="C786" s="16"/>
      <c r="D786" s="16"/>
      <c r="E786" s="16"/>
      <c r="F786" s="30"/>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16"/>
      <c r="C787" s="16"/>
      <c r="D787" s="16"/>
      <c r="E787" s="16"/>
      <c r="F787" s="30"/>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16"/>
      <c r="C788" s="16"/>
      <c r="D788" s="16"/>
      <c r="E788" s="16"/>
      <c r="F788" s="30"/>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16"/>
      <c r="C789" s="16"/>
      <c r="D789" s="16"/>
      <c r="E789" s="16"/>
      <c r="F789" s="30"/>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16"/>
      <c r="C790" s="16"/>
      <c r="D790" s="16"/>
      <c r="E790" s="16"/>
      <c r="F790" s="30"/>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16"/>
      <c r="C791" s="16"/>
      <c r="D791" s="16"/>
      <c r="E791" s="16"/>
      <c r="F791" s="30"/>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16"/>
      <c r="C792" s="16"/>
      <c r="D792" s="16"/>
      <c r="E792" s="16"/>
      <c r="F792" s="30"/>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16"/>
      <c r="C793" s="16"/>
      <c r="D793" s="16"/>
      <c r="E793" s="16"/>
      <c r="F793" s="30"/>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16"/>
      <c r="C794" s="16"/>
      <c r="D794" s="16"/>
      <c r="E794" s="16"/>
      <c r="F794" s="30"/>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16"/>
      <c r="C795" s="16"/>
      <c r="D795" s="16"/>
      <c r="E795" s="16"/>
      <c r="F795" s="30"/>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16"/>
      <c r="C796" s="16"/>
      <c r="D796" s="16"/>
      <c r="E796" s="16"/>
      <c r="F796" s="30"/>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16"/>
      <c r="C797" s="16"/>
      <c r="D797" s="16"/>
      <c r="E797" s="16"/>
      <c r="F797" s="30"/>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16"/>
      <c r="C798" s="16"/>
      <c r="D798" s="16"/>
      <c r="E798" s="16"/>
      <c r="F798" s="30"/>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16"/>
      <c r="C799" s="16"/>
      <c r="D799" s="16"/>
      <c r="E799" s="16"/>
      <c r="F799" s="30"/>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16"/>
      <c r="C800" s="16"/>
      <c r="D800" s="16"/>
      <c r="E800" s="16"/>
      <c r="F800" s="30"/>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16"/>
      <c r="C801" s="16"/>
      <c r="D801" s="16"/>
      <c r="E801" s="16"/>
      <c r="F801" s="30"/>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16"/>
      <c r="C802" s="16"/>
      <c r="D802" s="16"/>
      <c r="E802" s="16"/>
      <c r="F802" s="30"/>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16"/>
      <c r="C803" s="16"/>
      <c r="D803" s="16"/>
      <c r="E803" s="16"/>
      <c r="F803" s="30"/>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16"/>
      <c r="C804" s="16"/>
      <c r="D804" s="16"/>
      <c r="E804" s="16"/>
      <c r="F804" s="30"/>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16"/>
      <c r="C805" s="16"/>
      <c r="D805" s="16"/>
      <c r="E805" s="16"/>
      <c r="F805" s="30"/>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16"/>
      <c r="C806" s="16"/>
      <c r="D806" s="16"/>
      <c r="E806" s="16"/>
      <c r="F806" s="30"/>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16"/>
      <c r="C807" s="16"/>
      <c r="D807" s="16"/>
      <c r="E807" s="16"/>
      <c r="F807" s="30"/>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16"/>
      <c r="C808" s="16"/>
      <c r="D808" s="16"/>
      <c r="E808" s="16"/>
      <c r="F808" s="30"/>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16"/>
      <c r="C809" s="16"/>
      <c r="D809" s="16"/>
      <c r="E809" s="16"/>
      <c r="F809" s="30"/>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16"/>
      <c r="C810" s="16"/>
      <c r="D810" s="16"/>
      <c r="E810" s="16"/>
      <c r="F810" s="30"/>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16"/>
      <c r="C811" s="16"/>
      <c r="D811" s="16"/>
      <c r="E811" s="16"/>
      <c r="F811" s="30"/>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16"/>
      <c r="C812" s="16"/>
      <c r="D812" s="16"/>
      <c r="E812" s="16"/>
      <c r="F812" s="30"/>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16"/>
      <c r="C813" s="16"/>
      <c r="D813" s="16"/>
      <c r="E813" s="16"/>
      <c r="F813" s="30"/>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16"/>
      <c r="C814" s="16"/>
      <c r="D814" s="16"/>
      <c r="E814" s="16"/>
      <c r="F814" s="30"/>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16"/>
      <c r="C815" s="16"/>
      <c r="D815" s="16"/>
      <c r="E815" s="16"/>
      <c r="F815" s="30"/>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16"/>
      <c r="C816" s="16"/>
      <c r="D816" s="16"/>
      <c r="E816" s="16"/>
      <c r="F816" s="30"/>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16"/>
      <c r="C817" s="16"/>
      <c r="D817" s="16"/>
      <c r="E817" s="16"/>
      <c r="F817" s="30"/>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16"/>
      <c r="C818" s="16"/>
      <c r="D818" s="16"/>
      <c r="E818" s="16"/>
      <c r="F818" s="30"/>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16"/>
      <c r="C819" s="16"/>
      <c r="D819" s="16"/>
      <c r="E819" s="16"/>
      <c r="F819" s="30"/>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16"/>
      <c r="C820" s="16"/>
      <c r="D820" s="16"/>
      <c r="E820" s="16"/>
      <c r="F820" s="30"/>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16"/>
      <c r="C821" s="16"/>
      <c r="D821" s="16"/>
      <c r="E821" s="16"/>
      <c r="F821" s="30"/>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16"/>
      <c r="C822" s="16"/>
      <c r="D822" s="16"/>
      <c r="E822" s="16"/>
      <c r="F822" s="30"/>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16"/>
      <c r="C823" s="16"/>
      <c r="D823" s="16"/>
      <c r="E823" s="16"/>
      <c r="F823" s="30"/>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16"/>
      <c r="C824" s="16"/>
      <c r="D824" s="16"/>
      <c r="E824" s="16"/>
      <c r="F824" s="30"/>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16"/>
      <c r="C825" s="16"/>
      <c r="D825" s="16"/>
      <c r="E825" s="16"/>
      <c r="F825" s="30"/>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16"/>
      <c r="C826" s="16"/>
      <c r="D826" s="16"/>
      <c r="E826" s="16"/>
      <c r="F826" s="30"/>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16"/>
      <c r="C827" s="16"/>
      <c r="D827" s="16"/>
      <c r="E827" s="16"/>
      <c r="F827" s="30"/>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16"/>
      <c r="C828" s="16"/>
      <c r="D828" s="16"/>
      <c r="E828" s="16"/>
      <c r="F828" s="30"/>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16"/>
      <c r="C829" s="16"/>
      <c r="D829" s="16"/>
      <c r="E829" s="16"/>
      <c r="F829" s="30"/>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16"/>
      <c r="C830" s="16"/>
      <c r="D830" s="16"/>
      <c r="E830" s="16"/>
      <c r="F830" s="30"/>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16"/>
      <c r="C831" s="16"/>
      <c r="D831" s="16"/>
      <c r="E831" s="16"/>
      <c r="F831" s="30"/>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16"/>
      <c r="C832" s="16"/>
      <c r="D832" s="16"/>
      <c r="E832" s="16"/>
      <c r="F832" s="30"/>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16"/>
      <c r="C833" s="16"/>
      <c r="D833" s="16"/>
      <c r="E833" s="16"/>
      <c r="F833" s="30"/>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16"/>
      <c r="C834" s="16"/>
      <c r="D834" s="16"/>
      <c r="E834" s="16"/>
      <c r="F834" s="30"/>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16"/>
      <c r="C835" s="16"/>
      <c r="D835" s="16"/>
      <c r="E835" s="16"/>
      <c r="F835" s="30"/>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16"/>
      <c r="C836" s="16"/>
      <c r="D836" s="16"/>
      <c r="E836" s="16"/>
      <c r="F836" s="30"/>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16"/>
      <c r="C837" s="16"/>
      <c r="D837" s="16"/>
      <c r="E837" s="16"/>
      <c r="F837" s="30"/>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16"/>
      <c r="C838" s="16"/>
      <c r="D838" s="16"/>
      <c r="E838" s="16"/>
      <c r="F838" s="30"/>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16"/>
      <c r="C839" s="16"/>
      <c r="D839" s="16"/>
      <c r="E839" s="16"/>
      <c r="F839" s="30"/>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16"/>
      <c r="C840" s="16"/>
      <c r="D840" s="16"/>
      <c r="E840" s="16"/>
      <c r="F840" s="30"/>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16"/>
      <c r="C841" s="16"/>
      <c r="D841" s="16"/>
      <c r="E841" s="16"/>
      <c r="F841" s="30"/>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16"/>
      <c r="C842" s="16"/>
      <c r="D842" s="16"/>
      <c r="E842" s="16"/>
      <c r="F842" s="30"/>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16"/>
      <c r="C843" s="16"/>
      <c r="D843" s="16"/>
      <c r="E843" s="16"/>
      <c r="F843" s="30"/>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16"/>
      <c r="C844" s="16"/>
      <c r="D844" s="16"/>
      <c r="E844" s="16"/>
      <c r="F844" s="30"/>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16"/>
      <c r="C845" s="16"/>
      <c r="D845" s="16"/>
      <c r="E845" s="16"/>
      <c r="F845" s="30"/>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16"/>
      <c r="C846" s="16"/>
      <c r="D846" s="16"/>
      <c r="E846" s="16"/>
      <c r="F846" s="30"/>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16"/>
      <c r="C847" s="16"/>
      <c r="D847" s="16"/>
      <c r="E847" s="16"/>
      <c r="F847" s="30"/>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16"/>
      <c r="C848" s="16"/>
      <c r="D848" s="16"/>
      <c r="E848" s="16"/>
      <c r="F848" s="30"/>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16"/>
      <c r="C849" s="16"/>
      <c r="D849" s="16"/>
      <c r="E849" s="16"/>
      <c r="F849" s="30"/>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16"/>
      <c r="C850" s="16"/>
      <c r="D850" s="16"/>
      <c r="E850" s="16"/>
      <c r="F850" s="30"/>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16"/>
      <c r="C851" s="16"/>
      <c r="D851" s="16"/>
      <c r="E851" s="16"/>
      <c r="F851" s="30"/>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16"/>
      <c r="C852" s="16"/>
      <c r="D852" s="16"/>
      <c r="E852" s="16"/>
      <c r="F852" s="30"/>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16"/>
      <c r="C853" s="16"/>
      <c r="D853" s="16"/>
      <c r="E853" s="16"/>
      <c r="F853" s="30"/>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16"/>
      <c r="C854" s="16"/>
      <c r="D854" s="16"/>
      <c r="E854" s="16"/>
      <c r="F854" s="30"/>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16"/>
      <c r="C855" s="16"/>
      <c r="D855" s="16"/>
      <c r="E855" s="16"/>
      <c r="F855" s="30"/>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16"/>
      <c r="C856" s="16"/>
      <c r="D856" s="16"/>
      <c r="E856" s="16"/>
      <c r="F856" s="30"/>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16"/>
      <c r="C857" s="16"/>
      <c r="D857" s="16"/>
      <c r="E857" s="16"/>
      <c r="F857" s="30"/>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16"/>
      <c r="C858" s="16"/>
      <c r="D858" s="16"/>
      <c r="E858" s="16"/>
      <c r="F858" s="30"/>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16"/>
      <c r="C859" s="16"/>
      <c r="D859" s="16"/>
      <c r="E859" s="16"/>
      <c r="F859" s="30"/>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16"/>
      <c r="C860" s="16"/>
      <c r="D860" s="16"/>
      <c r="E860" s="16"/>
      <c r="F860" s="30"/>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16"/>
      <c r="C861" s="16"/>
      <c r="D861" s="16"/>
      <c r="E861" s="16"/>
      <c r="F861" s="30"/>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16"/>
      <c r="C862" s="16"/>
      <c r="D862" s="16"/>
      <c r="E862" s="16"/>
      <c r="F862" s="30"/>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16"/>
      <c r="C863" s="16"/>
      <c r="D863" s="16"/>
      <c r="E863" s="16"/>
      <c r="F863" s="30"/>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16"/>
      <c r="C864" s="16"/>
      <c r="D864" s="16"/>
      <c r="E864" s="16"/>
      <c r="F864" s="30"/>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16"/>
      <c r="C865" s="16"/>
      <c r="D865" s="16"/>
      <c r="E865" s="16"/>
      <c r="F865" s="30"/>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16"/>
      <c r="C866" s="16"/>
      <c r="D866" s="16"/>
      <c r="E866" s="16"/>
      <c r="F866" s="30"/>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16"/>
      <c r="C867" s="16"/>
      <c r="D867" s="16"/>
      <c r="E867" s="16"/>
      <c r="F867" s="30"/>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16"/>
      <c r="C868" s="16"/>
      <c r="D868" s="16"/>
      <c r="E868" s="16"/>
      <c r="F868" s="30"/>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16"/>
      <c r="C869" s="16"/>
      <c r="D869" s="16"/>
      <c r="E869" s="16"/>
      <c r="F869" s="30"/>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16"/>
      <c r="C870" s="16"/>
      <c r="D870" s="16"/>
      <c r="E870" s="16"/>
      <c r="F870" s="30"/>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16"/>
      <c r="C871" s="16"/>
      <c r="D871" s="16"/>
      <c r="E871" s="16"/>
      <c r="F871" s="30"/>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16"/>
      <c r="C872" s="16"/>
      <c r="D872" s="16"/>
      <c r="E872" s="16"/>
      <c r="F872" s="30"/>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16"/>
      <c r="C873" s="16"/>
      <c r="D873" s="16"/>
      <c r="E873" s="16"/>
      <c r="F873" s="30"/>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16"/>
      <c r="C874" s="16"/>
      <c r="D874" s="16"/>
      <c r="E874" s="16"/>
      <c r="F874" s="30"/>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16"/>
      <c r="C875" s="16"/>
      <c r="D875" s="16"/>
      <c r="E875" s="16"/>
      <c r="F875" s="30"/>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16"/>
      <c r="C876" s="16"/>
      <c r="D876" s="16"/>
      <c r="E876" s="16"/>
      <c r="F876" s="30"/>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16"/>
      <c r="C877" s="16"/>
      <c r="D877" s="16"/>
      <c r="E877" s="16"/>
      <c r="F877" s="30"/>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16"/>
      <c r="C878" s="16"/>
      <c r="D878" s="16"/>
      <c r="E878" s="16"/>
      <c r="F878" s="30"/>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16"/>
      <c r="C879" s="16"/>
      <c r="D879" s="16"/>
      <c r="E879" s="16"/>
      <c r="F879" s="30"/>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16"/>
      <c r="C880" s="16"/>
      <c r="D880" s="16"/>
      <c r="E880" s="16"/>
      <c r="F880" s="30"/>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16"/>
      <c r="C881" s="16"/>
      <c r="D881" s="16"/>
      <c r="E881" s="16"/>
      <c r="F881" s="30"/>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16"/>
      <c r="C882" s="16"/>
      <c r="D882" s="16"/>
      <c r="E882" s="16"/>
      <c r="F882" s="30"/>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16"/>
      <c r="C883" s="16"/>
      <c r="D883" s="16"/>
      <c r="E883" s="16"/>
      <c r="F883" s="30"/>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16"/>
      <c r="C884" s="16"/>
      <c r="D884" s="16"/>
      <c r="E884" s="16"/>
      <c r="F884" s="30"/>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16"/>
      <c r="C885" s="16"/>
      <c r="D885" s="16"/>
      <c r="E885" s="16"/>
      <c r="F885" s="30"/>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16"/>
      <c r="C886" s="16"/>
      <c r="D886" s="16"/>
      <c r="E886" s="16"/>
      <c r="F886" s="30"/>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16"/>
      <c r="C887" s="16"/>
      <c r="D887" s="16"/>
      <c r="E887" s="16"/>
      <c r="F887" s="30"/>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16"/>
      <c r="C888" s="16"/>
      <c r="D888" s="16"/>
      <c r="E888" s="16"/>
      <c r="F888" s="30"/>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16"/>
      <c r="C889" s="16"/>
      <c r="D889" s="16"/>
      <c r="E889" s="16"/>
      <c r="F889" s="30"/>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16"/>
      <c r="C890" s="16"/>
      <c r="D890" s="16"/>
      <c r="E890" s="16"/>
      <c r="F890" s="30"/>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16"/>
      <c r="C891" s="16"/>
      <c r="D891" s="16"/>
      <c r="E891" s="16"/>
      <c r="F891" s="30"/>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16"/>
      <c r="C892" s="16"/>
      <c r="D892" s="16"/>
      <c r="E892" s="16"/>
      <c r="F892" s="30"/>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16"/>
      <c r="C893" s="16"/>
      <c r="D893" s="16"/>
      <c r="E893" s="16"/>
      <c r="F893" s="30"/>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16"/>
      <c r="C894" s="16"/>
      <c r="D894" s="16"/>
      <c r="E894" s="16"/>
      <c r="F894" s="30"/>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16"/>
      <c r="C895" s="16"/>
      <c r="D895" s="16"/>
      <c r="E895" s="16"/>
      <c r="F895" s="30"/>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16"/>
      <c r="C896" s="16"/>
      <c r="D896" s="16"/>
      <c r="E896" s="16"/>
      <c r="F896" s="30"/>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16"/>
      <c r="C897" s="16"/>
      <c r="D897" s="16"/>
      <c r="E897" s="16"/>
      <c r="F897" s="30"/>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16"/>
      <c r="C898" s="16"/>
      <c r="D898" s="16"/>
      <c r="E898" s="16"/>
      <c r="F898" s="30"/>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16"/>
      <c r="C899" s="16"/>
      <c r="D899" s="16"/>
      <c r="E899" s="16"/>
      <c r="F899" s="30"/>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16"/>
      <c r="C900" s="16"/>
      <c r="D900" s="16"/>
      <c r="E900" s="16"/>
      <c r="F900" s="30"/>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16"/>
      <c r="C901" s="16"/>
      <c r="D901" s="16"/>
      <c r="E901" s="16"/>
      <c r="F901" s="30"/>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16"/>
      <c r="C902" s="16"/>
      <c r="D902" s="16"/>
      <c r="E902" s="16"/>
      <c r="F902" s="30"/>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16"/>
      <c r="C903" s="16"/>
      <c r="D903" s="16"/>
      <c r="E903" s="16"/>
      <c r="F903" s="30"/>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16"/>
      <c r="C904" s="16"/>
      <c r="D904" s="16"/>
      <c r="E904" s="16"/>
      <c r="F904" s="30"/>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16"/>
      <c r="C905" s="16"/>
      <c r="D905" s="16"/>
      <c r="E905" s="16"/>
      <c r="F905" s="30"/>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16"/>
      <c r="C906" s="16"/>
      <c r="D906" s="16"/>
      <c r="E906" s="16"/>
      <c r="F906" s="30"/>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16"/>
      <c r="C907" s="16"/>
      <c r="D907" s="16"/>
      <c r="E907" s="16"/>
      <c r="F907" s="30"/>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16"/>
      <c r="C908" s="16"/>
      <c r="D908" s="16"/>
      <c r="E908" s="16"/>
      <c r="F908" s="30"/>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16"/>
      <c r="C909" s="16"/>
      <c r="D909" s="16"/>
      <c r="E909" s="16"/>
      <c r="F909" s="30"/>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16"/>
      <c r="C910" s="16"/>
      <c r="D910" s="16"/>
      <c r="E910" s="16"/>
      <c r="F910" s="30"/>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16"/>
      <c r="C911" s="16"/>
      <c r="D911" s="16"/>
      <c r="E911" s="16"/>
      <c r="F911" s="30"/>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16"/>
      <c r="C912" s="16"/>
      <c r="D912" s="16"/>
      <c r="E912" s="16"/>
      <c r="F912" s="30"/>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16"/>
      <c r="C913" s="16"/>
      <c r="D913" s="16"/>
      <c r="E913" s="16"/>
      <c r="F913" s="30"/>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16"/>
      <c r="C914" s="16"/>
      <c r="D914" s="16"/>
      <c r="E914" s="16"/>
      <c r="F914" s="30"/>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16"/>
      <c r="C915" s="16"/>
      <c r="D915" s="16"/>
      <c r="E915" s="16"/>
      <c r="F915" s="30"/>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16"/>
      <c r="C916" s="16"/>
      <c r="D916" s="16"/>
      <c r="E916" s="16"/>
      <c r="F916" s="30"/>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16"/>
      <c r="C917" s="16"/>
      <c r="D917" s="16"/>
      <c r="E917" s="16"/>
      <c r="F917" s="30"/>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16"/>
      <c r="C918" s="16"/>
      <c r="D918" s="16"/>
      <c r="E918" s="16"/>
      <c r="F918" s="30"/>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16"/>
      <c r="C919" s="16"/>
      <c r="D919" s="16"/>
      <c r="E919" s="16"/>
      <c r="F919" s="30"/>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16"/>
      <c r="C920" s="16"/>
      <c r="D920" s="16"/>
      <c r="E920" s="16"/>
      <c r="F920" s="30"/>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16"/>
      <c r="C921" s="16"/>
      <c r="D921" s="16"/>
      <c r="E921" s="16"/>
      <c r="F921" s="30"/>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16"/>
      <c r="C922" s="16"/>
      <c r="D922" s="16"/>
      <c r="E922" s="16"/>
      <c r="F922" s="30"/>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16"/>
      <c r="C923" s="16"/>
      <c r="D923" s="16"/>
      <c r="E923" s="16"/>
      <c r="F923" s="30"/>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16"/>
      <c r="C924" s="16"/>
      <c r="D924" s="16"/>
      <c r="E924" s="16"/>
      <c r="F924" s="30"/>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16"/>
      <c r="C925" s="16"/>
      <c r="D925" s="16"/>
      <c r="E925" s="16"/>
      <c r="F925" s="30"/>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16"/>
      <c r="C926" s="16"/>
      <c r="D926" s="16"/>
      <c r="E926" s="16"/>
      <c r="F926" s="30"/>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16"/>
      <c r="C927" s="16"/>
      <c r="D927" s="16"/>
      <c r="E927" s="16"/>
      <c r="F927" s="30"/>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16"/>
      <c r="C928" s="16"/>
      <c r="D928" s="16"/>
      <c r="E928" s="16"/>
      <c r="F928" s="30"/>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16"/>
      <c r="C929" s="16"/>
      <c r="D929" s="16"/>
      <c r="E929" s="16"/>
      <c r="F929" s="30"/>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16"/>
      <c r="C930" s="16"/>
      <c r="D930" s="16"/>
      <c r="E930" s="16"/>
      <c r="F930" s="30"/>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16"/>
      <c r="C931" s="16"/>
      <c r="D931" s="16"/>
      <c r="E931" s="16"/>
      <c r="F931" s="30"/>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16"/>
      <c r="C932" s="16"/>
      <c r="D932" s="16"/>
      <c r="E932" s="16"/>
      <c r="F932" s="30"/>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16"/>
      <c r="C933" s="16"/>
      <c r="D933" s="16"/>
      <c r="E933" s="16"/>
      <c r="F933" s="30"/>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16"/>
      <c r="C934" s="16"/>
      <c r="D934" s="16"/>
      <c r="E934" s="16"/>
      <c r="F934" s="30"/>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16"/>
      <c r="C935" s="16"/>
      <c r="D935" s="16"/>
      <c r="E935" s="16"/>
      <c r="F935" s="30"/>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16"/>
      <c r="C936" s="16"/>
      <c r="D936" s="16"/>
      <c r="E936" s="16"/>
      <c r="F936" s="30"/>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16"/>
      <c r="C937" s="16"/>
      <c r="D937" s="16"/>
      <c r="E937" s="16"/>
      <c r="F937" s="30"/>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16"/>
      <c r="C938" s="16"/>
      <c r="D938" s="16"/>
      <c r="E938" s="16"/>
      <c r="F938" s="30"/>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16"/>
      <c r="C939" s="16"/>
      <c r="D939" s="16"/>
      <c r="E939" s="16"/>
      <c r="F939" s="30"/>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16"/>
      <c r="C940" s="16"/>
      <c r="D940" s="16"/>
      <c r="E940" s="16"/>
      <c r="F940" s="30"/>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16"/>
      <c r="C941" s="16"/>
      <c r="D941" s="16"/>
      <c r="E941" s="16"/>
      <c r="F941" s="30"/>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16"/>
      <c r="C942" s="16"/>
      <c r="D942" s="16"/>
      <c r="E942" s="16"/>
      <c r="F942" s="30"/>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16"/>
      <c r="C943" s="16"/>
      <c r="D943" s="16"/>
      <c r="E943" s="16"/>
      <c r="F943" s="30"/>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16"/>
      <c r="C944" s="16"/>
      <c r="D944" s="16"/>
      <c r="E944" s="16"/>
      <c r="F944" s="30"/>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16"/>
      <c r="C945" s="16"/>
      <c r="D945" s="16"/>
      <c r="E945" s="16"/>
      <c r="F945" s="30"/>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16"/>
      <c r="C946" s="16"/>
      <c r="D946" s="16"/>
      <c r="E946" s="16"/>
      <c r="F946" s="30"/>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16"/>
      <c r="C947" s="16"/>
      <c r="D947" s="16"/>
      <c r="E947" s="16"/>
      <c r="F947" s="30"/>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16"/>
      <c r="C948" s="16"/>
      <c r="D948" s="16"/>
      <c r="E948" s="16"/>
      <c r="F948" s="30"/>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16"/>
      <c r="C949" s="16"/>
      <c r="D949" s="16"/>
      <c r="E949" s="16"/>
      <c r="F949" s="30"/>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16"/>
      <c r="C950" s="16"/>
      <c r="D950" s="16"/>
      <c r="E950" s="16"/>
      <c r="F950" s="30"/>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16"/>
      <c r="C951" s="16"/>
      <c r="D951" s="16"/>
      <c r="E951" s="16"/>
      <c r="F951" s="30"/>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16"/>
      <c r="C952" s="16"/>
      <c r="D952" s="16"/>
      <c r="E952" s="16"/>
      <c r="F952" s="30"/>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16"/>
      <c r="C953" s="16"/>
      <c r="D953" s="16"/>
      <c r="E953" s="16"/>
      <c r="F953" s="30"/>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16"/>
      <c r="C954" s="16"/>
      <c r="D954" s="16"/>
      <c r="E954" s="16"/>
      <c r="F954" s="30"/>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16"/>
      <c r="C955" s="16"/>
      <c r="D955" s="16"/>
      <c r="E955" s="16"/>
      <c r="F955" s="30"/>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16"/>
      <c r="C956" s="16"/>
      <c r="D956" s="16"/>
      <c r="E956" s="16"/>
      <c r="F956" s="30"/>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16"/>
      <c r="C957" s="16"/>
      <c r="D957" s="16"/>
      <c r="E957" s="16"/>
      <c r="F957" s="30"/>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16"/>
      <c r="C958" s="16"/>
      <c r="D958" s="16"/>
      <c r="E958" s="16"/>
      <c r="F958" s="30"/>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16"/>
      <c r="C959" s="16"/>
      <c r="D959" s="16"/>
      <c r="E959" s="16"/>
      <c r="F959" s="30"/>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16"/>
      <c r="C960" s="16"/>
      <c r="D960" s="16"/>
      <c r="E960" s="16"/>
      <c r="F960" s="30"/>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16"/>
      <c r="C961" s="16"/>
      <c r="D961" s="16"/>
      <c r="E961" s="16"/>
      <c r="F961" s="30"/>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16"/>
      <c r="C962" s="16"/>
      <c r="D962" s="16"/>
      <c r="E962" s="16"/>
      <c r="F962" s="30"/>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16"/>
      <c r="C963" s="16"/>
      <c r="D963" s="16"/>
      <c r="E963" s="16"/>
      <c r="F963" s="30"/>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16"/>
      <c r="C964" s="16"/>
      <c r="D964" s="16"/>
      <c r="E964" s="16"/>
      <c r="F964" s="30"/>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16"/>
      <c r="C965" s="16"/>
      <c r="D965" s="16"/>
      <c r="E965" s="16"/>
      <c r="F965" s="30"/>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16"/>
      <c r="C966" s="16"/>
      <c r="D966" s="16"/>
      <c r="E966" s="16"/>
      <c r="F966" s="30"/>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16"/>
      <c r="C967" s="16"/>
      <c r="D967" s="16"/>
      <c r="E967" s="16"/>
      <c r="F967" s="30"/>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16"/>
      <c r="C968" s="16"/>
      <c r="D968" s="16"/>
      <c r="E968" s="16"/>
      <c r="F968" s="30"/>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16"/>
      <c r="C969" s="16"/>
      <c r="D969" s="16"/>
      <c r="E969" s="16"/>
      <c r="F969" s="30"/>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16"/>
      <c r="C970" s="16"/>
      <c r="D970" s="16"/>
      <c r="E970" s="16"/>
      <c r="F970" s="30"/>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16"/>
      <c r="C971" s="16"/>
      <c r="D971" s="16"/>
      <c r="E971" s="16"/>
      <c r="F971" s="30"/>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16"/>
      <c r="C972" s="16"/>
      <c r="D972" s="16"/>
      <c r="E972" s="16"/>
      <c r="F972" s="30"/>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16"/>
      <c r="C973" s="16"/>
      <c r="D973" s="16"/>
      <c r="E973" s="16"/>
      <c r="F973" s="30"/>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16"/>
      <c r="C974" s="16"/>
      <c r="D974" s="16"/>
      <c r="E974" s="16"/>
      <c r="F974" s="30"/>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16"/>
      <c r="C975" s="16"/>
      <c r="D975" s="16"/>
      <c r="E975" s="16"/>
      <c r="F975" s="30"/>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16"/>
      <c r="C976" s="16"/>
      <c r="D976" s="16"/>
      <c r="E976" s="16"/>
      <c r="F976" s="30"/>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16"/>
      <c r="C977" s="16"/>
      <c r="D977" s="16"/>
      <c r="E977" s="16"/>
      <c r="F977" s="30"/>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16"/>
      <c r="C978" s="16"/>
      <c r="D978" s="16"/>
      <c r="E978" s="16"/>
      <c r="F978" s="30"/>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16"/>
      <c r="C979" s="16"/>
      <c r="D979" s="16"/>
      <c r="E979" s="16"/>
      <c r="F979" s="30"/>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16"/>
      <c r="C980" s="16"/>
      <c r="D980" s="16"/>
      <c r="E980" s="16"/>
      <c r="F980" s="30"/>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16"/>
      <c r="C981" s="16"/>
      <c r="D981" s="16"/>
      <c r="E981" s="16"/>
      <c r="F981" s="30"/>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16"/>
      <c r="C982" s="16"/>
      <c r="D982" s="16"/>
      <c r="E982" s="16"/>
      <c r="F982" s="30"/>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16"/>
      <c r="C983" s="16"/>
      <c r="D983" s="16"/>
      <c r="E983" s="16"/>
      <c r="F983" s="30"/>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16"/>
      <c r="C984" s="16"/>
      <c r="D984" s="16"/>
      <c r="E984" s="16"/>
      <c r="F984" s="30"/>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16"/>
      <c r="C985" s="16"/>
      <c r="D985" s="16"/>
      <c r="E985" s="16"/>
      <c r="F985" s="30"/>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16"/>
      <c r="C986" s="16"/>
      <c r="D986" s="16"/>
      <c r="E986" s="16"/>
      <c r="F986" s="30"/>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16"/>
      <c r="C987" s="16"/>
      <c r="D987" s="16"/>
      <c r="E987" s="16"/>
      <c r="F987" s="30"/>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16"/>
      <c r="C988" s="16"/>
      <c r="D988" s="16"/>
      <c r="E988" s="16"/>
      <c r="F988" s="30"/>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16"/>
      <c r="C989" s="16"/>
      <c r="D989" s="16"/>
      <c r="E989" s="16"/>
      <c r="F989" s="30"/>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16"/>
      <c r="C990" s="16"/>
      <c r="D990" s="16"/>
      <c r="E990" s="16"/>
      <c r="F990" s="30"/>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16"/>
      <c r="C991" s="16"/>
      <c r="D991" s="16"/>
      <c r="E991" s="16"/>
      <c r="F991" s="30"/>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16"/>
      <c r="C992" s="16"/>
      <c r="D992" s="16"/>
      <c r="E992" s="16"/>
      <c r="F992" s="30"/>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16"/>
      <c r="C993" s="16"/>
      <c r="D993" s="16"/>
      <c r="E993" s="16"/>
      <c r="F993" s="30"/>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16"/>
      <c r="C994" s="16"/>
      <c r="D994" s="16"/>
      <c r="E994" s="16"/>
      <c r="F994" s="30"/>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16"/>
      <c r="C995" s="16"/>
      <c r="D995" s="16"/>
      <c r="E995" s="16"/>
      <c r="F995" s="30"/>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16"/>
      <c r="C996" s="16"/>
      <c r="D996" s="16"/>
      <c r="E996" s="16"/>
      <c r="F996" s="30"/>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16"/>
      <c r="C997" s="16"/>
      <c r="D997" s="16"/>
      <c r="E997" s="16"/>
      <c r="F997" s="30"/>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16"/>
      <c r="C998" s="16"/>
      <c r="D998" s="16"/>
      <c r="E998" s="16"/>
      <c r="F998" s="30"/>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16"/>
      <c r="C999" s="16"/>
      <c r="D999" s="16"/>
      <c r="E999" s="16"/>
      <c r="F999" s="30"/>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16"/>
      <c r="C1000" s="16"/>
      <c r="D1000" s="16"/>
      <c r="E1000" s="16"/>
      <c r="F1000" s="30"/>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x14ac:dyDescent="0.25">
      <c r="A1001" s="16"/>
      <c r="B1001" s="16"/>
      <c r="C1001" s="16"/>
      <c r="D1001" s="16"/>
      <c r="E1001" s="16"/>
      <c r="F1001" s="30"/>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x14ac:dyDescent="0.25">
      <c r="A1002" s="16"/>
      <c r="B1002" s="16"/>
      <c r="C1002" s="16"/>
      <c r="D1002" s="16"/>
      <c r="E1002" s="16"/>
      <c r="F1002" s="30"/>
      <c r="G1002" s="16"/>
      <c r="H1002" s="16"/>
      <c r="I1002" s="16"/>
      <c r="J1002" s="16"/>
      <c r="K1002" s="16"/>
      <c r="L1002" s="16"/>
      <c r="M1002" s="16"/>
      <c r="N1002" s="16"/>
      <c r="O1002" s="16"/>
      <c r="P1002" s="16"/>
      <c r="Q1002" s="16"/>
      <c r="R1002" s="16"/>
      <c r="S1002" s="16"/>
      <c r="T1002" s="16"/>
      <c r="U1002" s="16"/>
      <c r="V1002" s="16"/>
      <c r="W1002" s="16"/>
      <c r="X1002" s="16"/>
      <c r="Y1002" s="16"/>
      <c r="Z1002" s="16"/>
    </row>
    <row r="1003" spans="1:26" x14ac:dyDescent="0.25">
      <c r="A1003" s="16"/>
      <c r="B1003" s="16"/>
      <c r="C1003" s="16"/>
      <c r="D1003" s="16"/>
      <c r="E1003" s="16"/>
      <c r="F1003" s="30"/>
      <c r="G1003" s="16"/>
      <c r="H1003" s="16"/>
      <c r="I1003" s="16"/>
      <c r="J1003" s="16"/>
      <c r="K1003" s="16"/>
      <c r="L1003" s="16"/>
      <c r="M1003" s="16"/>
      <c r="N1003" s="16"/>
      <c r="O1003" s="16"/>
      <c r="P1003" s="16"/>
      <c r="Q1003" s="16"/>
      <c r="R1003" s="16"/>
      <c r="S1003" s="16"/>
      <c r="T1003" s="16"/>
      <c r="U1003" s="16"/>
      <c r="V1003" s="16"/>
      <c r="W1003" s="16"/>
      <c r="X1003" s="16"/>
      <c r="Y1003" s="16"/>
      <c r="Z1003" s="16"/>
    </row>
    <row r="1004" spans="1:26" x14ac:dyDescent="0.25">
      <c r="A1004" s="16"/>
      <c r="B1004" s="16"/>
      <c r="C1004" s="16"/>
      <c r="D1004" s="16"/>
      <c r="E1004" s="16"/>
      <c r="F1004" s="30"/>
      <c r="G1004" s="16"/>
      <c r="H1004" s="16"/>
      <c r="I1004" s="16"/>
      <c r="J1004" s="16"/>
      <c r="K1004" s="16"/>
      <c r="L1004" s="16"/>
      <c r="M1004" s="16"/>
      <c r="N1004" s="16"/>
      <c r="O1004" s="16"/>
      <c r="P1004" s="16"/>
      <c r="Q1004" s="16"/>
      <c r="R1004" s="16"/>
      <c r="S1004" s="16"/>
      <c r="T1004" s="16"/>
      <c r="U1004" s="16"/>
      <c r="V1004" s="16"/>
      <c r="W1004" s="16"/>
      <c r="X1004" s="16"/>
      <c r="Y1004" s="16"/>
      <c r="Z1004" s="16"/>
    </row>
    <row r="1005" spans="1:26" x14ac:dyDescent="0.25">
      <c r="A1005" s="16"/>
      <c r="B1005" s="16"/>
      <c r="C1005" s="16"/>
      <c r="D1005" s="16"/>
      <c r="E1005" s="16"/>
      <c r="F1005" s="30"/>
      <c r="G1005" s="16"/>
      <c r="H1005" s="16"/>
      <c r="I1005" s="16"/>
      <c r="J1005" s="16"/>
      <c r="K1005" s="16"/>
      <c r="L1005" s="16"/>
      <c r="M1005" s="16"/>
      <c r="N1005" s="16"/>
      <c r="O1005" s="16"/>
      <c r="P1005" s="16"/>
      <c r="Q1005" s="16"/>
      <c r="R1005" s="16"/>
      <c r="S1005" s="16"/>
      <c r="T1005" s="16"/>
      <c r="U1005" s="16"/>
      <c r="V1005" s="16"/>
      <c r="W1005" s="16"/>
      <c r="X1005" s="16"/>
      <c r="Y1005" s="16"/>
      <c r="Z1005" s="16"/>
    </row>
    <row r="1006" spans="1:26" x14ac:dyDescent="0.25">
      <c r="A1006" s="16"/>
      <c r="B1006" s="16"/>
      <c r="C1006" s="16"/>
      <c r="D1006" s="16"/>
      <c r="E1006" s="16"/>
      <c r="F1006" s="30"/>
      <c r="G1006" s="16"/>
      <c r="H1006" s="16"/>
      <c r="I1006" s="16"/>
      <c r="J1006" s="16"/>
      <c r="K1006" s="16"/>
      <c r="L1006" s="16"/>
      <c r="M1006" s="16"/>
      <c r="N1006" s="16"/>
      <c r="O1006" s="16"/>
      <c r="P1006" s="16"/>
      <c r="Q1006" s="16"/>
      <c r="R1006" s="16"/>
      <c r="S1006" s="16"/>
      <c r="T1006" s="16"/>
      <c r="U1006" s="16"/>
      <c r="V1006" s="16"/>
      <c r="W1006" s="16"/>
      <c r="X1006" s="16"/>
      <c r="Y1006" s="16"/>
      <c r="Z1006" s="16"/>
    </row>
    <row r="1007" spans="1:26" x14ac:dyDescent="0.25">
      <c r="A1007" s="16"/>
      <c r="B1007" s="16"/>
      <c r="C1007" s="16"/>
      <c r="D1007" s="16"/>
      <c r="E1007" s="16"/>
      <c r="F1007" s="30"/>
      <c r="G1007" s="16"/>
      <c r="H1007" s="16"/>
      <c r="I1007" s="16"/>
      <c r="J1007" s="16"/>
      <c r="K1007" s="16"/>
      <c r="L1007" s="16"/>
      <c r="M1007" s="16"/>
      <c r="N1007" s="16"/>
      <c r="O1007" s="16"/>
      <c r="P1007" s="16"/>
      <c r="Q1007" s="16"/>
      <c r="R1007" s="16"/>
      <c r="S1007" s="16"/>
      <c r="T1007" s="16"/>
      <c r="U1007" s="16"/>
      <c r="V1007" s="16"/>
      <c r="W1007" s="16"/>
      <c r="X1007" s="16"/>
      <c r="Y1007" s="16"/>
      <c r="Z1007" s="16"/>
    </row>
    <row r="1008" spans="1:26" x14ac:dyDescent="0.25">
      <c r="A1008" s="16"/>
      <c r="B1008" s="16"/>
      <c r="C1008" s="16"/>
      <c r="D1008" s="16"/>
      <c r="E1008" s="16"/>
      <c r="F1008" s="30"/>
      <c r="G1008" s="16"/>
      <c r="H1008" s="16"/>
      <c r="I1008" s="16"/>
      <c r="J1008" s="16"/>
      <c r="K1008" s="16"/>
      <c r="L1008" s="16"/>
      <c r="M1008" s="16"/>
      <c r="N1008" s="16"/>
      <c r="O1008" s="16"/>
      <c r="P1008" s="16"/>
      <c r="Q1008" s="16"/>
      <c r="R1008" s="16"/>
      <c r="S1008" s="16"/>
      <c r="T1008" s="16"/>
      <c r="U1008" s="16"/>
      <c r="V1008" s="16"/>
      <c r="W1008" s="16"/>
      <c r="X1008" s="16"/>
      <c r="Y1008" s="16"/>
      <c r="Z1008" s="16"/>
    </row>
    <row r="1009" spans="1:26" x14ac:dyDescent="0.25">
      <c r="A1009" s="16"/>
      <c r="B1009" s="16"/>
      <c r="C1009" s="16"/>
      <c r="D1009" s="16"/>
      <c r="E1009" s="16"/>
      <c r="F1009" s="30"/>
      <c r="G1009" s="16"/>
      <c r="H1009" s="16"/>
      <c r="I1009" s="16"/>
      <c r="J1009" s="16"/>
      <c r="K1009" s="16"/>
      <c r="L1009" s="16"/>
      <c r="M1009" s="16"/>
      <c r="N1009" s="16"/>
      <c r="O1009" s="16"/>
      <c r="P1009" s="16"/>
      <c r="Q1009" s="16"/>
      <c r="R1009" s="16"/>
      <c r="S1009" s="16"/>
      <c r="T1009" s="16"/>
      <c r="U1009" s="16"/>
      <c r="V1009" s="16"/>
      <c r="W1009" s="16"/>
      <c r="X1009" s="16"/>
      <c r="Y1009" s="16"/>
      <c r="Z1009" s="16"/>
    </row>
    <row r="1010" spans="1:26" x14ac:dyDescent="0.25">
      <c r="A1010" s="16"/>
      <c r="B1010" s="16"/>
      <c r="C1010" s="16"/>
      <c r="D1010" s="16"/>
      <c r="E1010" s="16"/>
      <c r="F1010" s="30"/>
      <c r="G1010" s="16"/>
      <c r="H1010" s="16"/>
      <c r="I1010" s="16"/>
      <c r="J1010" s="16"/>
      <c r="K1010" s="16"/>
      <c r="L1010" s="16"/>
      <c r="M1010" s="16"/>
      <c r="N1010" s="16"/>
      <c r="O1010" s="16"/>
      <c r="P1010" s="16"/>
      <c r="Q1010" s="16"/>
      <c r="R1010" s="16"/>
      <c r="S1010" s="16"/>
      <c r="T1010" s="16"/>
      <c r="U1010" s="16"/>
      <c r="V1010" s="16"/>
      <c r="W1010" s="16"/>
      <c r="X1010" s="16"/>
      <c r="Y1010" s="16"/>
      <c r="Z1010" s="16"/>
    </row>
    <row r="1011" spans="1:26" x14ac:dyDescent="0.25">
      <c r="A1011" s="16"/>
      <c r="B1011" s="16"/>
      <c r="C1011" s="16"/>
      <c r="D1011" s="16"/>
      <c r="E1011" s="16"/>
      <c r="F1011" s="30"/>
      <c r="G1011" s="16"/>
      <c r="H1011" s="16"/>
      <c r="I1011" s="16"/>
      <c r="J1011" s="16"/>
      <c r="K1011" s="16"/>
      <c r="L1011" s="16"/>
      <c r="M1011" s="16"/>
      <c r="N1011" s="16"/>
      <c r="O1011" s="16"/>
      <c r="P1011" s="16"/>
      <c r="Q1011" s="16"/>
      <c r="R1011" s="16"/>
      <c r="S1011" s="16"/>
      <c r="T1011" s="16"/>
      <c r="U1011" s="16"/>
      <c r="V1011" s="16"/>
      <c r="W1011" s="16"/>
      <c r="X1011" s="16"/>
      <c r="Y1011" s="16"/>
      <c r="Z1011" s="16"/>
    </row>
    <row r="1012" spans="1:26" x14ac:dyDescent="0.25">
      <c r="A1012" s="16"/>
      <c r="B1012" s="16"/>
      <c r="C1012" s="16"/>
      <c r="D1012" s="16"/>
      <c r="E1012" s="16"/>
      <c r="F1012" s="30"/>
      <c r="G1012" s="16"/>
      <c r="H1012" s="16"/>
      <c r="I1012" s="16"/>
      <c r="J1012" s="16"/>
      <c r="K1012" s="16"/>
      <c r="L1012" s="16"/>
      <c r="M1012" s="16"/>
      <c r="N1012" s="16"/>
      <c r="O1012" s="16"/>
      <c r="P1012" s="16"/>
      <c r="Q1012" s="16"/>
      <c r="R1012" s="16"/>
      <c r="S1012" s="16"/>
      <c r="T1012" s="16"/>
      <c r="U1012" s="16"/>
      <c r="V1012" s="16"/>
      <c r="W1012" s="16"/>
      <c r="X1012" s="16"/>
      <c r="Y1012" s="16"/>
      <c r="Z1012" s="16"/>
    </row>
    <row r="1013" spans="1:26" x14ac:dyDescent="0.25">
      <c r="A1013" s="16"/>
      <c r="B1013" s="16"/>
      <c r="C1013" s="16"/>
      <c r="D1013" s="16"/>
      <c r="E1013" s="16"/>
      <c r="F1013" s="30"/>
      <c r="G1013" s="16"/>
      <c r="H1013" s="16"/>
      <c r="I1013" s="16"/>
      <c r="J1013" s="16"/>
      <c r="K1013" s="16"/>
      <c r="L1013" s="16"/>
      <c r="M1013" s="16"/>
      <c r="N1013" s="16"/>
      <c r="O1013" s="16"/>
      <c r="P1013" s="16"/>
      <c r="Q1013" s="16"/>
      <c r="R1013" s="16"/>
      <c r="S1013" s="16"/>
      <c r="T1013" s="16"/>
      <c r="U1013" s="16"/>
      <c r="V1013" s="16"/>
      <c r="W1013" s="16"/>
      <c r="X1013" s="16"/>
      <c r="Y1013" s="16"/>
      <c r="Z1013" s="16"/>
    </row>
    <row r="1014" spans="1:26" x14ac:dyDescent="0.25">
      <c r="A1014" s="16"/>
      <c r="B1014" s="16"/>
      <c r="C1014" s="16"/>
      <c r="D1014" s="16"/>
      <c r="E1014" s="16"/>
      <c r="F1014" s="30"/>
      <c r="G1014" s="16"/>
      <c r="H1014" s="16"/>
      <c r="I1014" s="16"/>
      <c r="J1014" s="16"/>
      <c r="K1014" s="16"/>
      <c r="L1014" s="16"/>
      <c r="M1014" s="16"/>
      <c r="N1014" s="16"/>
      <c r="O1014" s="16"/>
      <c r="P1014" s="16"/>
      <c r="Q1014" s="16"/>
      <c r="R1014" s="16"/>
      <c r="S1014" s="16"/>
      <c r="T1014" s="16"/>
      <c r="U1014" s="16"/>
      <c r="V1014" s="16"/>
      <c r="W1014" s="16"/>
      <c r="X1014" s="16"/>
      <c r="Y1014" s="16"/>
      <c r="Z1014" s="16"/>
    </row>
    <row r="1015" spans="1:26" x14ac:dyDescent="0.25">
      <c r="A1015" s="16"/>
      <c r="B1015" s="16"/>
      <c r="C1015" s="16"/>
      <c r="D1015" s="16"/>
      <c r="E1015" s="16"/>
      <c r="F1015" s="30"/>
      <c r="G1015" s="16"/>
      <c r="H1015" s="16"/>
      <c r="I1015" s="16"/>
      <c r="J1015" s="16"/>
      <c r="K1015" s="16"/>
      <c r="L1015" s="16"/>
      <c r="M1015" s="16"/>
      <c r="N1015" s="16"/>
      <c r="O1015" s="16"/>
      <c r="P1015" s="16"/>
      <c r="Q1015" s="16"/>
      <c r="R1015" s="16"/>
      <c r="S1015" s="16"/>
      <c r="T1015" s="16"/>
      <c r="U1015" s="16"/>
      <c r="V1015" s="16"/>
      <c r="W1015" s="16"/>
      <c r="X1015" s="16"/>
      <c r="Y1015" s="16"/>
      <c r="Z1015" s="16"/>
    </row>
  </sheetData>
  <mergeCells count="11">
    <mergeCell ref="A1:F1"/>
    <mergeCell ref="G1:K1"/>
    <mergeCell ref="G2:I2"/>
    <mergeCell ref="A2:A3"/>
    <mergeCell ref="B2:B3"/>
    <mergeCell ref="C2:C3"/>
    <mergeCell ref="D2:D3"/>
    <mergeCell ref="E2:E3"/>
    <mergeCell ref="F2:F3"/>
    <mergeCell ref="J2:J3"/>
    <mergeCell ref="K2:K3"/>
  </mergeCells>
  <printOptions gridLines="1" horizontalCentered="1"/>
  <pageMargins left="0.7" right="0.7" top="0.75" bottom="0.75" header="0" footer="0"/>
  <pageSetup paperSize="9" orientation="landscape" horizontalDpi="4294967295" verticalDpi="4294967295" pageOrder="overThenDown" cellComments="atEnd"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E1CD"/>
    <outlinePr summaryBelow="0" summaryRight="0"/>
  </sheetPr>
  <dimension ref="A1:AD1031"/>
  <sheetViews>
    <sheetView workbookViewId="0" zoomScale="100" zoomScaleNormal="100">
      <pane ySplit="2" topLeftCell="A3" activePane="bottomLeft" state="frozen"/>
      <selection pane="bottomLeft" activeCell="B4" sqref="B4"/>
    </sheetView>
  </sheetViews>
  <sheetFormatPr defaultRowHeight="15.75" outlineLevelRow="0" outlineLevelCol="0" x14ac:dyDescent="0" defaultColWidth="12.63" customHeight="1"/>
  <cols>
    <col min="1" max="1" width="18.75" customWidth="1"/>
    <col min="2" max="2" width="26" customWidth="1"/>
    <col min="3" max="3" width="24" customWidth="1"/>
    <col min="4" max="4" width="83.25" customWidth="1"/>
    <col min="5" max="5" width="37.25" customWidth="1"/>
    <col min="7" max="9" width="13.63" customWidth="1"/>
    <col min="11" max="11" width="25.38" customWidth="1"/>
    <col min="14" max="14" width="14.88" customWidth="1"/>
  </cols>
  <sheetData>
    <row r="1" spans="1:30" x14ac:dyDescent="0.25">
      <c r="A1" s="31"/>
      <c r="B1" s="3"/>
      <c r="C1" s="3"/>
      <c r="D1" s="3"/>
      <c r="E1" s="32"/>
      <c r="F1" s="33"/>
      <c r="G1" s="3"/>
      <c r="H1" s="3"/>
      <c r="I1" s="3"/>
      <c r="J1" s="34"/>
      <c r="K1" s="34"/>
      <c r="L1" s="35" t="s">
        <v>0</v>
      </c>
      <c r="M1"/>
      <c r="N1"/>
      <c r="O1" s="35"/>
      <c r="P1" s="35"/>
      <c r="Q1" s="36"/>
      <c r="R1" s="37"/>
      <c r="S1" s="37"/>
      <c r="T1" s="37"/>
      <c r="U1" s="37"/>
      <c r="V1" s="37"/>
      <c r="W1" s="37"/>
      <c r="X1" s="37"/>
      <c r="Y1" s="37"/>
      <c r="Z1" s="37"/>
      <c r="AA1" s="37"/>
      <c r="AB1" s="37"/>
      <c r="AC1" s="37"/>
      <c r="AD1" s="37"/>
    </row>
    <row r="2" spans="1:30" x14ac:dyDescent="0.25">
      <c r="A2" s="31" t="s">
        <v>2</v>
      </c>
      <c r="B2" s="3" t="s">
        <v>230</v>
      </c>
      <c r="C2" s="3" t="s">
        <v>67</v>
      </c>
      <c r="D2" s="3" t="s">
        <v>231</v>
      </c>
      <c r="E2" s="32" t="s">
        <v>232</v>
      </c>
      <c r="F2" s="33" t="s">
        <v>233</v>
      </c>
      <c r="G2" s="3" t="s">
        <v>234</v>
      </c>
      <c r="H2" s="3" t="s">
        <v>235</v>
      </c>
      <c r="I2" s="3" t="s">
        <v>236</v>
      </c>
      <c r="J2" s="34" t="s">
        <v>237</v>
      </c>
      <c r="K2" s="34" t="s">
        <v>238</v>
      </c>
      <c r="L2" s="35" t="s">
        <v>3</v>
      </c>
      <c r="M2" s="35" t="s">
        <v>5</v>
      </c>
      <c r="N2" s="35" t="s">
        <v>7</v>
      </c>
      <c r="O2" s="35" t="s">
        <v>239</v>
      </c>
      <c r="P2" s="35" t="s">
        <v>4</v>
      </c>
      <c r="Q2" s="36" t="s">
        <v>240</v>
      </c>
      <c r="R2" s="37"/>
      <c r="S2" s="37"/>
      <c r="T2" s="37"/>
      <c r="U2" s="37"/>
      <c r="V2" s="37"/>
      <c r="W2" s="37"/>
      <c r="X2" s="37"/>
      <c r="Y2" s="37"/>
      <c r="Z2" s="37"/>
      <c r="AA2" s="37"/>
      <c r="AB2" s="37"/>
      <c r="AC2" s="37"/>
      <c r="AD2" s="37"/>
    </row>
    <row r="3" spans="1:17" x14ac:dyDescent="0.25">
      <c r="A3" s="1" t="s">
        <v>8</v>
      </c>
      <c r="B3" s="1" t="s">
        <v>241</v>
      </c>
      <c r="C3" s="38" t="str">
        <f>IFERROR(VLOOKUP(A3,data!A:G,7,FALSE),"")</f>
        <v>Grooming - ผลิตภัณพ์จัดแต่งทรงผมและหนวด</v>
      </c>
      <c r="D3" s="38" t="str">
        <f>IFERROR(VLOOKUP(A3,data!A:D,4,FALSE),"")</f>
        <v>Barber Brain Prime Hair Spray สเปรย์น้ำนมกันความร้อน สร้างวอลลุ่มยกโคนผม</v>
      </c>
      <c r="E3" s="39"/>
      <c r="F3" s="40"/>
      <c r="G3" s="37">
        <f>IFERROR(VLOOKUP(A3,data!A:V,22,FALSE),"")</f>
        <v>8858890800420</v>
      </c>
      <c r="H3" s="37"/>
      <c r="I3" s="37"/>
      <c r="J3" s="41">
        <f>IFERROR(VLOOKUP(A3,'dataนน'!A:F,6,FALSE),"")</f>
      </c>
      <c r="K3" s="41">
        <f>IFERROR(VLOOKUP(A3,'dataนน'!A:G,7,FALSE),"")</f>
      </c>
      <c r="L3" s="42">
        <v>150</v>
      </c>
      <c r="M3" s="43">
        <v>165</v>
      </c>
      <c r="N3" s="42">
        <v>199</v>
      </c>
      <c r="O3" s="42">
        <v>10</v>
      </c>
      <c r="P3" s="44"/>
      <c r="Q3" s="45">
        <f>IFERROR(VLOOKUP(A3,'data-ค่าฝา'!B:G,6,FALSE),"")</f>
      </c>
    </row>
    <row r="4" spans="1:17" x14ac:dyDescent="0.25">
      <c r="A4" s="1" t="s">
        <v>9</v>
      </c>
      <c r="B4" s="1" t="s">
        <v>241</v>
      </c>
      <c r="C4" s="38" t="str">
        <f>IFERROR(VLOOKUP(A4,data!A:G,7,FALSE),"")</f>
        <v>Grooming - ผลิตภัณพ์จัดแต่งทรงผมและหนวด</v>
      </c>
      <c r="D4" s="38" t="str">
        <f>IFERROR(VLOOKUP(A4,data!A:D,4,FALSE),"")</f>
        <v>Barber Brain x Haris Styling Curl Control Cream for men ผลิตภัณฑ์จัดแต่งทรงผม 150 ml. รหัสสินค้า BB-511</v>
      </c>
      <c r="E4" s="39"/>
      <c r="F4" s="40"/>
      <c r="G4" s="37">
        <f>IFERROR(VLOOKUP(A4,data!A:V,22,FALSE),"")</f>
        <v>8858890732486</v>
      </c>
      <c r="H4" s="37"/>
      <c r="I4" s="37"/>
      <c r="J4" s="41">
        <f>IFERROR(VLOOKUP(A4,'dataนน'!A:F,6,FALSE),"")</f>
      </c>
      <c r="K4" s="41">
        <f>IFERROR(VLOOKUP(A4,'dataนน'!A:G,7,FALSE),"")</f>
      </c>
      <c r="L4" s="42">
        <v>165</v>
      </c>
      <c r="M4" s="43">
        <v>180</v>
      </c>
      <c r="N4" s="42">
        <v>240</v>
      </c>
      <c r="O4" s="42">
        <v>10</v>
      </c>
      <c r="P4" s="44"/>
      <c r="Q4" s="45">
        <f>IFERROR(VLOOKUP(A4,'data-ค่าฝา'!B:G,6,FALSE),"")</f>
      </c>
    </row>
    <row r="5" spans="1:17" x14ac:dyDescent="0.25">
      <c r="A5" s="1" t="s">
        <v>10</v>
      </c>
      <c r="B5" s="1" t="s">
        <v>241</v>
      </c>
      <c r="C5" s="38" t="str">
        <f>IFERROR(VLOOKUP(A5,data!A:G,7,FALSE),"")</f>
        <v>Grooming - ผลิตภัณพ์จัดแต่งทรงผมและหนวด</v>
      </c>
      <c r="D5" s="38" t="str">
        <f>IFERROR(VLOOKUP(A5,data!A:D,4,FALSE),"")</f>
        <v>บาร์เบอร์ เบรน ผลิตภัณฑ์จัดแต่งทรงผม โพเมด สูตรเงา รุ่น BB-503</v>
      </c>
      <c r="E5" s="39"/>
      <c r="F5" s="33">
        <v>36</v>
      </c>
      <c r="G5" s="37">
        <f>IFERROR(VLOOKUP(A5,data!A:V,22,FALSE),"")</f>
        <v>8858890715038</v>
      </c>
      <c r="H5" s="37"/>
      <c r="I5" s="37"/>
      <c r="J5" s="41">
        <f>IFERROR(VLOOKUP(A5,'dataนน'!A:F,6,FALSE),"")</f>
        <v>0.171</v>
      </c>
      <c r="K5" s="41" t="str">
        <f>IFERROR(VLOOKUP(A5,'dataนน'!A:G,7,FALSE),"")</f>
        <v>80 กรัม</v>
      </c>
      <c r="L5" s="42">
        <v>150</v>
      </c>
      <c r="M5" s="43">
        <v>165</v>
      </c>
      <c r="N5" s="42">
        <v>240</v>
      </c>
      <c r="O5" s="42">
        <v>10</v>
      </c>
      <c r="P5" s="44"/>
      <c r="Q5" s="45">
        <f>IFERROR(VLOOKUP(A5,'data-ค่าฝา'!B:G,6,FALSE),"")</f>
        <v>10</v>
      </c>
    </row>
    <row r="6" spans="1:17" x14ac:dyDescent="0.25">
      <c r="A6" s="1" t="s">
        <v>11</v>
      </c>
      <c r="B6" s="1" t="s">
        <v>241</v>
      </c>
      <c r="C6" s="38" t="str">
        <f>IFERROR(VLOOKUP(A6,data!A:G,7,FALSE),"")</f>
        <v>Grooming - ผลิตภัณพ์จัดแต่งทรงผมและหนวด</v>
      </c>
      <c r="D6" s="38" t="str">
        <f>IFERROR(VLOOKUP(A6,data!A:D,4,FALSE),"")</f>
        <v>บาร์เบอร์ เบรน ผลิตภัณฑ์จัดแต่งทรงผม โพเมด สูตรแข็ง BB-507</v>
      </c>
      <c r="E6" s="39"/>
      <c r="F6" s="33">
        <v>36</v>
      </c>
      <c r="G6" s="37">
        <f>IFERROR(VLOOKUP(A6,data!A:V,22,FALSE),"")</f>
        <v>8858890715076</v>
      </c>
      <c r="H6" s="37"/>
      <c r="I6" s="37"/>
      <c r="J6" s="41">
        <f>IFERROR(VLOOKUP(A6,'dataนน'!A:F,6,FALSE),"")</f>
        <v>0.171</v>
      </c>
      <c r="K6" s="41" t="str">
        <f>IFERROR(VLOOKUP(A6,'dataนน'!A:G,7,FALSE),"")</f>
        <v>80 กรัม</v>
      </c>
      <c r="L6" s="42">
        <v>230</v>
      </c>
      <c r="M6" s="42">
        <v>235</v>
      </c>
      <c r="N6" s="42">
        <v>240</v>
      </c>
      <c r="O6" s="42">
        <v>10</v>
      </c>
      <c r="P6" s="44"/>
      <c r="Q6" s="45">
        <f>IFERROR(VLOOKUP(A6,'data-ค่าฝา'!B:G,6,FALSE),"")</f>
        <v>15</v>
      </c>
    </row>
    <row r="7" spans="1:17" x14ac:dyDescent="0.25">
      <c r="A7" s="1" t="s">
        <v>12</v>
      </c>
      <c r="B7" s="1" t="s">
        <v>241</v>
      </c>
      <c r="C7" s="38" t="str">
        <f>IFERROR(VLOOKUP(A7,data!A:G,7,FALSE),"")</f>
        <v>Grooming - ผลิตภัณพ์จัดแต่งทรงผมและหนวด</v>
      </c>
      <c r="D7" s="38" t="str">
        <f>IFERROR(VLOOKUP(A7,data!A:D,4,FALSE),"")</f>
        <v>บาร์เบอร์ เบรน ผลิตภัณฑ์จัดแต่งทรงผม แฮร์ แว๊กซ์ รุ่น BB-509</v>
      </c>
      <c r="E7" s="39"/>
      <c r="F7" s="33">
        <v>36</v>
      </c>
      <c r="G7" s="37">
        <f>IFERROR(VLOOKUP(A7,data!A:V,22,FALSE),"")</f>
        <v>8858890715090</v>
      </c>
      <c r="H7" s="37"/>
      <c r="I7" s="37"/>
      <c r="J7" s="41">
        <f>IFERROR(VLOOKUP(A7,'dataนน'!A:F,6,FALSE),"")</f>
        <v>0.176</v>
      </c>
      <c r="K7" s="41" t="str">
        <f>IFERROR(VLOOKUP(A7,'dataนน'!A:G,7,FALSE),"")</f>
        <v>80 กรัม</v>
      </c>
      <c r="L7" s="42">
        <v>170</v>
      </c>
      <c r="M7" s="43">
        <v>185</v>
      </c>
      <c r="N7" s="42">
        <v>240</v>
      </c>
      <c r="O7" s="42">
        <v>10</v>
      </c>
      <c r="P7" s="44"/>
      <c r="Q7" s="45">
        <f>IFERROR(VLOOKUP(A7,'data-ค่าฝา'!B:G,6,FALSE),"")</f>
        <v>10</v>
      </c>
    </row>
    <row r="8" spans="1:17" x14ac:dyDescent="0.25">
      <c r="A8" s="1" t="s">
        <v>13</v>
      </c>
      <c r="B8" s="1" t="s">
        <v>241</v>
      </c>
      <c r="C8" s="38" t="str">
        <f>IFERROR(VLOOKUP(A8,data!A:G,7,FALSE),"")</f>
        <v>Grooming - ผลิตภัณพ์จัดแต่งทรงผมและหนวด</v>
      </c>
      <c r="D8" s="38" t="str">
        <f>IFERROR(VLOOKUP(A8,data!A:D,4,FALSE),"")</f>
        <v>บาร์เบอร์ เบรน เท็คเจอร์ &amp; วอลลุ่ม แฮร์ สเปรย์ BB-702</v>
      </c>
      <c r="E8" s="39"/>
      <c r="F8" s="33">
        <v>48</v>
      </c>
      <c r="G8" s="37">
        <f>IFERROR(VLOOKUP(A8,data!A:V,22,FALSE),"")</f>
        <v>8858890717025</v>
      </c>
      <c r="H8" s="37"/>
      <c r="I8" s="37"/>
      <c r="J8" s="41">
        <f>IFERROR(VLOOKUP(A8,'dataนน'!A:F,6,FALSE),"")</f>
        <v>0.296</v>
      </c>
      <c r="K8" s="41" t="str">
        <f>IFERROR(VLOOKUP(A8,'dataนน'!A:G,7,FALSE),"")</f>
        <v>200 ml</v>
      </c>
      <c r="L8" s="42">
        <v>165</v>
      </c>
      <c r="M8" s="43">
        <v>180</v>
      </c>
      <c r="N8" s="42">
        <v>199</v>
      </c>
      <c r="O8" s="42">
        <v>10</v>
      </c>
      <c r="P8" s="44"/>
      <c r="Q8" s="45">
        <f>IFERROR(VLOOKUP(A8,'data-ค่าฝา'!B:G,6,FALSE),"")</f>
        <v>10</v>
      </c>
    </row>
    <row r="9" spans="1:17" x14ac:dyDescent="0.25">
      <c r="A9" s="1" t="s">
        <v>14</v>
      </c>
      <c r="B9" s="1" t="s">
        <v>241</v>
      </c>
      <c r="C9" s="38" t="str">
        <f>IFERROR(VLOOKUP(A9,data!A:G,7,FALSE),"")</f>
        <v>Grooming - ผลิตภัณพ์จัดแต่งทรงผมและหนวด</v>
      </c>
      <c r="D9" s="38" t="str">
        <f>IFERROR(VLOOKUP(A9,data!A:D,4,FALSE),"")</f>
        <v>BB-517 บาร์เบอร์เบรน ดัสท์ พาวเดอร์ 4g สเปรย์ชนิดแป้งยกโคนผม</v>
      </c>
      <c r="E9" s="39"/>
      <c r="F9" s="40"/>
      <c r="G9" s="37">
        <f>IFERROR(VLOOKUP(A9,data!A:V,22,FALSE),"")</f>
        <v>8858890798802</v>
      </c>
      <c r="H9" s="37"/>
      <c r="I9" s="37"/>
      <c r="J9" s="41">
        <f>IFERROR(VLOOKUP(A9,'dataนน'!A:F,6,FALSE),"")</f>
      </c>
      <c r="K9" s="41">
        <f>IFERROR(VLOOKUP(A9,'dataนน'!A:G,7,FALSE),"")</f>
      </c>
      <c r="L9" s="42">
        <v>120</v>
      </c>
      <c r="M9" s="43">
        <v>130</v>
      </c>
      <c r="N9" s="42">
        <v>165</v>
      </c>
      <c r="O9" s="42">
        <v>10</v>
      </c>
      <c r="P9" s="44"/>
      <c r="Q9" s="45">
        <f>IFERROR(VLOOKUP(A9,'data-ค่าฝา'!B:G,6,FALSE),"")</f>
        <v>5</v>
      </c>
    </row>
    <row r="10" spans="1:17" x14ac:dyDescent="0.25">
      <c r="A10" s="1" t="s">
        <v>15</v>
      </c>
      <c r="B10" s="1" t="s">
        <v>241</v>
      </c>
      <c r="C10" s="38" t="str">
        <f>IFERROR(VLOOKUP(A10,data!A:G,7,FALSE),"")</f>
        <v>Grooming - ผลิตภัณพ์จัดแต่งทรงผมและหนวด</v>
      </c>
      <c r="D10" s="38" t="str">
        <f>IFERROR(VLOOKUP(A10,data!A:D,4,FALSE),"")</f>
        <v>BB-510 บาร์เบอร์เบรน ซิลเวอร์ เบลด เซฟ เจล ปริมาณ 140ml.</v>
      </c>
      <c r="E10" s="39"/>
      <c r="F10" s="40"/>
      <c r="G10" s="37">
        <f>IFERROR(VLOOKUP(A10,data!A:V,22,FALSE),"")</f>
        <v>8858890711061</v>
      </c>
      <c r="H10" s="37"/>
      <c r="I10" s="37"/>
      <c r="J10" s="41">
        <f>IFERROR(VLOOKUP(A10,'dataนน'!A:F,6,FALSE),"")</f>
        <v>0.19</v>
      </c>
      <c r="K10" s="41" t="str">
        <f>IFERROR(VLOOKUP(A10,'dataนน'!A:G,7,FALSE),"")</f>
        <v>180 กรัม</v>
      </c>
      <c r="L10" s="42">
        <v>110</v>
      </c>
      <c r="M10" s="43">
        <v>120</v>
      </c>
      <c r="N10" s="42">
        <v>150</v>
      </c>
      <c r="O10" s="42">
        <v>10</v>
      </c>
      <c r="P10" s="44"/>
      <c r="Q10" s="45">
        <f>IFERROR(VLOOKUP(A10,'data-ค่าฝา'!B:G,6,FALSE),"")</f>
      </c>
    </row>
    <row r="11" spans="1:17" x14ac:dyDescent="0.25">
      <c r="A11" s="1" t="s">
        <v>16</v>
      </c>
      <c r="B11" s="1" t="s">
        <v>241</v>
      </c>
      <c r="C11" s="38" t="str">
        <f>IFERROR(VLOOKUP(A11,data!A:G,7,FALSE),"")</f>
        <v>Grooming - ผลิตภัณพ์จัดแต่งทรงผมและหนวด</v>
      </c>
      <c r="D11" s="38" t="str">
        <f>IFERROR(VLOOKUP(A11,data!A:D,4,FALSE),"")</f>
        <v>ผลิตภัณฑ์สำหรับโกนหนวด บาร์เบอร์ เบรน ซิลเวอร์ เบลด เชฟวิ่ง ครีม BB-512</v>
      </c>
      <c r="E11" s="39"/>
      <c r="F11" s="40"/>
      <c r="G11" s="37">
        <f>IFERROR(VLOOKUP(A11,data!A:V,22,FALSE),"")</f>
        <v>8858890732509</v>
      </c>
      <c r="H11" s="37"/>
      <c r="I11" s="37"/>
      <c r="J11" s="41">
        <f>IFERROR(VLOOKUP(A11,'dataนน'!A:F,6,FALSE),"")</f>
      </c>
      <c r="K11" s="41">
        <f>IFERROR(VLOOKUP(A11,'dataนน'!A:G,7,FALSE),"")</f>
      </c>
      <c r="L11" s="42">
        <v>170</v>
      </c>
      <c r="M11" s="43">
        <v>185</v>
      </c>
      <c r="N11" s="42">
        <v>250</v>
      </c>
      <c r="O11" s="42">
        <v>10</v>
      </c>
      <c r="P11" s="44"/>
      <c r="Q11" s="45">
        <f>IFERROR(VLOOKUP(A11,'data-ค่าฝา'!B:G,6,FALSE),"")</f>
      </c>
    </row>
    <row r="12" spans="1:17" x14ac:dyDescent="0.25">
      <c r="A12" s="1" t="s">
        <v>17</v>
      </c>
      <c r="B12" s="1" t="s">
        <v>241</v>
      </c>
      <c r="C12" s="38" t="str">
        <f>IFERROR(VLOOKUP(A12,data!A:G,7,FALSE),"")</f>
        <v>Grooming - ผลิตภัณพ์จัดแต่งทรงผมและหนวด</v>
      </c>
      <c r="D12" s="38" t="str">
        <f>IFERROR(VLOOKUP(A12,data!A:D,4,FALSE),"")</f>
        <v>BB-513 after shave</v>
      </c>
      <c r="E12" s="39"/>
      <c r="F12" s="40"/>
      <c r="G12" s="37">
        <f>IFERROR(VLOOKUP(A12,data!A:V,22,FALSE),"")</f>
        <v>8858890732516</v>
      </c>
      <c r="H12" s="37"/>
      <c r="I12" s="37"/>
      <c r="J12" s="41">
        <f>IFERROR(VLOOKUP(A12,'dataนน'!A:F,6,FALSE),"")</f>
      </c>
      <c r="K12" s="41">
        <f>IFERROR(VLOOKUP(A12,'dataนน'!A:G,7,FALSE),"")</f>
      </c>
      <c r="L12" s="42">
        <v>140</v>
      </c>
      <c r="M12" s="43">
        <v>155</v>
      </c>
      <c r="N12" s="42">
        <v>190</v>
      </c>
      <c r="O12" s="42">
        <v>10</v>
      </c>
      <c r="P12" s="44"/>
      <c r="Q12" s="45">
        <f>IFERROR(VLOOKUP(A12,'data-ค่าฝา'!B:G,6,FALSE),"")</f>
      </c>
    </row>
    <row r="13" spans="1:17" x14ac:dyDescent="0.25">
      <c r="A13" s="1" t="s">
        <v>18</v>
      </c>
      <c r="B13" s="1" t="s">
        <v>241</v>
      </c>
      <c r="C13" s="38" t="str">
        <f>IFERROR(VLOOKUP(A13,data!A:G,7,FALSE),"")</f>
        <v>Chemical - เคมีภัณฑ์</v>
      </c>
      <c r="D13" s="38" t="str">
        <f>IFERROR(VLOOKUP(A13,data!A:D,4,FALSE),"")</f>
        <v>ชุดเจลน้ำยาดัดเย็น BB-703 และผง Down Perm BB-704</v>
      </c>
      <c r="E13" s="39"/>
      <c r="F13" s="40"/>
      <c r="G13" s="37">
        <f>IFERROR(VLOOKUP(A13,data!A:V,22,FALSE),"")</f>
        <v>8858890712495</v>
      </c>
      <c r="H13" s="37"/>
      <c r="I13" s="37"/>
      <c r="J13" s="41">
        <f>IFERROR(VLOOKUP(A13,'dataนน'!A:F,6,FALSE),"")</f>
      </c>
      <c r="K13" s="41">
        <f>IFERROR(VLOOKUP(A13,'dataนน'!A:G,7,FALSE),"")</f>
      </c>
      <c r="L13" s="42">
        <v>125</v>
      </c>
      <c r="M13" s="43">
        <v>140</v>
      </c>
      <c r="N13" s="42">
        <v>250</v>
      </c>
      <c r="O13" s="42">
        <v>10</v>
      </c>
      <c r="P13" s="44"/>
      <c r="Q13" s="45">
        <f>IFERROR(VLOOKUP(A13,'data-ค่าฝา'!B:G,6,FALSE),"")</f>
        <v>10</v>
      </c>
    </row>
    <row r="14" spans="1:17" x14ac:dyDescent="0.25">
      <c r="A14" s="1" t="s">
        <v>19</v>
      </c>
      <c r="B14" s="1" t="s">
        <v>241</v>
      </c>
      <c r="C14" s="38" t="str">
        <f>IFERROR(VLOOKUP(A14,data!A:G,7,FALSE),"")</f>
        <v>Chemical - เคมีภัณฑ์</v>
      </c>
      <c r="D14" s="38" t="str">
        <f>IFERROR(VLOOKUP(A14,data!A:D,4,FALSE),"")</f>
        <v>ผงผสมน้ำยาดัดเย็น Down Perm Powder BB-704</v>
      </c>
      <c r="E14" s="39"/>
      <c r="F14" s="40"/>
      <c r="G14" s="37">
        <f>IFERROR(VLOOKUP(A14,data!A:V,22,FALSE),"")</f>
        <v>8858890732523</v>
      </c>
      <c r="H14" s="37"/>
      <c r="I14" s="37"/>
      <c r="J14" s="41">
        <f>IFERROR(VLOOKUP(A14,'dataนน'!A:F,6,FALSE),"")</f>
      </c>
      <c r="K14" s="41">
        <f>IFERROR(VLOOKUP(A14,'dataนน'!A:G,7,FALSE),"")</f>
      </c>
      <c r="L14" s="42">
        <v>25</v>
      </c>
      <c r="M14" s="43">
        <v>30</v>
      </c>
      <c r="N14" s="42">
        <v>50</v>
      </c>
      <c r="O14" s="42">
        <v>10</v>
      </c>
      <c r="P14" s="44"/>
      <c r="Q14" s="45">
        <f>IFERROR(VLOOKUP(A14,'data-ค่าฝา'!B:G,6,FALSE),"")</f>
      </c>
    </row>
    <row r="15" spans="1:17" x14ac:dyDescent="0.25">
      <c r="A15" s="1" t="s">
        <v>20</v>
      </c>
      <c r="B15" s="1" t="s">
        <v>241</v>
      </c>
      <c r="C15" s="38" t="str">
        <f>IFERROR(VLOOKUP(A15,data!A:G,7,FALSE),"")</f>
        <v>Grooming - ผลิตภัณพ์จัดแต่งทรงผมและหนวด</v>
      </c>
      <c r="D15" s="38" t="str">
        <f>IFERROR(VLOOKUP(A15,data!A:D,4,FALSE),"")</f>
        <v>BB-514 บาร์เบอร์เบรน มูส กรูมมิ่ง ทอนนิค 100ml</v>
      </c>
      <c r="E15" s="39"/>
      <c r="F15" s="40"/>
      <c r="G15" s="37">
        <f>IFERROR(VLOOKUP(A15,data!A:V,22,FALSE),"")</f>
        <v>8858890798499</v>
      </c>
      <c r="H15" s="37"/>
      <c r="I15" s="37"/>
      <c r="J15" s="41">
        <f>IFERROR(VLOOKUP(A15,'dataนน'!A:F,6,FALSE),"")</f>
      </c>
      <c r="K15" s="41">
        <f>IFERROR(VLOOKUP(A15,'dataนน'!A:G,7,FALSE),"")</f>
      </c>
      <c r="L15" s="42">
        <v>120</v>
      </c>
      <c r="M15" s="43">
        <v>130</v>
      </c>
      <c r="N15" s="42">
        <v>240</v>
      </c>
      <c r="O15" s="42">
        <v>10</v>
      </c>
      <c r="P15" s="44"/>
      <c r="Q15" s="45">
        <f>IFERROR(VLOOKUP(A15,'data-ค่าฝา'!B:G,6,FALSE),"")</f>
      </c>
    </row>
    <row r="16" spans="1:17" x14ac:dyDescent="0.25">
      <c r="A16" s="1" t="s">
        <v>21</v>
      </c>
      <c r="B16" s="1" t="s">
        <v>241</v>
      </c>
      <c r="C16" s="38" t="str">
        <f>IFERROR(VLOOKUP(A16,data!A:G,7,FALSE),"")</f>
        <v>Grooming - ผลิตภัณพ์จัดแต่งทรงผมและหนวด</v>
      </c>
      <c r="D16" s="38" t="str">
        <f>IFERROR(VLOOKUP(A16,data!A:D,4,FALSE),"")</f>
        <v>BB-515 pre shave</v>
      </c>
      <c r="E16" s="39"/>
      <c r="F16" s="40"/>
      <c r="G16" s="37">
        <f>IFERROR(VLOOKUP(A16,data!A:V,22,FALSE),"")</f>
        <v>8858890798666</v>
      </c>
      <c r="H16" s="37"/>
      <c r="I16" s="37"/>
      <c r="J16" s="41">
        <f>IFERROR(VLOOKUP(A16,'dataนน'!A:F,6,FALSE),"")</f>
      </c>
      <c r="K16" s="41">
        <f>IFERROR(VLOOKUP(A16,'dataนน'!A:G,7,FALSE),"")</f>
      </c>
      <c r="L16" s="42">
        <v>170</v>
      </c>
      <c r="M16" s="43">
        <v>185</v>
      </c>
      <c r="N16" s="42">
        <v>250</v>
      </c>
      <c r="O16" s="42">
        <v>10</v>
      </c>
      <c r="P16" s="44"/>
      <c r="Q16" s="45">
        <f>IFERROR(VLOOKUP(A16,'data-ค่าฝา'!B:G,6,FALSE),"")</f>
      </c>
    </row>
    <row r="17" spans="1:17" x14ac:dyDescent="0.25">
      <c r="A17" s="1" t="s">
        <v>22</v>
      </c>
      <c r="B17" s="1" t="s">
        <v>241</v>
      </c>
      <c r="C17" s="38" t="str">
        <f>IFERROR(VLOOKUP(A17,data!A:G,7,FALSE),"")</f>
        <v>Electrical Equipment - อุปกรณ์ไฟฟ้า</v>
      </c>
      <c r="D17" s="38" t="str">
        <f>IFERROR(VLOOKUP(A17,data!A:D,4,FALSE),"")</f>
        <v>ปัตตาเลี่ยนไร้สาย Barber Brain รุ่น Stella BB-111</v>
      </c>
      <c r="E17" s="46" t="s">
        <v>242</v>
      </c>
      <c r="F17" s="33">
        <v>12</v>
      </c>
      <c r="G17" s="37">
        <f>IFERROR(VLOOKUP(A17,data!A:V,22,FALSE),"")</f>
        <v>8858890799557</v>
      </c>
      <c r="H17" s="37"/>
      <c r="I17" s="37"/>
      <c r="J17" s="41">
        <f>IFERROR(VLOOKUP(A17,'dataนน'!A:F,6,FALSE),"")</f>
      </c>
      <c r="K17" s="41">
        <f>IFERROR(VLOOKUP(A17,'dataนน'!A:G,7,FALSE),"")</f>
      </c>
      <c r="L17" s="42">
        <v>1350</v>
      </c>
      <c r="M17" s="43">
        <v>1485</v>
      </c>
      <c r="N17" s="42">
        <v>1950</v>
      </c>
      <c r="O17" s="42">
        <v>10</v>
      </c>
      <c r="P17" s="44"/>
      <c r="Q17" s="45">
        <f>IFERROR(VLOOKUP(A17,'data-ค่าฝา'!B:G,6,FALSE),"")</f>
        <v>80</v>
      </c>
    </row>
    <row r="18" spans="1:17" x14ac:dyDescent="0.25">
      <c r="A18" s="1" t="s">
        <v>23</v>
      </c>
      <c r="B18" s="1" t="s">
        <v>241</v>
      </c>
      <c r="C18" s="38" t="str">
        <f>IFERROR(VLOOKUP(A18,data!A:G,7,FALSE),"")</f>
        <v>Electrical Equipment - อุปกรณ์ไฟฟ้า</v>
      </c>
      <c r="D18" s="38" t="str">
        <f>IFERROR(VLOOKUP(A18,data!A:D,4,FALSE),"")</f>
        <v>Barber Brain Trimmer ปัตตาเลี่ยนกันขอบไร้สาย รุ่น Stella BB-112</v>
      </c>
      <c r="E18" s="39"/>
      <c r="F18" s="33">
        <v>12</v>
      </c>
      <c r="G18" s="37">
        <f>IFERROR(VLOOKUP(A18,data!A:V,22,FALSE),"")</f>
        <v>8858890799786</v>
      </c>
      <c r="H18" s="37"/>
      <c r="I18" s="37"/>
      <c r="J18" s="41">
        <f>IFERROR(VLOOKUP(A18,'dataนน'!A:F,6,FALSE),"")</f>
      </c>
      <c r="K18" s="41">
        <f>IFERROR(VLOOKUP(A18,'dataนน'!A:G,7,FALSE),"")</f>
      </c>
      <c r="L18" s="42">
        <v>1000</v>
      </c>
      <c r="M18" s="43">
        <v>1100</v>
      </c>
      <c r="N18" s="42">
        <v>1350</v>
      </c>
      <c r="O18" s="42">
        <v>10</v>
      </c>
      <c r="P18" s="44"/>
      <c r="Q18" s="45">
        <f>IFERROR(VLOOKUP(A18,'data-ค่าฝา'!B:G,6,FALSE),"")</f>
        <v>80</v>
      </c>
    </row>
    <row r="19" spans="1:17" x14ac:dyDescent="0.25">
      <c r="A19" s="1" t="s">
        <v>24</v>
      </c>
      <c r="B19" s="1" t="s">
        <v>241</v>
      </c>
      <c r="C19" s="38" t="str">
        <f>IFERROR(VLOOKUP(A19,data!A:G,7,FALSE),"")</f>
        <v>Electrical Equipment - อุปกรณ์ไฟฟ้า</v>
      </c>
      <c r="D19" s="38" t="str">
        <f>IFERROR(VLOOKUP(A19,data!A:D,4,FALSE),"")</f>
        <v>ปัตตาเลี่ยนไร้สาย BB-108 แถมหวีรองซอย BB-106-06</v>
      </c>
      <c r="E19" s="46" t="s">
        <v>243</v>
      </c>
      <c r="F19" s="33">
        <v>20</v>
      </c>
      <c r="G19" s="37">
        <f>IFERROR(VLOOKUP(A19,data!A:V,22,FALSE),"")</f>
        <v>8588890721172</v>
      </c>
      <c r="H19" s="37"/>
      <c r="I19" s="37"/>
      <c r="J19" s="41">
        <f>IFERROR(VLOOKUP(A19,'dataนน'!A:F,6,FALSE),"")</f>
        <v>0.05</v>
      </c>
      <c r="K19" s="41">
        <f>IFERROR(VLOOKUP(A19,'dataนน'!A:G,7,FALSE),"")</f>
      </c>
      <c r="L19" s="42">
        <v>1050</v>
      </c>
      <c r="M19" s="43">
        <v>1155</v>
      </c>
      <c r="N19" s="42">
        <v>1450</v>
      </c>
      <c r="O19" s="42">
        <v>10</v>
      </c>
      <c r="P19" s="44"/>
      <c r="Q19" s="45">
        <f>IFERROR(VLOOKUP(A19,'data-ค่าฝา'!B:G,6,FALSE),"")</f>
        <v>50</v>
      </c>
    </row>
    <row r="20" spans="1:17" x14ac:dyDescent="0.25">
      <c r="A20" s="1" t="s">
        <v>25</v>
      </c>
      <c r="B20" s="1" t="s">
        <v>241</v>
      </c>
      <c r="C20" s="38" t="str">
        <f>IFERROR(VLOOKUP(A20,data!A:G,7,FALSE),"")</f>
        <v>Electrical Equipment - อุปกรณ์ไฟฟ้า</v>
      </c>
      <c r="D20" s="38" t="str">
        <f>IFERROR(VLOOKUP(A20,data!A:D,4,FALSE),"")</f>
        <v>ปัตตาเลี่ยน BB-110 แถมหวี BB-106-06 และรองฟัน BB-103</v>
      </c>
      <c r="E20" s="46" t="s">
        <v>244</v>
      </c>
      <c r="F20" s="33">
        <v>20</v>
      </c>
      <c r="G20" s="37">
        <f>IFERROR(VLOOKUP(A20,data!A:V,22,FALSE),"")</f>
        <v>8858890721220</v>
      </c>
      <c r="H20" s="37"/>
      <c r="I20" s="37"/>
      <c r="J20" s="41">
        <f>IFERROR(VLOOKUP(A20,'dataนน'!A:F,6,FALSE),"")</f>
        <v>0.85</v>
      </c>
      <c r="K20" s="41">
        <f>IFERROR(VLOOKUP(A20,'dataนน'!A:G,7,FALSE),"")</f>
      </c>
      <c r="L20" s="42">
        <v>1050</v>
      </c>
      <c r="M20" s="43">
        <v>1155</v>
      </c>
      <c r="N20" s="42">
        <v>1500</v>
      </c>
      <c r="O20" s="42">
        <v>10</v>
      </c>
      <c r="P20" s="44"/>
      <c r="Q20" s="45">
        <f>IFERROR(VLOOKUP(A20,'data-ค่าฝา'!B:G,6,FALSE),"")</f>
        <v>50</v>
      </c>
    </row>
    <row r="21" spans="1:17" x14ac:dyDescent="0.25">
      <c r="A21" s="1" t="s">
        <v>26</v>
      </c>
      <c r="B21" s="1" t="s">
        <v>241</v>
      </c>
      <c r="C21" s="38" t="str">
        <f>IFERROR(VLOOKUP(A21,data!A:G,7,FALSE),"")</f>
        <v>Electrical Equipment - อุปกรณ์ไฟฟ้า</v>
      </c>
      <c r="D21" s="38" t="str">
        <f>IFERROR(VLOOKUP(A21,data!A:D,4,FALSE),"")</f>
        <v>บาร์เบอร์เบรนปัตตาเลี่ยน T-Blade ไร้สาย BB-100</v>
      </c>
      <c r="E21" s="39"/>
      <c r="F21" s="33">
        <v>24</v>
      </c>
      <c r="G21" s="37">
        <f>IFERROR(VLOOKUP(A21,data!A:V,22,FALSE),"")</f>
        <v>8858890721077</v>
      </c>
      <c r="H21" s="37"/>
      <c r="I21" s="37"/>
      <c r="J21" s="41">
        <f>IFERROR(VLOOKUP(A21,'dataนน'!A:F,6,FALSE),"")</f>
        <v>0.05</v>
      </c>
      <c r="K21" s="41">
        <f>IFERROR(VLOOKUP(A21,'dataนน'!A:G,7,FALSE),"")</f>
      </c>
      <c r="L21" s="42">
        <v>420</v>
      </c>
      <c r="M21" s="43">
        <v>460</v>
      </c>
      <c r="N21" s="42">
        <v>750</v>
      </c>
      <c r="O21" s="42">
        <v>10</v>
      </c>
      <c r="P21" s="35">
        <v>65</v>
      </c>
      <c r="Q21" s="45">
        <f>IFERROR(VLOOKUP(A21,'data-ค่าฝา'!B:G,6,FALSE),"")</f>
        <v>20</v>
      </c>
    </row>
    <row r="22" spans="1:17" x14ac:dyDescent="0.25">
      <c r="A22" s="1" t="s">
        <v>27</v>
      </c>
      <c r="B22" s="1" t="s">
        <v>241</v>
      </c>
      <c r="C22" s="38" t="str">
        <f>IFERROR(VLOOKUP(A22,data!A:G,7,FALSE),"")</f>
        <v>Electrical Equipment - อุปกรณ์ไฟฟ้า</v>
      </c>
      <c r="D22" s="38" t="str">
        <f>IFERROR(VLOOKUP(A22,data!A:D,4,FALSE),"")</f>
        <v>รองฟัน BB-103</v>
      </c>
      <c r="E22" s="39"/>
      <c r="F22" s="40"/>
      <c r="G22" s="37">
        <f>IFERROR(VLOOKUP(A22,data!A:V,22,FALSE),"")</f>
        <v>8858890796501</v>
      </c>
      <c r="H22" s="37"/>
      <c r="I22" s="37"/>
      <c r="J22" s="41">
        <f>IFERROR(VLOOKUP(A22,'dataนน'!A:F,6,FALSE),"")</f>
        <v>0.05</v>
      </c>
      <c r="K22" s="41" t="str">
        <f>IFERROR(VLOOKUP(A22,'dataนน'!A:G,7,FALSE),"")</f>
        <v>เบอร์ 0.5 หนา 5 , 1.5 หนา 4.6</v>
      </c>
      <c r="L22" s="42">
        <v>75</v>
      </c>
      <c r="M22" s="43">
        <v>85</v>
      </c>
      <c r="N22" s="42">
        <v>200</v>
      </c>
      <c r="O22" s="42">
        <v>10</v>
      </c>
      <c r="P22" s="44"/>
      <c r="Q22" s="45">
        <f>IFERROR(VLOOKUP(A22,'data-ค่าฝา'!B:G,6,FALSE),"")</f>
      </c>
    </row>
    <row r="23" spans="1:17" x14ac:dyDescent="0.25">
      <c r="A23" s="10" t="s">
        <v>28</v>
      </c>
      <c r="B23" s="1" t="s">
        <v>241</v>
      </c>
      <c r="C23" s="38">
        <f>IFERROR(VLOOKUP(A23,data!A:G,7,FALSE),"")</f>
      </c>
      <c r="D23" s="38">
        <f>IFERROR(VLOOKUP(A23,data!A:D,4,FALSE),"")</f>
      </c>
      <c r="E23" s="39"/>
      <c r="F23" s="40"/>
      <c r="G23" s="37">
        <f>IFERROR(VLOOKUP(A23,data!A:V,22,FALSE),"")</f>
      </c>
      <c r="H23" s="37"/>
      <c r="I23" s="37"/>
      <c r="J23" s="41">
        <f>IFERROR(VLOOKUP(A23,'dataนน'!A:F,6,FALSE),"")</f>
      </c>
      <c r="K23" s="41">
        <f>IFERROR(VLOOKUP(A23,'dataนน'!A:G,7,FALSE),"")</f>
      </c>
      <c r="L23" s="47">
        <v>38</v>
      </c>
      <c r="M23" s="43">
        <v>40</v>
      </c>
      <c r="N23" s="42">
        <v>150</v>
      </c>
      <c r="O23" s="42">
        <v>10</v>
      </c>
      <c r="P23" s="48"/>
      <c r="Q23" s="45">
        <f>IFERROR(VLOOKUP(A23,'data-ค่าฝา'!B:G,6,FALSE),"")</f>
      </c>
    </row>
    <row r="24" spans="1:17" x14ac:dyDescent="0.25">
      <c r="A24" s="1" t="s">
        <v>29</v>
      </c>
      <c r="B24" s="1" t="s">
        <v>241</v>
      </c>
      <c r="C24" s="38" t="str">
        <f>IFERROR(VLOOKUP(A24,data!A:G,7,FALSE),"")</f>
        <v>Electrical Equipment - อุปกรณ์ไฟฟ้า</v>
      </c>
      <c r="D24" s="38" t="str">
        <f>IFERROR(VLOOKUP(A24,data!A:D,4,FALSE),"")</f>
        <v>BARBER BRAIN รองฟันปัตตาเลี่ยน ชนิดแม่เหล็ก รุ่น BB-104</v>
      </c>
      <c r="E24" s="39"/>
      <c r="F24" s="40"/>
      <c r="G24" s="37">
        <f>IFERROR(VLOOKUP(A24,data!A:V,22,FALSE),"")</f>
        <v>8858890793364</v>
      </c>
      <c r="H24" s="37"/>
      <c r="I24" s="37"/>
      <c r="J24" s="41">
        <f>IFERROR(VLOOKUP(A24,'dataนน'!A:F,6,FALSE),"")</f>
        <v>0.05</v>
      </c>
      <c r="K24" s="41" t="str">
        <f>IFERROR(VLOOKUP(A24,'dataนน'!A:G,7,FALSE),"")</f>
        <v>เบอร์ 0-4 ขนาด 1.5-13 mm.</v>
      </c>
      <c r="L24" s="42">
        <v>140</v>
      </c>
      <c r="M24" s="43">
        <v>155</v>
      </c>
      <c r="N24" s="42">
        <v>250</v>
      </c>
      <c r="O24" s="42">
        <v>10</v>
      </c>
      <c r="P24" s="44"/>
      <c r="Q24" s="45">
        <f>IFERROR(VLOOKUP(A24,'data-ค่าฝา'!B:G,6,FALSE),"")</f>
      </c>
    </row>
    <row r="25" spans="1:17" x14ac:dyDescent="0.25">
      <c r="A25" s="49" t="s">
        <v>30</v>
      </c>
      <c r="B25" s="1" t="s">
        <v>241</v>
      </c>
      <c r="C25" s="38" t="str">
        <f>IFERROR(VLOOKUP(A25,data!A:G,7,FALSE),"")</f>
        <v>Replacement Parts - ชิ้นส่วนอะไหล่</v>
      </c>
      <c r="D25" s="38" t="str">
        <f>IFERROR(VLOOKUP(A25,data!A:D,4,FALSE),"")</f>
        <v>ชุดฟันปัตตาเลี่ยน Stella</v>
      </c>
      <c r="E25" s="39"/>
      <c r="F25" s="40"/>
      <c r="G25" s="37">
        <f>IFERROR(VLOOKUP(A25,data!A:V,22,FALSE),"")</f>
        <v>8858890799601</v>
      </c>
      <c r="H25" s="37"/>
      <c r="I25" s="37"/>
      <c r="J25" s="41">
        <f>IFERROR(VLOOKUP(A25,'dataนน'!A:F,6,FALSE),"")</f>
      </c>
      <c r="K25" s="41">
        <f>IFERROR(VLOOKUP(A25,'dataนน'!A:G,7,FALSE),"")</f>
      </c>
      <c r="L25" s="42">
        <v>210</v>
      </c>
      <c r="M25" s="43">
        <v>230</v>
      </c>
      <c r="N25" s="42">
        <v>300</v>
      </c>
      <c r="O25" s="42">
        <v>10</v>
      </c>
      <c r="P25" s="44"/>
      <c r="Q25" s="45">
        <f>IFERROR(VLOOKUP(A25,'data-ค่าฝา'!B:G,6,FALSE),"")</f>
      </c>
    </row>
    <row r="26" spans="1:17" x14ac:dyDescent="0.25">
      <c r="A26" s="1" t="s">
        <v>31</v>
      </c>
      <c r="B26" s="1" t="s">
        <v>241</v>
      </c>
      <c r="C26" s="38" t="str">
        <f>IFERROR(VLOOKUP(A26,data!A:G,7,FALSE),"")</f>
        <v>Hair Scissors - กรรไกรตัดซอย</v>
      </c>
      <c r="D26" s="1" t="s">
        <v>245</v>
      </c>
      <c r="E26" s="46" t="s">
        <v>246</v>
      </c>
      <c r="F26" s="40"/>
      <c r="G26" s="37">
        <f>IFERROR(VLOOKUP(A26,data!A:V,22,FALSE),"")</f>
        <v>8858890761042</v>
      </c>
      <c r="H26" s="37"/>
      <c r="I26" s="37"/>
      <c r="J26" s="41">
        <f>IFERROR(VLOOKUP(A26,'dataนน'!A:F,6,FALSE),"")</f>
        <v>0.145</v>
      </c>
      <c r="K26" s="41" t="str">
        <f>IFERROR(VLOOKUP(A26,'dataนน'!A:G,7,FALSE),"")</f>
        <v>6.5 นิ้ว</v>
      </c>
      <c r="L26" s="42">
        <v>315</v>
      </c>
      <c r="M26" s="43">
        <v>345</v>
      </c>
      <c r="N26" s="42">
        <v>450</v>
      </c>
      <c r="O26" s="42">
        <v>10</v>
      </c>
      <c r="P26" s="44"/>
      <c r="Q26" s="45">
        <f>IFERROR(VLOOKUP(A26,'data-ค่าฝา'!B:G,6,FALSE),"")</f>
      </c>
    </row>
    <row r="27" spans="1:17" x14ac:dyDescent="0.25">
      <c r="A27" s="1" t="s">
        <v>32</v>
      </c>
      <c r="B27" s="1" t="s">
        <v>241</v>
      </c>
      <c r="C27" s="38" t="str">
        <f>IFERROR(VLOOKUP(A27,data!A:G,7,FALSE),"")</f>
        <v>Hair Scissors - กรรไกรตัดซอย</v>
      </c>
      <c r="D27" s="1" t="s">
        <v>247</v>
      </c>
      <c r="E27" s="46" t="s">
        <v>248</v>
      </c>
      <c r="F27" s="40"/>
      <c r="G27" s="37">
        <f>IFERROR(VLOOKUP(A27,data!A:V,22,FALSE),"")</f>
        <v>8858890761059</v>
      </c>
      <c r="H27" s="37"/>
      <c r="I27" s="37"/>
      <c r="J27" s="41">
        <f>IFERROR(VLOOKUP(A27,'dataนน'!A:F,6,FALSE),"")</f>
        <v>0.145</v>
      </c>
      <c r="K27" s="41" t="str">
        <f>IFERROR(VLOOKUP(A27,'dataนน'!A:G,7,FALSE),"")</f>
        <v>6.5 นิ้ว</v>
      </c>
      <c r="L27" s="42">
        <v>325</v>
      </c>
      <c r="M27" s="43">
        <v>360</v>
      </c>
      <c r="N27" s="42">
        <v>450</v>
      </c>
      <c r="O27" s="42">
        <v>10</v>
      </c>
      <c r="P27" s="44"/>
      <c r="Q27" s="45">
        <f>IFERROR(VLOOKUP(A27,'data-ค่าฝา'!B:G,6,FALSE),"")</f>
      </c>
    </row>
    <row r="28" spans="1:17" x14ac:dyDescent="0.25">
      <c r="A28" s="1" t="s">
        <v>33</v>
      </c>
      <c r="B28" s="1" t="s">
        <v>241</v>
      </c>
      <c r="C28" s="38" t="str">
        <f>IFERROR(VLOOKUP(A28,data!A:G,7,FALSE),"")</f>
        <v>Hair Scissors - กรรไกรตัดซอย</v>
      </c>
      <c r="D28" s="38" t="str">
        <f>IFERROR(VLOOKUP(A28,data!A:D,4,FALSE),"")</f>
        <v>BARBER SCISSORS กรรไกรตัดมือซ้าย 6.5</v>
      </c>
      <c r="E28" s="46" t="s">
        <v>246</v>
      </c>
      <c r="F28" s="40"/>
      <c r="G28" s="37">
        <f>IFERROR(VLOOKUP(A28,data!A:V,22,FALSE),"")</f>
        <v>8858890761066</v>
      </c>
      <c r="H28" s="37"/>
      <c r="I28" s="37"/>
      <c r="J28" s="41">
        <f>IFERROR(VLOOKUP(A28,'dataนน'!A:F,6,FALSE),"")</f>
        <v>0.14</v>
      </c>
      <c r="K28" s="41" t="str">
        <f>IFERROR(VLOOKUP(A28,'dataนน'!A:G,7,FALSE),"")</f>
        <v>6 นิ้ว</v>
      </c>
      <c r="L28" s="42">
        <v>320</v>
      </c>
      <c r="M28" s="43">
        <v>350</v>
      </c>
      <c r="N28" s="42">
        <v>450</v>
      </c>
      <c r="O28" s="42">
        <v>10</v>
      </c>
      <c r="P28" s="44"/>
      <c r="Q28" s="45">
        <f>IFERROR(VLOOKUP(A28,'data-ค่าฝา'!B:G,6,FALSE),"")</f>
      </c>
    </row>
    <row r="29" spans="1:17" x14ac:dyDescent="0.25">
      <c r="A29" s="1" t="s">
        <v>34</v>
      </c>
      <c r="B29" s="1" t="s">
        <v>241</v>
      </c>
      <c r="C29" s="38" t="str">
        <f>IFERROR(VLOOKUP(A29,data!A:G,7,FALSE),"")</f>
        <v>Hair Scissors - กรรไกรตัดซอย</v>
      </c>
      <c r="D29" s="38" t="str">
        <f>IFERROR(VLOOKUP(A29,data!A:D,4,FALSE),"")</f>
        <v>BARBER SCISSORS กรรไกรซอยมือซ้าย 6</v>
      </c>
      <c r="E29" s="46" t="s">
        <v>248</v>
      </c>
      <c r="F29" s="40"/>
      <c r="G29" s="37">
        <f>IFERROR(VLOOKUP(A29,data!A:V,22,FALSE),"")</f>
        <v>8858890761073</v>
      </c>
      <c r="H29" s="37"/>
      <c r="I29" s="37"/>
      <c r="J29" s="41">
        <f>IFERROR(VLOOKUP(A29,'dataนน'!A:F,6,FALSE),"")</f>
        <v>0.135</v>
      </c>
      <c r="K29" s="41" t="str">
        <f>IFERROR(VLOOKUP(A29,'dataนน'!A:G,7,FALSE),"")</f>
        <v>6 นิ้ว</v>
      </c>
      <c r="L29" s="42">
        <v>320</v>
      </c>
      <c r="M29" s="43">
        <v>350</v>
      </c>
      <c r="N29" s="42">
        <v>450</v>
      </c>
      <c r="O29" s="42">
        <v>10</v>
      </c>
      <c r="P29" s="44"/>
      <c r="Q29" s="45">
        <f>IFERROR(VLOOKUP(A29,'data-ค่าฝา'!B:G,6,FALSE),"")</f>
      </c>
    </row>
    <row r="30" spans="1:17" x14ac:dyDescent="0.25">
      <c r="A30" s="1" t="s">
        <v>35</v>
      </c>
      <c r="B30" s="1" t="s">
        <v>241</v>
      </c>
      <c r="C30" s="38" t="str">
        <f>IFERROR(VLOOKUP(A30,data!A:G,7,FALSE),"")</f>
        <v>Hair Scissors - กรรไกรตัดซอย</v>
      </c>
      <c r="D30" s="38" t="str">
        <f>IFERROR(VLOOKUP(A30,data!A:D,4,FALSE),"")</f>
        <v>กรรไกรตัดผม 6.5</v>
      </c>
      <c r="E30" s="46" t="s">
        <v>246</v>
      </c>
      <c r="F30" s="40"/>
      <c r="G30" s="37">
        <f>IFERROR(VLOOKUP(A30,data!A:V,22,FALSE),"")</f>
        <v>8858890799823</v>
      </c>
      <c r="H30" s="37"/>
      <c r="I30" s="37"/>
      <c r="J30" s="41">
        <f>IFERROR(VLOOKUP(A30,'dataนน'!A:F,6,FALSE),"")</f>
      </c>
      <c r="K30" s="41">
        <f>IFERROR(VLOOKUP(A30,'dataนน'!A:G,7,FALSE),"")</f>
      </c>
      <c r="L30" s="42">
        <v>315</v>
      </c>
      <c r="M30" s="43">
        <v>345</v>
      </c>
      <c r="N30" s="42">
        <v>450</v>
      </c>
      <c r="O30" s="42">
        <v>10</v>
      </c>
      <c r="P30" s="44"/>
      <c r="Q30" s="45">
        <f>IFERROR(VLOOKUP(A30,'data-ค่าฝา'!B:G,6,FALSE),"")</f>
      </c>
    </row>
    <row r="31" spans="1:17" x14ac:dyDescent="0.25">
      <c r="A31" s="1" t="s">
        <v>36</v>
      </c>
      <c r="B31" s="1" t="s">
        <v>241</v>
      </c>
      <c r="C31" s="38" t="str">
        <f>IFERROR(VLOOKUP(A31,data!A:G,7,FALSE),"")</f>
        <v>Hair Scissors - กรรไกรตัดซอย</v>
      </c>
      <c r="D31" s="38" t="str">
        <f>IFERROR(VLOOKUP(A31,data!A:D,4,FALSE),"")</f>
        <v>กรรไกรฟันปลา 6</v>
      </c>
      <c r="E31" s="46" t="s">
        <v>248</v>
      </c>
      <c r="F31" s="40"/>
      <c r="G31" s="37">
        <f>IFERROR(VLOOKUP(A31,data!A:V,22,FALSE),"")</f>
        <v>8858890799830</v>
      </c>
      <c r="H31" s="37"/>
      <c r="I31" s="37"/>
      <c r="J31" s="41">
        <f>IFERROR(VLOOKUP(A31,'dataนน'!A:F,6,FALSE),"")</f>
      </c>
      <c r="K31" s="41">
        <f>IFERROR(VLOOKUP(A31,'dataนน'!A:G,7,FALSE),"")</f>
      </c>
      <c r="L31" s="42">
        <v>325</v>
      </c>
      <c r="M31" s="43">
        <v>360</v>
      </c>
      <c r="N31" s="42">
        <v>450</v>
      </c>
      <c r="O31" s="42">
        <v>10</v>
      </c>
      <c r="P31" s="44"/>
      <c r="Q31" s="45">
        <f>IFERROR(VLOOKUP(A31,'data-ค่าฝา'!B:G,6,FALSE),"")</f>
      </c>
    </row>
    <row r="32" spans="1:17" x14ac:dyDescent="0.25">
      <c r="A32" s="1" t="s">
        <v>37</v>
      </c>
      <c r="B32" s="1" t="s">
        <v>241</v>
      </c>
      <c r="C32" s="38" t="str">
        <f>IFERROR(VLOOKUP(A32,data!A:G,7,FALSE),"")</f>
        <v>Apron - ผ้าคลุมและผ้ากันเปื้อน</v>
      </c>
      <c r="D32" s="38" t="str">
        <f>IFERROR(VLOOKUP(A32,data!A:D,4,FALSE),"")</f>
        <v>บาร์เบอร์ เบรน เอี๊ยมช่างบาร์เบอร์ ผูกหลัง 0.401g. รหัสสินค้า ZP-A16015</v>
      </c>
      <c r="E32" s="46" t="s">
        <v>249</v>
      </c>
      <c r="F32" s="40"/>
      <c r="G32" s="37">
        <f>IFERROR(VLOOKUP(A32,data!A:V,22,FALSE),"")</f>
        <v>8858890794804</v>
      </c>
      <c r="H32" s="37"/>
      <c r="I32" s="37"/>
      <c r="J32" s="41">
        <f>IFERROR(VLOOKUP(A32,'dataนน'!A:F,6,FALSE),"")</f>
        <v>0.05</v>
      </c>
      <c r="K32" s="41" t="str">
        <f>IFERROR(VLOOKUP(A32,'dataนน'!A:G,7,FALSE),"")</f>
        <v>กว้าง 69 ซม. สูง 80 ซม.</v>
      </c>
      <c r="L32" s="42">
        <v>400</v>
      </c>
      <c r="M32" s="42">
        <v>425</v>
      </c>
      <c r="N32" s="42">
        <v>435</v>
      </c>
      <c r="O32" s="42">
        <v>10</v>
      </c>
      <c r="P32" s="44"/>
      <c r="Q32" s="45">
        <f>IFERROR(VLOOKUP(A32,'data-ค่าฝา'!B:G,6,FALSE),"")</f>
      </c>
    </row>
    <row r="33" spans="1:17" x14ac:dyDescent="0.25">
      <c r="A33" s="1" t="s">
        <v>38</v>
      </c>
      <c r="B33" s="1" t="s">
        <v>241</v>
      </c>
      <c r="C33" s="38" t="str">
        <f>IFERROR(VLOOKUP(A33,data!A:G,7,FALSE),"")</f>
        <v>Apron - ผ้าคลุมและผ้ากันเปื้อน</v>
      </c>
      <c r="D33" s="38" t="str">
        <f>IFERROR(VLOOKUP(A33,data!A:D,4,FALSE),"")</f>
        <v>ผ้าคลุม Stella VAL-1516</v>
      </c>
      <c r="E33" s="46" t="s">
        <v>250</v>
      </c>
      <c r="F33" s="40"/>
      <c r="G33" s="37">
        <f>IFERROR(VLOOKUP(A33,data!A:V,22,FALSE),"")</f>
        <v>8858890799939</v>
      </c>
      <c r="H33" s="37"/>
      <c r="I33" s="37"/>
      <c r="J33" s="41">
        <f>IFERROR(VLOOKUP(A33,'dataนน'!A:F,6,FALSE),"")</f>
      </c>
      <c r="K33" s="41">
        <f>IFERROR(VLOOKUP(A33,'dataนน'!A:G,7,FALSE),"")</f>
      </c>
      <c r="L33" s="42">
        <v>150</v>
      </c>
      <c r="M33" s="43">
        <v>165</v>
      </c>
      <c r="N33" s="42">
        <v>190</v>
      </c>
      <c r="O33" s="42">
        <v>10</v>
      </c>
      <c r="P33" s="44"/>
      <c r="Q33" s="45">
        <f>IFERROR(VLOOKUP(A33,'data-ค่าฝา'!B:G,6,FALSE),"")</f>
      </c>
    </row>
    <row r="34" spans="1:17" x14ac:dyDescent="0.25">
      <c r="A34" s="1" t="s">
        <v>39</v>
      </c>
      <c r="B34" s="1" t="s">
        <v>241</v>
      </c>
      <c r="C34" s="38" t="str">
        <f>IFERROR(VLOOKUP(A34,data!A:G,7,FALSE),"")</f>
        <v>Apron - ผ้าคลุมและผ้ากันเปื้อน</v>
      </c>
      <c r="D34" s="38" t="str">
        <f>IFERROR(VLOOKUP(A34,data!A:D,4,FALSE),"")</f>
        <v>BARBER BRAIN ผ้าคลุมซอยลายทหาร รุ่น VAL-K099</v>
      </c>
      <c r="E34" s="46" t="s">
        <v>251</v>
      </c>
      <c r="F34" s="40"/>
      <c r="G34" s="37">
        <f>IFERROR(VLOOKUP(A34,data!A:V,22,FALSE),"")</f>
        <v>8858890796488</v>
      </c>
      <c r="H34" s="37"/>
      <c r="I34" s="37"/>
      <c r="J34" s="41">
        <f>IFERROR(VLOOKUP(A34,'dataนน'!A:F,6,FALSE),"")</f>
        <v>0.05</v>
      </c>
      <c r="K34" s="41" t="str">
        <f>IFERROR(VLOOKUP(A34,'dataนน'!A:G,7,FALSE),"")</f>
        <v>กว้าง 118 ซม. สูง 145 ซม.</v>
      </c>
      <c r="L34" s="42">
        <v>135</v>
      </c>
      <c r="M34" s="43">
        <v>150</v>
      </c>
      <c r="N34" s="42">
        <v>200</v>
      </c>
      <c r="O34" s="42">
        <v>10</v>
      </c>
      <c r="P34" s="44"/>
      <c r="Q34" s="45">
        <f>IFERROR(VLOOKUP(A34,'data-ค่าฝา'!B:G,6,FALSE),"")</f>
      </c>
    </row>
    <row r="35" spans="1:17" x14ac:dyDescent="0.25">
      <c r="A35" s="1" t="s">
        <v>40</v>
      </c>
      <c r="B35" s="1" t="s">
        <v>241</v>
      </c>
      <c r="C35" s="38" t="str">
        <f>IFERROR(VLOOKUP(A35,data!A:G,7,FALSE),"")</f>
        <v>Apron - ผ้าคลุมและผ้ากันเปื้อน</v>
      </c>
      <c r="D35" s="38" t="str">
        <f>IFERROR(VLOOKUP(A35,data!A:D,4,FALSE),"")</f>
        <v>ผ้าคลุมซอยบาร์เบอร์ มีแขน บาร์เบอร์เบรนสีดำ 0.211g. รหัสสินค้า VAL-K024</v>
      </c>
      <c r="E35" s="46" t="s">
        <v>252</v>
      </c>
      <c r="F35" s="40"/>
      <c r="G35" s="37">
        <f>IFERROR(VLOOKUP(A35,data!A:V,22,FALSE),"")</f>
        <v>8858890726041</v>
      </c>
      <c r="H35" s="37"/>
      <c r="I35" s="37"/>
      <c r="J35" s="41">
        <f>IFERROR(VLOOKUP(A35,'dataนน'!A:F,6,FALSE),"")</f>
        <v>0.05</v>
      </c>
      <c r="K35" s="41" t="str">
        <f>IFERROR(VLOOKUP(A35,'dataนน'!A:G,7,FALSE),"")</f>
        <v>164x123 ซม.</v>
      </c>
      <c r="L35" s="42">
        <v>200</v>
      </c>
      <c r="M35" s="43">
        <v>220</v>
      </c>
      <c r="N35" s="42">
        <v>250</v>
      </c>
      <c r="O35" s="42">
        <v>10</v>
      </c>
      <c r="P35" s="44"/>
      <c r="Q35" s="45">
        <f>IFERROR(VLOOKUP(A35,'data-ค่าฝา'!B:G,6,FALSE),"")</f>
      </c>
    </row>
    <row r="36" spans="1:17" x14ac:dyDescent="0.25">
      <c r="A36" s="1" t="s">
        <v>41</v>
      </c>
      <c r="B36" s="1" t="s">
        <v>241</v>
      </c>
      <c r="C36" s="38" t="str">
        <f>IFERROR(VLOOKUP(A36,data!A:G,7,FALSE),"")</f>
        <v>Apron - ผ้าคลุมและผ้ากันเปื้อน</v>
      </c>
      <c r="D36" s="38" t="str">
        <f>IFERROR(VLOOKUP(A36,data!A:D,4,FALSE),"")</f>
        <v>BARBER BRAIN CUTTING PINK APRON : ผ้าคลุมซอย บาร์เบอร์เบรน สีชมพู VAL-1513</v>
      </c>
      <c r="E36" s="46" t="s">
        <v>253</v>
      </c>
      <c r="F36" s="40"/>
      <c r="G36" s="37">
        <f>IFERROR(VLOOKUP(A36,data!A:V,22,FALSE),"")</f>
        <v>88588907958522</v>
      </c>
      <c r="H36" s="37"/>
      <c r="I36" s="37"/>
      <c r="J36" s="41">
        <f>IFERROR(VLOOKUP(A36,'dataนน'!A:F,6,FALSE),"")</f>
        <v>0.55</v>
      </c>
      <c r="K36" s="41" t="str">
        <f>IFERROR(VLOOKUP(A36,'dataนน'!A:G,7,FALSE),"")</f>
        <v>กว้าง 140 ซม. สูง 150 ซม.</v>
      </c>
      <c r="L36" s="42">
        <v>150</v>
      </c>
      <c r="M36" s="43">
        <v>165</v>
      </c>
      <c r="N36" s="42">
        <v>190</v>
      </c>
      <c r="O36" s="42">
        <v>10</v>
      </c>
      <c r="P36" s="44"/>
      <c r="Q36" s="45">
        <f>IFERROR(VLOOKUP(A36,'data-ค่าฝา'!B:G,6,FALSE),"")</f>
      </c>
    </row>
    <row r="37" spans="1:17" x14ac:dyDescent="0.25">
      <c r="A37" s="1" t="s">
        <v>42</v>
      </c>
      <c r="B37" s="1" t="s">
        <v>241</v>
      </c>
      <c r="C37" s="38" t="str">
        <f>IFERROR(VLOOKUP(A37,data!A:G,7,FALSE),"")</f>
        <v>Apron - ผ้าคลุมและผ้ากันเปื้อน</v>
      </c>
      <c r="D37" s="38" t="str">
        <f>IFERROR(VLOOKUP(A37,data!A:D,4,FALSE),"")</f>
        <v>Barber Brain ผ้าคลุมซอย VAL-1510/W-1</v>
      </c>
      <c r="E37" s="46" t="s">
        <v>254</v>
      </c>
      <c r="F37" s="40"/>
      <c r="G37" s="37">
        <f>IFERROR(VLOOKUP(A37,data!A:V,22,FALSE),"")</f>
        <v>8858890795900</v>
      </c>
      <c r="H37" s="37"/>
      <c r="I37" s="37"/>
      <c r="J37" s="41">
        <f>IFERROR(VLOOKUP(A37,'dataนน'!A:F,6,FALSE),"")</f>
        <v>0.55</v>
      </c>
      <c r="K37" s="41" t="str">
        <f>IFERROR(VLOOKUP(A37,'dataนน'!A:G,7,FALSE),"")</f>
        <v>153x123 ซม.</v>
      </c>
      <c r="L37" s="42">
        <v>84</v>
      </c>
      <c r="M37" s="43">
        <v>90</v>
      </c>
      <c r="N37" s="42">
        <v>120</v>
      </c>
      <c r="O37" s="42">
        <v>10</v>
      </c>
      <c r="P37" s="44"/>
      <c r="Q37" s="45">
        <f>IFERROR(VLOOKUP(A37,'data-ค่าฝา'!B:G,6,FALSE),"")</f>
      </c>
    </row>
    <row r="38" spans="1:17" x14ac:dyDescent="0.25">
      <c r="A38" s="1" t="s">
        <v>43</v>
      </c>
      <c r="B38" s="1" t="s">
        <v>241</v>
      </c>
      <c r="C38" s="38" t="str">
        <f>IFERROR(VLOOKUP(A38,data!A:G,7,FALSE),"")</f>
        <v>Apron - ผ้าคลุมและผ้ากันเปื้อน</v>
      </c>
      <c r="D38" s="38" t="str">
        <f>IFERROR(VLOOKUP(A38,data!A:D,4,FALSE),"")</f>
        <v>ผ้าคลุมซอย สกรีนโลโก้ Barber Brain สีขาว VAL-1510/W</v>
      </c>
      <c r="E38" s="46" t="s">
        <v>254</v>
      </c>
      <c r="F38" s="40"/>
      <c r="G38" s="37">
        <f>IFERROR(VLOOKUP(A38,data!A:V,22,FALSE),"")</f>
        <v>8858890794583</v>
      </c>
      <c r="H38" s="37"/>
      <c r="I38" s="37"/>
      <c r="J38" s="41">
        <f>IFERROR(VLOOKUP(A38,'dataนน'!A:F,6,FALSE),"")</f>
        <v>0.55</v>
      </c>
      <c r="K38" s="41">
        <f>IFERROR(VLOOKUP(A38,'dataนน'!A:G,7,FALSE),"")</f>
      </c>
      <c r="L38" s="42">
        <v>87.08</v>
      </c>
      <c r="M38" s="43">
        <v>95</v>
      </c>
      <c r="N38" s="42">
        <v>120</v>
      </c>
      <c r="O38" s="42">
        <v>10</v>
      </c>
      <c r="P38" s="44"/>
      <c r="Q38" s="45">
        <f>IFERROR(VLOOKUP(A38,'data-ค่าฝา'!B:G,6,FALSE),"")</f>
      </c>
    </row>
    <row r="39" spans="1:17" x14ac:dyDescent="0.25">
      <c r="A39" s="1" t="s">
        <v>44</v>
      </c>
      <c r="B39" s="1" t="s">
        <v>241</v>
      </c>
      <c r="C39" s="38" t="str">
        <f>IFERROR(VLOOKUP(A39,data!A:G,7,FALSE),"")</f>
        <v>Apron - ผ้าคลุมและผ้ากันเปื้อน</v>
      </c>
      <c r="D39" s="38" t="str">
        <f>IFERROR(VLOOKUP(A39,data!A:D,4,FALSE),"")</f>
        <v>Barber Brain ผ้าคลุมซอย Barber Brain ผ้าคลุมซอย VAL-1510/B-1</v>
      </c>
      <c r="E39" s="46" t="s">
        <v>254</v>
      </c>
      <c r="F39" s="40"/>
      <c r="G39" s="37">
        <f>IFERROR(VLOOKUP(A39,data!A:V,22,FALSE),"")</f>
        <v>8858890795917</v>
      </c>
      <c r="H39" s="37"/>
      <c r="I39" s="37"/>
      <c r="J39" s="41">
        <f>IFERROR(VLOOKUP(A39,'dataนน'!A:F,6,FALSE),"")</f>
        <v>0.55</v>
      </c>
      <c r="K39" s="41" t="str">
        <f>IFERROR(VLOOKUP(A39,'dataนน'!A:G,7,FALSE),"")</f>
        <v>กว้าง 122 ซม. สูง 143 ซม.</v>
      </c>
      <c r="L39" s="42">
        <v>84</v>
      </c>
      <c r="M39" s="43">
        <v>90</v>
      </c>
      <c r="N39" s="42">
        <v>120</v>
      </c>
      <c r="O39" s="42">
        <v>10</v>
      </c>
      <c r="P39" s="44"/>
      <c r="Q39" s="45">
        <f>IFERROR(VLOOKUP(A39,'data-ค่าฝา'!B:G,6,FALSE),"")</f>
      </c>
    </row>
    <row r="40" spans="1:17" x14ac:dyDescent="0.25">
      <c r="A40" s="1" t="s">
        <v>45</v>
      </c>
      <c r="B40" s="1" t="s">
        <v>241</v>
      </c>
      <c r="C40" s="38" t="str">
        <f>IFERROR(VLOOKUP(A40,data!A:G,7,FALSE),"")</f>
        <v>Apron - ผ้าคลุมและผ้ากันเปื้อน</v>
      </c>
      <c r="D40" s="38" t="str">
        <f>IFERROR(VLOOKUP(A40,data!A:D,4,FALSE),"")</f>
        <v>ผ้าคลุมซอย Barber Brain VAL-1510/B</v>
      </c>
      <c r="E40" s="46" t="s">
        <v>254</v>
      </c>
      <c r="F40" s="40"/>
      <c r="G40" s="37">
        <f>IFERROR(VLOOKUP(A40,data!A:V,22,FALSE),"")</f>
        <v>8858890794576</v>
      </c>
      <c r="H40" s="37"/>
      <c r="I40" s="37"/>
      <c r="J40" s="41">
        <f>IFERROR(VLOOKUP(A40,'dataนน'!A:F,6,FALSE),"")</f>
        <v>0.55</v>
      </c>
      <c r="K40" s="41" t="str">
        <f>IFERROR(VLOOKUP(A40,'dataนน'!A:G,7,FALSE),"")</f>
        <v>กว้าง 120 ซม. สูง 140 ซม.</v>
      </c>
      <c r="L40" s="42">
        <v>87.08</v>
      </c>
      <c r="M40" s="43">
        <v>95</v>
      </c>
      <c r="N40" s="42">
        <v>120</v>
      </c>
      <c r="O40" s="42">
        <v>10</v>
      </c>
      <c r="P40" s="44"/>
      <c r="Q40" s="45">
        <f>IFERROR(VLOOKUP(A40,'data-ค่าฝา'!B:G,6,FALSE),"")</f>
      </c>
    </row>
    <row r="41" spans="1:17" x14ac:dyDescent="0.25">
      <c r="A41" s="1" t="s">
        <v>46</v>
      </c>
      <c r="B41" s="1" t="s">
        <v>241</v>
      </c>
      <c r="C41" s="38" t="str">
        <f>IFERROR(VLOOKUP(A41,data!A:G,7,FALSE),"")</f>
        <v>Apron - ผ้าคลุมและผ้ากันเปื้อน</v>
      </c>
      <c r="D41" s="38" t="str">
        <f>IFERROR(VLOOKUP(A41,data!A:D,4,FALSE),"")</f>
        <v>ผ้าคลุมซอย บาร์เบอร์เบรน VAL-1511</v>
      </c>
      <c r="E41" s="46" t="s">
        <v>254</v>
      </c>
      <c r="F41" s="40"/>
      <c r="G41" s="37">
        <f>IFERROR(VLOOKUP(A41,data!A:V,22,FALSE),"")</f>
        <v>8858890795955</v>
      </c>
      <c r="H41" s="37"/>
      <c r="I41" s="37"/>
      <c r="J41" s="41">
        <f>IFERROR(VLOOKUP(A41,'dataนน'!A:F,6,FALSE),"")</f>
      </c>
      <c r="K41" s="41">
        <f>IFERROR(VLOOKUP(A41,'dataนน'!A:G,7,FALSE),"")</f>
      </c>
      <c r="L41" s="42">
        <v>154</v>
      </c>
      <c r="M41" s="43">
        <v>170</v>
      </c>
      <c r="N41" s="42">
        <v>195</v>
      </c>
      <c r="O41" s="42">
        <v>10</v>
      </c>
      <c r="P41" s="44"/>
      <c r="Q41" s="45">
        <f>IFERROR(VLOOKUP(A41,'data-ค่าฝา'!B:G,6,FALSE),"")</f>
      </c>
    </row>
    <row r="42" spans="1:17" x14ac:dyDescent="0.25">
      <c r="A42" s="1" t="s">
        <v>47</v>
      </c>
      <c r="B42" s="1" t="s">
        <v>241</v>
      </c>
      <c r="C42" s="38" t="str">
        <f>IFERROR(VLOOKUP(A42,data!A:G,7,FALSE),"")</f>
        <v>Apron - ผ้าคลุมและผ้ากันเปื้อน</v>
      </c>
      <c r="D42" s="38" t="str">
        <f>IFERROR(VLOOKUP(A42,data!A:D,4,FALSE),"")</f>
        <v>ผ้าคลุมซอย บาร์เบอร์เบรน VAL-1511/B</v>
      </c>
      <c r="E42" s="46" t="s">
        <v>251</v>
      </c>
      <c r="F42" s="40"/>
      <c r="G42" s="37">
        <f>IFERROR(VLOOKUP(A42,data!A:V,22,FALSE),"")</f>
        <v>8858890795740</v>
      </c>
      <c r="H42" s="37"/>
      <c r="I42" s="37"/>
      <c r="J42" s="41">
        <f>IFERROR(VLOOKUP(A42,'dataนน'!A:F,6,FALSE),"")</f>
        <v>0.55</v>
      </c>
      <c r="K42" s="41" t="str">
        <f>IFERROR(VLOOKUP(A42,'dataนน'!A:G,7,FALSE),"")</f>
        <v>กว้าง 135 ซม. สูง 150 ซม.</v>
      </c>
      <c r="L42" s="42">
        <v>154</v>
      </c>
      <c r="M42" s="43">
        <v>170</v>
      </c>
      <c r="N42" s="42">
        <v>195</v>
      </c>
      <c r="O42" s="42">
        <v>10</v>
      </c>
      <c r="P42" s="44"/>
      <c r="Q42" s="45">
        <f>IFERROR(VLOOKUP(A42,'data-ค่าฝา'!B:G,6,FALSE),"")</f>
      </c>
    </row>
    <row r="43" spans="1:17" x14ac:dyDescent="0.25">
      <c r="A43" s="1" t="s">
        <v>48</v>
      </c>
      <c r="B43" s="1" t="s">
        <v>241</v>
      </c>
      <c r="C43" s="38" t="str">
        <f>IFERROR(VLOOKUP(A43,data!A:G,7,FALSE),"")</f>
        <v>Comb and Brush - หวีและแปรง</v>
      </c>
      <c r="D43" s="38" t="str">
        <f>IFERROR(VLOOKUP(A43,data!A:D,4,FALSE),"")</f>
        <v>BARBER BRAIN BOAR BRUSH แปรงปัดผม ขนหมูป่า รุ่น VAL-52</v>
      </c>
      <c r="E43" s="39"/>
      <c r="F43" s="40"/>
      <c r="G43" s="37">
        <f>IFERROR(VLOOKUP(A43,data!A:V,22,FALSE),"")</f>
        <v>8858890782399</v>
      </c>
      <c r="H43" s="37"/>
      <c r="I43" s="37"/>
      <c r="J43" s="41">
        <f>IFERROR(VLOOKUP(A43,'dataนน'!A:F,6,FALSE),"")</f>
      </c>
      <c r="K43" s="41" t="str">
        <f>IFERROR(VLOOKUP(A43,'dataนน'!A:G,7,FALSE),"")</f>
        <v>5.5x17 ซม</v>
      </c>
      <c r="L43" s="42">
        <v>100</v>
      </c>
      <c r="M43" s="43">
        <v>110</v>
      </c>
      <c r="N43" s="42">
        <v>135</v>
      </c>
      <c r="O43" s="42">
        <v>10</v>
      </c>
      <c r="P43" s="44"/>
      <c r="Q43" s="45">
        <f>IFERROR(VLOOKUP(A43,'data-ค่าฝา'!B:G,6,FALSE),"")</f>
      </c>
    </row>
    <row r="44" spans="1:17" x14ac:dyDescent="0.25">
      <c r="A44" s="1" t="s">
        <v>49</v>
      </c>
      <c r="B44" s="1" t="s">
        <v>241</v>
      </c>
      <c r="C44" s="38" t="str">
        <f>IFERROR(VLOOKUP(A44,data!A:G,7,FALSE),"")</f>
        <v>Comb and Brush - หวีและแปรง</v>
      </c>
      <c r="D44" s="38" t="str">
        <f>IFERROR(VLOOKUP(A44,data!A:D,4,FALSE),"")</f>
        <v>VINTAGE HORSE BRUSH แปรงปัดขนม้า รุ่น VAL-52A</v>
      </c>
      <c r="E44" s="39"/>
      <c r="F44" s="40"/>
      <c r="G44" s="37">
        <f>IFERROR(VLOOKUP(A44,data!A:V,22,FALSE),"")</f>
        <v>885889078242910</v>
      </c>
      <c r="H44" s="37"/>
      <c r="I44" s="37"/>
      <c r="J44" s="41">
        <f>IFERROR(VLOOKUP(A44,'dataนน'!A:F,6,FALSE),"")</f>
        <v>0.05</v>
      </c>
      <c r="K44" s="41" t="str">
        <f>IFERROR(VLOOKUP(A44,'dataนน'!A:G,7,FALSE),"")</f>
        <v>5.5x17 ซม</v>
      </c>
      <c r="L44" s="42">
        <v>115</v>
      </c>
      <c r="M44" s="43">
        <v>125</v>
      </c>
      <c r="N44" s="42">
        <v>150</v>
      </c>
      <c r="O44" s="42">
        <v>10</v>
      </c>
      <c r="P44" s="44"/>
      <c r="Q44" s="45">
        <f>IFERROR(VLOOKUP(A44,'data-ค่าฝา'!B:G,6,FALSE),"")</f>
      </c>
    </row>
    <row r="45" spans="1:17" x14ac:dyDescent="0.25">
      <c r="A45" s="1" t="s">
        <v>50</v>
      </c>
      <c r="B45" s="1" t="s">
        <v>241</v>
      </c>
      <c r="C45" s="38" t="str">
        <f>IFERROR(VLOOKUP(A45,data!A:G,7,FALSE),"")</f>
        <v>Comb and Brush - หวีและแปรง</v>
      </c>
      <c r="D45" s="38" t="str">
        <f>IFERROR(VLOOKUP(A45,data!A:D,4,FALSE),"")</f>
        <v>VINTAGE HORSE BRUSH แปรงปัดขนม้า รุ่น VAL-53A</v>
      </c>
      <c r="E45" s="39"/>
      <c r="F45" s="40"/>
      <c r="G45" s="37">
        <f>IFERROR(VLOOKUP(A45,data!A:V,22,FALSE),"")</f>
        <v>8858890782436</v>
      </c>
      <c r="H45" s="37"/>
      <c r="I45" s="37"/>
      <c r="J45" s="41">
        <f>IFERROR(VLOOKUP(A45,'dataนน'!A:F,6,FALSE),"")</f>
        <v>0.05</v>
      </c>
      <c r="K45" s="41" t="str">
        <f>IFERROR(VLOOKUP(A45,'dataนน'!A:G,7,FALSE),"")</f>
        <v>4x21.5 ซม</v>
      </c>
      <c r="L45" s="42">
        <v>115</v>
      </c>
      <c r="M45" s="43">
        <v>125</v>
      </c>
      <c r="N45" s="42">
        <v>150</v>
      </c>
      <c r="O45" s="42">
        <v>10</v>
      </c>
      <c r="P45" s="44"/>
      <c r="Q45" s="45">
        <f>IFERROR(VLOOKUP(A45,'data-ค่าฝา'!B:G,6,FALSE),"")</f>
      </c>
    </row>
    <row r="46" spans="1:17" x14ac:dyDescent="0.25">
      <c r="A46" s="1" t="s">
        <v>51</v>
      </c>
      <c r="B46" s="1" t="s">
        <v>241</v>
      </c>
      <c r="C46" s="38" t="str">
        <f>IFERROR(VLOOKUP(A46,data!A:G,7,FALSE),"")</f>
        <v>Other Equipment - อุปกรณ์อื่นๆ</v>
      </c>
      <c r="D46" s="38" t="str">
        <f>IFERROR(VLOOKUP(A46,data!A:D,4,FALSE),"")</f>
        <v>BARBER BRAIN แปรงปัดเศษผมและแปรงไล่เฟดบาร์เบอร์ เบรน ขนสีดำ ขนาดเล็ก (VLY-2004)</v>
      </c>
      <c r="E46" s="39"/>
      <c r="F46" s="40"/>
      <c r="G46" s="37">
        <f>IFERROR(VLOOKUP(A46,data!A:V,22,FALSE),"")</f>
        <v>8858890782504</v>
      </c>
      <c r="H46" s="37"/>
      <c r="I46" s="37"/>
      <c r="J46" s="41">
        <f>IFERROR(VLOOKUP(A46,'dataนน'!A:F,6,FALSE),"")</f>
      </c>
      <c r="K46" s="41" t="str">
        <f>IFERROR(VLOOKUP(A46,'dataนน'!A:G,7,FALSE),"")</f>
        <v>กว้าง 2.5 ซม. สูง 14.3 ซม.</v>
      </c>
      <c r="L46" s="42">
        <v>28</v>
      </c>
      <c r="M46" s="43">
        <v>30</v>
      </c>
      <c r="N46" s="42">
        <v>60</v>
      </c>
      <c r="O46" s="42">
        <v>10</v>
      </c>
      <c r="P46" s="44"/>
      <c r="Q46" s="45">
        <f>IFERROR(VLOOKUP(A46,'data-ค่าฝา'!B:G,6,FALSE),"")</f>
      </c>
    </row>
    <row r="47" spans="1:17" x14ac:dyDescent="0.25">
      <c r="A47" s="1" t="s">
        <v>52</v>
      </c>
      <c r="B47" s="1" t="s">
        <v>241</v>
      </c>
      <c r="C47" s="38" t="str">
        <f>IFERROR(VLOOKUP(A47,data!A:G,7,FALSE),"")</f>
        <v>Comb and Brush - หวีและแปรง</v>
      </c>
      <c r="D47" s="38" t="str">
        <f>IFERROR(VLOOKUP(A47,data!A:D,4,FALSE),"")</f>
        <v>Barber Brain HAIR BRUSH แปรงปัดผมขนไนล่อน รหัสสินค้า VAL-G14</v>
      </c>
      <c r="E47" s="39"/>
      <c r="F47" s="40"/>
      <c r="G47" s="37">
        <f>IFERROR(VLOOKUP(A47,data!A:V,22,FALSE),"")</f>
        <v>8858890796648</v>
      </c>
      <c r="H47" s="37"/>
      <c r="I47" s="37"/>
      <c r="J47" s="41">
        <f>IFERROR(VLOOKUP(A47,'dataนน'!A:F,6,FALSE),"")</f>
      </c>
      <c r="K47" s="41">
        <f>IFERROR(VLOOKUP(A47,'dataนน'!A:G,7,FALSE),"")</f>
      </c>
      <c r="L47" s="42">
        <v>70</v>
      </c>
      <c r="M47" s="43">
        <v>75</v>
      </c>
      <c r="N47" s="42">
        <v>120</v>
      </c>
      <c r="O47" s="42">
        <v>10</v>
      </c>
      <c r="P47" s="44"/>
      <c r="Q47" s="45">
        <f>IFERROR(VLOOKUP(A47,'data-ค่าฝา'!B:G,6,FALSE),"")</f>
      </c>
    </row>
    <row r="48" spans="1:17" x14ac:dyDescent="0.25">
      <c r="A48" s="1" t="s">
        <v>53</v>
      </c>
      <c r="B48" s="1" t="s">
        <v>241</v>
      </c>
      <c r="C48" s="38" t="str">
        <f>IFERROR(VLOOKUP(A48,data!A:G,7,FALSE),"")</f>
        <v>Comb and Brush - หวีและแปรง</v>
      </c>
      <c r="D48" s="38" t="str">
        <f>IFERROR(VLOOKUP(A48,data!A:D,4,FALSE),"")</f>
        <v>Barber Brain Comb หวีเซ็ตสไตล์วินเทจสีดำ รหัสสินค้า PKY-2230</v>
      </c>
      <c r="E48" s="39"/>
      <c r="F48" s="40"/>
      <c r="G48" s="37">
        <f>IFERROR(VLOOKUP(A48,data!A:V,22,FALSE),"")</f>
        <v>8858890783105</v>
      </c>
      <c r="H48" s="37"/>
      <c r="I48" s="37"/>
      <c r="J48" s="41">
        <f>IFERROR(VLOOKUP(A48,'dataนน'!A:F,6,FALSE),"")</f>
      </c>
      <c r="K48" s="41">
        <f>IFERROR(VLOOKUP(A48,'dataนน'!A:G,7,FALSE),"")</f>
      </c>
      <c r="L48" s="42">
        <v>28</v>
      </c>
      <c r="M48" s="43">
        <v>30</v>
      </c>
      <c r="N48" s="42">
        <v>60</v>
      </c>
      <c r="O48" s="42">
        <v>10</v>
      </c>
      <c r="P48" s="44"/>
      <c r="Q48" s="45">
        <f>IFERROR(VLOOKUP(A48,'data-ค่าฝา'!B:G,6,FALSE),"")</f>
      </c>
    </row>
    <row r="49" spans="1:17" x14ac:dyDescent="0.25">
      <c r="A49" s="1" t="s">
        <v>54</v>
      </c>
      <c r="B49" s="1" t="s">
        <v>241</v>
      </c>
      <c r="C49" s="38" t="str">
        <f>IFERROR(VLOOKUP(A49,data!A:G,7,FALSE),"")</f>
        <v>Comb and Brush - หวีและแปรง</v>
      </c>
      <c r="D49" s="38" t="str">
        <f>IFERROR(VLOOKUP(A49,data!A:D,4,FALSE),"")</f>
        <v>บาร์เบอร์ เบรน หวีเซ็ทผม 3 ด้าน ขนาดพกพา จัดแต่งทรงผม ร้านตัดผมชาย หวีช่างผม รหัสสินค้า VAL-M01</v>
      </c>
      <c r="E49" s="39"/>
      <c r="F49" s="40"/>
      <c r="G49" s="37">
        <f>IFERROR(VLOOKUP(A49,data!A:V,22,FALSE),"")</f>
        <v>8858890782771</v>
      </c>
      <c r="H49" s="37"/>
      <c r="I49" s="37"/>
      <c r="J49" s="41">
        <f>IFERROR(VLOOKUP(A49,'dataนน'!A:F,6,FALSE),"")</f>
      </c>
      <c r="K49" s="41">
        <f>IFERROR(VLOOKUP(A49,'dataนน'!A:G,7,FALSE),"")</f>
      </c>
      <c r="L49" s="42">
        <v>30</v>
      </c>
      <c r="M49" s="43">
        <v>35</v>
      </c>
      <c r="N49" s="42">
        <v>55</v>
      </c>
      <c r="O49" s="42">
        <v>10</v>
      </c>
      <c r="P49" s="44"/>
      <c r="Q49" s="45">
        <f>IFERROR(VLOOKUP(A49,'data-ค่าฝา'!B:G,6,FALSE),"")</f>
      </c>
    </row>
    <row r="50" spans="1:17" x14ac:dyDescent="0.25">
      <c r="A50" s="1" t="s">
        <v>55</v>
      </c>
      <c r="B50" s="1" t="s">
        <v>241</v>
      </c>
      <c r="C50" s="38" t="str">
        <f>IFERROR(VLOOKUP(A50,data!A:G,7,FALSE),"")</f>
        <v>Other Equipment - อุปกรณ์อื่นๆ</v>
      </c>
      <c r="D50" s="38" t="str">
        <f>IFERROR(VLOOKUP(A50,data!A:D,4,FALSE),"")</f>
        <v>BARBER BRAIN บาร์เบอร์เบรน กระบอกฉีดน้ำหัวกระโหลก 500ml. รุ่น PH-A18002/A</v>
      </c>
      <c r="E50" s="39"/>
      <c r="F50" s="40"/>
      <c r="G50" s="37">
        <f>IFERROR(VLOOKUP(A50,data!A:V,22,FALSE),"")</f>
        <v>8858890795795</v>
      </c>
      <c r="H50" s="37"/>
      <c r="I50" s="37"/>
      <c r="J50" s="41">
        <f>IFERROR(VLOOKUP(A50,'dataนน'!A:F,6,FALSE),"")</f>
      </c>
      <c r="K50" s="41">
        <f>IFERROR(VLOOKUP(A50,'dataนน'!A:G,7,FALSE),"")</f>
      </c>
      <c r="L50" s="42">
        <v>50</v>
      </c>
      <c r="M50" s="43">
        <v>55</v>
      </c>
      <c r="N50" s="42">
        <v>100</v>
      </c>
      <c r="O50" s="42">
        <v>10</v>
      </c>
      <c r="P50" s="44"/>
      <c r="Q50" s="45">
        <f>IFERROR(VLOOKUP(A50,'data-ค่าฝา'!B:G,6,FALSE),"")</f>
      </c>
    </row>
    <row r="51" spans="1:17" x14ac:dyDescent="0.25">
      <c r="A51" s="1" t="s">
        <v>56</v>
      </c>
      <c r="B51" s="1" t="s">
        <v>241</v>
      </c>
      <c r="C51" s="38" t="str">
        <f>IFERROR(VLOOKUP(A51,data!A:G,7,FALSE),"")</f>
        <v>Other Equipment - อุปกรณ์อื่นๆ</v>
      </c>
      <c r="D51" s="38" t="str">
        <f>IFERROR(VLOOKUP(A51,data!A:D,4,FALSE),"")</f>
        <v>BARBER BRAIN บาร์เบอร์เบรน กระบอกฉีดน้ำหัวกระโหลก 500ml. รุ่น PH-A18002/C</v>
      </c>
      <c r="E51" s="39"/>
      <c r="F51" s="40"/>
      <c r="G51" s="37">
        <f>IFERROR(VLOOKUP(A51,data!A:V,22,FALSE),"")</f>
        <v>885889079579502</v>
      </c>
      <c r="H51" s="37"/>
      <c r="I51" s="37"/>
      <c r="J51" s="41">
        <f>IFERROR(VLOOKUP(A51,'dataนน'!A:F,6,FALSE),"")</f>
      </c>
      <c r="K51" s="41">
        <f>IFERROR(VLOOKUP(A51,'dataนน'!A:G,7,FALSE),"")</f>
      </c>
      <c r="L51" s="42">
        <v>50</v>
      </c>
      <c r="M51" s="43">
        <v>55</v>
      </c>
      <c r="N51" s="42">
        <v>100</v>
      </c>
      <c r="O51" s="42">
        <v>10</v>
      </c>
      <c r="P51" s="44"/>
      <c r="Q51" s="45">
        <f>IFERROR(VLOOKUP(A51,'data-ค่าฝา'!B:G,6,FALSE),"")</f>
      </c>
    </row>
    <row r="52" spans="1:17" x14ac:dyDescent="0.25">
      <c r="A52" s="1" t="s">
        <v>57</v>
      </c>
      <c r="B52" s="1" t="s">
        <v>241</v>
      </c>
      <c r="C52" s="38" t="str">
        <f>IFERROR(VLOOKUP(A52,data!A:G,7,FALSE),"")</f>
        <v>Other Equipment - อุปกรณ์อื่นๆ</v>
      </c>
      <c r="D52" s="38" t="str">
        <f>IFERROR(VLOOKUP(A52,data!A:D,4,FALSE),"")</f>
        <v>BARBER BRAIN บาร์เบอร์เบรน กระบอกฉีดน้ำหัวกระโหลก 500ml. รุ่น PH-A18002/G</v>
      </c>
      <c r="E52" s="39"/>
      <c r="F52" s="40"/>
      <c r="G52" s="37">
        <f>IFERROR(VLOOKUP(A52,data!A:V,22,FALSE),"")</f>
        <v>8858890798390</v>
      </c>
      <c r="H52" s="37"/>
      <c r="I52" s="37"/>
      <c r="J52" s="41">
        <f>IFERROR(VLOOKUP(A52,'dataนน'!A:F,6,FALSE),"")</f>
      </c>
      <c r="K52" s="41">
        <f>IFERROR(VLOOKUP(A52,'dataนน'!A:G,7,FALSE),"")</f>
      </c>
      <c r="L52" s="42">
        <v>50</v>
      </c>
      <c r="M52" s="43">
        <v>55</v>
      </c>
      <c r="N52" s="42">
        <v>100</v>
      </c>
      <c r="O52" s="42">
        <v>10</v>
      </c>
      <c r="P52" s="44"/>
      <c r="Q52" s="45">
        <f>IFERROR(VLOOKUP(A52,'data-ค่าฝา'!B:G,6,FALSE),"")</f>
      </c>
    </row>
    <row r="53" spans="1:17" x14ac:dyDescent="0.25">
      <c r="A53" s="1" t="s">
        <v>58</v>
      </c>
      <c r="B53" s="1" t="s">
        <v>241</v>
      </c>
      <c r="C53" s="38" t="str">
        <f>IFERROR(VLOOKUP(A53,data!A:G,7,FALSE),"")</f>
        <v>Other Equipment - อุปกรณ์อื่นๆ</v>
      </c>
      <c r="D53" s="38" t="str">
        <f>IFERROR(VLOOKUP(A53,data!A:D,4,FALSE),"")</f>
        <v>กระดาษพันคอ</v>
      </c>
      <c r="E53" s="39"/>
      <c r="F53" s="33">
        <v>20</v>
      </c>
      <c r="G53" s="37">
        <f>IFERROR(VLOOKUP(A53,data!A:V,22,FALSE),"")</f>
        <v>8858890800116</v>
      </c>
      <c r="H53" s="37"/>
      <c r="I53" s="37"/>
      <c r="J53" s="41">
        <f>IFERROR(VLOOKUP(A53,'dataนน'!A:F,6,FALSE),"")</f>
      </c>
      <c r="K53" s="41">
        <f>IFERROR(VLOOKUP(A53,'dataนน'!A:G,7,FALSE),"")</f>
      </c>
      <c r="L53" s="42">
        <v>45</v>
      </c>
      <c r="M53" s="43">
        <v>50</v>
      </c>
      <c r="N53" s="42">
        <v>135</v>
      </c>
      <c r="O53" s="42">
        <v>10</v>
      </c>
      <c r="P53" s="44"/>
      <c r="Q53" s="45">
        <f>IFERROR(VLOOKUP(A53,'data-ค่าฝา'!B:G,6,FALSE),"")</f>
      </c>
    </row>
    <row r="54" spans="1:17" x14ac:dyDescent="0.25">
      <c r="A54" s="1" t="s">
        <v>59</v>
      </c>
      <c r="B54" s="1" t="s">
        <v>241</v>
      </c>
      <c r="C54" s="38" t="str">
        <f>IFERROR(VLOOKUP(A54,data!A:G,7,FALSE),"")</f>
        <v>Comb and Brush - หวีและแปรง</v>
      </c>
      <c r="D54" s="38" t="str">
        <f>IFERROR(VLOOKUP(A54,data!A:D,4,FALSE),"")</f>
        <v>หวีไทย หวีรองซอย รุ่น version สีชมพู Limited edition มีจุดโดดเด่น VAL-126</v>
      </c>
      <c r="E54" s="39"/>
      <c r="F54" s="40"/>
      <c r="G54" s="37">
        <f>IFERROR(VLOOKUP(A54,data!A:V,22,FALSE),"")</f>
        <v>8858890782511</v>
      </c>
      <c r="H54" s="37"/>
      <c r="I54" s="37"/>
      <c r="J54" s="41">
        <f>IFERROR(VLOOKUP(A54,'dataนน'!A:F,6,FALSE),"")</f>
        <v>0.05</v>
      </c>
      <c r="K54" s="41" t="str">
        <f>IFERROR(VLOOKUP(A54,'dataนน'!A:G,7,FALSE),"")</f>
        <v>ใหญ่ขนาด 19x4 cm เล็ก 16x2.5 cm</v>
      </c>
      <c r="L54" s="42">
        <v>35</v>
      </c>
      <c r="M54" s="43">
        <v>40</v>
      </c>
      <c r="N54" s="42">
        <v>150</v>
      </c>
      <c r="O54" s="42">
        <v>10</v>
      </c>
      <c r="P54" s="44"/>
      <c r="Q54" s="45">
        <f>IFERROR(VLOOKUP(A54,'data-ค่าฝา'!B:G,6,FALSE),"")</f>
      </c>
    </row>
    <row r="55" spans="1:17" x14ac:dyDescent="0.25">
      <c r="A55" s="1" t="s">
        <v>60</v>
      </c>
      <c r="B55" s="1" t="s">
        <v>241</v>
      </c>
      <c r="C55" s="38" t="str">
        <f>IFERROR(VLOOKUP(A55,data!A:G,7,FALSE),"")</f>
        <v>Comb and Brush - หวีและแปรง</v>
      </c>
      <c r="D55" s="38" t="str">
        <f>IFERROR(VLOOKUP(A55,data!A:D,4,FALSE),"")</f>
        <v>บาร์เบอร์ เบรน หวีรองตัด สีดำ 0.026g. รหัสสินค้า CFC-75339</v>
      </c>
      <c r="E55" s="39"/>
      <c r="F55" s="40"/>
      <c r="G55" s="37">
        <f>IFERROR(VLOOKUP(A55,data!A:V,22,FALSE),"")</f>
        <v>8858890782191</v>
      </c>
      <c r="H55" s="37"/>
      <c r="I55" s="37"/>
      <c r="J55" s="41">
        <f>IFERROR(VLOOKUP(A55,'dataนน'!A:F,6,FALSE),"")</f>
      </c>
      <c r="K55" s="41" t="str">
        <f>IFERROR(VLOOKUP(A55,'dataนน'!A:G,7,FALSE),"")</f>
        <v>20x3.5 ซม.</v>
      </c>
      <c r="L55" s="42">
        <v>40</v>
      </c>
      <c r="M55" s="43">
        <v>45</v>
      </c>
      <c r="N55" s="42">
        <v>65</v>
      </c>
      <c r="O55" s="42">
        <v>10</v>
      </c>
      <c r="P55" s="44"/>
      <c r="Q55" s="45">
        <f>IFERROR(VLOOKUP(A55,'data-ค่าฝา'!B:G,6,FALSE),"")</f>
      </c>
    </row>
    <row r="56" spans="1:17" x14ac:dyDescent="0.25">
      <c r="A56" s="1" t="s">
        <v>61</v>
      </c>
      <c r="B56" s="1" t="s">
        <v>241</v>
      </c>
      <c r="C56" s="38" t="str">
        <f>IFERROR(VLOOKUP(A56,data!A:G,7,FALSE),"")</f>
        <v>Comb and Brush - หวีและแปรง</v>
      </c>
      <c r="D56" s="38" t="str">
        <f>IFERROR(VLOOKUP(A56,data!A:D,4,FALSE),"")</f>
        <v>บาร์เบอร์ เบรน หวีบาร์เบอร์สำหรับขึ้นทรง สีดำ 0.044g. รหัสสินค้า CFC-70739</v>
      </c>
      <c r="E56" s="39"/>
      <c r="F56" s="40"/>
      <c r="G56" s="37">
        <f>IFERROR(VLOOKUP(A56,data!A:V,22,FALSE),"")</f>
        <v>8858890782177</v>
      </c>
      <c r="H56" s="37"/>
      <c r="I56" s="37"/>
      <c r="J56" s="41">
        <f>IFERROR(VLOOKUP(A56,'dataนน'!A:F,6,FALSE),"")</f>
      </c>
      <c r="K56" s="41" t="str">
        <f>IFERROR(VLOOKUP(A56,'dataนน'!A:G,7,FALSE),"")</f>
        <v>20x4 ซม.</v>
      </c>
      <c r="L56" s="42">
        <v>42</v>
      </c>
      <c r="M56" s="43">
        <v>45</v>
      </c>
      <c r="N56" s="42">
        <v>65</v>
      </c>
      <c r="O56" s="42">
        <v>10</v>
      </c>
      <c r="P56" s="44"/>
      <c r="Q56" s="45">
        <f>IFERROR(VLOOKUP(A56,'data-ค่าฝา'!B:G,6,FALSE),"")</f>
      </c>
    </row>
    <row r="57" spans="1:17" x14ac:dyDescent="0.25">
      <c r="A57" s="1" t="s">
        <v>255</v>
      </c>
      <c r="B57" s="1" t="s">
        <v>256</v>
      </c>
      <c r="C57" s="38" t="str">
        <f>IFERROR(VLOOKUP(A57,data!A:G,7,FALSE),"")</f>
        <v>Chemical - เคมีภัณฑ์</v>
      </c>
      <c r="D57" s="38" t="str">
        <f>IFERROR(VLOOKUP(A57,data!A:D,4,FALSE),"")</f>
        <v>น้ำยาย้อมผม เบอร์ 0.11 สีเทา ANG-001</v>
      </c>
      <c r="E57" s="39"/>
      <c r="F57" s="40"/>
      <c r="G57" s="37">
        <f>IFERROR(VLOOKUP(A57,data!A:V,22,FALSE),"")</f>
        <v>8858890710019</v>
      </c>
      <c r="H57" s="37"/>
      <c r="I57" s="37"/>
      <c r="J57" s="41">
        <f>IFERROR(VLOOKUP(A57,'dataนน'!A:F,6,FALSE),"")</f>
        <v>0.28</v>
      </c>
      <c r="K57" s="41">
        <f>IFERROR(VLOOKUP(A57,'dataนน'!A:G,7,FALSE),"")</f>
      </c>
      <c r="L57" s="47">
        <v>55</v>
      </c>
      <c r="M57" s="50">
        <f t="shared" ref="M57:M62" si="0">MROUND((L57*10%)+L57,5)</f>
        <v>60</v>
      </c>
      <c r="N57" s="42">
        <v>75</v>
      </c>
      <c r="O57" s="42">
        <v>10</v>
      </c>
      <c r="P57" s="44"/>
      <c r="Q57" s="45">
        <f>IFERROR(VLOOKUP(A57,'data-ค่าฝา'!B:G,6,FALSE),"")</f>
        <v>10</v>
      </c>
    </row>
    <row r="58" spans="1:17" x14ac:dyDescent="0.25">
      <c r="A58" s="1" t="s">
        <v>257</v>
      </c>
      <c r="B58" s="1" t="s">
        <v>256</v>
      </c>
      <c r="C58" s="38" t="str">
        <f>IFERROR(VLOOKUP(A58,data!A:G,7,FALSE),"")</f>
        <v>Chemical - เคมีภัณฑ์</v>
      </c>
      <c r="D58" s="38" t="str">
        <f>IFERROR(VLOOKUP(A58,data!A:D,4,FALSE),"")</f>
        <v>น้ำยาย้อมผม เบอร์ 9.1 สีบลอนด์อ่อนประกายเทา ANG-012</v>
      </c>
      <c r="E58" s="39"/>
      <c r="F58" s="40"/>
      <c r="G58" s="37">
        <f>IFERROR(VLOOKUP(A58,data!A:V,22,FALSE),"")</f>
        <v>8858890710125</v>
      </c>
      <c r="H58" s="37"/>
      <c r="I58" s="37"/>
      <c r="J58" s="41">
        <f>IFERROR(VLOOKUP(A58,'dataนน'!A:F,6,FALSE),"")</f>
        <v>0.28</v>
      </c>
      <c r="K58" s="41">
        <f>IFERROR(VLOOKUP(A58,'dataนน'!A:G,7,FALSE),"")</f>
      </c>
      <c r="L58" s="47">
        <v>55</v>
      </c>
      <c r="M58" s="50">
        <f t="shared" si="0"/>
        <v>60</v>
      </c>
      <c r="N58" s="42">
        <v>75</v>
      </c>
      <c r="O58" s="42">
        <v>10</v>
      </c>
      <c r="P58" s="44"/>
      <c r="Q58" s="45">
        <f>IFERROR(VLOOKUP(A58,'data-ค่าฝา'!B:G,6,FALSE),"")</f>
        <v>10</v>
      </c>
    </row>
    <row r="59" spans="1:17" x14ac:dyDescent="0.25">
      <c r="A59" s="1" t="s">
        <v>258</v>
      </c>
      <c r="B59" s="1" t="s">
        <v>256</v>
      </c>
      <c r="C59" s="38" t="str">
        <f>IFERROR(VLOOKUP(A59,data!A:G,7,FALSE),"")</f>
        <v>Chemical - เคมีภัณฑ์</v>
      </c>
      <c r="D59" s="38" t="str">
        <f>IFERROR(VLOOKUP(A59,data!A:D,4,FALSE),"")</f>
        <v>น้ำยาย้อมผม เบอร์ 8.7 สีบลอนด์ประกายแดง ANG-018</v>
      </c>
      <c r="E59" s="39"/>
      <c r="F59" s="40"/>
      <c r="G59" s="37">
        <f>IFERROR(VLOOKUP(A59,data!A:V,22,FALSE),"")</f>
        <v>8858890710187</v>
      </c>
      <c r="H59" s="37"/>
      <c r="I59" s="37"/>
      <c r="J59" s="41">
        <f>IFERROR(VLOOKUP(A59,'dataนน'!A:F,6,FALSE),"")</f>
        <v>0.28</v>
      </c>
      <c r="K59" s="41">
        <f>IFERROR(VLOOKUP(A59,'dataนน'!A:G,7,FALSE),"")</f>
      </c>
      <c r="L59" s="47">
        <v>55</v>
      </c>
      <c r="M59" s="50">
        <f t="shared" si="0"/>
        <v>60</v>
      </c>
      <c r="N59" s="42">
        <v>75</v>
      </c>
      <c r="O59" s="42">
        <v>10</v>
      </c>
      <c r="P59" s="44"/>
      <c r="Q59" s="45">
        <f>IFERROR(VLOOKUP(A59,'data-ค่าฝา'!B:G,6,FALSE),"")</f>
        <v>10</v>
      </c>
    </row>
    <row r="60" spans="1:17" x14ac:dyDescent="0.25">
      <c r="A60" s="1" t="s">
        <v>259</v>
      </c>
      <c r="B60" s="1" t="s">
        <v>256</v>
      </c>
      <c r="C60" s="38" t="str">
        <f>IFERROR(VLOOKUP(A60,data!A:G,7,FALSE),"")</f>
        <v>Chemical - เคมีภัณฑ์</v>
      </c>
      <c r="D60" s="38" t="str">
        <f>IFERROR(VLOOKUP(A60,data!A:D,4,FALSE),"")</f>
        <v>L'ANGEL Luxury Angelic Hair Color Cream น้ำยาย้อมผม เบอร์ 0.00 สีเคลียร์โทน ANG-019</v>
      </c>
      <c r="E60" s="39"/>
      <c r="F60" s="40"/>
      <c r="G60" s="37">
        <f>IFERROR(VLOOKUP(A60,data!A:V,22,FALSE),"")</f>
        <v>8858890710194</v>
      </c>
      <c r="H60" s="37"/>
      <c r="I60" s="37"/>
      <c r="J60" s="41">
        <f>IFERROR(VLOOKUP(A60,'dataนน'!A:F,6,FALSE),"")</f>
        <v>0.28</v>
      </c>
      <c r="K60" s="41">
        <f>IFERROR(VLOOKUP(A60,'dataนน'!A:G,7,FALSE),"")</f>
      </c>
      <c r="L60" s="47">
        <v>55</v>
      </c>
      <c r="M60" s="50">
        <f t="shared" si="0"/>
        <v>60</v>
      </c>
      <c r="N60" s="42">
        <v>75</v>
      </c>
      <c r="O60" s="42">
        <v>10</v>
      </c>
      <c r="P60" s="44"/>
      <c r="Q60" s="45">
        <f>IFERROR(VLOOKUP(A60,'data-ค่าฝา'!B:G,6,FALSE),"")</f>
        <v>10</v>
      </c>
    </row>
    <row r="61" spans="1:17" x14ac:dyDescent="0.25">
      <c r="A61" s="1" t="s">
        <v>260</v>
      </c>
      <c r="B61" s="1" t="s">
        <v>256</v>
      </c>
      <c r="C61" s="38" t="str">
        <f>IFERROR(VLOOKUP(A61,data!A:G,7,FALSE),"")</f>
        <v>Chemical - เคมีภัณฑ์</v>
      </c>
      <c r="D61" s="38" t="str">
        <f>IFERROR(VLOOKUP(A61,data!A:D,4,FALSE),"")</f>
        <v>น้ำยาย้อมผม เบอร์ 8.1 สีบลอนด์อ่อน ANG-070</v>
      </c>
      <c r="E61" s="39"/>
      <c r="F61" s="40"/>
      <c r="G61" s="37">
        <f>IFERROR(VLOOKUP(A61,data!A:V,22,FALSE),"")</f>
        <v>8858890710705</v>
      </c>
      <c r="H61" s="37"/>
      <c r="I61" s="37"/>
      <c r="J61" s="41">
        <f>IFERROR(VLOOKUP(A61,'dataนน'!A:F,6,FALSE),"")</f>
      </c>
      <c r="K61" s="41">
        <f>IFERROR(VLOOKUP(A61,'dataนน'!A:G,7,FALSE),"")</f>
      </c>
      <c r="L61" s="47">
        <v>55</v>
      </c>
      <c r="M61" s="50">
        <f t="shared" si="0"/>
        <v>60</v>
      </c>
      <c r="N61" s="42">
        <v>75</v>
      </c>
      <c r="O61" s="42">
        <v>10</v>
      </c>
      <c r="P61" s="44"/>
      <c r="Q61" s="45">
        <f>IFERROR(VLOOKUP(A61,'data-ค่าฝา'!B:G,6,FALSE),"")</f>
        <v>10</v>
      </c>
    </row>
    <row r="62" spans="1:17" x14ac:dyDescent="0.25">
      <c r="A62" s="1" t="s">
        <v>261</v>
      </c>
      <c r="B62" s="1" t="s">
        <v>256</v>
      </c>
      <c r="C62" s="38" t="str">
        <f>IFERROR(VLOOKUP(A62,data!A:G,7,FALSE),"")</f>
        <v>Chemical - เคมีภัณฑ์</v>
      </c>
      <c r="D62" s="38" t="str">
        <f>IFERROR(VLOOKUP(A62,data!A:D,4,FALSE),"")</f>
        <v>น้ำยาย้อมผม เบอร์ 10.0 สีแพตตินัม ANG-071</v>
      </c>
      <c r="E62" s="39"/>
      <c r="F62" s="40"/>
      <c r="G62" s="37">
        <f>IFERROR(VLOOKUP(A62,data!A:V,22,FALSE),"")</f>
        <v>8858890710712</v>
      </c>
      <c r="H62" s="37"/>
      <c r="I62" s="37"/>
      <c r="J62" s="41">
        <f>IFERROR(VLOOKUP(A62,'dataนน'!A:F,6,FALSE),"")</f>
        <v>0.28</v>
      </c>
      <c r="K62" s="41">
        <f>IFERROR(VLOOKUP(A62,'dataนน'!A:G,7,FALSE),"")</f>
      </c>
      <c r="L62" s="47">
        <v>55</v>
      </c>
      <c r="M62" s="50">
        <f t="shared" si="0"/>
        <v>60</v>
      </c>
      <c r="N62" s="42">
        <v>75</v>
      </c>
      <c r="O62" s="42">
        <v>10</v>
      </c>
      <c r="P62" s="44"/>
      <c r="Q62" s="45">
        <f>IFERROR(VLOOKUP(A62,'data-ค่าฝา'!B:G,6,FALSE),"")</f>
        <v>10</v>
      </c>
    </row>
    <row r="63" spans="1:17" x14ac:dyDescent="0.25">
      <c r="A63" s="1" t="s">
        <v>262</v>
      </c>
      <c r="B63" s="1" t="s">
        <v>256</v>
      </c>
      <c r="C63" s="38" t="str">
        <f>IFERROR(VLOOKUP(A63,data!A:G,7,FALSE),"")</f>
        <v>Chemical - เคมีภัณฑ์</v>
      </c>
      <c r="D63" s="38" t="str">
        <f>IFERROR(VLOOKUP(A63,data!A:D,4,FALSE),"")</f>
        <v>L'ANGEL iCOLOR แอล แองเจล ไอคัลเลอร์ อเมทิสต์ (เบอร์ 1) สีม่วงอ่อน ANG-081</v>
      </c>
      <c r="E63" s="39"/>
      <c r="F63" s="40"/>
      <c r="G63" s="37">
        <f>IFERROR(VLOOKUP(A63,data!A:V,22,FALSE),"")</f>
        <v>8858890710811</v>
      </c>
      <c r="H63" s="37"/>
      <c r="I63" s="37"/>
      <c r="J63" s="41">
        <f>IFERROR(VLOOKUP(A63,'dataนน'!A:F,6,FALSE),"")</f>
      </c>
      <c r="K63" s="41">
        <f>IFERROR(VLOOKUP(A63,'dataนน'!A:G,7,FALSE),"")</f>
      </c>
      <c r="L63" s="47">
        <v>75</v>
      </c>
      <c r="M63" s="42">
        <v>80</v>
      </c>
      <c r="N63" s="42">
        <v>80</v>
      </c>
      <c r="O63" s="42">
        <v>10</v>
      </c>
      <c r="P63" s="44"/>
      <c r="Q63" s="45">
        <f>IFERROR(VLOOKUP(A63,'data-ค่าฝา'!B:G,6,FALSE),"")</f>
        <v>10</v>
      </c>
    </row>
    <row r="64" spans="1:17" x14ac:dyDescent="0.25">
      <c r="A64" s="1" t="s">
        <v>263</v>
      </c>
      <c r="B64" s="1" t="s">
        <v>256</v>
      </c>
      <c r="C64" s="38" t="str">
        <f>IFERROR(VLOOKUP(A64,data!A:G,7,FALSE),"")</f>
        <v>Chemical - เคมีภัณฑ์</v>
      </c>
      <c r="D64" s="38" t="str">
        <f>IFERROR(VLOOKUP(A64,data!A:D,4,FALSE),"")</f>
        <v>L'ANGEL iCOLOR แอล แองเจล ไอคัลเลอร์ ไวโอเล็ต (เบอร์ 2) สีม่วง ANG-082</v>
      </c>
      <c r="E64" s="39"/>
      <c r="F64" s="40"/>
      <c r="G64" s="37">
        <f>IFERROR(VLOOKUP(A64,data!A:V,22,FALSE),"")</f>
        <v>8858890710828</v>
      </c>
      <c r="H64" s="37"/>
      <c r="I64" s="37"/>
      <c r="J64" s="41">
        <f>IFERROR(VLOOKUP(A64,'dataนน'!A:F,6,FALSE),"")</f>
      </c>
      <c r="K64" s="41">
        <f>IFERROR(VLOOKUP(A64,'dataนน'!A:G,7,FALSE),"")</f>
      </c>
      <c r="L64" s="47">
        <v>75</v>
      </c>
      <c r="M64" s="42">
        <v>80</v>
      </c>
      <c r="N64" s="42">
        <v>80</v>
      </c>
      <c r="O64" s="42">
        <v>10</v>
      </c>
      <c r="P64" s="44"/>
      <c r="Q64" s="45">
        <f>IFERROR(VLOOKUP(A64,'data-ค่าฝา'!B:G,6,FALSE),"")</f>
        <v>10</v>
      </c>
    </row>
    <row r="65" spans="1:17" x14ac:dyDescent="0.25">
      <c r="A65" s="1" t="s">
        <v>264</v>
      </c>
      <c r="B65" s="1" t="s">
        <v>256</v>
      </c>
      <c r="C65" s="38" t="str">
        <f>IFERROR(VLOOKUP(A65,data!A:G,7,FALSE),"")</f>
        <v>Chemical - เคมีภัณฑ์</v>
      </c>
      <c r="D65" s="38" t="str">
        <f>IFERROR(VLOOKUP(A65,data!A:D,4,FALSE),"")</f>
        <v>L'ANGEL iCOLOR แอล แองเจล ไอคัลเลอร์ แลพิส (เบอร์ 4) น้ำเงิน ANG-084</v>
      </c>
      <c r="E65" s="39"/>
      <c r="F65" s="40"/>
      <c r="G65" s="37">
        <f>IFERROR(VLOOKUP(A65,data!A:V,22,FALSE),"")</f>
        <v>8858890710842</v>
      </c>
      <c r="H65" s="37"/>
      <c r="I65" s="37"/>
      <c r="J65" s="41">
        <f>IFERROR(VLOOKUP(A65,'dataนน'!A:F,6,FALSE),"")</f>
        <v>0.18</v>
      </c>
      <c r="K65" s="41">
        <f>IFERROR(VLOOKUP(A65,'dataนน'!A:G,7,FALSE),"")</f>
      </c>
      <c r="L65" s="47">
        <v>75</v>
      </c>
      <c r="M65" s="42">
        <v>80</v>
      </c>
      <c r="N65" s="42">
        <v>80</v>
      </c>
      <c r="O65" s="42">
        <v>10</v>
      </c>
      <c r="P65" s="44"/>
      <c r="Q65" s="45">
        <f>IFERROR(VLOOKUP(A65,'data-ค่าฝา'!B:G,6,FALSE),"")</f>
        <v>10</v>
      </c>
    </row>
    <row r="66" spans="1:17" x14ac:dyDescent="0.25">
      <c r="A66" s="1" t="s">
        <v>265</v>
      </c>
      <c r="B66" s="1" t="s">
        <v>256</v>
      </c>
      <c r="C66" s="38" t="str">
        <f>IFERROR(VLOOKUP(A66,data!A:G,7,FALSE),"")</f>
        <v>Chemical - เคมีภัณฑ์</v>
      </c>
      <c r="D66" s="38" t="str">
        <f>IFERROR(VLOOKUP(A66,data!A:D,4,FALSE),"")</f>
        <v>L'ANGEL iCOLOR แอล แองเจล ไอคัลเลอร์ แชมรอท (เบอร์ 5) สีเขียว ANG-085</v>
      </c>
      <c r="E66" s="39"/>
      <c r="F66" s="40"/>
      <c r="G66" s="37">
        <f>IFERROR(VLOOKUP(A66,data!A:V,22,FALSE),"")</f>
        <v>8858890710859</v>
      </c>
      <c r="H66" s="37"/>
      <c r="I66" s="37"/>
      <c r="J66" s="41">
        <f>IFERROR(VLOOKUP(A66,'dataนน'!A:F,6,FALSE),"")</f>
        <v>0.18</v>
      </c>
      <c r="K66" s="41">
        <f>IFERROR(VLOOKUP(A66,'dataนน'!A:G,7,FALSE),"")</f>
      </c>
      <c r="L66" s="47">
        <v>75</v>
      </c>
      <c r="M66" s="42">
        <v>80</v>
      </c>
      <c r="N66" s="42">
        <v>80</v>
      </c>
      <c r="O66" s="42">
        <v>10</v>
      </c>
      <c r="P66" s="44"/>
      <c r="Q66" s="45">
        <f>IFERROR(VLOOKUP(A66,'data-ค่าฝา'!B:G,6,FALSE),"")</f>
        <v>10</v>
      </c>
    </row>
    <row r="67" spans="1:17" x14ac:dyDescent="0.25">
      <c r="A67" s="1" t="s">
        <v>266</v>
      </c>
      <c r="B67" s="1" t="s">
        <v>256</v>
      </c>
      <c r="C67" s="38" t="str">
        <f>IFERROR(VLOOKUP(A67,data!A:G,7,FALSE),"")</f>
        <v>Chemical - เคมีภัณฑ์</v>
      </c>
      <c r="D67" s="38" t="str">
        <f>IFERROR(VLOOKUP(A67,data!A:D,4,FALSE),"")</f>
        <v>L'ANGEL iCOLOR แองเจล ไอคัลเลอร์ ฟิวเซีย (เบอร์ 6) สีชมพู ANG-086</v>
      </c>
      <c r="E67" s="39"/>
      <c r="F67" s="40"/>
      <c r="G67" s="37">
        <f>IFERROR(VLOOKUP(A67,data!A:V,22,FALSE),"")</f>
        <v>8858890710866</v>
      </c>
      <c r="H67" s="37"/>
      <c r="I67" s="37"/>
      <c r="J67" s="41">
        <f>IFERROR(VLOOKUP(A67,'dataนน'!A:F,6,FALSE),"")</f>
      </c>
      <c r="K67" s="41">
        <f>IFERROR(VLOOKUP(A67,'dataนน'!A:G,7,FALSE),"")</f>
      </c>
      <c r="L67" s="47">
        <v>75</v>
      </c>
      <c r="M67" s="42">
        <v>80</v>
      </c>
      <c r="N67" s="42">
        <v>80</v>
      </c>
      <c r="O67" s="42">
        <v>10</v>
      </c>
      <c r="P67" s="44"/>
      <c r="Q67" s="45">
        <f>IFERROR(VLOOKUP(A67,'data-ค่าฝา'!B:G,6,FALSE),"")</f>
        <v>10</v>
      </c>
    </row>
    <row r="68" spans="1:17" x14ac:dyDescent="0.25">
      <c r="A68" s="1" t="s">
        <v>267</v>
      </c>
      <c r="B68" s="1" t="s">
        <v>256</v>
      </c>
      <c r="C68" s="38" t="str">
        <f>IFERROR(VLOOKUP(A68,data!A:G,7,FALSE),"")</f>
        <v>Chemical - เคมีภัณฑ์</v>
      </c>
      <c r="D68" s="38" t="str">
        <f>IFERROR(VLOOKUP(A68,data!A:D,4,FALSE),"")</f>
        <v>L'ANGEL iCOLOR แอล แองเจล ไอคัลเลอร์ คริมซันเรด (เบอร์ 8) สีแดง ANG-088</v>
      </c>
      <c r="E68" s="39"/>
      <c r="F68" s="40"/>
      <c r="G68" s="37">
        <f>IFERROR(VLOOKUP(A68,data!A:V,22,FALSE),"")</f>
        <v>8858890710880</v>
      </c>
      <c r="H68" s="37"/>
      <c r="I68" s="37"/>
      <c r="J68" s="41">
        <f>IFERROR(VLOOKUP(A68,'dataนน'!A:F,6,FALSE),"")</f>
        <v>0.18</v>
      </c>
      <c r="K68" s="41">
        <f>IFERROR(VLOOKUP(A68,'dataนน'!A:G,7,FALSE),"")</f>
      </c>
      <c r="L68" s="47">
        <v>75</v>
      </c>
      <c r="M68" s="42">
        <v>80</v>
      </c>
      <c r="N68" s="42">
        <v>80</v>
      </c>
      <c r="O68" s="42">
        <v>10</v>
      </c>
      <c r="P68" s="44"/>
      <c r="Q68" s="45">
        <f>IFERROR(VLOOKUP(A68,'data-ค่าฝา'!B:G,6,FALSE),"")</f>
        <v>10</v>
      </c>
    </row>
    <row r="69" spans="1:17" x14ac:dyDescent="0.25">
      <c r="A69" s="1" t="s">
        <v>268</v>
      </c>
      <c r="B69" s="1" t="s">
        <v>256</v>
      </c>
      <c r="C69" s="38" t="str">
        <f>IFERROR(VLOOKUP(A69,data!A:G,7,FALSE),"")</f>
        <v>Chemical - เคมีภัณฑ์</v>
      </c>
      <c r="D69" s="38" t="str">
        <f>IFERROR(VLOOKUP(A69,data!A:D,4,FALSE),"")</f>
        <v>L'ANGEL iCOLOR แอล แองเจล ไอคัลเลอร์ รูบี (เบอร์ 9) สีแดงเข้ม ANG-089</v>
      </c>
      <c r="E69" s="39"/>
      <c r="F69" s="40"/>
      <c r="G69" s="37">
        <f>IFERROR(VLOOKUP(A69,data!A:V,22,FALSE),"")</f>
        <v>8858890710897</v>
      </c>
      <c r="H69" s="37"/>
      <c r="I69" s="37"/>
      <c r="J69" s="41">
        <f>IFERROR(VLOOKUP(A69,'dataนน'!A:F,6,FALSE),"")</f>
        <v>0.18</v>
      </c>
      <c r="K69" s="41">
        <f>IFERROR(VLOOKUP(A69,'dataนน'!A:G,7,FALSE),"")</f>
      </c>
      <c r="L69" s="47">
        <v>75</v>
      </c>
      <c r="M69" s="42">
        <v>80</v>
      </c>
      <c r="N69" s="42">
        <v>80</v>
      </c>
      <c r="O69" s="42">
        <v>10</v>
      </c>
      <c r="P69" s="44"/>
      <c r="Q69" s="45">
        <f>IFERROR(VLOOKUP(A69,'data-ค่าฝา'!B:G,6,FALSE),"")</f>
        <v>10</v>
      </c>
    </row>
    <row r="70" spans="1:17" x14ac:dyDescent="0.25">
      <c r="A70" s="1" t="s">
        <v>269</v>
      </c>
      <c r="B70" s="1" t="s">
        <v>256</v>
      </c>
      <c r="C70" s="38" t="str">
        <f>IFERROR(VLOOKUP(A70,data!A:G,7,FALSE),"")</f>
        <v>Chemical - เคมีภัณฑ์</v>
      </c>
      <c r="D70" s="38" t="str">
        <f>IFERROR(VLOOKUP(A70,data!A:D,4,FALSE),"")</f>
        <v>L'ANGEL iCOLOR แอล แองเจล ไอคัลเลอร์ ไดรูท (เบอร์ 10) สีขาว ANG-090</v>
      </c>
      <c r="E70" s="39"/>
      <c r="F70" s="40"/>
      <c r="G70" s="37">
        <f>IFERROR(VLOOKUP(A70,data!A:V,22,FALSE),"")</f>
        <v>8858890710903</v>
      </c>
      <c r="H70" s="37"/>
      <c r="I70" s="37"/>
      <c r="J70" s="41">
        <f>IFERROR(VLOOKUP(A70,'dataนน'!A:F,6,FALSE),"")</f>
        <v>0.18</v>
      </c>
      <c r="K70" s="41">
        <f>IFERROR(VLOOKUP(A70,'dataนน'!A:G,7,FALSE),"")</f>
      </c>
      <c r="L70" s="47">
        <v>75</v>
      </c>
      <c r="M70" s="42">
        <v>80</v>
      </c>
      <c r="N70" s="42">
        <v>80</v>
      </c>
      <c r="O70" s="42">
        <v>10</v>
      </c>
      <c r="P70" s="44"/>
      <c r="Q70" s="45">
        <f>IFERROR(VLOOKUP(A70,'data-ค่าฝา'!B:G,6,FALSE),"")</f>
        <v>10</v>
      </c>
    </row>
    <row r="71" spans="1:17" x14ac:dyDescent="0.25">
      <c r="A71" s="1" t="s">
        <v>270</v>
      </c>
      <c r="B71" s="1" t="s">
        <v>256</v>
      </c>
      <c r="C71" s="38" t="str">
        <f>IFERROR(VLOOKUP(A71,data!A:G,7,FALSE),"")</f>
        <v>Chemical - เคมีภัณฑ์</v>
      </c>
      <c r="D71" s="38" t="str">
        <f>IFERROR(VLOOKUP(A71,data!A:D,4,FALSE),"")</f>
        <v>L'ANGEL iCOLOR แอล แองเจล ไอคัลเลอร์ แทงเจอรีน (เบอร์ 11) สีส้ม ANG-091</v>
      </c>
      <c r="E71" s="39"/>
      <c r="F71" s="40"/>
      <c r="G71" s="37">
        <f>IFERROR(VLOOKUP(A71,data!A:V,22,FALSE),"")</f>
        <v>8858890710910</v>
      </c>
      <c r="H71" s="37"/>
      <c r="I71" s="37"/>
      <c r="J71" s="41">
        <f>IFERROR(VLOOKUP(A71,'dataนน'!A:F,6,FALSE),"")</f>
        <v>0.18</v>
      </c>
      <c r="K71" s="41">
        <f>IFERROR(VLOOKUP(A71,'dataนน'!A:G,7,FALSE),"")</f>
      </c>
      <c r="L71" s="47">
        <v>75</v>
      </c>
      <c r="M71" s="42">
        <v>80</v>
      </c>
      <c r="N71" s="42">
        <v>80</v>
      </c>
      <c r="O71" s="42">
        <v>10</v>
      </c>
      <c r="P71" s="44"/>
      <c r="Q71" s="45">
        <f>IFERROR(VLOOKUP(A71,'data-ค่าฝา'!B:G,6,FALSE),"")</f>
        <v>10</v>
      </c>
    </row>
    <row r="72" spans="1:30" x14ac:dyDescent="0.25">
      <c r="A72" s="9" t="s">
        <v>271</v>
      </c>
      <c r="B72" s="9" t="s">
        <v>256</v>
      </c>
      <c r="C72" s="51" t="str">
        <f>IFERROR(VLOOKUP(A72,data!A:G,7,FALSE),"")</f>
        <v>Chemical - เคมีภัณฑ์</v>
      </c>
      <c r="D72" s="51" t="str">
        <f>IFERROR(VLOOKUP(A72,data!A:D,4,FALSE),"")</f>
        <v>L'ANGEL Infinity Hair Colors PRO 3.0 Dark Brown Natural</v>
      </c>
      <c r="E72" s="52"/>
      <c r="F72" s="33"/>
      <c r="G72" s="53">
        <f>IFERROR(VLOOKUP(A72,data!A:V,22,FALSE),"")</f>
        <v>8858890799014</v>
      </c>
      <c r="H72" s="53"/>
      <c r="I72" s="53"/>
      <c r="J72" s="54">
        <v>0.228</v>
      </c>
      <c r="K72" s="54" t="s">
        <v>272</v>
      </c>
      <c r="L72" s="55">
        <v>65</v>
      </c>
      <c r="M72" s="9">
        <v>70</v>
      </c>
      <c r="N72" s="9">
        <v>90</v>
      </c>
      <c r="O72" s="9">
        <v>10</v>
      </c>
      <c r="P72" s="53"/>
      <c r="Q72" s="56">
        <f>IFERROR(VLOOKUP(A72,'data-ค่าฝา'!B:G,6,FALSE),"")</f>
        <v>10</v>
      </c>
      <c r="R72" s="8"/>
      <c r="S72" s="8"/>
      <c r="T72" s="8"/>
      <c r="U72" s="8"/>
      <c r="V72" s="8"/>
      <c r="W72" s="8"/>
      <c r="X72" s="8"/>
      <c r="Y72" s="8"/>
      <c r="Z72" s="8"/>
      <c r="AA72" s="8"/>
      <c r="AB72" s="8"/>
      <c r="AC72" s="8"/>
      <c r="AD72" s="8"/>
    </row>
    <row r="73" spans="1:30" x14ac:dyDescent="0.25">
      <c r="A73" s="9" t="s">
        <v>273</v>
      </c>
      <c r="B73" s="9" t="s">
        <v>256</v>
      </c>
      <c r="C73" s="51" t="str">
        <f>IFERROR(VLOOKUP(A73,data!A:G,7,FALSE),"")</f>
        <v>Chemical - เคมีภัณฑ์</v>
      </c>
      <c r="D73" s="51" t="str">
        <f>IFERROR(VLOOKUP(A73,data!A:D,4,FALSE),"")</f>
        <v>L'ANGEL Infinity Hair Colors PRO 5.0 Light Brown Natural</v>
      </c>
      <c r="E73" s="52"/>
      <c r="F73" s="33"/>
      <c r="G73" s="53">
        <f>IFERROR(VLOOKUP(A73,data!A:V,22,FALSE),"")</f>
        <v>8858890799021</v>
      </c>
      <c r="H73" s="53"/>
      <c r="I73" s="53"/>
      <c r="J73" s="54">
        <v>0.228</v>
      </c>
      <c r="K73" s="54" t="s">
        <v>272</v>
      </c>
      <c r="L73" s="55">
        <v>65</v>
      </c>
      <c r="M73" s="9">
        <v>70</v>
      </c>
      <c r="N73" s="9">
        <v>90</v>
      </c>
      <c r="O73" s="9">
        <v>10</v>
      </c>
      <c r="P73" s="53"/>
      <c r="Q73" s="56">
        <f>IFERROR(VLOOKUP(A73,'data-ค่าฝา'!B:G,6,FALSE),"")</f>
        <v>10</v>
      </c>
      <c r="R73" s="8"/>
      <c r="S73" s="8"/>
      <c r="T73" s="8"/>
      <c r="U73" s="8"/>
      <c r="V73" s="8"/>
      <c r="W73" s="8"/>
      <c r="X73" s="8"/>
      <c r="Y73" s="8"/>
      <c r="Z73" s="8"/>
      <c r="AA73" s="8"/>
      <c r="AB73" s="8"/>
      <c r="AC73" s="8"/>
      <c r="AD73" s="8"/>
    </row>
    <row r="74" spans="1:30" x14ac:dyDescent="0.25">
      <c r="A74" s="9" t="s">
        <v>274</v>
      </c>
      <c r="B74" s="9" t="s">
        <v>256</v>
      </c>
      <c r="C74" s="51" t="str">
        <f>IFERROR(VLOOKUP(A74,data!A:G,7,FALSE),"")</f>
        <v>Chemical - เคมีภัณฑ์</v>
      </c>
      <c r="D74" s="51" t="str">
        <f>IFERROR(VLOOKUP(A74,data!A:D,4,FALSE),"")</f>
        <v>L'ANGEL Infinity Hair Colors PRO 5.11 Light Brown Ash Intensive</v>
      </c>
      <c r="E74" s="52"/>
      <c r="F74" s="33"/>
      <c r="G74" s="53">
        <f>IFERROR(VLOOKUP(A74,data!A:V,22,FALSE),"")</f>
        <v>8858890799038</v>
      </c>
      <c r="H74" s="53"/>
      <c r="I74" s="53"/>
      <c r="J74" s="54">
        <v>0.228</v>
      </c>
      <c r="K74" s="54" t="s">
        <v>272</v>
      </c>
      <c r="L74" s="55">
        <v>65</v>
      </c>
      <c r="M74" s="9">
        <v>70</v>
      </c>
      <c r="N74" s="9">
        <v>90</v>
      </c>
      <c r="O74" s="9">
        <v>10</v>
      </c>
      <c r="P74" s="53"/>
      <c r="Q74" s="56">
        <f>IFERROR(VLOOKUP(A74,'data-ค่าฝา'!B:G,6,FALSE),"")</f>
        <v>10</v>
      </c>
      <c r="R74" s="8"/>
      <c r="S74" s="8"/>
      <c r="T74" s="8"/>
      <c r="U74" s="8"/>
      <c r="V74" s="8"/>
      <c r="W74" s="8"/>
      <c r="X74" s="8"/>
      <c r="Y74" s="8"/>
      <c r="Z74" s="8"/>
      <c r="AA74" s="8"/>
      <c r="AB74" s="8"/>
      <c r="AC74" s="8"/>
      <c r="AD74" s="8"/>
    </row>
    <row r="75" spans="1:30" x14ac:dyDescent="0.25">
      <c r="A75" s="9" t="s">
        <v>275</v>
      </c>
      <c r="B75" s="9" t="s">
        <v>256</v>
      </c>
      <c r="C75" s="51" t="str">
        <f>IFERROR(VLOOKUP(A75,data!A:G,7,FALSE),"")</f>
        <v>Chemical - เคมีภัณฑ์</v>
      </c>
      <c r="D75" s="51" t="str">
        <f>IFERROR(VLOOKUP(A75,data!A:D,4,FALSE),"")</f>
        <v>L'ANGEL Infinity Hair Colors PRO 5.035 Light Brown Warm Brown</v>
      </c>
      <c r="E75" s="52"/>
      <c r="F75" s="33"/>
      <c r="G75" s="53">
        <f>IFERROR(VLOOKUP(A75,data!A:V,22,FALSE),"")</f>
        <v>8858890799045</v>
      </c>
      <c r="H75" s="53"/>
      <c r="I75" s="53"/>
      <c r="J75" s="54">
        <v>0.228</v>
      </c>
      <c r="K75" s="54" t="s">
        <v>272</v>
      </c>
      <c r="L75" s="55">
        <v>65</v>
      </c>
      <c r="M75" s="9">
        <v>70</v>
      </c>
      <c r="N75" s="9">
        <v>90</v>
      </c>
      <c r="O75" s="9">
        <v>10</v>
      </c>
      <c r="P75" s="53"/>
      <c r="Q75" s="56">
        <f>IFERROR(VLOOKUP(A75,'data-ค่าฝา'!B:G,6,FALSE),"")</f>
        <v>10</v>
      </c>
      <c r="R75" s="8"/>
      <c r="S75" s="8"/>
      <c r="T75" s="8"/>
      <c r="U75" s="8"/>
      <c r="V75" s="8"/>
      <c r="W75" s="8"/>
      <c r="X75" s="8"/>
      <c r="Y75" s="8"/>
      <c r="Z75" s="8"/>
      <c r="AA75" s="8"/>
      <c r="AB75" s="8"/>
      <c r="AC75" s="8"/>
      <c r="AD75" s="8"/>
    </row>
    <row r="76" spans="1:30" x14ac:dyDescent="0.25">
      <c r="A76" s="9" t="s">
        <v>276</v>
      </c>
      <c r="B76" s="9" t="s">
        <v>256</v>
      </c>
      <c r="C76" s="51" t="str">
        <f>IFERROR(VLOOKUP(A76,data!A:G,7,FALSE),"")</f>
        <v>Chemical - เคมีภัณฑ์</v>
      </c>
      <c r="D76" s="51" t="str">
        <f>IFERROR(VLOOKUP(A76,data!A:D,4,FALSE),"")</f>
        <v>L'ANGEL Infinity Hair Colors PRO 7.0 Medium Blonde Natural</v>
      </c>
      <c r="E76" s="52"/>
      <c r="F76" s="33"/>
      <c r="G76" s="53">
        <f>IFERROR(VLOOKUP(A76,data!A:V,22,FALSE),"")</f>
        <v>8858890799052</v>
      </c>
      <c r="H76" s="53"/>
      <c r="I76" s="53"/>
      <c r="J76" s="54">
        <v>0.228</v>
      </c>
      <c r="K76" s="54" t="s">
        <v>272</v>
      </c>
      <c r="L76" s="55">
        <v>65</v>
      </c>
      <c r="M76" s="9">
        <v>70</v>
      </c>
      <c r="N76" s="9">
        <v>90</v>
      </c>
      <c r="O76" s="9">
        <v>10</v>
      </c>
      <c r="P76" s="53"/>
      <c r="Q76" s="56">
        <f>IFERROR(VLOOKUP(A76,'data-ค่าฝา'!B:G,6,FALSE),"")</f>
        <v>10</v>
      </c>
      <c r="R76" s="8"/>
      <c r="S76" s="8"/>
      <c r="T76" s="8"/>
      <c r="U76" s="8"/>
      <c r="V76" s="8"/>
      <c r="W76" s="8"/>
      <c r="X76" s="8"/>
      <c r="Y76" s="8"/>
      <c r="Z76" s="8"/>
      <c r="AA76" s="8"/>
      <c r="AB76" s="8"/>
      <c r="AC76" s="8"/>
      <c r="AD76" s="8"/>
    </row>
    <row r="77" spans="1:30" x14ac:dyDescent="0.25">
      <c r="A77" s="9" t="s">
        <v>277</v>
      </c>
      <c r="B77" s="9" t="s">
        <v>256</v>
      </c>
      <c r="C77" s="51" t="str">
        <f>IFERROR(VLOOKUP(A77,data!A:G,7,FALSE),"")</f>
        <v>Chemical - เคมีภัณฑ์</v>
      </c>
      <c r="D77" s="51" t="str">
        <f>IFERROR(VLOOKUP(A77,data!A:D,4,FALSE),"")</f>
        <v>L'ANGEL Infinity Hair Colors PRO 7.11 Medium Blonde Ash Intensive</v>
      </c>
      <c r="E77" s="52"/>
      <c r="F77" s="33"/>
      <c r="G77" s="53">
        <f>IFERROR(VLOOKUP(A77,data!A:V,22,FALSE),"")</f>
        <v>8858890799069</v>
      </c>
      <c r="H77" s="53"/>
      <c r="I77" s="53"/>
      <c r="J77" s="54">
        <v>0.228</v>
      </c>
      <c r="K77" s="54" t="s">
        <v>272</v>
      </c>
      <c r="L77" s="55">
        <v>65</v>
      </c>
      <c r="M77" s="9">
        <v>70</v>
      </c>
      <c r="N77" s="9">
        <v>90</v>
      </c>
      <c r="O77" s="9">
        <v>10</v>
      </c>
      <c r="P77" s="53"/>
      <c r="Q77" s="56">
        <f>IFERROR(VLOOKUP(A77,'data-ค่าฝา'!B:G,6,FALSE),"")</f>
        <v>10</v>
      </c>
      <c r="R77" s="8"/>
      <c r="S77" s="8"/>
      <c r="T77" s="8"/>
      <c r="U77" s="8"/>
      <c r="V77" s="8"/>
      <c r="W77" s="8"/>
      <c r="X77" s="8"/>
      <c r="Y77" s="8"/>
      <c r="Z77" s="8"/>
      <c r="AA77" s="8"/>
      <c r="AB77" s="8"/>
      <c r="AC77" s="8"/>
      <c r="AD77" s="8"/>
    </row>
    <row r="78" spans="1:30" x14ac:dyDescent="0.25">
      <c r="A78" s="9" t="s">
        <v>278</v>
      </c>
      <c r="B78" s="9" t="s">
        <v>256</v>
      </c>
      <c r="C78" s="51" t="str">
        <f>IFERROR(VLOOKUP(A78,data!A:G,7,FALSE),"")</f>
        <v>Chemical - เคมีภัณฑ์</v>
      </c>
      <c r="D78" s="51" t="str">
        <f>IFERROR(VLOOKUP(A78,data!A:D,4,FALSE),"")</f>
        <v>L'ANGEL Infinity Hair Colors PRO 7.16 Medium Blode Ash Violet</v>
      </c>
      <c r="E78" s="52"/>
      <c r="F78" s="33"/>
      <c r="G78" s="53">
        <f>IFERROR(VLOOKUP(A78,data!A:V,22,FALSE),"")</f>
        <v>8858890799076</v>
      </c>
      <c r="H78" s="53"/>
      <c r="I78" s="53"/>
      <c r="J78" s="54">
        <v>0.228</v>
      </c>
      <c r="K78" s="54" t="s">
        <v>272</v>
      </c>
      <c r="L78" s="55">
        <v>65</v>
      </c>
      <c r="M78" s="9">
        <v>70</v>
      </c>
      <c r="N78" s="9">
        <v>90</v>
      </c>
      <c r="O78" s="9">
        <v>10</v>
      </c>
      <c r="P78" s="53"/>
      <c r="Q78" s="56">
        <f>IFERROR(VLOOKUP(A78,'data-ค่าฝา'!B:G,6,FALSE),"")</f>
        <v>10</v>
      </c>
      <c r="R78" s="8"/>
      <c r="S78" s="8"/>
      <c r="T78" s="8"/>
      <c r="U78" s="8"/>
      <c r="V78" s="8"/>
      <c r="W78" s="8"/>
      <c r="X78" s="8"/>
      <c r="Y78" s="8"/>
      <c r="Z78" s="8"/>
      <c r="AA78" s="8"/>
      <c r="AB78" s="8"/>
      <c r="AC78" s="8"/>
      <c r="AD78" s="8"/>
    </row>
    <row r="79" spans="1:30" x14ac:dyDescent="0.25">
      <c r="A79" s="9" t="s">
        <v>279</v>
      </c>
      <c r="B79" s="9" t="s">
        <v>256</v>
      </c>
      <c r="C79" s="51" t="str">
        <f>IFERROR(VLOOKUP(A79,data!A:G,7,FALSE),"")</f>
        <v>Chemical - เคมีภัณฑ์</v>
      </c>
      <c r="D79" s="51" t="str">
        <f>IFERROR(VLOOKUP(A79,data!A:D,4,FALSE),"")</f>
        <v>L'ANGEL Infinity Hair Colors PRO 7.036 Medium Blonde Light Brown</v>
      </c>
      <c r="E79" s="52"/>
      <c r="F79" s="33"/>
      <c r="G79" s="53">
        <f>IFERROR(VLOOKUP(A79,data!A:V,22,FALSE),"")</f>
        <v>8858890799083</v>
      </c>
      <c r="H79" s="53"/>
      <c r="I79" s="53"/>
      <c r="J79" s="54">
        <v>0.228</v>
      </c>
      <c r="K79" s="54" t="s">
        <v>272</v>
      </c>
      <c r="L79" s="55">
        <v>65</v>
      </c>
      <c r="M79" s="9">
        <v>70</v>
      </c>
      <c r="N79" s="9">
        <v>90</v>
      </c>
      <c r="O79" s="9">
        <v>10</v>
      </c>
      <c r="P79" s="53"/>
      <c r="Q79" s="56">
        <f>IFERROR(VLOOKUP(A79,'data-ค่าฝา'!B:G,6,FALSE),"")</f>
        <v>10</v>
      </c>
      <c r="R79" s="8"/>
      <c r="S79" s="8"/>
      <c r="T79" s="8"/>
      <c r="U79" s="8"/>
      <c r="V79" s="8"/>
      <c r="W79" s="8"/>
      <c r="X79" s="8"/>
      <c r="Y79" s="8"/>
      <c r="Z79" s="8"/>
      <c r="AA79" s="8"/>
      <c r="AB79" s="8"/>
      <c r="AC79" s="8"/>
      <c r="AD79" s="8"/>
    </row>
    <row r="80" spans="1:30" x14ac:dyDescent="0.25">
      <c r="A80" s="9" t="s">
        <v>280</v>
      </c>
      <c r="B80" s="9" t="s">
        <v>256</v>
      </c>
      <c r="C80" s="51" t="str">
        <f>IFERROR(VLOOKUP(A80,data!A:G,7,FALSE),"")</f>
        <v>Chemical - เคมีภัณฑ์</v>
      </c>
      <c r="D80" s="51" t="str">
        <f>IFERROR(VLOOKUP(A80,data!A:D,4,FALSE),"")</f>
        <v>L'ANGEL Infinity Hair Colors PRO 8.0 Light Blonde Natural</v>
      </c>
      <c r="E80" s="52"/>
      <c r="F80" s="33"/>
      <c r="G80" s="53">
        <f>IFERROR(VLOOKUP(A80,data!A:V,22,FALSE),"")</f>
        <v>8858890799090</v>
      </c>
      <c r="H80" s="53"/>
      <c r="I80" s="53"/>
      <c r="J80" s="54">
        <v>0.228</v>
      </c>
      <c r="K80" s="54" t="s">
        <v>272</v>
      </c>
      <c r="L80" s="55">
        <v>65</v>
      </c>
      <c r="M80" s="9">
        <v>70</v>
      </c>
      <c r="N80" s="9">
        <v>90</v>
      </c>
      <c r="O80" s="9">
        <v>10</v>
      </c>
      <c r="P80" s="53"/>
      <c r="Q80" s="56">
        <f>IFERROR(VLOOKUP(A80,'data-ค่าฝา'!B:G,6,FALSE),"")</f>
        <v>10</v>
      </c>
      <c r="R80" s="8"/>
      <c r="S80" s="8"/>
      <c r="T80" s="8"/>
      <c r="U80" s="8"/>
      <c r="V80" s="8"/>
      <c r="W80" s="8"/>
      <c r="X80" s="8"/>
      <c r="Y80" s="8"/>
      <c r="Z80" s="8"/>
      <c r="AA80" s="8"/>
      <c r="AB80" s="8"/>
      <c r="AC80" s="8"/>
      <c r="AD80" s="8"/>
    </row>
    <row r="81" spans="1:30" x14ac:dyDescent="0.25">
      <c r="A81" s="9" t="s">
        <v>281</v>
      </c>
      <c r="B81" s="9" t="s">
        <v>256</v>
      </c>
      <c r="C81" s="51" t="str">
        <f>IFERROR(VLOOKUP(A81,data!A:G,7,FALSE),"")</f>
        <v>Chemical - เคมีภัณฑ์</v>
      </c>
      <c r="D81" s="51" t="str">
        <f>IFERROR(VLOOKUP(A81,data!A:D,4,FALSE),"")</f>
        <v>L'ANGEL Infinity Hair Colors PRO 8.11 Light Blonde Ash Intensive</v>
      </c>
      <c r="E81" s="52"/>
      <c r="F81" s="33"/>
      <c r="G81" s="53">
        <f>IFERROR(VLOOKUP(A81,data!A:V,22,FALSE),"")</f>
        <v>8858890799106</v>
      </c>
      <c r="H81" s="53"/>
      <c r="I81" s="53"/>
      <c r="J81" s="54">
        <v>0.228</v>
      </c>
      <c r="K81" s="54" t="s">
        <v>272</v>
      </c>
      <c r="L81" s="55">
        <v>65</v>
      </c>
      <c r="M81" s="9">
        <v>70</v>
      </c>
      <c r="N81" s="9">
        <v>90</v>
      </c>
      <c r="O81" s="9">
        <v>10</v>
      </c>
      <c r="P81" s="53"/>
      <c r="Q81" s="56">
        <f>IFERROR(VLOOKUP(A81,'data-ค่าฝา'!B:G,6,FALSE),"")</f>
        <v>10</v>
      </c>
      <c r="R81" s="8"/>
      <c r="S81" s="8"/>
      <c r="T81" s="8"/>
      <c r="U81" s="8"/>
      <c r="V81" s="8"/>
      <c r="W81" s="8"/>
      <c r="X81" s="8"/>
      <c r="Y81" s="8"/>
      <c r="Z81" s="8"/>
      <c r="AA81" s="8"/>
      <c r="AB81" s="8"/>
      <c r="AC81" s="8"/>
      <c r="AD81" s="8"/>
    </row>
    <row r="82" spans="1:30" x14ac:dyDescent="0.25">
      <c r="A82" s="9" t="s">
        <v>282</v>
      </c>
      <c r="B82" s="9" t="s">
        <v>256</v>
      </c>
      <c r="C82" s="51" t="str">
        <f>IFERROR(VLOOKUP(A82,data!A:G,7,FALSE),"")</f>
        <v>Chemical - เคมีภัณฑ์</v>
      </c>
      <c r="D82" s="51" t="str">
        <f>IFERROR(VLOOKUP(A82,data!A:D,4,FALSE),"")</f>
        <v>L'ANGEL Infinity Hair Colors PRO 9.0 Extra Light Blonde Natural</v>
      </c>
      <c r="E82" s="52"/>
      <c r="F82" s="33"/>
      <c r="G82" s="53">
        <f>IFERROR(VLOOKUP(A82,data!A:V,22,FALSE),"")</f>
        <v>8858890799113</v>
      </c>
      <c r="H82" s="53"/>
      <c r="I82" s="53"/>
      <c r="J82" s="54">
        <v>0.228</v>
      </c>
      <c r="K82" s="54" t="s">
        <v>272</v>
      </c>
      <c r="L82" s="55">
        <v>65</v>
      </c>
      <c r="M82" s="9">
        <v>70</v>
      </c>
      <c r="N82" s="9">
        <v>90</v>
      </c>
      <c r="O82" s="9">
        <v>10</v>
      </c>
      <c r="P82" s="53"/>
      <c r="Q82" s="56">
        <f>IFERROR(VLOOKUP(A82,'data-ค่าฝา'!B:G,6,FALSE),"")</f>
        <v>10</v>
      </c>
      <c r="R82" s="8"/>
      <c r="S82" s="8"/>
      <c r="T82" s="8"/>
      <c r="U82" s="8"/>
      <c r="V82" s="8"/>
      <c r="W82" s="8"/>
      <c r="X82" s="8"/>
      <c r="Y82" s="8"/>
      <c r="Z82" s="8"/>
      <c r="AA82" s="8"/>
      <c r="AB82" s="8"/>
      <c r="AC82" s="8"/>
      <c r="AD82" s="8"/>
    </row>
    <row r="83" spans="1:30" x14ac:dyDescent="0.25">
      <c r="A83" s="9" t="s">
        <v>283</v>
      </c>
      <c r="B83" s="9" t="s">
        <v>256</v>
      </c>
      <c r="C83" s="51" t="str">
        <f>IFERROR(VLOOKUP(A83,data!A:G,7,FALSE),"")</f>
        <v>Chemical - เคมีภัณฑ์</v>
      </c>
      <c r="D83" s="51" t="str">
        <f>IFERROR(VLOOKUP(A83,data!A:D,4,FALSE),"")</f>
        <v>L'ANGEL Infinity Hair Colors PRO 9.82 Extra Light Blonde Blue Violet</v>
      </c>
      <c r="E83" s="52"/>
      <c r="F83" s="33"/>
      <c r="G83" s="53">
        <f>IFERROR(VLOOKUP(A83,data!A:V,22,FALSE),"")</f>
        <v>8858890799120</v>
      </c>
      <c r="H83" s="53"/>
      <c r="I83" s="53"/>
      <c r="J83" s="54">
        <v>0.228</v>
      </c>
      <c r="K83" s="54" t="s">
        <v>272</v>
      </c>
      <c r="L83" s="55">
        <v>65</v>
      </c>
      <c r="M83" s="9">
        <v>70</v>
      </c>
      <c r="N83" s="9">
        <v>90</v>
      </c>
      <c r="O83" s="9">
        <v>10</v>
      </c>
      <c r="P83" s="53"/>
      <c r="Q83" s="56">
        <f>IFERROR(VLOOKUP(A83,'data-ค่าฝา'!B:G,6,FALSE),"")</f>
        <v>10</v>
      </c>
      <c r="R83" s="8"/>
      <c r="S83" s="8"/>
      <c r="T83" s="8"/>
      <c r="U83" s="8"/>
      <c r="V83" s="8"/>
      <c r="W83" s="8"/>
      <c r="X83" s="8"/>
      <c r="Y83" s="8"/>
      <c r="Z83" s="8"/>
      <c r="AA83" s="8"/>
      <c r="AB83" s="8"/>
      <c r="AC83" s="8"/>
      <c r="AD83" s="8"/>
    </row>
    <row r="84" spans="1:30" x14ac:dyDescent="0.25">
      <c r="A84" s="9" t="s">
        <v>284</v>
      </c>
      <c r="B84" s="9" t="s">
        <v>256</v>
      </c>
      <c r="C84" s="51" t="str">
        <f>IFERROR(VLOOKUP(A84,data!A:G,7,FALSE),"")</f>
        <v>Chemical - เคมีภัณฑ์</v>
      </c>
      <c r="D84" s="51" t="str">
        <f>IFERROR(VLOOKUP(A84,data!A:D,4,FALSE),"")</f>
        <v>L'ANGEL Infinity Hair Colors PRO 9.171 Extra Light Blonde Ash Green</v>
      </c>
      <c r="E84" s="52"/>
      <c r="F84" s="33"/>
      <c r="G84" s="53">
        <f>IFERROR(VLOOKUP(A84,data!A:V,22,FALSE),"")</f>
        <v>8858890799137</v>
      </c>
      <c r="H84" s="53"/>
      <c r="I84" s="53"/>
      <c r="J84" s="54">
        <v>0.228</v>
      </c>
      <c r="K84" s="54" t="s">
        <v>272</v>
      </c>
      <c r="L84" s="55">
        <v>65</v>
      </c>
      <c r="M84" s="9">
        <v>70</v>
      </c>
      <c r="N84" s="9">
        <v>90</v>
      </c>
      <c r="O84" s="9">
        <v>10</v>
      </c>
      <c r="P84" s="53"/>
      <c r="Q84" s="56">
        <f>IFERROR(VLOOKUP(A84,'data-ค่าฝา'!B:G,6,FALSE),"")</f>
        <v>10</v>
      </c>
      <c r="R84" s="8"/>
      <c r="S84" s="8"/>
      <c r="T84" s="8"/>
      <c r="U84" s="8"/>
      <c r="V84" s="8"/>
      <c r="W84" s="8"/>
      <c r="X84" s="8"/>
      <c r="Y84" s="8"/>
      <c r="Z84" s="8"/>
      <c r="AA84" s="8"/>
      <c r="AB84" s="8"/>
      <c r="AC84" s="8"/>
      <c r="AD84" s="8"/>
    </row>
    <row r="85" spans="1:30" x14ac:dyDescent="0.25">
      <c r="A85" s="9" t="s">
        <v>285</v>
      </c>
      <c r="B85" s="9" t="s">
        <v>256</v>
      </c>
      <c r="C85" s="51" t="str">
        <f>IFERROR(VLOOKUP(A85,data!A:G,7,FALSE),"")</f>
        <v>Chemical - เคมีภัณฑ์</v>
      </c>
      <c r="D85" s="51" t="str">
        <f>IFERROR(VLOOKUP(A85,data!A:D,4,FALSE),"")</f>
        <v>L'ANGEL Infinity Hair Colors PRO 9.182 Extra Light Blonde Ash Blue Violet</v>
      </c>
      <c r="E85" s="52"/>
      <c r="F85" s="33"/>
      <c r="G85" s="53">
        <f>IFERROR(VLOOKUP(A85,data!A:V,22,FALSE),"")</f>
        <v>8858890799144</v>
      </c>
      <c r="H85" s="53"/>
      <c r="I85" s="53"/>
      <c r="J85" s="54">
        <v>0.228</v>
      </c>
      <c r="K85" s="54" t="s">
        <v>272</v>
      </c>
      <c r="L85" s="55">
        <v>65</v>
      </c>
      <c r="M85" s="9">
        <v>70</v>
      </c>
      <c r="N85" s="9">
        <v>90</v>
      </c>
      <c r="O85" s="9">
        <v>10</v>
      </c>
      <c r="P85" s="53"/>
      <c r="Q85" s="56">
        <f>IFERROR(VLOOKUP(A85,'data-ค่าฝา'!B:G,6,FALSE),"")</f>
        <v>10</v>
      </c>
      <c r="R85" s="8"/>
      <c r="S85" s="8"/>
      <c r="T85" s="8"/>
      <c r="U85" s="8"/>
      <c r="V85" s="8"/>
      <c r="W85" s="8"/>
      <c r="X85" s="8"/>
      <c r="Y85" s="8"/>
      <c r="Z85" s="8"/>
      <c r="AA85" s="8"/>
      <c r="AB85" s="8"/>
      <c r="AC85" s="8"/>
      <c r="AD85" s="8"/>
    </row>
    <row r="86" spans="1:30" x14ac:dyDescent="0.25">
      <c r="A86" s="9" t="s">
        <v>286</v>
      </c>
      <c r="B86" s="9" t="s">
        <v>256</v>
      </c>
      <c r="C86" s="51" t="str">
        <f>IFERROR(VLOOKUP(A86,data!A:G,7,FALSE),"")</f>
        <v>Chemical - เคมีภัณฑ์</v>
      </c>
      <c r="D86" s="51" t="str">
        <f>IFERROR(VLOOKUP(A86,data!A:D,4,FALSE),"")</f>
        <v>L'ANGEL Infinity Hair Colors PRO 10.0 Very Extra Light Blonde Natural</v>
      </c>
      <c r="E86" s="52"/>
      <c r="F86" s="33"/>
      <c r="G86" s="53">
        <f>IFERROR(VLOOKUP(A86,data!A:V,22,FALSE),"")</f>
        <v>8858890799168</v>
      </c>
      <c r="H86" s="53"/>
      <c r="I86" s="53"/>
      <c r="J86" s="54">
        <v>0.228</v>
      </c>
      <c r="K86" s="54" t="s">
        <v>272</v>
      </c>
      <c r="L86" s="55">
        <v>65</v>
      </c>
      <c r="M86" s="9">
        <v>70</v>
      </c>
      <c r="N86" s="9">
        <v>90</v>
      </c>
      <c r="O86" s="9">
        <v>10</v>
      </c>
      <c r="P86" s="53"/>
      <c r="Q86" s="56">
        <f>IFERROR(VLOOKUP(A86,'data-ค่าฝา'!B:G,6,FALSE),"")</f>
        <v>10</v>
      </c>
      <c r="R86" s="8"/>
      <c r="S86" s="8"/>
      <c r="T86" s="8"/>
      <c r="U86" s="8"/>
      <c r="V86" s="8"/>
      <c r="W86" s="8"/>
      <c r="X86" s="8"/>
      <c r="Y86" s="8"/>
      <c r="Z86" s="8"/>
      <c r="AA86" s="8"/>
      <c r="AB86" s="8"/>
      <c r="AC86" s="8"/>
      <c r="AD86" s="8"/>
    </row>
    <row r="87" spans="1:30" x14ac:dyDescent="0.25">
      <c r="A87" s="9" t="s">
        <v>287</v>
      </c>
      <c r="B87" s="9" t="s">
        <v>256</v>
      </c>
      <c r="C87" s="51" t="str">
        <f>IFERROR(VLOOKUP(A87,data!A:G,7,FALSE),"")</f>
        <v>Chemical - เคมีภัณฑ์</v>
      </c>
      <c r="D87" s="51" t="str">
        <f>IFERROR(VLOOKUP(A87,data!A:D,4,FALSE),"")</f>
        <v>L'ANGEL Infinity Hair Colors PRO 10.1 Very Extra Light Blonde Ash</v>
      </c>
      <c r="E87" s="52"/>
      <c r="F87" s="33"/>
      <c r="G87" s="53">
        <f>IFERROR(VLOOKUP(A87,data!A:V,22,FALSE),"")</f>
        <v>8858890799175</v>
      </c>
      <c r="H87" s="53"/>
      <c r="I87" s="53"/>
      <c r="J87" s="54">
        <v>0.228</v>
      </c>
      <c r="K87" s="54" t="s">
        <v>272</v>
      </c>
      <c r="L87" s="55">
        <v>65</v>
      </c>
      <c r="M87" s="9">
        <v>70</v>
      </c>
      <c r="N87" s="9">
        <v>90</v>
      </c>
      <c r="O87" s="9">
        <v>10</v>
      </c>
      <c r="P87" s="53"/>
      <c r="Q87" s="56">
        <f>IFERROR(VLOOKUP(A87,'data-ค่าฝา'!B:G,6,FALSE),"")</f>
        <v>10</v>
      </c>
      <c r="R87" s="8"/>
      <c r="S87" s="8"/>
      <c r="T87" s="8"/>
      <c r="U87" s="8"/>
      <c r="V87" s="8"/>
      <c r="W87" s="8"/>
      <c r="X87" s="8"/>
      <c r="Y87" s="8"/>
      <c r="Z87" s="8"/>
      <c r="AA87" s="8"/>
      <c r="AB87" s="8"/>
      <c r="AC87" s="8"/>
      <c r="AD87" s="8"/>
    </row>
    <row r="88" spans="1:30" x14ac:dyDescent="0.25">
      <c r="A88" s="9" t="s">
        <v>288</v>
      </c>
      <c r="B88" s="9" t="s">
        <v>256</v>
      </c>
      <c r="C88" s="51" t="str">
        <f>IFERROR(VLOOKUP(A88,data!A:G,7,FALSE),"")</f>
        <v>Chemical - เคมีภัณฑ์</v>
      </c>
      <c r="D88" s="51" t="str">
        <f>IFERROR(VLOOKUP(A88,data!A:D,4,FALSE),"")</f>
        <v>L'ANGEL Infinity Hair Colors PRO 12.1 Special Blonde Ash</v>
      </c>
      <c r="E88" s="52"/>
      <c r="F88" s="33"/>
      <c r="G88" s="53">
        <f>IFERROR(VLOOKUP(A88,data!A:V,22,FALSE),"")</f>
        <v>8858890799182</v>
      </c>
      <c r="H88" s="53"/>
      <c r="I88" s="53"/>
      <c r="J88" s="54">
        <v>0.228</v>
      </c>
      <c r="K88" s="54" t="s">
        <v>272</v>
      </c>
      <c r="L88" s="55">
        <v>65</v>
      </c>
      <c r="M88" s="9">
        <v>70</v>
      </c>
      <c r="N88" s="9">
        <v>90</v>
      </c>
      <c r="O88" s="9">
        <v>10</v>
      </c>
      <c r="P88" s="53"/>
      <c r="Q88" s="56">
        <f>IFERROR(VLOOKUP(A88,'data-ค่าฝา'!B:G,6,FALSE),"")</f>
        <v>10</v>
      </c>
      <c r="R88" s="8"/>
      <c r="S88" s="8"/>
      <c r="T88" s="8"/>
      <c r="U88" s="8"/>
      <c r="V88" s="8"/>
      <c r="W88" s="8"/>
      <c r="X88" s="8"/>
      <c r="Y88" s="8"/>
      <c r="Z88" s="8"/>
      <c r="AA88" s="8"/>
      <c r="AB88" s="8"/>
      <c r="AC88" s="8"/>
      <c r="AD88" s="8"/>
    </row>
    <row r="89" spans="1:30" x14ac:dyDescent="0.25">
      <c r="A89" s="9" t="s">
        <v>289</v>
      </c>
      <c r="B89" s="9" t="s">
        <v>256</v>
      </c>
      <c r="C89" s="51" t="str">
        <f>IFERROR(VLOOKUP(A89,data!A:G,7,FALSE),"")</f>
        <v>Chemical - เคมีภัณฑ์</v>
      </c>
      <c r="D89" s="51" t="str">
        <f>IFERROR(VLOOKUP(A89,data!A:D,4,FALSE),"")</f>
        <v>L'ANGEL Infinity Hair Colors PRO 0.11 Ash Special Mix</v>
      </c>
      <c r="E89" s="52"/>
      <c r="F89" s="33"/>
      <c r="G89" s="53">
        <f>IFERROR(VLOOKUP(A89,data!A:V,22,FALSE),"")</f>
        <v>8858890799199</v>
      </c>
      <c r="H89" s="53"/>
      <c r="I89" s="53"/>
      <c r="J89" s="54">
        <v>0.228</v>
      </c>
      <c r="K89" s="54" t="s">
        <v>272</v>
      </c>
      <c r="L89" s="55">
        <v>65</v>
      </c>
      <c r="M89" s="9">
        <v>70</v>
      </c>
      <c r="N89" s="9">
        <v>90</v>
      </c>
      <c r="O89" s="9">
        <v>10</v>
      </c>
      <c r="P89" s="53"/>
      <c r="Q89" s="56">
        <f>IFERROR(VLOOKUP(A89,'data-ค่าฝา'!B:G,6,FALSE),"")</f>
        <v>10</v>
      </c>
      <c r="R89" s="8"/>
      <c r="S89" s="8"/>
      <c r="T89" s="8"/>
      <c r="U89" s="8"/>
      <c r="V89" s="8"/>
      <c r="W89" s="8"/>
      <c r="X89" s="8"/>
      <c r="Y89" s="8"/>
      <c r="Z89" s="8"/>
      <c r="AA89" s="8"/>
      <c r="AB89" s="8"/>
      <c r="AC89" s="8"/>
      <c r="AD89" s="8"/>
    </row>
    <row r="90" spans="1:17" x14ac:dyDescent="0.25">
      <c r="A90" s="1" t="s">
        <v>123</v>
      </c>
      <c r="B90" s="1" t="s">
        <v>256</v>
      </c>
      <c r="C90" s="38" t="str">
        <f>IFERROR(VLOOKUP(A90,data!A:G,7,FALSE),"")</f>
        <v>Chemical - เคมีภัณฑ์</v>
      </c>
      <c r="D90" s="38" t="str">
        <f>IFERROR(VLOOKUP(A90,data!A:D,4,FALSE),"")</f>
        <v>L'ANGEL HAIR BLEACHING POWDER ผลิตภัณฑ์ฟอกสีผม ANG-066</v>
      </c>
      <c r="E90" s="39"/>
      <c r="F90" s="40"/>
      <c r="G90" s="37">
        <f>IFERROR(VLOOKUP(A90,data!A:V,22,FALSE),"")</f>
        <v>8858890710668</v>
      </c>
      <c r="H90" s="37"/>
      <c r="I90" s="37"/>
      <c r="J90" s="41">
        <f>IFERROR(VLOOKUP(A90,'dataนน'!A:F,6,FALSE),"")</f>
        <v>0.661</v>
      </c>
      <c r="K90" s="41">
        <f>IFERROR(VLOOKUP(A90,'dataนน'!A:G,7,FALSE),"")</f>
      </c>
      <c r="L90" s="42">
        <v>250</v>
      </c>
      <c r="M90" s="50">
        <f t="shared" ref="M90:M107" si="1">MROUND((L90*10%)+L90,5)</f>
        <v>275</v>
      </c>
      <c r="N90" s="42">
        <v>365</v>
      </c>
      <c r="O90" s="42">
        <v>10</v>
      </c>
      <c r="P90" s="44"/>
      <c r="Q90" s="45">
        <f>IFERROR(VLOOKUP(A90,'data-ค่าฝา'!B:G,6,FALSE),"")</f>
        <v>20</v>
      </c>
    </row>
    <row r="91" spans="1:17" x14ac:dyDescent="0.25">
      <c r="A91" s="1" t="s">
        <v>129</v>
      </c>
      <c r="B91" s="1" t="s">
        <v>256</v>
      </c>
      <c r="C91" s="38" t="str">
        <f>IFERROR(VLOOKUP(A91,data!A:G,7,FALSE),"")</f>
        <v>Chemical - เคมีภัณฑ์</v>
      </c>
      <c r="D91" s="38" t="str">
        <f>IFERROR(VLOOKUP(A91,data!A:D,4,FALSE),"")</f>
        <v>L'ANGEL LUXURY ANGELIC 9 LEVELS แอลแองเจล ผงฟอกสีผม 400g ANG-069</v>
      </c>
      <c r="E91" s="39"/>
      <c r="F91" s="40"/>
      <c r="G91" s="37">
        <f>IFERROR(VLOOKUP(A91,data!A:V,22,FALSE),"")</f>
        <v>8858890710699</v>
      </c>
      <c r="H91" s="37"/>
      <c r="I91" s="37"/>
      <c r="J91" s="41">
        <f>IFERROR(VLOOKUP(A91,'dataนน'!A:F,6,FALSE),"")</f>
        <v>0.602</v>
      </c>
      <c r="K91" s="41">
        <f>IFERROR(VLOOKUP(A91,'dataนน'!A:G,7,FALSE),"")</f>
      </c>
      <c r="L91" s="42">
        <v>200</v>
      </c>
      <c r="M91" s="50">
        <f t="shared" si="1"/>
        <v>220</v>
      </c>
      <c r="N91" s="42">
        <v>390</v>
      </c>
      <c r="O91" s="42">
        <v>10</v>
      </c>
      <c r="P91" s="44"/>
      <c r="Q91" s="45">
        <f>IFERROR(VLOOKUP(A91,'data-ค่าฝา'!B:G,6,FALSE),"")</f>
        <v>20</v>
      </c>
    </row>
    <row r="92" spans="1:17" x14ac:dyDescent="0.25">
      <c r="A92" s="10" t="s">
        <v>200</v>
      </c>
      <c r="B92" s="1" t="s">
        <v>256</v>
      </c>
      <c r="C92" s="38" t="str">
        <f>IFERROR(VLOOKUP(A92,data!A:G,7,FALSE),"")</f>
        <v>Chemical - เคมีภัณฑ์</v>
      </c>
      <c r="D92" s="38" t="str">
        <f>IFERROR(VLOOKUP(A92,data!A:D,4,FALSE),"")</f>
        <v>L'ANGEL แอลแองเจล ชุดครีมยืดผมถาวร สูตรอโรม่า สำหรับผมที่ผ่านการทำเคมีมาก่อน ANG-110</v>
      </c>
      <c r="E92" s="39"/>
      <c r="F92" s="40"/>
      <c r="G92" s="37">
        <f>IFERROR(VLOOKUP(A92,data!A:V,22,FALSE),"")</f>
        <v>8858890711108</v>
      </c>
      <c r="H92" s="37"/>
      <c r="I92" s="37"/>
      <c r="J92" s="41">
        <f>IFERROR(VLOOKUP(A92,'dataนน'!A:F,6,FALSE),"")</f>
        <v>1.334</v>
      </c>
      <c r="K92" s="41">
        <f>IFERROR(VLOOKUP(A92,'dataนน'!A:G,7,FALSE),"")</f>
      </c>
      <c r="L92" s="47">
        <v>320</v>
      </c>
      <c r="M92" s="50">
        <f t="shared" si="1"/>
        <v>350</v>
      </c>
      <c r="N92" s="47">
        <v>150</v>
      </c>
      <c r="O92" s="42">
        <v>10</v>
      </c>
      <c r="P92" s="44"/>
      <c r="Q92" s="45">
        <f>IFERROR(VLOOKUP(A92,'data-ค่าฝา'!B:G,6,FALSE),"")</f>
      </c>
    </row>
    <row r="93" spans="1:17" x14ac:dyDescent="0.25">
      <c r="A93" s="10" t="s">
        <v>194</v>
      </c>
      <c r="B93" s="1" t="s">
        <v>256</v>
      </c>
      <c r="C93" s="38" t="str">
        <f>IFERROR(VLOOKUP(A93,data!A:G,7,FALSE),"")</f>
        <v>Chemical - เคมีภัณฑ์</v>
      </c>
      <c r="D93" s="38" t="str">
        <f>IFERROR(VLOOKUP(A93,data!A:D,4,FALSE),"")</f>
        <v>L'ANGEL แอลแองเจล ชุดครีมยืดผมถาวร สูตรชาเขียว สำหรับผมไม่เคยทำเคมี ANG-109</v>
      </c>
      <c r="E93" s="39"/>
      <c r="F93" s="40"/>
      <c r="G93" s="37">
        <f>IFERROR(VLOOKUP(A93,data!A:V,22,FALSE),"")</f>
        <v>8858890711092</v>
      </c>
      <c r="H93" s="37"/>
      <c r="I93" s="37"/>
      <c r="J93" s="41">
        <f>IFERROR(VLOOKUP(A93,'dataนน'!A:F,6,FALSE),"")</f>
        <v>1.334</v>
      </c>
      <c r="K93" s="41">
        <f>IFERROR(VLOOKUP(A93,'dataนน'!A:G,7,FALSE),"")</f>
      </c>
      <c r="L93" s="47">
        <v>320</v>
      </c>
      <c r="M93" s="50">
        <f t="shared" si="1"/>
        <v>350</v>
      </c>
      <c r="N93" s="47">
        <v>150</v>
      </c>
      <c r="O93" s="42">
        <v>10</v>
      </c>
      <c r="P93" s="44"/>
      <c r="Q93" s="45">
        <f>IFERROR(VLOOKUP(A93,'data-ค่าฝา'!B:G,6,FALSE),"")</f>
      </c>
    </row>
    <row r="94" spans="1:17" x14ac:dyDescent="0.25">
      <c r="A94" s="1" t="s">
        <v>187</v>
      </c>
      <c r="B94" s="1" t="s">
        <v>256</v>
      </c>
      <c r="C94" s="38" t="str">
        <f>IFERROR(VLOOKUP(A94,data!A:G,7,FALSE),"")</f>
        <v>Chemical - เคมีภัณฑ์</v>
      </c>
      <c r="D94" s="38" t="str">
        <f>IFERROR(VLOOKUP(A94,data!A:D,4,FALSE),"")</f>
        <v>L'ANGEL SMART KERATIN แอลแองเจล สมาร์ท เคราติน แชมพู+ทรีทเมนต์ 258 ml.x2 รุ่น ANG-613</v>
      </c>
      <c r="E94" s="39"/>
      <c r="F94" s="33">
        <v>24</v>
      </c>
      <c r="G94" s="37">
        <f>IFERROR(VLOOKUP(A94,data!A:V,22,FALSE),"")</f>
        <v>8858890716134</v>
      </c>
      <c r="H94" s="37"/>
      <c r="I94" s="37"/>
      <c r="J94" s="41">
        <f>IFERROR(VLOOKUP(A94,'dataนน'!A:F,6,FALSE),"")</f>
        <v>0.65</v>
      </c>
      <c r="K94" s="41">
        <f>IFERROR(VLOOKUP(A94,'dataนน'!A:G,7,FALSE),"")</f>
      </c>
      <c r="L94" s="42">
        <v>650</v>
      </c>
      <c r="M94" s="50">
        <f t="shared" si="1"/>
        <v>715</v>
      </c>
      <c r="N94" s="42">
        <v>800</v>
      </c>
      <c r="O94" s="42">
        <v>10</v>
      </c>
      <c r="P94" s="44"/>
      <c r="Q94" s="45">
        <f>IFERROR(VLOOKUP(A94,'data-ค่าฝา'!B:G,6,FALSE),"")</f>
        <v>20</v>
      </c>
    </row>
    <row r="95" spans="1:17" x14ac:dyDescent="0.25">
      <c r="A95" s="1" t="s">
        <v>202</v>
      </c>
      <c r="B95" s="1" t="s">
        <v>256</v>
      </c>
      <c r="C95" s="38" t="str">
        <f>IFERROR(VLOOKUP(A95,data!A:G,7,FALSE),"")</f>
        <v>Hair Treatment - ผลิตภัณฑ์บำรุงเส้นผม</v>
      </c>
      <c r="D95" s="38" t="str">
        <f>IFERROR(VLOOKUP(A95,data!A:D,4,FALSE),"")</f>
        <v>L'ANGEL Perfect Keratin เพอร์เฟ็ค เคราติน แชมพู+ครีมนวด 258ml.x2 กล่องขาว ANG-608</v>
      </c>
      <c r="E95" s="39"/>
      <c r="F95" s="40"/>
      <c r="G95" s="37">
        <f>IFERROR(VLOOKUP(A95,data!A:V,22,FALSE),"")</f>
        <v>8858890716080</v>
      </c>
      <c r="H95" s="37"/>
      <c r="I95" s="37"/>
      <c r="J95" s="41">
        <f>IFERROR(VLOOKUP(A95,'dataนน'!A:F,6,FALSE),"")</f>
        <v>0.661</v>
      </c>
      <c r="K95" s="41">
        <f>IFERROR(VLOOKUP(A95,'dataนน'!A:G,7,FALSE),"")</f>
      </c>
      <c r="L95" s="42">
        <v>320</v>
      </c>
      <c r="M95" s="50">
        <f t="shared" si="1"/>
        <v>350</v>
      </c>
      <c r="N95" s="42">
        <v>399</v>
      </c>
      <c r="O95" s="42">
        <v>10</v>
      </c>
      <c r="P95" s="44"/>
      <c r="Q95" s="45">
        <f>IFERROR(VLOOKUP(A95,'data-ค่าฝา'!B:G,6,FALSE),"")</f>
        <v>10</v>
      </c>
    </row>
    <row r="96" spans="1:17" x14ac:dyDescent="0.25">
      <c r="A96" s="1" t="s">
        <v>171</v>
      </c>
      <c r="B96" s="1" t="s">
        <v>256</v>
      </c>
      <c r="C96" s="38" t="str">
        <f>IFERROR(VLOOKUP(A96,data!A:G,7,FALSE),"")</f>
        <v>Hair Treatment - ผลิตภัณฑ์บำรุงเส้นผม</v>
      </c>
      <c r="D96" s="38" t="str">
        <f>IFERROR(VLOOKUP(A96,data!A:D,4,FALSE),"")</f>
        <v>L'ANGEL Bond Creator บอนด์ ครีเอเตอร์ โปรเฟสชั่นนอล ซาลอน คิต ปริมาณ 300x3มล. ANG-410</v>
      </c>
      <c r="E96" s="39"/>
      <c r="F96" s="40"/>
      <c r="G96" s="37">
        <f>IFERROR(VLOOKUP(A96,data!A:V,22,FALSE),"")</f>
        <v>8858890714109</v>
      </c>
      <c r="H96" s="37"/>
      <c r="I96" s="37"/>
      <c r="J96" s="41">
        <f>IFERROR(VLOOKUP(A96,'dataนน'!A:F,6,FALSE),"")</f>
        <v>0.98</v>
      </c>
      <c r="K96" s="41">
        <f>IFERROR(VLOOKUP(A96,'dataนน'!A:G,7,FALSE),"")</f>
      </c>
      <c r="L96" s="42">
        <v>1000</v>
      </c>
      <c r="M96" s="50">
        <f t="shared" si="1"/>
        <v>1100</v>
      </c>
      <c r="N96" s="42">
        <v>1350</v>
      </c>
      <c r="O96" s="42">
        <v>10</v>
      </c>
      <c r="P96" s="44"/>
      <c r="Q96" s="45">
        <f>IFERROR(VLOOKUP(A96,'data-ค่าฝา'!B:G,6,FALSE),"")</f>
        <v>20</v>
      </c>
    </row>
    <row r="97" spans="1:17" x14ac:dyDescent="0.25">
      <c r="A97" s="10" t="s">
        <v>290</v>
      </c>
      <c r="B97" s="1" t="s">
        <v>256</v>
      </c>
      <c r="C97" s="38" t="str">
        <f>IFERROR(VLOOKUP(A97,data!A:G,7,FALSE),"")</f>
        <v>Hair Treatment - ผลิตภัณฑ์บำรุงเส้นผม</v>
      </c>
      <c r="D97" s="38" t="str">
        <f>IFERROR(VLOOKUP(A97,data!A:D,4,FALSE),"")</f>
        <v>L'ANGEL Silver Shampoo แอลแองเจล ซิลเวอร์ แชมพูม่วง ANG-610</v>
      </c>
      <c r="E97" s="39"/>
      <c r="F97" s="40"/>
      <c r="G97" s="37">
        <f>IFERROR(VLOOKUP(A97,data!A:V,22,FALSE),"")</f>
        <v>8858890716103</v>
      </c>
      <c r="H97" s="37"/>
      <c r="I97" s="37"/>
      <c r="J97" s="41">
        <f>IFERROR(VLOOKUP(A97,'dataนน'!A:F,6,FALSE),"")</f>
        <v>0.352</v>
      </c>
      <c r="K97" s="41">
        <f>IFERROR(VLOOKUP(A97,'dataนน'!A:G,7,FALSE),"")</f>
      </c>
      <c r="L97" s="42">
        <v>190</v>
      </c>
      <c r="M97" s="50">
        <f t="shared" si="1"/>
        <v>210</v>
      </c>
      <c r="N97" s="42">
        <v>240</v>
      </c>
      <c r="O97" s="42">
        <v>10</v>
      </c>
      <c r="P97" s="44"/>
      <c r="Q97" s="45">
        <f>IFERROR(VLOOKUP(A97,'data-ค่าฝา'!B:G,6,FALSE),"")</f>
        <v>15</v>
      </c>
    </row>
    <row r="98" spans="1:17" x14ac:dyDescent="0.25">
      <c r="A98" s="1" t="s">
        <v>210</v>
      </c>
      <c r="B98" s="1" t="s">
        <v>256</v>
      </c>
      <c r="C98" s="38" t="str">
        <f>IFERROR(VLOOKUP(A98,data!A:G,7,FALSE),"")</f>
        <v>Hair Treatment - ผลิตภัณฑ์บำรุงเส้นผม</v>
      </c>
      <c r="D98" s="38" t="str">
        <f>IFERROR(VLOOKUP(A98,data!A:D,4,FALSE),"")</f>
        <v>L'ANGEL ARGANIC COLOR &amp; DAMAGED HAIR SHAMPOO แชมพูอาร์แกนิค ปริมาณ 268 มล.</v>
      </c>
      <c r="E98" s="39"/>
      <c r="F98" s="40"/>
      <c r="G98" s="37">
        <f>IFERROR(VLOOKUP(A98,data!A:V,22,FALSE),"")</f>
        <v>8858890716066</v>
      </c>
      <c r="H98" s="37"/>
      <c r="I98" s="37"/>
      <c r="J98" s="41">
        <f>IFERROR(VLOOKUP(A98,'dataนน'!A:F,6,FALSE),"")</f>
        <v>0.385</v>
      </c>
      <c r="K98" s="41">
        <f>IFERROR(VLOOKUP(A98,'dataนน'!A:G,7,FALSE),"")</f>
      </c>
      <c r="L98" s="42">
        <v>160</v>
      </c>
      <c r="M98" s="50">
        <f t="shared" si="1"/>
        <v>175</v>
      </c>
      <c r="N98" s="42">
        <v>210</v>
      </c>
      <c r="O98" s="42">
        <v>10</v>
      </c>
      <c r="P98" s="44"/>
      <c r="Q98" s="45">
        <f>IFERROR(VLOOKUP(A98,'data-ค่าฝา'!B:G,6,FALSE),"")</f>
        <v>15</v>
      </c>
    </row>
    <row r="99" spans="1:17" x14ac:dyDescent="0.25">
      <c r="A99" s="1" t="s">
        <v>215</v>
      </c>
      <c r="B99" s="1" t="s">
        <v>256</v>
      </c>
      <c r="C99" s="38" t="str">
        <f>IFERROR(VLOOKUP(A99,data!A:G,7,FALSE),"")</f>
        <v>Hair Treatment - ผลิตภัณฑ์บำรุงเส้นผม</v>
      </c>
      <c r="D99" s="38" t="str">
        <f>IFERROR(VLOOKUP(A99,data!A:D,4,FALSE),"")</f>
        <v>L'ANGEL ARGANIC HAIR MASQUE แฮร์มาส์ก มาร์กบำรุงผม สูตรสำหรับผมทำสีและแห้งเสีย 500 ml. ANG-209</v>
      </c>
      <c r="E99" s="39"/>
      <c r="F99" s="40"/>
      <c r="G99" s="37">
        <f>IFERROR(VLOOKUP(A99,data!A:V,22,FALSE),"")</f>
        <v>8858890712099</v>
      </c>
      <c r="H99" s="37"/>
      <c r="I99" s="37"/>
      <c r="J99" s="41">
        <f>IFERROR(VLOOKUP(A99,'dataนน'!A:F,6,FALSE),"")</f>
        <v>0.614</v>
      </c>
      <c r="K99" s="41">
        <f>IFERROR(VLOOKUP(A99,'dataนน'!A:G,7,FALSE),"")</f>
      </c>
      <c r="L99" s="42">
        <v>250</v>
      </c>
      <c r="M99" s="50">
        <f t="shared" si="1"/>
        <v>275</v>
      </c>
      <c r="N99" s="42">
        <v>320</v>
      </c>
      <c r="O99" s="42">
        <v>10</v>
      </c>
      <c r="P99" s="44"/>
      <c r="Q99" s="45">
        <f>IFERROR(VLOOKUP(A99,'data-ค่าฝา'!B:G,6,FALSE),"")</f>
        <v>15</v>
      </c>
    </row>
    <row r="100" spans="1:17" x14ac:dyDescent="0.25">
      <c r="A100" s="1" t="s">
        <v>221</v>
      </c>
      <c r="B100" s="1" t="s">
        <v>256</v>
      </c>
      <c r="C100" s="38" t="str">
        <f>IFERROR(VLOOKUP(A100,data!A:G,7,FALSE),"")</f>
        <v>Hair Treatment - ผลิตภัณฑ์บำรุงเส้นผม</v>
      </c>
      <c r="D100" s="38" t="str">
        <f>IFERROR(VLOOKUP(A100,data!A:D,4,FALSE),"")</f>
        <v>L'ANGEL Boost Up สูตรบำรุงหนังศีรษะ 10ml.x12 0.382g. รหัสสินค้า ANG-303</v>
      </c>
      <c r="E100" s="39"/>
      <c r="F100" s="40"/>
      <c r="G100" s="37">
        <f>IFERROR(VLOOKUP(A100,data!A:V,22,FALSE),"")</f>
        <v>8858890713034</v>
      </c>
      <c r="H100" s="37"/>
      <c r="I100" s="37"/>
      <c r="J100" s="41">
        <f>IFERROR(VLOOKUP(A100,'dataนน'!A:F,6,FALSE),"")</f>
        <v>0.432</v>
      </c>
      <c r="K100" s="41">
        <f>IFERROR(VLOOKUP(A100,'dataนน'!A:G,7,FALSE),"")</f>
      </c>
      <c r="L100" s="42">
        <v>250</v>
      </c>
      <c r="M100" s="50">
        <f t="shared" si="1"/>
        <v>275</v>
      </c>
      <c r="N100" s="42">
        <v>499</v>
      </c>
      <c r="O100" s="42">
        <v>10</v>
      </c>
      <c r="P100" s="44"/>
      <c r="Q100" s="45">
        <f>IFERROR(VLOOKUP(A100,'data-ค่าฝา'!B:G,6,FALSE),"")</f>
      </c>
    </row>
    <row r="101" spans="1:17" x14ac:dyDescent="0.25">
      <c r="A101" s="1" t="s">
        <v>226</v>
      </c>
      <c r="B101" s="1" t="s">
        <v>256</v>
      </c>
      <c r="C101" s="38" t="str">
        <f>IFERROR(VLOOKUP(A101,data!A:G,7,FALSE),"")</f>
        <v>Hair Treatment - ผลิตภัณฑ์บำรุงเส้นผม</v>
      </c>
      <c r="D101" s="38" t="str">
        <f>IFERROR(VLOOKUP(A101,data!A:D,4,FALSE),"")</f>
        <v>L'ANGEL Boost Up สูตรควบคุมความมัน 10mlx12 0.385g. รหัสสินค้า ANG-304</v>
      </c>
      <c r="E101" s="39"/>
      <c r="F101" s="40"/>
      <c r="G101" s="37">
        <f>IFERROR(VLOOKUP(A101,data!A:V,22,FALSE),"")</f>
        <v>8858890713041</v>
      </c>
      <c r="H101" s="37"/>
      <c r="I101" s="37"/>
      <c r="J101" s="41">
        <f>IFERROR(VLOOKUP(A101,'dataนน'!A:F,6,FALSE),"")</f>
        <v>0.435</v>
      </c>
      <c r="K101" s="41">
        <f>IFERROR(VLOOKUP(A101,'dataนน'!A:G,7,FALSE),"")</f>
      </c>
      <c r="L101" s="42">
        <v>250</v>
      </c>
      <c r="M101" s="50">
        <f t="shared" si="1"/>
        <v>275</v>
      </c>
      <c r="N101" s="42">
        <v>499</v>
      </c>
      <c r="O101" s="42">
        <v>10</v>
      </c>
      <c r="P101" s="44"/>
      <c r="Q101" s="45">
        <f>IFERROR(VLOOKUP(A101,'data-ค่าฝา'!B:G,6,FALSE),"")</f>
      </c>
    </row>
    <row r="102" spans="1:17" x14ac:dyDescent="0.25">
      <c r="A102" s="1" t="s">
        <v>228</v>
      </c>
      <c r="B102" s="1" t="s">
        <v>256</v>
      </c>
      <c r="C102" s="38" t="str">
        <f>IFERROR(VLOOKUP(A102,data!A:G,7,FALSE),"")</f>
        <v>Hair Treatment - ผลิตภัณฑ์บำรุงเส้นผม</v>
      </c>
      <c r="D102" s="38" t="str">
        <f>IFERROR(VLOOKUP(A102,data!A:D,4,FALSE),"")</f>
        <v>L'ANGEL Boost Up สูตรป้องกันรังแค 10ml.x12 0.385g. รหัสสินค้า ANG-350</v>
      </c>
      <c r="E102" s="39"/>
      <c r="F102" s="40"/>
      <c r="G102" s="37">
        <f>IFERROR(VLOOKUP(A102,data!A:V,22,FALSE),"")</f>
        <v>8858890713058</v>
      </c>
      <c r="H102" s="37"/>
      <c r="I102" s="37"/>
      <c r="J102" s="41">
        <f>IFERROR(VLOOKUP(A102,'dataนน'!A:F,6,FALSE),"")</f>
        <v>0.43</v>
      </c>
      <c r="K102" s="41">
        <f>IFERROR(VLOOKUP(A102,'dataนน'!A:G,7,FALSE),"")</f>
      </c>
      <c r="L102" s="42">
        <v>250</v>
      </c>
      <c r="M102" s="50">
        <f t="shared" si="1"/>
        <v>275</v>
      </c>
      <c r="N102" s="42">
        <v>499</v>
      </c>
      <c r="O102" s="42">
        <v>10</v>
      </c>
      <c r="P102" s="44"/>
      <c r="Q102" s="45">
        <f>IFERROR(VLOOKUP(A102,'data-ค่าฝา'!B:G,6,FALSE),"")</f>
      </c>
    </row>
    <row r="103" spans="1:17" x14ac:dyDescent="0.25">
      <c r="A103" s="1" t="s">
        <v>291</v>
      </c>
      <c r="B103" s="1" t="s">
        <v>256</v>
      </c>
      <c r="C103" s="38" t="str">
        <f>IFERROR(VLOOKUP(A103,data!A:G,7,FALSE),"")</f>
        <v>Hair Treatment - ผลิตภัณฑ์บำรุงเส้นผม</v>
      </c>
      <c r="D103" s="38" t="str">
        <f>IFERROR(VLOOKUP(A103,data!A:D,4,FALSE),"")</f>
        <v>L'ANGEL ARGANIC OIL SERUM แอลแองเจล เซรั่มเข้มข้นอาร์แกนิค สูตรฟื้นฟูผมแห้งเสีย 50 ml. ANG-301</v>
      </c>
      <c r="E103" s="39"/>
      <c r="F103" s="40"/>
      <c r="G103" s="37">
        <f>IFERROR(VLOOKUP(A103,data!A:V,22,FALSE),"")</f>
        <v>8858890713010</v>
      </c>
      <c r="H103" s="37"/>
      <c r="I103" s="37"/>
      <c r="J103" s="41">
        <f>IFERROR(VLOOKUP(A103,'dataนน'!A:F,6,FALSE),"")</f>
        <v>0.191</v>
      </c>
      <c r="K103" s="41">
        <f>IFERROR(VLOOKUP(A103,'dataนน'!A:G,7,FALSE),"")</f>
      </c>
      <c r="L103" s="42">
        <v>165</v>
      </c>
      <c r="M103" s="50">
        <f t="shared" si="1"/>
        <v>180</v>
      </c>
      <c r="N103" s="42">
        <v>210</v>
      </c>
      <c r="O103" s="42">
        <v>10</v>
      </c>
      <c r="P103" s="44"/>
      <c r="Q103" s="45">
        <f>IFERROR(VLOOKUP(A103,'data-ค่าฝา'!B:G,6,FALSE),"")</f>
        <v>15</v>
      </c>
    </row>
    <row r="104" spans="1:17" x14ac:dyDescent="0.25">
      <c r="A104" s="1" t="s">
        <v>292</v>
      </c>
      <c r="B104" s="1" t="s">
        <v>256</v>
      </c>
      <c r="C104" s="38" t="str">
        <f>IFERROR(VLOOKUP(A104,data!A:G,7,FALSE),"")</f>
        <v>Grooming - ผลิตภัณพ์จัดแต่งทรงผมและหนวด</v>
      </c>
      <c r="D104" s="38" t="str">
        <f>IFERROR(VLOOKUP(A104,data!A:D,4,FALSE),"")</f>
        <v>L'ANGEL Curl Down Control แอลแองเจล ครีมจับลอน 260ml. 0.314g. รหัสสินค้า ANG-401</v>
      </c>
      <c r="E104" s="39"/>
      <c r="F104" s="40"/>
      <c r="G104" s="37">
        <f>IFERROR(VLOOKUP(A104,data!A:V,22,FALSE),"")</f>
        <v>6933004194502</v>
      </c>
      <c r="H104" s="37"/>
      <c r="I104" s="37"/>
      <c r="J104" s="41">
        <f>IFERROR(VLOOKUP(A104,'dataนน'!A:F,6,FALSE),"")</f>
        <v>0.364</v>
      </c>
      <c r="K104" s="41">
        <f>IFERROR(VLOOKUP(A104,'dataนน'!A:G,7,FALSE),"")</f>
      </c>
      <c r="L104" s="42">
        <v>90</v>
      </c>
      <c r="M104" s="50">
        <f t="shared" si="1"/>
        <v>100</v>
      </c>
      <c r="N104" s="42">
        <v>120</v>
      </c>
      <c r="O104" s="42">
        <v>10</v>
      </c>
      <c r="P104" s="44"/>
      <c r="Q104" s="45">
        <f>IFERROR(VLOOKUP(A104,'data-ค่าฝา'!B:G,6,FALSE),"")</f>
      </c>
    </row>
    <row r="105" spans="1:30" x14ac:dyDescent="0.25">
      <c r="A105" s="9" t="s">
        <v>117</v>
      </c>
      <c r="B105" s="9" t="s">
        <v>256</v>
      </c>
      <c r="C105" s="51" t="str">
        <f>IFERROR(VLOOKUP(A105,data!A:G,7,FALSE),"")</f>
        <v>Chemical - เคมีภัณฑ์</v>
      </c>
      <c r="D105" s="51" t="str">
        <f>IFERROR(VLOOKUP(A105,data!A:D,4,FALSE),"")</f>
        <v>L’ANGEL Hair Bleaching Powder Gentle Blonde 60gx12 ผงฟอกสีผม</v>
      </c>
      <c r="E105" s="52"/>
      <c r="F105" s="33"/>
      <c r="G105" s="53">
        <f>IFERROR(VLOOKUP(A105,data!A:V,22,FALSE),"")</f>
        <v>8858890800352</v>
      </c>
      <c r="H105" s="53"/>
      <c r="I105" s="53"/>
      <c r="J105" s="54">
        <v>0.813</v>
      </c>
      <c r="K105" s="54" t="s">
        <v>293</v>
      </c>
      <c r="L105" s="9">
        <v>385</v>
      </c>
      <c r="M105" s="57">
        <f t="shared" si="1"/>
        <v>425</v>
      </c>
      <c r="N105" s="9">
        <f>MROUND((L105*25%)+L105,5)</f>
        <v>480</v>
      </c>
      <c r="O105" s="9">
        <v>10</v>
      </c>
      <c r="P105" s="53"/>
      <c r="Q105" s="56">
        <f>IFERROR(VLOOKUP(A105,'data-ค่าฝา'!B:G,6,FALSE),"")</f>
        <v>20</v>
      </c>
      <c r="R105" s="8"/>
      <c r="S105" s="8"/>
      <c r="T105" s="8"/>
      <c r="U105" s="8"/>
      <c r="V105" s="8"/>
      <c r="W105" s="8"/>
      <c r="X105" s="8"/>
      <c r="Y105" s="8"/>
      <c r="Z105" s="8"/>
      <c r="AA105" s="8"/>
      <c r="AB105" s="8"/>
      <c r="AC105" s="8"/>
      <c r="AD105" s="8"/>
    </row>
    <row r="106" spans="1:17" x14ac:dyDescent="0.25">
      <c r="A106" s="1" t="s">
        <v>294</v>
      </c>
      <c r="B106" s="1" t="s">
        <v>256</v>
      </c>
      <c r="C106" s="38" t="str">
        <f>IFERROR(VLOOKUP(A106,data!A:G,7,FALSE),"")</f>
        <v>Apron - ผ้าคลุมและผ้ากันเปื้อน</v>
      </c>
      <c r="D106" s="38" t="str">
        <f>IFERROR(VLOOKUP(A106,data!A:D,4,FALSE),"")</f>
        <v>แอลแองเจล เอี๊ยมช่างซาลอน 0.086g. รหัสสินค้า J001-1</v>
      </c>
      <c r="E106" s="39"/>
      <c r="F106" s="40"/>
      <c r="G106" s="37">
        <f>IFERROR(VLOOKUP(A106,data!A:V,22,FALSE),"")</f>
        <v>8858890790394</v>
      </c>
      <c r="H106" s="37"/>
      <c r="I106" s="37"/>
      <c r="J106" s="41">
        <f>IFERROR(VLOOKUP(A106,'dataนน'!A:F,6,FALSE),"")</f>
      </c>
      <c r="K106" s="41" t="str">
        <f>IFERROR(VLOOKUP(A106,'dataนน'!A:G,7,FALSE),"")</f>
        <v>กว้าง 60 ซม. ยาว 70 ซม.</v>
      </c>
      <c r="L106" s="42">
        <v>68.75</v>
      </c>
      <c r="M106" s="50">
        <f t="shared" si="1"/>
        <v>75</v>
      </c>
      <c r="N106" s="42">
        <v>95</v>
      </c>
      <c r="O106" s="42">
        <v>10</v>
      </c>
      <c r="P106" s="44"/>
      <c r="Q106" s="45">
        <f>IFERROR(VLOOKUP(A106,'data-ค่าฝา'!B:G,6,FALSE),"")</f>
      </c>
    </row>
    <row r="107" spans="1:17" x14ac:dyDescent="0.25">
      <c r="A107" s="1" t="s">
        <v>295</v>
      </c>
      <c r="B107" s="1" t="s">
        <v>256</v>
      </c>
      <c r="C107" s="38" t="str">
        <f>IFERROR(VLOOKUP(A107,data!A:G,7,FALSE),"")</f>
        <v>Apron - ผ้าคลุมและผ้ากันเปื้อน</v>
      </c>
      <c r="D107" s="38" t="str">
        <f>IFERROR(VLOOKUP(A107,data!A:D,4,FALSE),"")</f>
        <v>แอลแองเจล ผ้าคลุมซอยซาลอน 0.104g. รหัสสินค้า B-012</v>
      </c>
      <c r="E107" s="46" t="s">
        <v>254</v>
      </c>
      <c r="F107" s="40"/>
      <c r="G107" s="37">
        <f>IFERROR(VLOOKUP(A107,data!A:V,22,FALSE),"")</f>
        <v>8858890790370</v>
      </c>
      <c r="H107" s="37"/>
      <c r="I107" s="37"/>
      <c r="J107" s="41">
        <f>IFERROR(VLOOKUP(A107,'dataนน'!A:F,6,FALSE),"")</f>
        <v>0.05</v>
      </c>
      <c r="K107" s="41" t="str">
        <f>IFERROR(VLOOKUP(A107,'dataนน'!A:G,7,FALSE),"")</f>
        <v>120x140 ซม.</v>
      </c>
      <c r="L107" s="42">
        <v>70</v>
      </c>
      <c r="M107" s="50">
        <f t="shared" si="1"/>
        <v>75</v>
      </c>
      <c r="N107" s="42">
        <v>100</v>
      </c>
      <c r="O107" s="42">
        <v>10</v>
      </c>
      <c r="P107" s="44"/>
      <c r="Q107" s="45">
        <f>IFERROR(VLOOKUP(A107,'data-ค่าฝา'!B:G,6,FALSE),"")</f>
      </c>
    </row>
    <row r="108" spans="1:30" x14ac:dyDescent="0.25">
      <c r="A108" s="9" t="s">
        <v>296</v>
      </c>
      <c r="B108" s="9" t="s">
        <v>297</v>
      </c>
      <c r="C108" s="51" t="str">
        <f>IFERROR(VLOOKUP(A108,data!A:G,7,FALSE),"")</f>
        <v>Electrical Equipment - อุปกรณ์ไฟฟ้า</v>
      </c>
      <c r="D108" s="51" t="str">
        <f>IFERROR(VLOOKUP(A108,data!A:D,4,FALSE),"")</f>
        <v>Valente Talent Titanium เครื่องหนีบผมไฟฟ้า 25mm รุ่น HF-017</v>
      </c>
      <c r="E108" s="58" t="s">
        <v>298</v>
      </c>
      <c r="F108" s="33"/>
      <c r="G108" s="53">
        <f>IFERROR(VLOOKUP(A108,data!A:V,22,FALSE),"")</f>
        <v>8858890799472</v>
      </c>
      <c r="H108" s="53"/>
      <c r="I108" s="53"/>
      <c r="J108" s="54">
        <v>0.771</v>
      </c>
      <c r="K108" s="54" t="s">
        <v>299</v>
      </c>
      <c r="L108" s="9">
        <v>1250</v>
      </c>
      <c r="M108" s="8">
        <v>1375</v>
      </c>
      <c r="N108" s="9">
        <v>1650</v>
      </c>
      <c r="O108" s="9">
        <v>10</v>
      </c>
      <c r="P108" s="53"/>
      <c r="Q108" s="56">
        <f>IFERROR(VLOOKUP(A108,'data-ค่าฝา'!B:G,6,FALSE),"")</f>
        <v>50</v>
      </c>
      <c r="R108" s="8"/>
      <c r="S108" s="8"/>
      <c r="T108" s="8"/>
      <c r="U108" s="8"/>
      <c r="V108" s="8"/>
      <c r="W108" s="8"/>
      <c r="X108" s="8"/>
      <c r="Y108" s="8"/>
      <c r="Z108" s="8"/>
      <c r="AA108" s="8"/>
      <c r="AB108" s="8"/>
      <c r="AC108" s="8"/>
      <c r="AD108" s="8"/>
    </row>
    <row r="109" spans="1:30" x14ac:dyDescent="0.25">
      <c r="A109" s="9" t="s">
        <v>300</v>
      </c>
      <c r="B109" s="9" t="s">
        <v>297</v>
      </c>
      <c r="C109" s="51" t="str">
        <f>IFERROR(VLOOKUP(A109,data!A:G,7,FALSE),"")</f>
        <v>Electrical Equipment - อุปกรณ์ไฟฟ้า</v>
      </c>
      <c r="D109" s="51" t="str">
        <f>IFERROR(VLOOKUP(A109,data!A:D,4,FALSE),"")</f>
        <v>Valente Talent Titanium เครื่องหนีบผมไฟฟ้า 40mm รุ่น HF-013</v>
      </c>
      <c r="E109" s="58" t="s">
        <v>301</v>
      </c>
      <c r="F109" s="33"/>
      <c r="G109" s="53">
        <f>IFERROR(VLOOKUP(A109,data!A:V,22,FALSE),"")</f>
        <v>8858890799489</v>
      </c>
      <c r="H109" s="53"/>
      <c r="I109" s="53"/>
      <c r="J109" s="54">
        <v>0.834</v>
      </c>
      <c r="K109" s="54" t="s">
        <v>299</v>
      </c>
      <c r="L109" s="9">
        <v>1250</v>
      </c>
      <c r="M109" s="8">
        <v>1375</v>
      </c>
      <c r="N109" s="9">
        <v>1750</v>
      </c>
      <c r="O109" s="9">
        <v>10</v>
      </c>
      <c r="P109" s="53"/>
      <c r="Q109" s="56">
        <f>IFERROR(VLOOKUP(A109,'data-ค่าฝา'!B:G,6,FALSE),"")</f>
        <v>50</v>
      </c>
      <c r="R109" s="8"/>
      <c r="S109" s="8"/>
      <c r="T109" s="8"/>
      <c r="U109" s="8"/>
      <c r="V109" s="8"/>
      <c r="W109" s="8"/>
      <c r="X109" s="8"/>
      <c r="Y109" s="8"/>
      <c r="Z109" s="8"/>
      <c r="AA109" s="8"/>
      <c r="AB109" s="8"/>
      <c r="AC109" s="8"/>
      <c r="AD109" s="8"/>
    </row>
    <row r="110" spans="1:17" x14ac:dyDescent="0.25">
      <c r="A110" s="1" t="s">
        <v>302</v>
      </c>
      <c r="B110" s="1" t="s">
        <v>297</v>
      </c>
      <c r="C110" s="38" t="str">
        <f>IFERROR(VLOOKUP(A110,data!A:G,7,FALSE),"")</f>
        <v>Electrical Equipment - อุปกรณ์ไฟฟ้า</v>
      </c>
      <c r="D110" s="38" t="str">
        <f>IFERROR(VLOOKUP(A110,data!A:D,4,FALSE),"")</f>
        <v>VALENTE เครื่องหนีบผมไฟฟ้า 2in1 หนีบตรง หรือม้วนผม รุ่น The Classic Black HF-001</v>
      </c>
      <c r="E110" s="39"/>
      <c r="F110" s="40"/>
      <c r="G110" s="37">
        <f>IFERROR(VLOOKUP(A110,data!A:V,22,FALSE),"")</f>
        <v>8858890720636</v>
      </c>
      <c r="H110" s="37"/>
      <c r="I110" s="37"/>
      <c r="J110" s="41">
        <f>IFERROR(VLOOKUP(A110,'dataนน'!A:F,6,FALSE),"")</f>
        <v>0.54</v>
      </c>
      <c r="K110" s="41">
        <f>IFERROR(VLOOKUP(A110,'dataนน'!A:G,7,FALSE),"")</f>
      </c>
      <c r="L110" s="42">
        <v>580</v>
      </c>
      <c r="M110" s="43">
        <v>640</v>
      </c>
      <c r="N110" s="42">
        <v>670</v>
      </c>
      <c r="O110" s="42">
        <v>10</v>
      </c>
      <c r="P110" s="44"/>
      <c r="Q110" s="45">
        <f>IFERROR(VLOOKUP(A110,'data-ค่าฝา'!B:G,6,FALSE),"")</f>
        <v>20</v>
      </c>
    </row>
    <row r="111" spans="1:17" x14ac:dyDescent="0.25">
      <c r="A111" s="1" t="s">
        <v>303</v>
      </c>
      <c r="B111" s="1" t="s">
        <v>297</v>
      </c>
      <c r="C111" s="38" t="str">
        <f>IFERROR(VLOOKUP(A111,data!A:G,7,FALSE),"")</f>
        <v>Electrical Equipment - อุปกรณ์ไฟฟ้า</v>
      </c>
      <c r="D111" s="38" t="str">
        <f>IFERROR(VLOOKUP(A111,data!A:D,4,FALSE),"")</f>
        <v>VALENTE Absolut Hot 2in1 เครื่องม้วนผม+หนีบผมไฟฟ้า วาเลนเต้ รุ่น HF-002 ( สีทอง )</v>
      </c>
      <c r="E111" s="39"/>
      <c r="F111" s="40"/>
      <c r="G111" s="37">
        <f>IFERROR(VLOOKUP(A111,data!A:V,22,FALSE),"")</f>
        <v>8858890720858</v>
      </c>
      <c r="H111" s="37"/>
      <c r="I111" s="37"/>
      <c r="J111" s="41">
        <f>IFERROR(VLOOKUP(A111,'dataนน'!A:F,6,FALSE),"")</f>
        <v>0.715</v>
      </c>
      <c r="K111" s="41">
        <f>IFERROR(VLOOKUP(A111,'dataนน'!A:G,7,FALSE),"")</f>
      </c>
      <c r="L111" s="42">
        <v>950</v>
      </c>
      <c r="M111" s="43">
        <v>1045</v>
      </c>
      <c r="N111" s="42">
        <v>1250</v>
      </c>
      <c r="O111" s="42">
        <v>10</v>
      </c>
      <c r="P111" s="44"/>
      <c r="Q111" s="45">
        <f>IFERROR(VLOOKUP(A111,'data-ค่าฝา'!B:G,6,FALSE),"")</f>
        <v>50</v>
      </c>
    </row>
    <row r="112" spans="1:17" x14ac:dyDescent="0.25">
      <c r="A112" s="1" t="s">
        <v>304</v>
      </c>
      <c r="B112" s="1" t="s">
        <v>297</v>
      </c>
      <c r="C112" s="38" t="str">
        <f>IFERROR(VLOOKUP(A112,data!A:G,7,FALSE),"")</f>
        <v>Electrical Equipment - อุปกรณ์ไฟฟ้า</v>
      </c>
      <c r="D112" s="38" t="str">
        <f>IFERROR(VLOOKUP(A112,data!A:D,4,FALSE),"")</f>
        <v>VALENTE Absolut Hot เครื่องม้วนผมไฟฟ้า วาเลนเต้ HC-003/28 (สีทอง)</v>
      </c>
      <c r="E112" s="46" t="s">
        <v>305</v>
      </c>
      <c r="F112" s="40"/>
      <c r="G112" s="37">
        <f>IFERROR(VLOOKUP(A112,data!A:V,22,FALSE),"")</f>
        <v>8858890721190</v>
      </c>
      <c r="H112" s="37"/>
      <c r="I112" s="37"/>
      <c r="J112" s="41">
        <f>IFERROR(VLOOKUP(A112,'dataนน'!A:F,6,FALSE),"")</f>
        <v>0.935</v>
      </c>
      <c r="K112" s="41" t="str">
        <f>IFERROR(VLOOKUP(A112,'dataนน'!A:G,7,FALSE),"")</f>
        <v>28 ซม.</v>
      </c>
      <c r="L112" s="42">
        <v>950</v>
      </c>
      <c r="M112" s="43">
        <v>1045</v>
      </c>
      <c r="N112" s="42">
        <v>1250</v>
      </c>
      <c r="O112" s="42">
        <v>10</v>
      </c>
      <c r="P112" s="44"/>
      <c r="Q112" s="45">
        <f>IFERROR(VLOOKUP(A112,'data-ค่าฝา'!B:G,6,FALSE),"")</f>
        <v>50</v>
      </c>
    </row>
    <row r="113" spans="1:17" x14ac:dyDescent="0.25">
      <c r="A113" s="10" t="s">
        <v>306</v>
      </c>
      <c r="B113" s="1" t="s">
        <v>297</v>
      </c>
      <c r="C113" s="38" t="str">
        <f>IFERROR(VLOOKUP(A113,data!A:G,7,FALSE),"")</f>
        <v>Electrical Equipment - อุปกรณ์ไฟฟ้า</v>
      </c>
      <c r="D113" s="38" t="str">
        <f>IFERROR(VLOOKUP(A113,data!A:D,4,FALSE),"")</f>
        <v>VALENTE Absolut Hot เครื่องม้วนผมไฟฟ้า วาเลนเต้ HC-003/38 (สีทอง)</v>
      </c>
      <c r="E113" s="46" t="s">
        <v>307</v>
      </c>
      <c r="F113" s="40"/>
      <c r="G113" s="37">
        <f>IFERROR(VLOOKUP(A113,data!A:V,22,FALSE),"")</f>
        <v>8858890720872</v>
      </c>
      <c r="H113" s="37"/>
      <c r="I113" s="37"/>
      <c r="J113" s="41">
        <f>IFERROR(VLOOKUP(A113,'dataนน'!A:F,6,FALSE),"")</f>
        <v>0.935</v>
      </c>
      <c r="K113" s="41" t="str">
        <f>IFERROR(VLOOKUP(A113,'dataนน'!A:G,7,FALSE),"")</f>
        <v>38 ซม.</v>
      </c>
      <c r="L113" s="47">
        <v>950</v>
      </c>
      <c r="M113" s="43">
        <v>1045</v>
      </c>
      <c r="N113" s="47">
        <v>1250</v>
      </c>
      <c r="O113" s="42">
        <v>10</v>
      </c>
      <c r="P113" s="48"/>
      <c r="Q113" s="45">
        <f>IFERROR(VLOOKUP(A113,'data-ค่าฝา'!B:G,6,FALSE),"")</f>
        <v>50</v>
      </c>
    </row>
    <row r="114" spans="1:17" x14ac:dyDescent="0.25">
      <c r="A114" s="1" t="s">
        <v>308</v>
      </c>
      <c r="B114" s="1" t="s">
        <v>297</v>
      </c>
      <c r="C114" s="38" t="str">
        <f>IFERROR(VLOOKUP(A114,data!A:G,7,FALSE),"")</f>
        <v>Electrical Equipment - อุปกรณ์ไฟฟ้า</v>
      </c>
      <c r="D114" s="38" t="str">
        <f>IFERROR(VLOOKUP(A114,data!A:D,4,FALSE),"")</f>
        <v>HC-002 VALENTE Hair Iron Korea Technology แอร์ ไอรอน โคเรีย เทคโนโลยี ขนาด 25 นิ้ว</v>
      </c>
      <c r="E114" s="46" t="s">
        <v>298</v>
      </c>
      <c r="F114" s="40"/>
      <c r="G114" s="37">
        <f>IFERROR(VLOOKUP(A114,data!A:V,22,FALSE),"")</f>
        <v>8858890798772</v>
      </c>
      <c r="H114" s="37"/>
      <c r="I114" s="37"/>
      <c r="J114" s="41">
        <f>IFERROR(VLOOKUP(A114,'dataนน'!A:F,6,FALSE),"")</f>
      </c>
      <c r="K114" s="41">
        <f>IFERROR(VLOOKUP(A114,'dataนน'!A:G,7,FALSE),"")</f>
      </c>
      <c r="L114" s="42">
        <v>650</v>
      </c>
      <c r="M114" s="43">
        <v>715</v>
      </c>
      <c r="N114" s="42">
        <v>1250</v>
      </c>
      <c r="O114" s="42">
        <v>10</v>
      </c>
      <c r="P114" s="44"/>
      <c r="Q114" s="45">
        <f>IFERROR(VLOOKUP(A114,'data-ค่าฝา'!B:G,6,FALSE),"")</f>
        <v>50</v>
      </c>
    </row>
    <row r="115" spans="1:17" x14ac:dyDescent="0.25">
      <c r="A115" s="1" t="s">
        <v>309</v>
      </c>
      <c r="B115" s="1" t="s">
        <v>297</v>
      </c>
      <c r="C115" s="38" t="str">
        <f>IFERROR(VLOOKUP(A115,data!A:G,7,FALSE),"")</f>
        <v>Electrical Equipment - อุปกรณ์ไฟฟ้า</v>
      </c>
      <c r="D115" s="38" t="str">
        <f>IFERROR(VLOOKUP(A115,data!A:D,4,FALSE),"")</f>
        <v>HC-002 VALENTE Hair Iron Korea Technology แอร์ ไอรอน โคเรีย เทคโนโลยี ขนาด 32 นิ้ว</v>
      </c>
      <c r="E115" s="46" t="s">
        <v>310</v>
      </c>
      <c r="F115" s="40"/>
      <c r="G115" s="37">
        <f>IFERROR(VLOOKUP(A115,data!A:V,22,FALSE),"")</f>
        <v>8858890798789</v>
      </c>
      <c r="H115" s="37"/>
      <c r="I115" s="37"/>
      <c r="J115" s="41">
        <f>IFERROR(VLOOKUP(A115,'dataนน'!A:F,6,FALSE),"")</f>
      </c>
      <c r="K115" s="41">
        <f>IFERROR(VLOOKUP(A115,'dataนน'!A:G,7,FALSE),"")</f>
      </c>
      <c r="L115" s="42">
        <v>650</v>
      </c>
      <c r="M115" s="43">
        <v>715</v>
      </c>
      <c r="N115" s="59">
        <v>1250</v>
      </c>
      <c r="O115" s="42">
        <v>10</v>
      </c>
      <c r="P115" s="44"/>
      <c r="Q115" s="45">
        <f>IFERROR(VLOOKUP(A115,'data-ค่าฝา'!B:G,6,FALSE),"")</f>
        <v>50</v>
      </c>
    </row>
    <row r="116" spans="1:17" x14ac:dyDescent="0.25">
      <c r="A116" s="1" t="s">
        <v>311</v>
      </c>
      <c r="B116" s="1" t="s">
        <v>297</v>
      </c>
      <c r="C116" s="38" t="str">
        <f>IFERROR(VLOOKUP(A116,data!A:G,7,FALSE),"")</f>
        <v>Electrical Equipment - อุปกรณ์ไฟฟ้า</v>
      </c>
      <c r="D116" s="38" t="str">
        <f>IFERROR(VLOOKUP(A116,data!A:D,4,FALSE),"")</f>
        <v>VALENTE เครื่องม้วนผมไฟฟ้า แปรงหวี ปรับอุณหภูมิได้ 85-210 องศา รุ่น HC-019</v>
      </c>
      <c r="E116" s="39"/>
      <c r="F116" s="40"/>
      <c r="G116" s="37">
        <f>IFERROR(VLOOKUP(A116,data!A:V,22,FALSE),"")</f>
        <v>8858890721015</v>
      </c>
      <c r="H116" s="37"/>
      <c r="I116" s="37"/>
      <c r="J116" s="41">
        <f>IFERROR(VLOOKUP(A116,'dataนน'!A:F,6,FALSE),"")</f>
        <v>0.692</v>
      </c>
      <c r="K116" s="41">
        <f>IFERROR(VLOOKUP(A116,'dataนน'!A:G,7,FALSE),"")</f>
      </c>
      <c r="L116" s="42">
        <v>500</v>
      </c>
      <c r="M116" s="43">
        <v>550</v>
      </c>
      <c r="N116" s="42">
        <v>990</v>
      </c>
      <c r="O116" s="42">
        <v>10</v>
      </c>
      <c r="P116" s="44"/>
      <c r="Q116" s="45">
        <f>IFERROR(VLOOKUP(A116,'data-ค่าฝา'!B:G,6,FALSE),"")</f>
        <v>50</v>
      </c>
    </row>
    <row r="117" spans="1:17" x14ac:dyDescent="0.25">
      <c r="A117" s="1" t="s">
        <v>312</v>
      </c>
      <c r="B117" s="1" t="s">
        <v>297</v>
      </c>
      <c r="C117" s="38" t="str">
        <f>IFERROR(VLOOKUP(A117,data!A:G,7,FALSE),"")</f>
        <v>Electrical Equipment - อุปกรณ์ไฟฟ้า</v>
      </c>
      <c r="D117" s="38" t="str">
        <f>IFERROR(VLOOKUP(A117,data!A:D,4,FALSE),"")</f>
        <v>VALENTE Absolute Hot หวีแปรงม้วนผม-อินฟาเรด HC-020</v>
      </c>
      <c r="E117" s="39"/>
      <c r="F117" s="40"/>
      <c r="G117" s="37">
        <f>IFERROR(VLOOKUP(A117,data!A:V,22,FALSE),"")</f>
        <v>8858890721022</v>
      </c>
      <c r="H117" s="37"/>
      <c r="I117" s="37"/>
      <c r="J117" s="41">
        <f>IFERROR(VLOOKUP(A117,'dataนน'!A:F,6,FALSE),"")</f>
        <v>0.497</v>
      </c>
      <c r="K117" s="41">
        <f>IFERROR(VLOOKUP(A117,'dataนน'!A:G,7,FALSE),"")</f>
      </c>
      <c r="L117" s="42">
        <v>650</v>
      </c>
      <c r="M117" s="43">
        <v>715</v>
      </c>
      <c r="N117" s="42">
        <v>990</v>
      </c>
      <c r="O117" s="42">
        <v>10</v>
      </c>
      <c r="P117" s="44"/>
      <c r="Q117" s="45">
        <f>IFERROR(VLOOKUP(A117,'data-ค่าฝา'!B:G,6,FALSE),"")</f>
        <v>50</v>
      </c>
    </row>
    <row r="118" spans="1:17" x14ac:dyDescent="0.25">
      <c r="A118" s="1" t="s">
        <v>313</v>
      </c>
      <c r="B118" s="1" t="s">
        <v>297</v>
      </c>
      <c r="C118" s="38" t="str">
        <f>IFERROR(VLOOKUP(A118,data!A:G,7,FALSE),"")</f>
        <v>Electrical Equipment - อุปกรณ์ไฟฟ้า</v>
      </c>
      <c r="D118" s="38" t="str">
        <f>IFERROR(VLOOKUP(A118,data!A:D,4,FALSE),"")</f>
        <v>VALENTE ไดร์เป่าผมไฟฟ้า 2000W รุ่น HD-003</v>
      </c>
      <c r="E118" s="46" t="s">
        <v>314</v>
      </c>
      <c r="F118" s="40"/>
      <c r="G118" s="37">
        <f>IFERROR(VLOOKUP(A118,data!A:V,22,FALSE),"")</f>
        <v>8858890721046</v>
      </c>
      <c r="H118" s="37"/>
      <c r="I118" s="37"/>
      <c r="J118" s="41">
        <f>IFERROR(VLOOKUP(A118,'dataนน'!A:F,6,FALSE),"")</f>
        <v>1.071</v>
      </c>
      <c r="K118" s="41">
        <f>IFERROR(VLOOKUP(A118,'dataนน'!A:G,7,FALSE),"")</f>
      </c>
      <c r="L118" s="42">
        <v>900</v>
      </c>
      <c r="M118" s="43">
        <v>990</v>
      </c>
      <c r="N118" s="42">
        <v>1250</v>
      </c>
      <c r="O118" s="42">
        <v>10</v>
      </c>
      <c r="P118" s="44"/>
      <c r="Q118" s="45">
        <f>IFERROR(VLOOKUP(A118,'data-ค่าฝา'!B:G,6,FALSE),"")</f>
        <v>50</v>
      </c>
    </row>
    <row r="119" spans="1:17" x14ac:dyDescent="0.25">
      <c r="A119" s="1" t="s">
        <v>315</v>
      </c>
      <c r="B119" s="1" t="s">
        <v>297</v>
      </c>
      <c r="C119" s="38" t="str">
        <f>IFERROR(VLOOKUP(A119,data!A:G,7,FALSE),"")</f>
        <v>Electrical Equipment - อุปกรณ์ไฟฟ้า</v>
      </c>
      <c r="D119" s="38" t="str">
        <f>IFERROR(VLOOKUP(A119,data!A:D,4,FALSE),"")</f>
        <v>VALENTE ไดร์เป่าผมไฟฟ้า สีดำ 1600w รุ่น HD-002</v>
      </c>
      <c r="E119" s="46" t="s">
        <v>316</v>
      </c>
      <c r="F119" s="40"/>
      <c r="G119" s="37">
        <f>IFERROR(VLOOKUP(A119,data!A:V,22,FALSE),"")</f>
        <v>8858890720827</v>
      </c>
      <c r="H119" s="37"/>
      <c r="I119" s="37"/>
      <c r="J119" s="41">
        <f>IFERROR(VLOOKUP(A119,'dataนน'!A:F,6,FALSE),"")</f>
        <v>0.947</v>
      </c>
      <c r="K119" s="41">
        <f>IFERROR(VLOOKUP(A119,'dataนน'!A:G,7,FALSE),"")</f>
      </c>
      <c r="L119" s="42">
        <v>520</v>
      </c>
      <c r="M119" s="43">
        <v>575</v>
      </c>
      <c r="N119" s="42">
        <v>750</v>
      </c>
      <c r="O119" s="42">
        <v>10</v>
      </c>
      <c r="P119" s="44"/>
      <c r="Q119" s="45">
        <f>IFERROR(VLOOKUP(A119,'data-ค่าฝา'!A:G,7,0),"")</f>
      </c>
    </row>
    <row r="120" spans="1:17" x14ac:dyDescent="0.25">
      <c r="A120" s="1" t="s">
        <v>317</v>
      </c>
      <c r="B120" s="1" t="s">
        <v>297</v>
      </c>
      <c r="C120" s="38" t="str">
        <f>IFERROR(VLOOKUP(A120,data!A:G,7,FALSE),"")</f>
        <v>Electrical Equipment - อุปกรณ์ไฟฟ้า</v>
      </c>
      <c r="D120" s="38" t="str">
        <f>IFERROR(VLOOKUP(A120,data!A:D,4,FALSE),"")</f>
        <v>VALENTE ตัวกระจายลมไดร์เป่าผม รุ่น VAL-038</v>
      </c>
      <c r="E120" s="46" t="s">
        <v>318</v>
      </c>
      <c r="F120" s="40"/>
      <c r="G120" s="37">
        <f>IFERROR(VLOOKUP(A120,data!A:V,22,FALSE),"")</f>
        <v>8858890720582</v>
      </c>
      <c r="H120" s="37"/>
      <c r="I120" s="37"/>
      <c r="J120" s="41">
        <f>IFERROR(VLOOKUP(A120,'dataนน'!A:F,6,FALSE),"")</f>
      </c>
      <c r="K120" s="41" t="str">
        <f>IFERROR(VLOOKUP(A120,'dataนน'!A:G,7,FALSE),"")</f>
        <v>ใส่กับปากไดร์ 3.5-4.5 cm</v>
      </c>
      <c r="L120" s="42">
        <v>95</v>
      </c>
      <c r="M120" s="43">
        <v>105</v>
      </c>
      <c r="N120" s="42">
        <v>125</v>
      </c>
      <c r="O120" s="42">
        <v>10</v>
      </c>
      <c r="P120" s="44"/>
      <c r="Q120" s="45">
        <f>IFERROR(VLOOKUP(A120,'data-ค่าฝา'!A:G,7,0),"")</f>
      </c>
    </row>
    <row r="121" spans="1:17" x14ac:dyDescent="0.25">
      <c r="A121" s="1" t="s">
        <v>319</v>
      </c>
      <c r="B121" s="1" t="s">
        <v>297</v>
      </c>
      <c r="C121" s="38" t="str">
        <f>IFERROR(VLOOKUP(A121,data!A:G,7,FALSE),"")</f>
        <v>Electrical Equipment - อุปกรณ์ไฟฟ้า</v>
      </c>
      <c r="D121" s="38" t="str">
        <f>IFERROR(VLOOKUP(A121,data!A:D,4,FALSE),"")</f>
        <v>ตัวกระจายลมไดร์เป่าผม (A-040)</v>
      </c>
      <c r="E121" s="46" t="s">
        <v>320</v>
      </c>
      <c r="F121" s="40"/>
      <c r="G121" s="37">
        <f>IFERROR(VLOOKUP(A121,data!A:V,22,FALSE),"")</f>
        <v>8858890720599</v>
      </c>
      <c r="H121" s="37"/>
      <c r="I121" s="37"/>
      <c r="J121" s="41">
        <f>IFERROR(VLOOKUP(A121,'dataนน'!A:F,6,FALSE),"")</f>
        <v>0.5</v>
      </c>
      <c r="K121" s="41">
        <f>IFERROR(VLOOKUP(A121,'dataนน'!A:G,7,FALSE),"")</f>
      </c>
      <c r="L121" s="42">
        <v>105</v>
      </c>
      <c r="M121" s="43">
        <v>120</v>
      </c>
      <c r="N121" s="42">
        <v>140</v>
      </c>
      <c r="O121" s="42">
        <v>10</v>
      </c>
      <c r="P121" s="44"/>
      <c r="Q121" s="45">
        <f>IFERROR(VLOOKUP(A121,'data-ค่าฝา'!A:G,7,0),"")</f>
      </c>
    </row>
    <row r="122" spans="1:30" x14ac:dyDescent="0.25">
      <c r="A122" s="49" t="s">
        <v>321</v>
      </c>
      <c r="B122" s="9" t="s">
        <v>297</v>
      </c>
      <c r="C122" s="51">
        <f>IFERROR(VLOOKUP(A122,data!A:G,7,FALSE),"")</f>
      </c>
      <c r="D122" s="9" t="s">
        <v>322</v>
      </c>
      <c r="E122" s="58" t="s">
        <v>323</v>
      </c>
      <c r="F122" s="33"/>
      <c r="G122" s="3">
        <v>8858890800697</v>
      </c>
      <c r="H122" s="3"/>
      <c r="I122" s="3"/>
      <c r="J122" s="54">
        <v>0.228</v>
      </c>
      <c r="K122" s="54" t="s">
        <v>324</v>
      </c>
      <c r="L122" s="9">
        <v>95</v>
      </c>
      <c r="M122" s="8">
        <v>105</v>
      </c>
      <c r="N122" s="9">
        <v>125</v>
      </c>
      <c r="O122" s="9">
        <v>10</v>
      </c>
      <c r="P122" s="53"/>
      <c r="Q122" s="56">
        <f>IFERROR(VLOOKUP(A122,'data-ค่าฝา'!A:G,7,0),"")</f>
      </c>
      <c r="R122" s="8"/>
      <c r="S122" s="8"/>
      <c r="T122" s="8"/>
      <c r="U122" s="8"/>
      <c r="V122" s="8"/>
      <c r="W122" s="8"/>
      <c r="X122" s="8"/>
      <c r="Y122" s="8"/>
      <c r="Z122" s="8"/>
      <c r="AA122" s="8"/>
      <c r="AB122" s="8"/>
      <c r="AC122" s="8"/>
      <c r="AD122" s="8"/>
    </row>
    <row r="123" spans="1:17" x14ac:dyDescent="0.25">
      <c r="A123" s="1" t="s">
        <v>325</v>
      </c>
      <c r="B123" s="1" t="s">
        <v>297</v>
      </c>
      <c r="C123" s="38">
        <f>IFERROR(VLOOKUP(A123,data!A:G,7,FALSE),"")</f>
      </c>
      <c r="D123" s="38">
        <f>IFERROR(VLOOKUP(A123,data!A:D,4,FALSE),"")</f>
      </c>
      <c r="E123" s="39"/>
      <c r="F123" s="40"/>
      <c r="G123" s="37">
        <f>IFERROR(VLOOKUP(A123,data!A:V,22,FALSE),"")</f>
      </c>
      <c r="H123" s="37"/>
      <c r="I123" s="37"/>
      <c r="J123" s="41">
        <f>IFERROR(VLOOKUP(A123,'dataนน'!A:F,6,FALSE),"")</f>
      </c>
      <c r="K123" s="41">
        <f>IFERROR(VLOOKUP(A123,'dataนน'!A:G,7,FALSE),"")</f>
      </c>
      <c r="L123" s="42">
        <v>400</v>
      </c>
      <c r="M123" s="43">
        <v>440</v>
      </c>
      <c r="N123" s="42">
        <v>499</v>
      </c>
      <c r="O123" s="42">
        <v>10</v>
      </c>
      <c r="P123" s="35">
        <v>65</v>
      </c>
      <c r="Q123" s="45">
        <f>IFERROR(VLOOKUP(A123,'data-ค่าฝา'!A:G,7,0),"")</f>
      </c>
    </row>
    <row r="124" spans="1:17" x14ac:dyDescent="0.25">
      <c r="A124" s="1" t="s">
        <v>326</v>
      </c>
      <c r="B124" s="1" t="s">
        <v>297</v>
      </c>
      <c r="C124" s="38">
        <f>IFERROR(VLOOKUP(A124,data!A:G,7,FALSE),"")</f>
      </c>
      <c r="D124" s="38">
        <f>IFERROR(VLOOKUP(A124,data!A:D,4,FALSE),"")</f>
      </c>
      <c r="E124" s="39"/>
      <c r="F124" s="40"/>
      <c r="G124" s="37">
        <f>IFERROR(VLOOKUP(A124,data!A:V,22,FALSE),"")</f>
      </c>
      <c r="H124" s="37"/>
      <c r="I124" s="37"/>
      <c r="J124" s="41">
        <f>IFERROR(VLOOKUP(A124,'dataนน'!A:F,6,FALSE),"")</f>
      </c>
      <c r="K124" s="41">
        <f>IFERROR(VLOOKUP(A124,'dataนน'!A:G,7,FALSE),"")</f>
      </c>
      <c r="L124" s="42">
        <v>400</v>
      </c>
      <c r="M124" s="43">
        <v>440</v>
      </c>
      <c r="N124" s="42">
        <v>499</v>
      </c>
      <c r="O124" s="42">
        <v>10</v>
      </c>
      <c r="P124" s="35">
        <v>65</v>
      </c>
      <c r="Q124" s="45">
        <f>IFERROR(VLOOKUP(A124,'data-ค่าฝา'!A:G,7,0),"")</f>
      </c>
    </row>
    <row r="125" spans="1:17" x14ac:dyDescent="0.25">
      <c r="A125" s="1" t="s">
        <v>327</v>
      </c>
      <c r="B125" s="1" t="s">
        <v>297</v>
      </c>
      <c r="C125" s="38">
        <f>IFERROR(VLOOKUP(A125,data!A:G,7,FALSE),"")</f>
      </c>
      <c r="D125" s="38">
        <f>IFERROR(VLOOKUP(A125,data!A:D,4,FALSE),"")</f>
      </c>
      <c r="E125" s="39"/>
      <c r="F125" s="40"/>
      <c r="G125" s="37">
        <f>IFERROR(VLOOKUP(A125,data!A:V,22,FALSE),"")</f>
      </c>
      <c r="H125" s="37"/>
      <c r="I125" s="37"/>
      <c r="J125" s="41">
        <f>IFERROR(VLOOKUP(A125,'dataนน'!A:F,6,FALSE),"")</f>
      </c>
      <c r="K125" s="41">
        <f>IFERROR(VLOOKUP(A125,'dataนน'!A:G,7,FALSE),"")</f>
      </c>
      <c r="L125" s="42">
        <v>400</v>
      </c>
      <c r="M125" s="43">
        <v>440</v>
      </c>
      <c r="N125" s="42">
        <v>499</v>
      </c>
      <c r="O125" s="42">
        <v>10</v>
      </c>
      <c r="P125" s="35">
        <v>65</v>
      </c>
      <c r="Q125" s="45">
        <f>IFERROR(VLOOKUP(A125,'data-ค่าฝา'!A:G,7,0),"")</f>
      </c>
    </row>
    <row r="126" spans="1:17" x14ac:dyDescent="0.25">
      <c r="A126" s="1" t="s">
        <v>328</v>
      </c>
      <c r="B126" s="1" t="s">
        <v>297</v>
      </c>
      <c r="C126" s="38">
        <f>IFERROR(VLOOKUP(A126,data!A:G,7,FALSE),"")</f>
      </c>
      <c r="D126" s="38">
        <f>IFERROR(VLOOKUP(A126,data!A:D,4,FALSE),"")</f>
      </c>
      <c r="E126" s="39"/>
      <c r="F126" s="40"/>
      <c r="G126" s="37">
        <f>IFERROR(VLOOKUP(A126,data!A:V,22,FALSE),"")</f>
      </c>
      <c r="H126" s="37"/>
      <c r="I126" s="37"/>
      <c r="J126" s="41">
        <f>IFERROR(VLOOKUP(A126,'dataนน'!A:F,6,FALSE),"")</f>
      </c>
      <c r="K126" s="41">
        <f>IFERROR(VLOOKUP(A126,'dataนน'!A:G,7,FALSE),"")</f>
      </c>
      <c r="L126" s="42">
        <v>330</v>
      </c>
      <c r="M126" s="43">
        <v>365</v>
      </c>
      <c r="N126" s="42">
        <v>400</v>
      </c>
      <c r="O126" s="42">
        <v>10</v>
      </c>
      <c r="P126" s="35">
        <v>65</v>
      </c>
      <c r="Q126" s="45">
        <f>IFERROR(VLOOKUP(A126,'data-ค่าฝา'!A:G,7,0),"")</f>
      </c>
    </row>
    <row r="127" spans="1:17" x14ac:dyDescent="0.25">
      <c r="A127" s="1" t="s">
        <v>329</v>
      </c>
      <c r="B127" s="1" t="s">
        <v>297</v>
      </c>
      <c r="C127" s="38" t="str">
        <f>IFERROR(VLOOKUP(A127,data!A:G,7,FALSE),"")</f>
        <v>Electrical Equipment - อุปกรณ์ไฟฟ้า</v>
      </c>
      <c r="D127" s="38" t="str">
        <f>IFERROR(VLOOKUP(A127,data!A:D,4,FALSE),"")</f>
        <v>VALENTE Rechargeable Hair Clipper HT-002</v>
      </c>
      <c r="E127" s="46" t="s">
        <v>244</v>
      </c>
      <c r="F127" s="40"/>
      <c r="G127" s="37">
        <f>IFERROR(VLOOKUP(A127,data!A:V,22,FALSE),"")</f>
        <v>8858890798819</v>
      </c>
      <c r="H127" s="37"/>
      <c r="I127" s="37"/>
      <c r="J127" s="41">
        <f>IFERROR(VLOOKUP(A127,'dataนน'!A:F,6,FALSE),"")</f>
      </c>
      <c r="K127" s="41">
        <f>IFERROR(VLOOKUP(A127,'dataนน'!A:G,7,FALSE),"")</f>
      </c>
      <c r="L127" s="42">
        <v>600</v>
      </c>
      <c r="M127" s="43">
        <v>660</v>
      </c>
      <c r="N127" s="42">
        <v>750</v>
      </c>
      <c r="O127" s="42">
        <v>10</v>
      </c>
      <c r="P127" s="35">
        <v>80</v>
      </c>
      <c r="Q127" s="45">
        <f>IFERROR(VLOOKUP(A127,'data-ค่าฝา'!A:G,7,0),"")</f>
      </c>
    </row>
    <row r="128" spans="1:17" x14ac:dyDescent="0.25">
      <c r="A128" s="1" t="s">
        <v>330</v>
      </c>
      <c r="B128" s="1" t="s">
        <v>297</v>
      </c>
      <c r="C128" s="38" t="str">
        <f>IFERROR(VLOOKUP(A128,data!A:G,7,FALSE),"")</f>
        <v>Electrical Equipment - อุปกรณ์ไฟฟ้า</v>
      </c>
      <c r="D128" s="38" t="str">
        <f>IFERROR(VLOOKUP(A128,data!A:D,4,FALSE),"")</f>
        <v>ไฟหมุนสีดำ ขนาด 65 cm 2.1 kg รหัสสินค้า PKY-2233</v>
      </c>
      <c r="E128" s="39"/>
      <c r="F128" s="40"/>
      <c r="G128" s="37">
        <f>IFERROR(VLOOKUP(A128,data!A:V,22,FALSE),"")</f>
        <v>8858890798192</v>
      </c>
      <c r="H128" s="37"/>
      <c r="I128" s="37"/>
      <c r="J128" s="41">
        <f>IFERROR(VLOOKUP(A128,'dataนน'!A:F,6,FALSE),"")</f>
      </c>
      <c r="K128" s="41">
        <f>IFERROR(VLOOKUP(A128,'dataนน'!A:G,7,FALSE),"")</f>
      </c>
      <c r="L128" s="42">
        <v>1450</v>
      </c>
      <c r="M128" s="43">
        <v>1595</v>
      </c>
      <c r="N128" s="42">
        <v>1800</v>
      </c>
      <c r="O128" s="42">
        <v>10</v>
      </c>
      <c r="P128" s="44"/>
      <c r="Q128" s="45">
        <f>IFERROR(VLOOKUP(A128,'data-ค่าฝา'!A:G,7,0),"")</f>
      </c>
    </row>
    <row r="129" spans="1:17" x14ac:dyDescent="0.25">
      <c r="A129" s="1" t="s">
        <v>331</v>
      </c>
      <c r="B129" s="1" t="s">
        <v>297</v>
      </c>
      <c r="C129" s="38" t="str">
        <f>IFERROR(VLOOKUP(A129,data!A:G,7,FALSE),"")</f>
        <v>Electrical Equipment - อุปกรณ์ไฟฟ้า</v>
      </c>
      <c r="D129" s="38" t="str">
        <f>IFERROR(VLOOKUP(A129,data!A:D,4,FALSE),"")</f>
        <v>ไฟหมุนสีดำ ขนาด 88 cm 2.5 kg รหัสสินค้า PKY-2235</v>
      </c>
      <c r="E129" s="39"/>
      <c r="F129" s="40"/>
      <c r="G129" s="37">
        <f>IFERROR(VLOOKUP(A129,data!A:V,22,FALSE),"")</f>
        <v>8858890798178</v>
      </c>
      <c r="H129" s="37"/>
      <c r="I129" s="37"/>
      <c r="J129" s="41">
        <f>IFERROR(VLOOKUP(A129,'dataนน'!A:F,6,FALSE),"")</f>
      </c>
      <c r="K129" s="41">
        <f>IFERROR(VLOOKUP(A129,'dataนน'!A:G,7,FALSE),"")</f>
      </c>
      <c r="L129" s="42">
        <v>1800</v>
      </c>
      <c r="M129" s="43">
        <v>1980</v>
      </c>
      <c r="N129" s="42">
        <v>2400</v>
      </c>
      <c r="O129" s="42">
        <v>10</v>
      </c>
      <c r="P129" s="44"/>
      <c r="Q129" s="45">
        <f>IFERROR(VLOOKUP(A129,'data-ค่าฝา'!A:G,7,0),"")</f>
      </c>
    </row>
    <row r="130" spans="1:17" x14ac:dyDescent="0.25">
      <c r="A130" s="1" t="s">
        <v>332</v>
      </c>
      <c r="B130" s="1" t="s">
        <v>297</v>
      </c>
      <c r="C130" s="38">
        <f>IFERROR(VLOOKUP(A130,data!A:G,7,FALSE),"")</f>
      </c>
      <c r="D130" s="38">
        <f>IFERROR(VLOOKUP(A130,data!A:D,4,FALSE),"")</f>
      </c>
      <c r="E130" s="39"/>
      <c r="F130" s="40"/>
      <c r="G130" s="37">
        <f>IFERROR(VLOOKUP(A130,data!A:V,22,FALSE),"")</f>
      </c>
      <c r="H130" s="37"/>
      <c r="I130" s="37"/>
      <c r="J130" s="41">
        <f>IFERROR(VLOOKUP(A130,'dataนน'!A:F,6,FALSE),"")</f>
      </c>
      <c r="K130" s="41">
        <f>IFERROR(VLOOKUP(A130,'dataนน'!A:G,7,FALSE),"")</f>
      </c>
      <c r="L130" s="42">
        <v>2350</v>
      </c>
      <c r="M130" s="43">
        <v>2585</v>
      </c>
      <c r="N130" s="42">
        <v>2800</v>
      </c>
      <c r="O130" s="42">
        <v>10</v>
      </c>
      <c r="P130" s="44"/>
      <c r="Q130" s="45">
        <f>IFERROR(VLOOKUP(A130,'data-ค่าฝา'!A:G,7,0),"")</f>
      </c>
    </row>
    <row r="131" spans="1:17" x14ac:dyDescent="0.25">
      <c r="A131" s="1" t="s">
        <v>333</v>
      </c>
      <c r="B131" s="1" t="s">
        <v>297</v>
      </c>
      <c r="C131" s="38" t="str">
        <f>IFERROR(VLOOKUP(A131,data!A:G,7,FALSE),"")</f>
        <v>Other Equipment - อุปกรณ์อื่นๆ</v>
      </c>
      <c r="D131" s="38" t="str">
        <f>IFERROR(VLOOKUP(A131,data!A:D,4,FALSE),"")</f>
        <v>เครื่องโอโซน</v>
      </c>
      <c r="E131" s="39"/>
      <c r="F131" s="40"/>
      <c r="G131" s="37">
        <f>IFERROR(VLOOKUP(A131,data!A:V,22,FALSE),"")</f>
      </c>
      <c r="H131" s="37"/>
      <c r="I131" s="37"/>
      <c r="J131" s="41"/>
      <c r="K131" s="41"/>
      <c r="L131" s="42">
        <v>2500</v>
      </c>
      <c r="M131" s="43">
        <v>2750</v>
      </c>
      <c r="N131" s="43" t="str">
        <f t="shared" ref="N131:N132" si="2">MROUND((D131*20%)+D131,5)</f>
        <v>#VALUE!</v>
      </c>
      <c r="O131" s="42">
        <v>10</v>
      </c>
      <c r="P131" s="44"/>
      <c r="Q131" s="45">
        <f>IFERROR(VLOOKUP(A131,'data-ค่าฝา'!A:G,7,0),"")</f>
      </c>
    </row>
    <row r="132" spans="1:17" x14ac:dyDescent="0.25">
      <c r="A132" s="1" t="s">
        <v>334</v>
      </c>
      <c r="B132" s="1" t="s">
        <v>297</v>
      </c>
      <c r="C132" s="38">
        <f>IFERROR(VLOOKUP(A132,data!A:G,7,FALSE),"")</f>
      </c>
      <c r="D132" s="38">
        <f>IFERROR(VLOOKUP(A132,data!A:D,4,FALSE),"")</f>
      </c>
      <c r="E132" s="39"/>
      <c r="F132" s="40"/>
      <c r="G132" s="37">
        <f>IFERROR(VLOOKUP(A132,data!A:V,22,FALSE),"")</f>
      </c>
      <c r="H132" s="37"/>
      <c r="I132" s="37"/>
      <c r="J132" s="41"/>
      <c r="K132" s="41"/>
      <c r="L132" s="42">
        <v>15000</v>
      </c>
      <c r="M132" s="43">
        <v>16500</v>
      </c>
      <c r="N132" s="43">
        <f t="shared" si="2"/>
        <v>0</v>
      </c>
      <c r="O132" s="42">
        <v>10</v>
      </c>
      <c r="P132" s="44"/>
      <c r="Q132" s="45">
        <f>IFERROR(VLOOKUP(A132,'data-ค่าฝา'!A:G,7,0),"")</f>
      </c>
    </row>
    <row r="133" spans="1:17" x14ac:dyDescent="0.25">
      <c r="A133" s="1" t="s">
        <v>335</v>
      </c>
      <c r="B133" s="1" t="s">
        <v>297</v>
      </c>
      <c r="C133" s="38" t="str">
        <f>IFERROR(VLOOKUP(A133,data!A:G,7,FALSE),"")</f>
        <v>Other Equipment - อุปกรณ์อื่นๆ</v>
      </c>
      <c r="D133" s="38" t="str">
        <f>IFERROR(VLOOKUP(A133,data!A:D,4,FALSE),"")</f>
        <v>กระเป๋าอุปกรณ์ช่าง</v>
      </c>
      <c r="E133" s="39"/>
      <c r="F133" s="40"/>
      <c r="G133" s="37">
        <f>IFERROR(VLOOKUP(A133,data!A:V,22,FALSE),"")</f>
        <v>8858890800482</v>
      </c>
      <c r="H133" s="37"/>
      <c r="I133" s="37"/>
      <c r="J133" s="41"/>
      <c r="K133" s="41"/>
      <c r="L133" s="42">
        <v>1250</v>
      </c>
      <c r="M133" s="43">
        <v>1375</v>
      </c>
      <c r="N133" s="42">
        <v>1450</v>
      </c>
      <c r="O133" s="42">
        <v>10</v>
      </c>
      <c r="P133" s="44"/>
      <c r="Q133" s="45">
        <f>IFERROR(VLOOKUP(A133,'data-ค่าฝา'!A:G,7,0),"")</f>
      </c>
    </row>
    <row r="134" spans="1:17" x14ac:dyDescent="0.25">
      <c r="A134" s="1" t="s">
        <v>336</v>
      </c>
      <c r="B134" s="1" t="s">
        <v>297</v>
      </c>
      <c r="C134" s="38" t="str">
        <f>IFERROR(VLOOKUP(A134,data!A:G,7,FALSE),"")</f>
        <v>Hair Scissors - กรรไกรตัดซอย</v>
      </c>
      <c r="D134" s="38" t="str">
        <f>IFERROR(VLOOKUP(A134,data!A:D,4,FALSE),"")</f>
        <v>กระเป๋าใส่กรรไกร รุ่น HL-910/A</v>
      </c>
      <c r="E134" s="39"/>
      <c r="F134" s="40"/>
      <c r="G134" s="37">
        <f>IFERROR(VLOOKUP(A134,data!A:V,22,FALSE),"")</f>
        <v>8858890793760</v>
      </c>
      <c r="H134" s="37"/>
      <c r="I134" s="37"/>
      <c r="J134" s="41"/>
      <c r="K134" s="41"/>
      <c r="L134" s="42">
        <v>200</v>
      </c>
      <c r="M134" s="43">
        <v>220</v>
      </c>
      <c r="N134" s="42">
        <v>350</v>
      </c>
      <c r="O134" s="42">
        <v>10</v>
      </c>
      <c r="P134" s="44"/>
      <c r="Q134" s="45">
        <f>IFERROR(VLOOKUP(A134,'data-ค่าฝา'!A:G,7,0),"")</f>
      </c>
    </row>
    <row r="135" spans="1:17" x14ac:dyDescent="0.25">
      <c r="A135" s="1" t="s">
        <v>337</v>
      </c>
      <c r="B135" s="1" t="s">
        <v>297</v>
      </c>
      <c r="C135" s="38" t="str">
        <f>IFERROR(VLOOKUP(A135,data!A:G,7,FALSE),"")</f>
        <v>Hair Scissors - กรรไกรตัดซอย</v>
      </c>
      <c r="D135" s="38" t="str">
        <f>IFERROR(VLOOKUP(A135,data!A:D,4,FALSE),"")</f>
        <v>กระเป๋าใส่กรรไกร วาเลนเต้ คาดเอว ปรับสายได้ HL-922/A</v>
      </c>
      <c r="E135" s="39"/>
      <c r="F135" s="40"/>
      <c r="G135" s="37">
        <f>IFERROR(VLOOKUP(A135,data!A:V,22,FALSE),"")</f>
        <v>8858890794545</v>
      </c>
      <c r="H135" s="37"/>
      <c r="I135" s="37"/>
      <c r="J135" s="41"/>
      <c r="K135" s="41"/>
      <c r="L135" s="42">
        <v>250</v>
      </c>
      <c r="M135" s="43">
        <v>275</v>
      </c>
      <c r="N135" s="42">
        <v>370</v>
      </c>
      <c r="O135" s="42">
        <v>10</v>
      </c>
      <c r="P135" s="44"/>
      <c r="Q135" s="45">
        <f>IFERROR(VLOOKUP(A135,'data-ค่าฝา'!A:G,7,0),"")</f>
      </c>
    </row>
    <row r="136" spans="1:17" x14ac:dyDescent="0.25">
      <c r="A136" s="1" t="s">
        <v>338</v>
      </c>
      <c r="B136" s="1" t="s">
        <v>297</v>
      </c>
      <c r="C136" s="38" t="str">
        <f>IFERROR(VLOOKUP(A136,data!A:G,7,FALSE),"")</f>
        <v>Hair Scissors - กรรไกรตัดซอย</v>
      </c>
      <c r="D136" s="38" t="str">
        <f>IFERROR(VLOOKUP(A136,data!A:D,4,FALSE),"")</f>
        <v>VALENTE กรรไกรวาเลนเต้ รุ่น VAL-5/B</v>
      </c>
      <c r="E136" s="46" t="s">
        <v>339</v>
      </c>
      <c r="F136" s="40"/>
      <c r="G136" s="37">
        <f>IFERROR(VLOOKUP(A136,data!A:V,22,FALSE),"")</f>
        <v>8858890760557</v>
      </c>
      <c r="H136" s="37"/>
      <c r="I136" s="37"/>
      <c r="J136" s="41"/>
      <c r="K136" s="41"/>
      <c r="L136" s="42">
        <v>600</v>
      </c>
      <c r="M136" s="43">
        <v>660</v>
      </c>
      <c r="N136" s="42">
        <v>900</v>
      </c>
      <c r="O136" s="42">
        <v>10</v>
      </c>
      <c r="P136" s="44"/>
      <c r="Q136" s="45">
        <f>IFERROR(VLOOKUP(A136,'data-ค่าฝา'!A:G,7,0),"")</f>
      </c>
    </row>
    <row r="137" spans="1:17" x14ac:dyDescent="0.25">
      <c r="A137" s="1" t="s">
        <v>340</v>
      </c>
      <c r="B137" s="1" t="s">
        <v>297</v>
      </c>
      <c r="C137" s="38" t="str">
        <f>IFERROR(VLOOKUP(A137,data!A:G,7,FALSE),"")</f>
        <v>Hair Scissors - กรรไกรตัดซอย</v>
      </c>
      <c r="D137" s="38" t="str">
        <f>IFERROR(VLOOKUP(A137,data!A:D,4,FALSE),"")</f>
        <v>วาเลนเต้ ชุดกรรไกรโค้ง ทรงพิเศษ ขนาด 6" 0.432g. รหัสสินค้า VAL-9/A</v>
      </c>
      <c r="E137" s="46" t="s">
        <v>248</v>
      </c>
      <c r="F137" s="40"/>
      <c r="G137" s="37">
        <f>IFERROR(VLOOKUP(A137,data!A:V,22,FALSE),"")</f>
        <v>8858890760014</v>
      </c>
      <c r="H137" s="37"/>
      <c r="I137" s="37"/>
      <c r="J137" s="41"/>
      <c r="K137" s="41"/>
      <c r="L137" s="42">
        <v>1200</v>
      </c>
      <c r="M137" s="43">
        <v>1320</v>
      </c>
      <c r="N137" s="42">
        <v>2500</v>
      </c>
      <c r="O137" s="42">
        <v>10</v>
      </c>
      <c r="P137" s="44"/>
      <c r="Q137" s="45">
        <f>IFERROR(VLOOKUP(A137,'data-ค่าฝา'!A:G,7,0),"")</f>
      </c>
    </row>
    <row r="138" spans="1:17" x14ac:dyDescent="0.25">
      <c r="A138" s="1" t="s">
        <v>341</v>
      </c>
      <c r="B138" s="1" t="s">
        <v>297</v>
      </c>
      <c r="C138" s="38" t="str">
        <f>IFERROR(VLOOKUP(A138,data!A:G,7,FALSE),"")</f>
        <v>Hair Scissors - กรรไกรตัดซอย</v>
      </c>
      <c r="D138" s="38" t="str">
        <f>IFERROR(VLOOKUP(A138,data!A:D,4,FALSE),"")</f>
        <v>VALENTE วาเลนเต้ กรรไกรตัด-ซอย 6" รุ่น JH-802</v>
      </c>
      <c r="E138" s="46" t="s">
        <v>248</v>
      </c>
      <c r="F138" s="40"/>
      <c r="G138" s="37">
        <f>IFERROR(VLOOKUP(A138,data!A:V,22,FALSE),"")</f>
        <v>8858890760991</v>
      </c>
      <c r="H138" s="37"/>
      <c r="I138" s="37"/>
      <c r="J138" s="41"/>
      <c r="K138" s="41"/>
      <c r="L138" s="42">
        <v>528</v>
      </c>
      <c r="M138" s="43">
        <v>585</v>
      </c>
      <c r="N138" s="42">
        <v>650</v>
      </c>
      <c r="O138" s="42">
        <v>10</v>
      </c>
      <c r="P138" s="44"/>
      <c r="Q138" s="45">
        <f>IFERROR(VLOOKUP(A138,'data-ค่าฝา'!A:G,7,0),"")</f>
      </c>
    </row>
    <row r="139" spans="1:17" x14ac:dyDescent="0.25">
      <c r="A139" s="1" t="s">
        <v>342</v>
      </c>
      <c r="B139" s="1" t="s">
        <v>297</v>
      </c>
      <c r="C139" s="38" t="str">
        <f>IFERROR(VLOOKUP(A139,data!A:G,7,FALSE),"")</f>
        <v>Hair Scissors - กรรไกรตัดซอย</v>
      </c>
      <c r="D139" s="38" t="str">
        <f>IFERROR(VLOOKUP(A139,data!A:D,4,FALSE),"")</f>
        <v>VALENTE SCISSORS กรรไกรตัดผม ด้ามทอง 6.5</v>
      </c>
      <c r="E139" s="46" t="s">
        <v>246</v>
      </c>
      <c r="F139" s="40"/>
      <c r="G139" s="37">
        <f>IFERROR(VLOOKUP(A139,data!A:V,22,FALSE),"")</f>
        <v>8858890760267</v>
      </c>
      <c r="H139" s="37"/>
      <c r="I139" s="37"/>
      <c r="J139" s="41"/>
      <c r="K139" s="41"/>
      <c r="L139" s="42">
        <v>290</v>
      </c>
      <c r="M139" s="43">
        <v>320</v>
      </c>
      <c r="N139" s="42">
        <v>450</v>
      </c>
      <c r="O139" s="42">
        <v>10</v>
      </c>
      <c r="P139" s="44"/>
      <c r="Q139" s="45">
        <f>IFERROR(VLOOKUP(A139,'data-ค่าฝา'!A:G,7,0),"")</f>
      </c>
    </row>
    <row r="140" spans="1:17" x14ac:dyDescent="0.25">
      <c r="A140" s="1" t="s">
        <v>343</v>
      </c>
      <c r="B140" s="1" t="s">
        <v>297</v>
      </c>
      <c r="C140" s="38" t="str">
        <f>IFERROR(VLOOKUP(A140,data!A:G,7,FALSE),"")</f>
        <v>Hair Scissors - กรรไกรตัดซอย</v>
      </c>
      <c r="D140" s="38" t="str">
        <f>IFERROR(VLOOKUP(A140,data!A:D,4,FALSE),"")</f>
        <v>VALENTE SCISSORS กรรไกรซอยผม ด้ามทอง 6</v>
      </c>
      <c r="E140" s="46" t="s">
        <v>248</v>
      </c>
      <c r="F140" s="40"/>
      <c r="G140" s="37">
        <f>IFERROR(VLOOKUP(A140,data!A:V,22,FALSE),"")</f>
        <v>8858890760250</v>
      </c>
      <c r="H140" s="37"/>
      <c r="I140" s="37"/>
      <c r="J140" s="41"/>
      <c r="K140" s="41"/>
      <c r="L140" s="42">
        <v>305</v>
      </c>
      <c r="M140" s="43">
        <v>340</v>
      </c>
      <c r="N140" s="42">
        <v>450</v>
      </c>
      <c r="O140" s="42">
        <v>10</v>
      </c>
      <c r="P140" s="44"/>
      <c r="Q140" s="45">
        <f>IFERROR(VLOOKUP(A140,'data-ค่าฝา'!A:G,7,0),"")</f>
      </c>
    </row>
    <row r="141" spans="1:17" x14ac:dyDescent="0.25">
      <c r="A141" s="1" t="s">
        <v>344</v>
      </c>
      <c r="B141" s="1" t="s">
        <v>297</v>
      </c>
      <c r="C141" s="38" t="str">
        <f>IFERROR(VLOOKUP(A141,data!A:G,7,FALSE),"")</f>
        <v>Hair Scissors - กรรไกรตัดซอย</v>
      </c>
      <c r="D141" s="38" t="str">
        <f>IFERROR(VLOOKUP(A141,data!A:D,4,FALSE),"")</f>
        <v>กรรไกรตัด 6 นิ้ว</v>
      </c>
      <c r="E141" s="46" t="s">
        <v>248</v>
      </c>
      <c r="F141" s="40"/>
      <c r="G141" s="37">
        <f>IFERROR(VLOOKUP(A141,data!A:V,22,FALSE),"")</f>
        <v>8858890800215</v>
      </c>
      <c r="H141" s="37"/>
      <c r="I141" s="37"/>
      <c r="J141" s="41"/>
      <c r="K141" s="41"/>
      <c r="L141" s="42">
        <v>350</v>
      </c>
      <c r="M141" s="43">
        <v>385</v>
      </c>
      <c r="N141" s="42">
        <v>490</v>
      </c>
      <c r="O141" s="42">
        <v>10</v>
      </c>
      <c r="P141" s="44"/>
      <c r="Q141" s="45">
        <f>IFERROR(VLOOKUP(A141,'data-ค่าฝา'!A:G,7,0),"")</f>
      </c>
    </row>
    <row r="142" spans="1:17" x14ac:dyDescent="0.25">
      <c r="A142" s="1" t="s">
        <v>345</v>
      </c>
      <c r="B142" s="1" t="s">
        <v>297</v>
      </c>
      <c r="C142" s="38" t="str">
        <f>IFERROR(VLOOKUP(A142,data!A:G,7,FALSE),"")</f>
        <v>Hair Scissors - กรรไกรตัดซอย</v>
      </c>
      <c r="D142" s="38" t="str">
        <f>IFERROR(VLOOKUP(A142,data!A:D,4,FALSE),"")</f>
        <v>กรรไกรฟันปลา 6 นิ้ว</v>
      </c>
      <c r="E142" s="46" t="s">
        <v>248</v>
      </c>
      <c r="F142" s="40"/>
      <c r="G142" s="37">
        <f>IFERROR(VLOOKUP(A142,data!A:V,22,FALSE),"")</f>
        <v>8858890800208</v>
      </c>
      <c r="H142" s="37"/>
      <c r="I142" s="37"/>
      <c r="J142" s="41"/>
      <c r="K142" s="41"/>
      <c r="L142" s="42">
        <v>360</v>
      </c>
      <c r="M142" s="43">
        <v>400</v>
      </c>
      <c r="N142" s="42">
        <v>490</v>
      </c>
      <c r="O142" s="42">
        <v>10</v>
      </c>
      <c r="P142" s="44"/>
      <c r="Q142" s="45">
        <f>IFERROR(VLOOKUP(A142,'data-ค่าฝา'!A:G,7,0),"")</f>
      </c>
    </row>
    <row r="143" spans="1:17" x14ac:dyDescent="0.25">
      <c r="A143" s="1" t="s">
        <v>346</v>
      </c>
      <c r="B143" s="1" t="s">
        <v>297</v>
      </c>
      <c r="C143" s="38" t="str">
        <f>IFERROR(VLOOKUP(A143,data!A:G,7,FALSE),"")</f>
        <v>Hair Scissors - กรรไกรตัดซอย</v>
      </c>
      <c r="D143" s="38" t="str">
        <f>IFERROR(VLOOKUP(A143,data!A:D,4,FALSE),"")</f>
        <v>กรรไกรตัด 6 นิ้ว</v>
      </c>
      <c r="E143" s="46" t="s">
        <v>248</v>
      </c>
      <c r="F143" s="40"/>
      <c r="G143" s="37">
        <f>IFERROR(VLOOKUP(A143,data!A:V,22,FALSE),"")</f>
        <v>8858890800260</v>
      </c>
      <c r="H143" s="37"/>
      <c r="I143" s="37"/>
      <c r="J143" s="41"/>
      <c r="K143" s="41"/>
      <c r="L143" s="42">
        <v>750</v>
      </c>
      <c r="M143" s="43">
        <v>825</v>
      </c>
      <c r="N143" s="42">
        <v>900</v>
      </c>
      <c r="O143" s="42">
        <v>10</v>
      </c>
      <c r="P143" s="44"/>
      <c r="Q143" s="45">
        <f>IFERROR(VLOOKUP(A143,'data-ค่าฝา'!A:G,7,0),"")</f>
      </c>
    </row>
    <row r="144" spans="1:17" x14ac:dyDescent="0.25">
      <c r="A144" s="1" t="s">
        <v>347</v>
      </c>
      <c r="B144" s="1" t="s">
        <v>297</v>
      </c>
      <c r="C144" s="38" t="str">
        <f>IFERROR(VLOOKUP(A144,data!A:G,7,FALSE),"")</f>
        <v>Hair Scissors - กรรไกรตัดซอย</v>
      </c>
      <c r="D144" s="38" t="str">
        <f>IFERROR(VLOOKUP(A144,data!A:D,4,FALSE),"")</f>
        <v>Reverse กรรไกรฟันปลา 6 นิ้ว</v>
      </c>
      <c r="E144" s="46" t="s">
        <v>248</v>
      </c>
      <c r="F144" s="40"/>
      <c r="G144" s="37">
        <f>IFERROR(VLOOKUP(A144,data!A:V,22,FALSE),"")</f>
        <v>8858890800338</v>
      </c>
      <c r="H144" s="37"/>
      <c r="I144" s="37"/>
      <c r="J144" s="41"/>
      <c r="K144" s="41"/>
      <c r="L144" s="42">
        <v>750</v>
      </c>
      <c r="M144" s="43">
        <v>825</v>
      </c>
      <c r="N144" s="42">
        <v>900</v>
      </c>
      <c r="O144" s="42">
        <v>10</v>
      </c>
      <c r="P144" s="44"/>
      <c r="Q144" s="45">
        <f>IFERROR(VLOOKUP(A144,'data-ค่าฝา'!A:G,7,0),"")</f>
      </c>
    </row>
    <row r="145" spans="1:17" x14ac:dyDescent="0.25">
      <c r="A145" s="1" t="s">
        <v>348</v>
      </c>
      <c r="B145" s="1" t="s">
        <v>297</v>
      </c>
      <c r="C145" s="38" t="str">
        <f>IFERROR(VLOOKUP(A145,data!A:G,7,FALSE),"")</f>
        <v>Hair Scissors - กรรไกรตัดซอย</v>
      </c>
      <c r="D145" s="38" t="str">
        <f>IFERROR(VLOOKUP(A145,data!A:D,4,FALSE),"")</f>
        <v>กรรไกรตัด 6 นิ้ว</v>
      </c>
      <c r="E145" s="46" t="s">
        <v>248</v>
      </c>
      <c r="F145" s="40"/>
      <c r="G145" s="37">
        <f>IFERROR(VLOOKUP(A145,data!A:V,22,FALSE),"")</f>
        <v>8858890800277</v>
      </c>
      <c r="H145" s="37"/>
      <c r="I145" s="37"/>
      <c r="J145" s="41"/>
      <c r="K145" s="41"/>
      <c r="L145" s="42">
        <v>1850</v>
      </c>
      <c r="M145" s="43">
        <v>2035</v>
      </c>
      <c r="N145" s="42">
        <v>2100</v>
      </c>
      <c r="O145" s="42">
        <v>10</v>
      </c>
      <c r="P145" s="44"/>
      <c r="Q145" s="45">
        <f>IFERROR(VLOOKUP(A145,'data-ค่าฝา'!A:G,7,0),"")</f>
      </c>
    </row>
    <row r="146" spans="1:17" x14ac:dyDescent="0.25">
      <c r="A146" s="1" t="s">
        <v>349</v>
      </c>
      <c r="B146" s="1" t="s">
        <v>297</v>
      </c>
      <c r="C146" s="38" t="str">
        <f>IFERROR(VLOOKUP(A146,data!A:G,7,FALSE),"")</f>
        <v>Hair Scissors - กรรไกรตัดซอย</v>
      </c>
      <c r="D146" s="38" t="str">
        <f>IFERROR(VLOOKUP(A146,data!A:D,4,FALSE),"")</f>
        <v>กรรไกรตัด 6 นิ้ว</v>
      </c>
      <c r="E146" s="46" t="s">
        <v>248</v>
      </c>
      <c r="F146" s="40"/>
      <c r="G146" s="37">
        <f>IFERROR(VLOOKUP(A146,data!A:V,22,FALSE),"")</f>
        <v>8858890800291</v>
      </c>
      <c r="H146" s="37"/>
      <c r="I146" s="37"/>
      <c r="J146" s="41"/>
      <c r="K146" s="41"/>
      <c r="L146" s="42">
        <v>1850</v>
      </c>
      <c r="M146" s="43">
        <v>2035</v>
      </c>
      <c r="N146" s="42">
        <v>2100</v>
      </c>
      <c r="O146" s="42">
        <v>10</v>
      </c>
      <c r="P146" s="44"/>
      <c r="Q146" s="45">
        <f>IFERROR(VLOOKUP(A146,'data-ค่าฝา'!A:G,7,0),"")</f>
      </c>
    </row>
    <row r="147" spans="1:17" x14ac:dyDescent="0.25">
      <c r="A147" s="1" t="s">
        <v>350</v>
      </c>
      <c r="B147" s="1" t="s">
        <v>297</v>
      </c>
      <c r="C147" s="38" t="str">
        <f>IFERROR(VLOOKUP(A147,data!A:G,7,FALSE),"")</f>
        <v>Hair Scissors - กรรไกรตัดซอย</v>
      </c>
      <c r="D147" s="38" t="str">
        <f>IFERROR(VLOOKUP(A147,data!A:D,4,FALSE),"")</f>
        <v>กรรไกรตัด 6 นิ้ว</v>
      </c>
      <c r="E147" s="46" t="s">
        <v>248</v>
      </c>
      <c r="F147" s="40"/>
      <c r="G147" s="37">
        <f>IFERROR(VLOOKUP(A147,data!A:V,22,FALSE),"")</f>
        <v>8858890800473</v>
      </c>
      <c r="H147" s="37"/>
      <c r="I147" s="37"/>
      <c r="J147" s="41"/>
      <c r="K147" s="41"/>
      <c r="L147" s="42">
        <v>250</v>
      </c>
      <c r="M147" s="43">
        <v>275</v>
      </c>
      <c r="N147" s="42">
        <v>350</v>
      </c>
      <c r="O147" s="42">
        <v>10</v>
      </c>
      <c r="P147" s="44"/>
      <c r="Q147" s="45">
        <f>IFERROR(VLOOKUP(A147,'data-ค่าฝา'!A:G,7,0),"")</f>
      </c>
    </row>
    <row r="148" spans="1:17" x14ac:dyDescent="0.25">
      <c r="A148" s="1" t="s">
        <v>351</v>
      </c>
      <c r="B148" s="1" t="s">
        <v>297</v>
      </c>
      <c r="C148" s="38" t="str">
        <f>IFERROR(VLOOKUP(A148,data!A:G,7,FALSE),"")</f>
        <v>Hair Scissors - กรรไกรตัดซอย</v>
      </c>
      <c r="D148" s="38" t="str">
        <f>IFERROR(VLOOKUP(A148,data!A:D,4,FALSE),"")</f>
        <v>กรรไกรฟันปลา 6 นิ้ว</v>
      </c>
      <c r="E148" s="46" t="s">
        <v>248</v>
      </c>
      <c r="F148" s="40"/>
      <c r="G148" s="37">
        <f>IFERROR(VLOOKUP(A148,data!A:V,22,FALSE),"")</f>
        <v>8858890800444</v>
      </c>
      <c r="H148" s="37"/>
      <c r="I148" s="37"/>
      <c r="J148" s="41"/>
      <c r="K148" s="41"/>
      <c r="L148" s="42">
        <v>260</v>
      </c>
      <c r="M148" s="43">
        <v>290</v>
      </c>
      <c r="N148" s="42">
        <v>350</v>
      </c>
      <c r="O148" s="42">
        <v>10</v>
      </c>
      <c r="P148" s="44"/>
      <c r="Q148" s="45">
        <f>IFERROR(VLOOKUP(A148,'data-ค่าฝา'!A:G,7,0),"")</f>
      </c>
    </row>
    <row r="149" spans="1:17" x14ac:dyDescent="0.25">
      <c r="A149" s="1" t="s">
        <v>352</v>
      </c>
      <c r="B149" s="1" t="s">
        <v>297</v>
      </c>
      <c r="C149" s="38" t="str">
        <f>IFERROR(VLOOKUP(A149,data!A:G,7,FALSE),"")</f>
        <v>Hair Scissors - กรรไกรตัดซอย</v>
      </c>
      <c r="D149" s="38" t="str">
        <f>IFERROR(VLOOKUP(A149,data!A:D,4,FALSE),"")</f>
        <v>VALENTE กรรไกรซอย 6.5"นิ้ว รุ่น Val-370</v>
      </c>
      <c r="E149" s="46" t="s">
        <v>246</v>
      </c>
      <c r="F149" s="40"/>
      <c r="G149" s="37">
        <f>IFERROR(VLOOKUP(A149,data!A:V,22,FALSE),"")</f>
        <v>8858890760823</v>
      </c>
      <c r="H149" s="37"/>
      <c r="I149" s="37"/>
      <c r="J149" s="41"/>
      <c r="K149" s="41"/>
      <c r="L149" s="42">
        <v>108</v>
      </c>
      <c r="M149" s="43">
        <v>120</v>
      </c>
      <c r="N149" s="42">
        <v>150</v>
      </c>
      <c r="O149" s="42">
        <v>10</v>
      </c>
      <c r="P149" s="44"/>
      <c r="Q149" s="45">
        <f>IFERROR(VLOOKUP(A149,'data-ค่าฝา'!A:G,7,0),"")</f>
      </c>
    </row>
    <row r="150" spans="1:17" x14ac:dyDescent="0.25">
      <c r="A150" s="1" t="s">
        <v>353</v>
      </c>
      <c r="B150" s="1" t="s">
        <v>297</v>
      </c>
      <c r="C150" s="38" t="str">
        <f>IFERROR(VLOOKUP(A150,data!A:G,7,FALSE),"")</f>
        <v>Hair Scissors - กรรไกรตัดซอย</v>
      </c>
      <c r="D150" s="38" t="str">
        <f>IFERROR(VLOOKUP(A150,data!A:D,4,FALSE),"")</f>
        <v>HAIR SCISSORS กรรไกรตัด รุ่น VAL-702-5</v>
      </c>
      <c r="E150" s="46" t="s">
        <v>354</v>
      </c>
      <c r="F150" s="40"/>
      <c r="G150" s="37">
        <f>IFERROR(VLOOKUP(A150,data!A:V,22,FALSE),"")</f>
        <v>8858890766816</v>
      </c>
      <c r="H150" s="37"/>
      <c r="I150" s="37"/>
      <c r="J150" s="41"/>
      <c r="K150" s="41"/>
      <c r="L150" s="42">
        <v>72</v>
      </c>
      <c r="M150" s="43">
        <v>80</v>
      </c>
      <c r="N150" s="42">
        <v>100</v>
      </c>
      <c r="O150" s="42">
        <v>10</v>
      </c>
      <c r="P150" s="44"/>
      <c r="Q150" s="45">
        <f>IFERROR(VLOOKUP(A150,'data-ค่าฝา'!A:G,7,0),"")</f>
      </c>
    </row>
    <row r="151" spans="1:17" x14ac:dyDescent="0.25">
      <c r="A151" s="1" t="s">
        <v>355</v>
      </c>
      <c r="B151" s="1" t="s">
        <v>297</v>
      </c>
      <c r="C151" s="38" t="str">
        <f>IFERROR(VLOOKUP(A151,data!A:G,7,FALSE),"")</f>
        <v>Hair Scissors - กรรไกรตัดซอย</v>
      </c>
      <c r="D151" s="38" t="str">
        <f>IFERROR(VLOOKUP(A151,data!A:D,4,FALSE),"")</f>
        <v>ชุดกรรไกรตัด-ซอยผม VAL-68/69</v>
      </c>
      <c r="E151" s="46" t="s">
        <v>248</v>
      </c>
      <c r="F151" s="40"/>
      <c r="G151" s="37">
        <f>IFERROR(VLOOKUP(A151,data!A:V,22,FALSE),"")</f>
        <v>8858890799687</v>
      </c>
      <c r="H151" s="37"/>
      <c r="I151" s="37"/>
      <c r="J151" s="41"/>
      <c r="K151" s="41"/>
      <c r="L151" s="42">
        <v>1850</v>
      </c>
      <c r="M151" s="43">
        <v>2035</v>
      </c>
      <c r="N151" s="42">
        <v>2500</v>
      </c>
      <c r="O151" s="42">
        <v>10</v>
      </c>
      <c r="P151" s="44"/>
      <c r="Q151" s="45">
        <f>IFERROR(VLOOKUP(A151,'data-ค่าฝา'!A:G,7,0),"")</f>
      </c>
    </row>
    <row r="152" spans="1:17" x14ac:dyDescent="0.25">
      <c r="A152" s="1" t="s">
        <v>356</v>
      </c>
      <c r="B152" s="1" t="s">
        <v>297</v>
      </c>
      <c r="C152" s="38" t="str">
        <f>IFERROR(VLOOKUP(A152,data!A:G,7,FALSE),"")</f>
        <v>Hair Scissors - กรรไกรตัดซอย</v>
      </c>
      <c r="D152" s="38" t="str">
        <f>IFERROR(VLOOKUP(A152,data!A:D,4,FALSE),"")</f>
        <v>กรรไกรชุด ตัด-ซอยผม VAL-70/71</v>
      </c>
      <c r="E152" s="46" t="s">
        <v>246</v>
      </c>
      <c r="F152" s="40"/>
      <c r="G152" s="37">
        <f>IFERROR(VLOOKUP(A152,data!A:V,22,FALSE),"")</f>
        <v>8858890798888</v>
      </c>
      <c r="H152" s="37"/>
      <c r="I152" s="37"/>
      <c r="J152" s="41"/>
      <c r="K152" s="41"/>
      <c r="L152" s="42">
        <v>1850</v>
      </c>
      <c r="M152" s="43">
        <v>2035</v>
      </c>
      <c r="N152" s="42">
        <v>2500</v>
      </c>
      <c r="O152" s="42">
        <v>10</v>
      </c>
      <c r="P152" s="44"/>
      <c r="Q152" s="45">
        <f>IFERROR(VLOOKUP(A152,'data-ค่าฝา'!A:G,7,0),"")</f>
      </c>
    </row>
    <row r="153" spans="1:17" x14ac:dyDescent="0.25">
      <c r="A153" s="1" t="s">
        <v>357</v>
      </c>
      <c r="B153" s="1" t="s">
        <v>297</v>
      </c>
      <c r="C153" s="38" t="str">
        <f>IFERROR(VLOOKUP(A153,data!A:G,7,FALSE),"")</f>
        <v>Hair Scissors - กรรไกรตัดซอย</v>
      </c>
      <c r="D153" s="38" t="str">
        <f>IFERROR(VLOOKUP(A153,data!A:D,4,FALSE),"")</f>
        <v>กรรไกรตัด Valente VAL-72</v>
      </c>
      <c r="E153" s="46" t="s">
        <v>246</v>
      </c>
      <c r="F153" s="40"/>
      <c r="G153" s="37">
        <f>IFERROR(VLOOKUP(A153,data!A:V,22,FALSE),"")</f>
        <v>8858890798864</v>
      </c>
      <c r="H153" s="37"/>
      <c r="I153" s="37"/>
      <c r="J153" s="41"/>
      <c r="K153" s="41"/>
      <c r="L153" s="42">
        <v>1200</v>
      </c>
      <c r="M153" s="43">
        <v>1320</v>
      </c>
      <c r="N153" s="42">
        <v>1650</v>
      </c>
      <c r="O153" s="42">
        <v>10</v>
      </c>
      <c r="P153" s="44"/>
      <c r="Q153" s="45">
        <f>IFERROR(VLOOKUP(A153,'data-ค่าฝา'!A:G,7,0),"")</f>
      </c>
    </row>
    <row r="154" spans="1:17" x14ac:dyDescent="0.25">
      <c r="A154" s="1" t="s">
        <v>358</v>
      </c>
      <c r="B154" s="1" t="s">
        <v>297</v>
      </c>
      <c r="C154" s="38" t="str">
        <f>IFERROR(VLOOKUP(A154,data!A:G,7,FALSE),"")</f>
        <v>Hair Scissors - กรรไกรตัดซอย</v>
      </c>
      <c r="D154" s="38" t="str">
        <f>IFERROR(VLOOKUP(A154,data!A:D,4,FALSE),"")</f>
        <v>ชุดกรรไกรตัดซอย Gradient Color ตัด 6 นิ้ว ฟันปลา ขนาด 5.5 นิ้ว 0.173 กรัม รหัสสินค้า C-5</v>
      </c>
      <c r="E154" s="46" t="s">
        <v>339</v>
      </c>
      <c r="F154" s="40"/>
      <c r="G154" s="37">
        <f>IFERROR(VLOOKUP(A154,data!A:V,22,FALSE),"")</f>
        <v>8858890760779</v>
      </c>
      <c r="H154" s="37"/>
      <c r="I154" s="37"/>
      <c r="J154" s="41"/>
      <c r="K154" s="41"/>
      <c r="L154" s="42">
        <v>350</v>
      </c>
      <c r="M154" s="43">
        <v>385</v>
      </c>
      <c r="N154" s="42">
        <v>650</v>
      </c>
      <c r="O154" s="42">
        <v>10</v>
      </c>
      <c r="P154" s="44"/>
      <c r="Q154" s="45">
        <f>IFERROR(VLOOKUP(A154,'data-ค่าฝา'!A:G,7,0),"")</f>
      </c>
    </row>
    <row r="155" spans="1:17" x14ac:dyDescent="0.25">
      <c r="A155" s="1" t="s">
        <v>359</v>
      </c>
      <c r="B155" s="1" t="s">
        <v>297</v>
      </c>
      <c r="C155" s="38" t="str">
        <f>IFERROR(VLOOKUP(A155,data!A:G,7,FALSE),"")</f>
        <v>Apron - ผ้าคลุมและผ้ากันเปื้อน</v>
      </c>
      <c r="D155" s="38" t="str">
        <f>IFERROR(VLOOKUP(A155,data!A:D,4,FALSE),"")</f>
        <v>วาเลนเต้ เอี๊ยมช่างซาลอน 0.105g. รหัสสินค้า CTP-200</v>
      </c>
      <c r="E155" s="39"/>
      <c r="F155" s="40"/>
      <c r="G155" s="37">
        <f>IFERROR(VLOOKUP(A155,data!A:V,22,FALSE),"")</f>
        <v>8858890793494</v>
      </c>
      <c r="H155" s="37"/>
      <c r="I155" s="37"/>
      <c r="J155" s="41"/>
      <c r="K155" s="41"/>
      <c r="L155" s="42">
        <v>110</v>
      </c>
      <c r="M155" s="43">
        <v>125</v>
      </c>
      <c r="N155" s="42">
        <v>150</v>
      </c>
      <c r="O155" s="42">
        <v>10</v>
      </c>
      <c r="P155" s="44"/>
      <c r="Q155" s="45">
        <f>IFERROR(VLOOKUP(A155,'data-ค่าฝา'!A:G,7,0),"")</f>
      </c>
    </row>
    <row r="156" spans="1:17" x14ac:dyDescent="0.25">
      <c r="A156" s="1" t="s">
        <v>360</v>
      </c>
      <c r="B156" s="1" t="s">
        <v>297</v>
      </c>
      <c r="C156" s="38" t="str">
        <f>IFERROR(VLOOKUP(A156,data!A:G,7,FALSE),"")</f>
        <v>Apron - ผ้าคลุมและผ้ากันเปื้อน</v>
      </c>
      <c r="D156" s="38" t="str">
        <f>IFERROR(VLOOKUP(A156,data!A:D,4,FALSE),"")</f>
        <v>วาเลนเต้ ผ้าคลุมซอยใสแบบใช้แล้วทิ้ง 0.14g รหัสสินค้า CAPE-1</v>
      </c>
      <c r="E156" s="46" t="s">
        <v>361</v>
      </c>
      <c r="F156" s="40"/>
      <c r="G156" s="37">
        <f>IFERROR(VLOOKUP(A156,data!A:V,22,FALSE),"")</f>
        <v>8858890796440</v>
      </c>
      <c r="H156" s="37"/>
      <c r="I156" s="37"/>
      <c r="J156" s="41"/>
      <c r="K156" s="41"/>
      <c r="L156" s="42">
        <v>275</v>
      </c>
      <c r="M156" s="43">
        <v>305</v>
      </c>
      <c r="N156" s="42">
        <v>350</v>
      </c>
      <c r="O156" s="42">
        <v>10</v>
      </c>
      <c r="P156" s="44"/>
      <c r="Q156" s="45">
        <f>IFERROR(VLOOKUP(A156,'data-ค่าฝา'!A:G,7,0),"")</f>
      </c>
    </row>
    <row r="157" spans="1:17" x14ac:dyDescent="0.25">
      <c r="A157" s="1" t="s">
        <v>362</v>
      </c>
      <c r="B157" s="1" t="s">
        <v>297</v>
      </c>
      <c r="C157" s="38" t="str">
        <f>IFERROR(VLOOKUP(A157,data!A:G,7,FALSE),"")</f>
        <v>Apron - ผ้าคลุมและผ้ากันเปื้อน</v>
      </c>
      <c r="D157" s="38" t="str">
        <f>IFERROR(VLOOKUP(A157,data!A:D,4,FALSE),"")</f>
        <v>วาเลนเต้ ผ้าคลุมย้อมสีผม 0.108g. รหัสสินค้า H-001/2</v>
      </c>
      <c r="E157" s="39"/>
      <c r="F157" s="40"/>
      <c r="G157" s="37">
        <f>IFERROR(VLOOKUP(A157,data!A:V,22,FALSE),"")</f>
        <v>8858890793470</v>
      </c>
      <c r="H157" s="37"/>
      <c r="I157" s="37"/>
      <c r="J157" s="41"/>
      <c r="K157" s="41"/>
      <c r="L157" s="42">
        <v>51</v>
      </c>
      <c r="M157" s="43">
        <v>60</v>
      </c>
      <c r="N157" s="42">
        <v>80</v>
      </c>
      <c r="O157" s="42">
        <v>10</v>
      </c>
      <c r="P157" s="44"/>
      <c r="Q157" s="45">
        <f>IFERROR(VLOOKUP(A157,'data-ค่าฝา'!A:G,7,0),"")</f>
      </c>
    </row>
    <row r="158" spans="1:17" x14ac:dyDescent="0.25">
      <c r="A158" s="1" t="s">
        <v>363</v>
      </c>
      <c r="B158" s="1" t="s">
        <v>297</v>
      </c>
      <c r="C158" s="38" t="str">
        <f>IFERROR(VLOOKUP(A158,data!A:G,7,FALSE),"")</f>
        <v>Apron - ผ้าคลุมและผ้ากันเปื้อน</v>
      </c>
      <c r="D158" s="38" t="str">
        <f>IFERROR(VLOOKUP(A158,data!A:D,4,FALSE),"")</f>
        <v>L'ANGEL Coloring Apron ผ้าคลุมย้อม ผ้าร่ม สีดำ รุ่น H-002/2</v>
      </c>
      <c r="E158" s="39"/>
      <c r="F158" s="40"/>
      <c r="G158" s="37">
        <f>IFERROR(VLOOKUP(A158,data!A:V,22,FALSE),"")</f>
        <v>8858890790219</v>
      </c>
      <c r="H158" s="37"/>
      <c r="I158" s="37"/>
      <c r="J158" s="41"/>
      <c r="K158" s="41"/>
      <c r="L158" s="42">
        <v>48</v>
      </c>
      <c r="M158" s="43">
        <v>55</v>
      </c>
      <c r="N158" s="42">
        <v>80</v>
      </c>
      <c r="O158" s="42">
        <v>10</v>
      </c>
      <c r="P158" s="44"/>
      <c r="Q158" s="45">
        <f>IFERROR(VLOOKUP(A158,'data-ค่าฝา'!A:G,7,0),"")</f>
      </c>
    </row>
    <row r="159" spans="1:17" x14ac:dyDescent="0.25">
      <c r="A159" s="1" t="s">
        <v>364</v>
      </c>
      <c r="B159" s="1" t="s">
        <v>297</v>
      </c>
      <c r="C159" s="38" t="str">
        <f>IFERROR(VLOOKUP(A159,data!A:G,7,FALSE),"")</f>
        <v>Apron - ผ้าคลุมและผ้ากันเปื้อน</v>
      </c>
      <c r="D159" s="38" t="str">
        <f>IFERROR(VLOOKUP(A159,data!A:D,4,FALSE),"")</f>
        <v>VAL-502 วาเลนเต้ ผ้าคลุมเด็กลายไดโนเสาร์</v>
      </c>
      <c r="E159" s="60" t="s">
        <v>365</v>
      </c>
      <c r="F159" s="40"/>
      <c r="G159" s="37">
        <f>IFERROR(VLOOKUP(A159,data!A:V,22,FALSE),"")</f>
        <v>8858890799915</v>
      </c>
      <c r="H159" s="37"/>
      <c r="I159" s="37"/>
      <c r="J159" s="41"/>
      <c r="K159" s="41"/>
      <c r="L159" s="42">
        <v>88</v>
      </c>
      <c r="M159" s="43">
        <v>100</v>
      </c>
      <c r="N159" s="42">
        <v>120</v>
      </c>
      <c r="O159" s="42">
        <v>10</v>
      </c>
      <c r="P159" s="44"/>
      <c r="Q159" s="45">
        <f>IFERROR(VLOOKUP(A159,'data-ค่าฝา'!A:G,7,0),"")</f>
      </c>
    </row>
    <row r="160" spans="1:17" x14ac:dyDescent="0.25">
      <c r="A160" s="1" t="s">
        <v>366</v>
      </c>
      <c r="B160" s="1" t="s">
        <v>297</v>
      </c>
      <c r="C160" s="38" t="str">
        <f>IFERROR(VLOOKUP(A160,data!A:G,7,FALSE),"")</f>
        <v>Apron - ผ้าคลุมและผ้ากันเปื้อน</v>
      </c>
      <c r="D160" s="38" t="str">
        <f>IFERROR(VLOOKUP(A160,data!A:D,4,FALSE),"")</f>
        <v>CUTTING APRON ผ้าทับซอย แบบโปร่ง สีม่วง รุ่น SRF-064</v>
      </c>
      <c r="E160" s="39"/>
      <c r="F160" s="40"/>
      <c r="G160" s="37">
        <f>IFERROR(VLOOKUP(A160,data!A:V,22,FALSE),"")</f>
        <v>8858890794385</v>
      </c>
      <c r="H160" s="37"/>
      <c r="I160" s="37"/>
      <c r="J160" s="41"/>
      <c r="K160" s="41"/>
      <c r="L160" s="42">
        <v>39</v>
      </c>
      <c r="M160" s="43">
        <v>45</v>
      </c>
      <c r="N160" s="42">
        <v>60</v>
      </c>
      <c r="O160" s="42">
        <v>10</v>
      </c>
      <c r="P160" s="44"/>
      <c r="Q160" s="45">
        <f>IFERROR(VLOOKUP(A160,'data-ค่าฝา'!A:G,7,0),"")</f>
      </c>
    </row>
    <row r="161" spans="1:17" x14ac:dyDescent="0.25">
      <c r="A161" s="1" t="s">
        <v>367</v>
      </c>
      <c r="B161" s="1" t="s">
        <v>297</v>
      </c>
      <c r="C161" s="38" t="str">
        <f>IFERROR(VLOOKUP(A161,data!A:G,7,FALSE),"")</f>
        <v>Apron - ผ้าคลุมและผ้ากันเปื้อน</v>
      </c>
      <c r="D161" s="38" t="str">
        <f>IFERROR(VLOOKUP(A161,data!A:D,4,FALSE),"")</f>
        <v>VALENTE ผ้าคลุมย้อม แบบโปร่ง H-007</v>
      </c>
      <c r="E161" s="39"/>
      <c r="F161" s="40"/>
      <c r="G161" s="37">
        <f>IFERROR(VLOOKUP(A161,data!A:V,22,FALSE),"")</f>
        <v>885889079101801</v>
      </c>
      <c r="H161" s="37"/>
      <c r="I161" s="37"/>
      <c r="J161" s="41"/>
      <c r="K161" s="41"/>
      <c r="L161" s="42">
        <v>73</v>
      </c>
      <c r="M161" s="43">
        <v>85</v>
      </c>
      <c r="N161" s="42">
        <v>100</v>
      </c>
      <c r="O161" s="42">
        <v>10</v>
      </c>
      <c r="P161" s="44"/>
      <c r="Q161" s="45">
        <f>IFERROR(VLOOKUP(A161,'data-ค่าฝา'!A:G,7,0),"")</f>
      </c>
    </row>
    <row r="162" spans="1:17" x14ac:dyDescent="0.25">
      <c r="A162" s="1" t="s">
        <v>368</v>
      </c>
      <c r="B162" s="1" t="s">
        <v>297</v>
      </c>
      <c r="C162" s="38" t="str">
        <f>IFERROR(VLOOKUP(A162,data!A:G,7,FALSE),"")</f>
        <v>Apron - ผ้าคลุมและผ้ากันเปื้อน</v>
      </c>
      <c r="D162" s="38" t="str">
        <f>IFERROR(VLOOKUP(A162,data!A:D,4,FALSE),"")</f>
        <v>BARBER BRAIN ผ้าคลุมบาร์เบอร์เบรน รุ่น VAL-1515/W</v>
      </c>
      <c r="E162" s="46" t="s">
        <v>254</v>
      </c>
      <c r="F162" s="40"/>
      <c r="G162" s="37">
        <f>IFERROR(VLOOKUP(A162,data!A:V,22,FALSE),"")</f>
        <v>8858890795726</v>
      </c>
      <c r="H162" s="37"/>
      <c r="I162" s="37"/>
      <c r="J162" s="41"/>
      <c r="K162" s="41"/>
      <c r="L162" s="42">
        <v>98</v>
      </c>
      <c r="M162" s="43">
        <v>110</v>
      </c>
      <c r="N162" s="42">
        <v>130</v>
      </c>
      <c r="O162" s="42">
        <v>10</v>
      </c>
      <c r="P162" s="44"/>
      <c r="Q162" s="45">
        <f>IFERROR(VLOOKUP(A162,'data-ค่าฝา'!A:G,7,0),"")</f>
      </c>
    </row>
    <row r="163" spans="1:17" x14ac:dyDescent="0.25">
      <c r="A163" s="1" t="s">
        <v>369</v>
      </c>
      <c r="B163" s="1" t="s">
        <v>297</v>
      </c>
      <c r="C163" s="38" t="str">
        <f>IFERROR(VLOOKUP(A163,data!A:G,7,FALSE),"")</f>
        <v>Apron - ผ้าคลุมและผ้ากันเปื้อน</v>
      </c>
      <c r="D163" s="38" t="str">
        <f>IFERROR(VLOOKUP(A163,data!A:D,4,FALSE),"")</f>
        <v>วาเลนเต้ ผ้าคลุมซอยซาลอน 0.15g. รหัสสืนค้า K-011-2</v>
      </c>
      <c r="E163" s="46" t="s">
        <v>254</v>
      </c>
      <c r="F163" s="40"/>
      <c r="G163" s="37">
        <f>IFERROR(VLOOKUP(A163,data!A:V,22,FALSE),"")</f>
        <v>8858890790509</v>
      </c>
      <c r="H163" s="37"/>
      <c r="I163" s="37"/>
      <c r="J163" s="41"/>
      <c r="K163" s="41"/>
      <c r="L163" s="42">
        <v>70</v>
      </c>
      <c r="M163" s="43">
        <v>80</v>
      </c>
      <c r="N163" s="42">
        <v>100</v>
      </c>
      <c r="O163" s="42">
        <v>10</v>
      </c>
      <c r="P163" s="44"/>
      <c r="Q163" s="45">
        <f>IFERROR(VLOOKUP(A163,'data-ค่าฝา'!A:G,7,0),"")</f>
      </c>
    </row>
    <row r="164" spans="1:17" x14ac:dyDescent="0.25">
      <c r="A164" s="1" t="s">
        <v>370</v>
      </c>
      <c r="B164" s="1" t="s">
        <v>297</v>
      </c>
      <c r="C164" s="38" t="str">
        <f>IFERROR(VLOOKUP(A164,data!A:G,7,FALSE),"")</f>
        <v>Apron - ผ้าคลุมและผ้ากันเปื้อน</v>
      </c>
      <c r="D164" s="38" t="str">
        <f>IFERROR(VLOOKUP(A164,data!A:D,4,FALSE),"")</f>
        <v>ผ้าคลุมลายธงชาติ บาร์เบอร์ รุ่น VAL-K080</v>
      </c>
      <c r="E164" s="46" t="s">
        <v>371</v>
      </c>
      <c r="F164" s="40"/>
      <c r="G164" s="37">
        <f>IFERROR(VLOOKUP(A164,data!A:V,22,FALSE),"")</f>
        <v>8858890795948</v>
      </c>
      <c r="H164" s="37"/>
      <c r="I164" s="37"/>
      <c r="J164" s="41"/>
      <c r="K164" s="41"/>
      <c r="L164" s="42">
        <v>150</v>
      </c>
      <c r="M164" s="43">
        <v>165</v>
      </c>
      <c r="N164" s="42">
        <v>200</v>
      </c>
      <c r="O164" s="42">
        <v>10</v>
      </c>
      <c r="P164" s="44"/>
      <c r="Q164" s="45">
        <f>IFERROR(VLOOKUP(A164,'data-ค่าฝา'!A:G,7,0),"")</f>
      </c>
    </row>
    <row r="165" spans="1:17" x14ac:dyDescent="0.25">
      <c r="A165" s="1" t="s">
        <v>372</v>
      </c>
      <c r="B165" s="1" t="s">
        <v>297</v>
      </c>
      <c r="C165" s="38" t="str">
        <f>IFERROR(VLOOKUP(A165,data!A:G,7,FALSE),"")</f>
        <v>Apron - ผ้าคลุมและผ้ากันเปื้อน</v>
      </c>
      <c r="D165" s="38" t="str">
        <f>IFERROR(VLOOKUP(A165,data!A:D,4,FALSE),"")</f>
        <v>ผ้าคลุมลายทาง ไม่มีโลโก้</v>
      </c>
      <c r="E165" s="46" t="s">
        <v>373</v>
      </c>
      <c r="F165" s="40"/>
      <c r="G165" s="37">
        <f>IFERROR(VLOOKUP(A165,data!A:V,22,FALSE),"")</f>
        <v>8858890800611</v>
      </c>
      <c r="H165" s="37"/>
      <c r="I165" s="37"/>
      <c r="J165" s="41"/>
      <c r="K165" s="41"/>
      <c r="L165" s="42">
        <v>170</v>
      </c>
      <c r="M165" s="43">
        <v>190</v>
      </c>
      <c r="N165" s="42">
        <v>220</v>
      </c>
      <c r="O165" s="42">
        <v>10</v>
      </c>
      <c r="P165" s="44"/>
      <c r="Q165" s="45">
        <f>IFERROR(VLOOKUP(A165,'data-ค่าฝา'!A:G,7,0),"")</f>
      </c>
    </row>
    <row r="166" spans="1:17" x14ac:dyDescent="0.25">
      <c r="A166" s="1" t="s">
        <v>374</v>
      </c>
      <c r="B166" s="1" t="s">
        <v>297</v>
      </c>
      <c r="C166" s="38" t="str">
        <f>IFERROR(VLOOKUP(A166,data!A:G,7,FALSE),"")</f>
        <v>Apron - ผ้าคลุมและผ้ากันเปื้อน</v>
      </c>
      <c r="D166" s="38" t="str">
        <f>IFERROR(VLOOKUP(A166,data!A:D,4,FALSE),"")</f>
        <v>ขาวล้วน ไม่มีลาย</v>
      </c>
      <c r="E166" s="46" t="s">
        <v>254</v>
      </c>
      <c r="F166" s="40"/>
      <c r="G166" s="37">
        <f>IFERROR(VLOOKUP(A166,data!A:V,22,FALSE),"")</f>
        <v>8858890800093</v>
      </c>
      <c r="H166" s="37"/>
      <c r="I166" s="37"/>
      <c r="J166" s="41"/>
      <c r="K166" s="41"/>
      <c r="L166" s="42">
        <v>85</v>
      </c>
      <c r="M166" s="43">
        <v>95</v>
      </c>
      <c r="N166" s="42">
        <v>120</v>
      </c>
      <c r="O166" s="42">
        <v>10</v>
      </c>
      <c r="P166" s="44"/>
      <c r="Q166" s="45">
        <f>IFERROR(VLOOKUP(A166,'data-ค่าฝา'!A:G,7,0),"")</f>
      </c>
    </row>
    <row r="167" spans="1:17" x14ac:dyDescent="0.25">
      <c r="A167" s="1" t="s">
        <v>375</v>
      </c>
      <c r="B167" s="1" t="s">
        <v>297</v>
      </c>
      <c r="C167" s="38">
        <f>IFERROR(VLOOKUP(A167,data!A:G,7,FALSE),"")</f>
      </c>
      <c r="D167" s="38">
        <f>IFERROR(VLOOKUP(A167,data!A:D,4,FALSE),"")</f>
      </c>
      <c r="E167" s="46" t="s">
        <v>376</v>
      </c>
      <c r="F167" s="40"/>
      <c r="G167" s="37">
        <f>IFERROR(VLOOKUP(A167,data!A:V,22,FALSE),"")</f>
      </c>
      <c r="H167" s="37"/>
      <c r="I167" s="37"/>
      <c r="J167" s="41"/>
      <c r="K167" s="41"/>
      <c r="L167" s="42">
        <v>150</v>
      </c>
      <c r="M167" s="43">
        <v>165</v>
      </c>
      <c r="N167" s="42">
        <v>190</v>
      </c>
      <c r="O167" s="42">
        <v>10</v>
      </c>
      <c r="P167" s="44"/>
      <c r="Q167" s="45">
        <f>IFERROR(VLOOKUP(A167,'data-ค่าฝา'!A:G,7,0),"")</f>
      </c>
    </row>
    <row r="168" spans="1:17" x14ac:dyDescent="0.25">
      <c r="A168" s="1" t="s">
        <v>377</v>
      </c>
      <c r="B168" s="1" t="s">
        <v>297</v>
      </c>
      <c r="C168" s="38">
        <f>IFERROR(VLOOKUP(A168,data!A:G,7,FALSE),"")</f>
      </c>
      <c r="D168" s="38">
        <f>IFERROR(VLOOKUP(A168,data!A:D,4,FALSE),"")</f>
      </c>
      <c r="E168" s="46" t="s">
        <v>376</v>
      </c>
      <c r="F168" s="40"/>
      <c r="G168" s="37">
        <f>IFERROR(VLOOKUP(A168,data!A:V,22,FALSE),"")</f>
      </c>
      <c r="H168" s="37"/>
      <c r="I168" s="37"/>
      <c r="J168" s="41"/>
      <c r="K168" s="41"/>
      <c r="L168" s="42">
        <v>150</v>
      </c>
      <c r="M168" s="43">
        <v>165</v>
      </c>
      <c r="N168" s="42">
        <v>190</v>
      </c>
      <c r="O168" s="42">
        <v>10</v>
      </c>
      <c r="P168" s="44"/>
      <c r="Q168" s="45">
        <f>IFERROR(VLOOKUP(A168,'data-ค่าฝา'!A:G,7,0),"")</f>
      </c>
    </row>
    <row r="169" spans="1:17" x14ac:dyDescent="0.25">
      <c r="A169" s="1" t="s">
        <v>378</v>
      </c>
      <c r="B169" s="1" t="s">
        <v>297</v>
      </c>
      <c r="C169" s="38">
        <f>IFERROR(VLOOKUP(A169,data!A:G,7,FALSE),"")</f>
      </c>
      <c r="D169" s="38">
        <f>IFERROR(VLOOKUP(A169,data!A:D,4,FALSE),"")</f>
      </c>
      <c r="E169" s="46" t="s">
        <v>376</v>
      </c>
      <c r="F169" s="40"/>
      <c r="G169" s="37">
        <f>IFERROR(VLOOKUP(A169,data!A:V,22,FALSE),"")</f>
      </c>
      <c r="H169" s="37"/>
      <c r="I169" s="37"/>
      <c r="J169" s="41"/>
      <c r="K169" s="41"/>
      <c r="L169" s="42">
        <v>150</v>
      </c>
      <c r="M169" s="43">
        <v>165</v>
      </c>
      <c r="N169" s="42">
        <v>190</v>
      </c>
      <c r="O169" s="42">
        <v>10</v>
      </c>
      <c r="P169" s="44"/>
      <c r="Q169" s="45">
        <f>IFERROR(VLOOKUP(A169,'data-ค่าฝา'!A:G,7,0),"")</f>
      </c>
    </row>
    <row r="170" spans="1:17" x14ac:dyDescent="0.25">
      <c r="A170" s="1" t="s">
        <v>379</v>
      </c>
      <c r="B170" s="1" t="s">
        <v>297</v>
      </c>
      <c r="C170" s="38" t="str">
        <f>IFERROR(VLOOKUP(A170,data!A:G,7,FALSE),"")</f>
        <v>Apron - ผ้าคลุมและผ้ากันเปื้อน</v>
      </c>
      <c r="D170" s="38" t="str">
        <f>IFERROR(VLOOKUP(A170,data!A:D,4,FALSE),"")</f>
        <v>ผ้าคลุมซอยลายดอกไม้ รุ่น VAL-K074</v>
      </c>
      <c r="E170" s="46" t="s">
        <v>380</v>
      </c>
      <c r="F170" s="40"/>
      <c r="G170" s="37">
        <f>IFERROR(VLOOKUP(A170,data!A:V,22,FALSE),"")</f>
        <v>8858890726034</v>
      </c>
      <c r="H170" s="37"/>
      <c r="I170" s="37"/>
      <c r="J170" s="41"/>
      <c r="K170" s="41"/>
      <c r="L170" s="42">
        <v>90</v>
      </c>
      <c r="M170" s="43">
        <v>100</v>
      </c>
      <c r="N170" s="42">
        <v>120</v>
      </c>
      <c r="O170" s="42">
        <v>10</v>
      </c>
      <c r="P170" s="44"/>
      <c r="Q170" s="45">
        <f>IFERROR(VLOOKUP(A170,'data-ค่าฝา'!A:G,7,0),"")</f>
      </c>
    </row>
    <row r="171" spans="1:17" x14ac:dyDescent="0.25">
      <c r="A171" s="1" t="s">
        <v>381</v>
      </c>
      <c r="B171" s="1" t="s">
        <v>297</v>
      </c>
      <c r="C171" s="38" t="str">
        <f>IFERROR(VLOOKUP(A171,data!A:G,7,FALSE),"")</f>
        <v>Apron - ผ้าคลุมและผ้ากันเปื้อน</v>
      </c>
      <c r="D171" s="38" t="str">
        <f>IFERROR(VLOOKUP(A171,data!A:D,4,FALSE),"")</f>
        <v>ผ้าคลุมซอย วาเลนเต้ ลายสิงโต รหัส VAL-LH21S</v>
      </c>
      <c r="E171" s="46" t="s">
        <v>382</v>
      </c>
      <c r="F171" s="40"/>
      <c r="G171" s="37">
        <f>IFERROR(VLOOKUP(A171,data!A:V,22,FALSE),"")</f>
        <v>8858890726683</v>
      </c>
      <c r="H171" s="37"/>
      <c r="I171" s="37"/>
      <c r="J171" s="41"/>
      <c r="K171" s="41"/>
      <c r="L171" s="42">
        <v>95</v>
      </c>
      <c r="M171" s="43">
        <v>105</v>
      </c>
      <c r="N171" s="42">
        <v>130</v>
      </c>
      <c r="O171" s="42">
        <v>10</v>
      </c>
      <c r="P171" s="44"/>
      <c r="Q171" s="45">
        <f>IFERROR(VLOOKUP(A171,'data-ค่าฝา'!A:G,7,0),"")</f>
      </c>
    </row>
    <row r="172" spans="1:17" x14ac:dyDescent="0.25">
      <c r="A172" s="1" t="s">
        <v>383</v>
      </c>
      <c r="B172" s="1" t="s">
        <v>297</v>
      </c>
      <c r="C172" s="38" t="str">
        <f>IFERROR(VLOOKUP(A172,data!A:G,7,FALSE),"")</f>
        <v>Apron - ผ้าคลุมและผ้ากันเปื้อน</v>
      </c>
      <c r="D172" s="38" t="str">
        <f>IFERROR(VLOOKUP(A172,data!A:D,4,FALSE),"")</f>
        <v>ผ้าคลุมซอย วาเลนเต้ ลายงู สีแดง รหัส VAL-LH25S</v>
      </c>
      <c r="E172" s="46" t="s">
        <v>382</v>
      </c>
      <c r="F172" s="40"/>
      <c r="G172" s="37">
        <f>IFERROR(VLOOKUP(A172,data!A:V,22,FALSE),"")</f>
        <v>885889076669</v>
      </c>
      <c r="H172" s="37"/>
      <c r="I172" s="37"/>
      <c r="J172" s="41"/>
      <c r="K172" s="41"/>
      <c r="L172" s="42">
        <v>115</v>
      </c>
      <c r="M172" s="43">
        <v>130</v>
      </c>
      <c r="N172" s="42">
        <v>150</v>
      </c>
      <c r="O172" s="42">
        <v>10</v>
      </c>
      <c r="P172" s="44"/>
      <c r="Q172" s="45">
        <f>IFERROR(VLOOKUP(A172,'data-ค่าฝา'!A:G,7,0),"")</f>
      </c>
    </row>
    <row r="173" spans="1:17" x14ac:dyDescent="0.25">
      <c r="A173" s="1" t="s">
        <v>384</v>
      </c>
      <c r="B173" s="1" t="s">
        <v>297</v>
      </c>
      <c r="C173" s="38" t="str">
        <f>IFERROR(VLOOKUP(A173,data!A:G,7,FALSE),"")</f>
        <v>Comb and Brush - หวีและแปรง</v>
      </c>
      <c r="D173" s="38" t="str">
        <f>IFERROR(VLOOKUP(A173,data!A:D,4,FALSE),"")</f>
        <v>VALENTE VINTAGE BRUSH หวีแปรงวินเทจ รุ่น VAL-52B</v>
      </c>
      <c r="E173" s="39"/>
      <c r="F173" s="40"/>
      <c r="G173" s="37">
        <f>IFERROR(VLOOKUP(A173,data!A:V,22,FALSE),"")</f>
        <v>8858890782221</v>
      </c>
      <c r="H173" s="37"/>
      <c r="I173" s="37"/>
      <c r="J173" s="41"/>
      <c r="K173" s="41"/>
      <c r="L173" s="42">
        <v>95</v>
      </c>
      <c r="M173" s="43">
        <v>105</v>
      </c>
      <c r="N173" s="42">
        <v>125</v>
      </c>
      <c r="O173" s="42">
        <v>10</v>
      </c>
      <c r="P173" s="44"/>
      <c r="Q173" s="45">
        <f>IFERROR(VLOOKUP(A173,'data-ค่าฝา'!A:G,7,0),"")</f>
      </c>
    </row>
    <row r="174" spans="1:17" x14ac:dyDescent="0.25">
      <c r="A174" s="1" t="s">
        <v>385</v>
      </c>
      <c r="B174" s="1" t="s">
        <v>297</v>
      </c>
      <c r="C174" s="38" t="str">
        <f>IFERROR(VLOOKUP(A174,data!A:G,7,FALSE),"")</f>
        <v>Comb and Brush - หวีและแปรง</v>
      </c>
      <c r="D174" s="38" t="str">
        <f>IFERROR(VLOOKUP(A174,data!A:D,4,FALSE),"")</f>
        <v>BARBER BRUSH แปรงปัดผม พู่ปัดแป้ง 2in1 รุ่น G-33</v>
      </c>
      <c r="E174" s="39"/>
      <c r="F174" s="40"/>
      <c r="G174" s="37">
        <f>IFERROR(VLOOKUP(A174,data!A:V,22,FALSE),"")</f>
        <v>8858890799441</v>
      </c>
      <c r="H174" s="37"/>
      <c r="I174" s="37"/>
      <c r="J174" s="41"/>
      <c r="K174" s="41"/>
      <c r="L174" s="42">
        <v>60</v>
      </c>
      <c r="M174" s="43">
        <v>70</v>
      </c>
      <c r="N174" s="42">
        <v>95</v>
      </c>
      <c r="O174" s="42">
        <v>10</v>
      </c>
      <c r="P174" s="44"/>
      <c r="Q174" s="45">
        <f>IFERROR(VLOOKUP(A174,'data-ค่าฝา'!A:G,7,0),"")</f>
      </c>
    </row>
    <row r="175" spans="1:17" x14ac:dyDescent="0.25">
      <c r="A175" s="1" t="s">
        <v>386</v>
      </c>
      <c r="B175" s="1" t="s">
        <v>297</v>
      </c>
      <c r="C175" s="38" t="str">
        <f>IFERROR(VLOOKUP(A175,data!A:G,7,FALSE),"")</f>
        <v>Comb and Brush - หวีและแปรง</v>
      </c>
      <c r="D175" s="38" t="str">
        <f>IFERROR(VLOOKUP(A175,data!A:D,4,FALSE),"")</f>
        <v>แปรงปัดผม VALENTE HAIR BRUSH VAL-684/C</v>
      </c>
      <c r="E175" s="39"/>
      <c r="F175" s="40"/>
      <c r="G175" s="37">
        <f>IFERROR(VLOOKUP(A175,data!A:V,22,FALSE),"")</f>
        <v>8858890794798</v>
      </c>
      <c r="H175" s="37"/>
      <c r="I175" s="37"/>
      <c r="J175" s="41"/>
      <c r="K175" s="41"/>
      <c r="L175" s="42">
        <v>55</v>
      </c>
      <c r="M175" s="43">
        <v>65</v>
      </c>
      <c r="N175" s="42">
        <v>85</v>
      </c>
      <c r="O175" s="42">
        <v>10</v>
      </c>
      <c r="P175" s="44"/>
      <c r="Q175" s="45">
        <f>IFERROR(VLOOKUP(A175,'data-ค่าฝา'!A:G,7,0),"")</f>
      </c>
    </row>
    <row r="176" spans="1:17" x14ac:dyDescent="0.25">
      <c r="A176" s="1" t="s">
        <v>387</v>
      </c>
      <c r="B176" s="1" t="s">
        <v>297</v>
      </c>
      <c r="C176" s="38" t="str">
        <f>IFERROR(VLOOKUP(A176,data!A:G,7,FALSE),"")</f>
        <v>Comb and Brush - หวีและแปรง</v>
      </c>
      <c r="D176" s="38" t="str">
        <f>IFERROR(VLOOKUP(A176,data!A:D,4,FALSE),"")</f>
        <v>BARBER BRUSH วาเลนเต้ แปรงปัดหนวด สีครีม ใหญ่ 0.029g. รหัสสินค้า VAL-739</v>
      </c>
      <c r="E176" s="39"/>
      <c r="F176" s="40"/>
      <c r="G176" s="37">
        <f>IFERROR(VLOOKUP(A176,data!A:V,22,FALSE),"")</f>
        <v>8858890793777</v>
      </c>
      <c r="H176" s="37"/>
      <c r="I176" s="37"/>
      <c r="J176" s="41"/>
      <c r="K176" s="41"/>
      <c r="L176" s="42">
        <v>18</v>
      </c>
      <c r="M176" s="43">
        <v>20</v>
      </c>
      <c r="N176" s="42">
        <v>35</v>
      </c>
      <c r="O176" s="42">
        <v>10</v>
      </c>
      <c r="P176" s="44"/>
      <c r="Q176" s="45">
        <f>IFERROR(VLOOKUP(A176,'data-ค่าฝา'!A:G,7,0),"")</f>
      </c>
    </row>
    <row r="177" spans="1:17" x14ac:dyDescent="0.25">
      <c r="A177" s="1" t="s">
        <v>388</v>
      </c>
      <c r="B177" s="1" t="s">
        <v>297</v>
      </c>
      <c r="C177" s="38" t="str">
        <f>IFERROR(VLOOKUP(A177,data!A:G,7,FALSE),"")</f>
        <v>Comb and Brush - หวีและแปรง</v>
      </c>
      <c r="D177" s="38" t="str">
        <f>IFERROR(VLOOKUP(A177,data!A:D,4,FALSE),"")</f>
        <v>BARBER BRUSH วาเลนเต้ แปรงปัดหนวด สีครีม เล็ก 0.016g. รหัสสินค้า VAl-9904</v>
      </c>
      <c r="E177" s="39"/>
      <c r="F177" s="40"/>
      <c r="G177" s="37">
        <f>IFERROR(VLOOKUP(A177,data!A:V,22,FALSE),"")</f>
        <v>8858890791094</v>
      </c>
      <c r="H177" s="37"/>
      <c r="I177" s="37"/>
      <c r="J177" s="41"/>
      <c r="K177" s="41"/>
      <c r="L177" s="42">
        <v>15</v>
      </c>
      <c r="M177" s="43">
        <v>20</v>
      </c>
      <c r="N177" s="42">
        <v>50</v>
      </c>
      <c r="O177" s="42">
        <v>10</v>
      </c>
      <c r="P177" s="44"/>
      <c r="Q177" s="45">
        <f>IFERROR(VLOOKUP(A177,'data-ค่าฝา'!A:G,7,0),"")</f>
      </c>
    </row>
    <row r="178" spans="1:17" x14ac:dyDescent="0.25">
      <c r="A178" s="1" t="s">
        <v>389</v>
      </c>
      <c r="B178" s="1" t="s">
        <v>297</v>
      </c>
      <c r="C178" s="38">
        <f>IFERROR(VLOOKUP(A178,data!A:G,7,FALSE),"")</f>
      </c>
      <c r="D178" s="38">
        <f>IFERROR(VLOOKUP(A178,data!A:D,4,FALSE),"")</f>
      </c>
      <c r="E178" s="39"/>
      <c r="F178" s="40"/>
      <c r="G178" s="37">
        <f>IFERROR(VLOOKUP(A178,data!A:V,22,FALSE),"")</f>
      </c>
      <c r="H178" s="37"/>
      <c r="I178" s="37"/>
      <c r="J178" s="41"/>
      <c r="K178" s="41"/>
      <c r="L178" s="42">
        <v>25</v>
      </c>
      <c r="M178" s="43">
        <v>30</v>
      </c>
      <c r="N178" s="42">
        <v>60</v>
      </c>
      <c r="O178" s="42">
        <v>10</v>
      </c>
      <c r="P178" s="44"/>
      <c r="Q178" s="45">
        <f>IFERROR(VLOOKUP(A178,'data-ค่าฝา'!A:G,7,0),"")</f>
      </c>
    </row>
    <row r="179" spans="1:17" x14ac:dyDescent="0.25">
      <c r="A179" s="1" t="s">
        <v>390</v>
      </c>
      <c r="B179" s="1" t="s">
        <v>297</v>
      </c>
      <c r="C179" s="38">
        <f>IFERROR(VLOOKUP(A179,data!A:G,7,FALSE),"")</f>
      </c>
      <c r="D179" s="38">
        <f>IFERROR(VLOOKUP(A179,data!A:D,4,FALSE),"")</f>
      </c>
      <c r="E179" s="39"/>
      <c r="F179" s="40"/>
      <c r="G179" s="37">
        <f>IFERROR(VLOOKUP(A179,data!A:V,22,FALSE),"")</f>
      </c>
      <c r="H179" s="37"/>
      <c r="I179" s="37"/>
      <c r="J179" s="41"/>
      <c r="K179" s="41"/>
      <c r="L179" s="42">
        <v>25</v>
      </c>
      <c r="M179" s="43">
        <v>30</v>
      </c>
      <c r="N179" s="42">
        <v>60</v>
      </c>
      <c r="O179" s="42">
        <v>10</v>
      </c>
      <c r="P179" s="44"/>
      <c r="Q179" s="45">
        <f>IFERROR(VLOOKUP(A179,'data-ค่าฝา'!A:G,7,0),"")</f>
      </c>
    </row>
    <row r="180" spans="1:17" x14ac:dyDescent="0.25">
      <c r="A180" s="1" t="s">
        <v>391</v>
      </c>
      <c r="B180" s="1" t="s">
        <v>297</v>
      </c>
      <c r="C180" s="38">
        <f>IFERROR(VLOOKUP(A180,data!A:G,7,FALSE),"")</f>
      </c>
      <c r="D180" s="38">
        <f>IFERROR(VLOOKUP(A180,data!A:D,4,FALSE),"")</f>
      </c>
      <c r="E180" s="39"/>
      <c r="F180" s="40"/>
      <c r="G180" s="37">
        <f>IFERROR(VLOOKUP(A180,data!A:V,22,FALSE),"")</f>
      </c>
      <c r="H180" s="37"/>
      <c r="I180" s="37"/>
      <c r="J180" s="41"/>
      <c r="K180" s="41"/>
      <c r="L180" s="42">
        <v>55</v>
      </c>
      <c r="M180" s="43">
        <v>65</v>
      </c>
      <c r="N180" s="42">
        <v>78</v>
      </c>
      <c r="O180" s="42">
        <v>10</v>
      </c>
      <c r="P180" s="44"/>
      <c r="Q180" s="45">
        <f>IFERROR(VLOOKUP(A180,'data-ค่าฝา'!A:G,7,0),"")</f>
      </c>
    </row>
    <row r="181" spans="1:17" x14ac:dyDescent="0.25">
      <c r="A181" s="1" t="s">
        <v>392</v>
      </c>
      <c r="B181" s="1" t="s">
        <v>297</v>
      </c>
      <c r="C181" s="38">
        <f>IFERROR(VLOOKUP(A181,data!A:G,7,FALSE),"")</f>
      </c>
      <c r="D181" s="38">
        <f>IFERROR(VLOOKUP(A181,data!A:D,4,FALSE),"")</f>
      </c>
      <c r="E181" s="39"/>
      <c r="F181" s="40"/>
      <c r="G181" s="37">
        <f>IFERROR(VLOOKUP(A181,data!A:V,22,FALSE),"")</f>
      </c>
      <c r="H181" s="37"/>
      <c r="I181" s="37"/>
      <c r="J181" s="41"/>
      <c r="K181" s="41"/>
      <c r="L181" s="42">
        <v>55</v>
      </c>
      <c r="M181" s="43">
        <v>65</v>
      </c>
      <c r="N181" s="42">
        <v>78</v>
      </c>
      <c r="O181" s="42">
        <v>10</v>
      </c>
      <c r="P181" s="44"/>
      <c r="Q181" s="45">
        <f>IFERROR(VLOOKUP(A181,'data-ค่าฝา'!A:G,7,0),"")</f>
      </c>
    </row>
    <row r="182" spans="1:17" x14ac:dyDescent="0.25">
      <c r="A182" s="1" t="s">
        <v>393</v>
      </c>
      <c r="B182" s="1" t="s">
        <v>297</v>
      </c>
      <c r="C182" s="38" t="str">
        <f>IFERROR(VLOOKUP(A182,data!A:G,7,FALSE),"")</f>
        <v>Other Equipment - อุปกรณ์อื่นๆ</v>
      </c>
      <c r="D182" s="38" t="str">
        <f>IFERROR(VLOOKUP(A182,data!A:D,4,FALSE),"")</f>
        <v>VALENTE barber break up แผ่นแปะผม ที่แปะผม ตีนตุ๊กแก 2 ชิ้น รุ่น P-118</v>
      </c>
      <c r="E182" s="39"/>
      <c r="F182" s="40"/>
      <c r="G182" s="37">
        <f>IFERROR(VLOOKUP(A182,data!A:V,22,FALSE),"")</f>
        <v>8858890795894</v>
      </c>
      <c r="H182" s="37"/>
      <c r="I182" s="37"/>
      <c r="J182" s="41"/>
      <c r="K182" s="41"/>
      <c r="L182" s="42">
        <v>35</v>
      </c>
      <c r="M182" s="43">
        <v>40</v>
      </c>
      <c r="N182" s="42">
        <v>60</v>
      </c>
      <c r="O182" s="42">
        <v>10</v>
      </c>
      <c r="P182" s="44"/>
      <c r="Q182" s="45">
        <f>IFERROR(VLOOKUP(A182,'data-ค่าฝา'!A:G,7,0),"")</f>
      </c>
    </row>
    <row r="183" spans="1:17" x14ac:dyDescent="0.25">
      <c r="A183" s="1" t="s">
        <v>394</v>
      </c>
      <c r="B183" s="1" t="s">
        <v>297</v>
      </c>
      <c r="C183" s="38" t="str">
        <f>IFERROR(VLOOKUP(A183,data!A:G,7,FALSE),"")</f>
        <v>Other Equipment - อุปกรณ์อื่นๆ</v>
      </c>
      <c r="D183" s="38" t="str">
        <f>IFERROR(VLOOKUP(A183,data!A:D,4,FALSE),"")</f>
        <v>BARBER EQUIPMENT ด้ามมีดโกน แบบพับได้ ใบมีดหักครึ่ง SR-1210</v>
      </c>
      <c r="E183" s="39"/>
      <c r="F183" s="40"/>
      <c r="G183" s="37">
        <f>IFERROR(VLOOKUP(A183,data!A:V,22,FALSE),"")</f>
        <v>8858890793319</v>
      </c>
      <c r="H183" s="37"/>
      <c r="I183" s="37"/>
      <c r="J183" s="41"/>
      <c r="K183" s="41"/>
      <c r="L183" s="42">
        <v>35</v>
      </c>
      <c r="M183" s="43">
        <v>40</v>
      </c>
      <c r="N183" s="42">
        <v>65</v>
      </c>
      <c r="O183" s="42">
        <v>10</v>
      </c>
      <c r="P183" s="44"/>
      <c r="Q183" s="45">
        <f>IFERROR(VLOOKUP(A183,'data-ค่าฝา'!A:G,7,0),"")</f>
      </c>
    </row>
    <row r="184" spans="1:17" x14ac:dyDescent="0.25">
      <c r="A184" s="1" t="s">
        <v>395</v>
      </c>
      <c r="B184" s="1" t="s">
        <v>297</v>
      </c>
      <c r="C184" s="38" t="str">
        <f>IFERROR(VLOOKUP(A184,data!A:G,7,FALSE),"")</f>
        <v>Other Equipment - อุปกรณ์อื่นๆ</v>
      </c>
      <c r="D184" s="38" t="str">
        <f>IFERROR(VLOOKUP(A184,data!A:D,4,FALSE),"")</f>
        <v>วาเลนเต้ มีดโกนหนวดแบบพับ 0.030g. รหัสสินค้า VAL-217</v>
      </c>
      <c r="E184" s="39"/>
      <c r="F184" s="40"/>
      <c r="G184" s="37">
        <f>IFERROR(VLOOKUP(A184,data!A:V,22,FALSE),"")</f>
        <v>885889079379102</v>
      </c>
      <c r="H184" s="37"/>
      <c r="I184" s="37"/>
      <c r="J184" s="41"/>
      <c r="K184" s="41"/>
      <c r="L184" s="42">
        <v>25</v>
      </c>
      <c r="M184" s="43">
        <v>30</v>
      </c>
      <c r="N184" s="42">
        <v>60</v>
      </c>
      <c r="O184" s="42">
        <v>10</v>
      </c>
      <c r="P184" s="44"/>
      <c r="Q184" s="45">
        <f>IFERROR(VLOOKUP(A184,'data-ค่าฝา'!A:G,7,0),"")</f>
      </c>
    </row>
    <row r="185" spans="1:17" x14ac:dyDescent="0.25">
      <c r="A185" s="1" t="s">
        <v>396</v>
      </c>
      <c r="B185" s="1" t="s">
        <v>297</v>
      </c>
      <c r="C185" s="38" t="str">
        <f>IFERROR(VLOOKUP(A185,data!A:G,7,FALSE),"")</f>
        <v>Other Equipment - อุปกรณ์อื่นๆ</v>
      </c>
      <c r="D185" s="38" t="str">
        <f>IFERROR(VLOOKUP(A185,data!A:D,4,FALSE),"")</f>
        <v>Razor handle ด้ามมีดโกน-ซอยสไลด์ ใบมีดขนนก คมเดียว รุ่น XR-001</v>
      </c>
      <c r="E185" s="39"/>
      <c r="F185" s="40"/>
      <c r="G185" s="37">
        <f>IFERROR(VLOOKUP(A185,data!A:V,22,FALSE),"")</f>
        <v>8858890795832</v>
      </c>
      <c r="H185" s="37"/>
      <c r="I185" s="37"/>
      <c r="J185" s="41"/>
      <c r="K185" s="41"/>
      <c r="L185" s="42">
        <v>85</v>
      </c>
      <c r="M185" s="43">
        <v>95</v>
      </c>
      <c r="N185" s="42">
        <v>120</v>
      </c>
      <c r="O185" s="42">
        <v>10</v>
      </c>
      <c r="P185" s="44"/>
      <c r="Q185" s="45">
        <f>IFERROR(VLOOKUP(A185,'data-ค่าฝา'!A:G,7,0),"")</f>
      </c>
    </row>
    <row r="186" spans="1:17" x14ac:dyDescent="0.25">
      <c r="A186" s="1" t="s">
        <v>397</v>
      </c>
      <c r="B186" s="1" t="s">
        <v>297</v>
      </c>
      <c r="C186" s="38" t="str">
        <f>IFERROR(VLOOKUP(A186,data!A:G,7,FALSE),"")</f>
        <v>Other Equipment - อุปกรณ์อื่นๆ</v>
      </c>
      <c r="D186" s="38" t="str">
        <f>IFERROR(VLOOKUP(A186,data!A:D,4,FALSE),"")</f>
        <v>วาเลนเต้ กะบอกฉีดน้ำเล็ก 38ml. คละสี VAL-200</v>
      </c>
      <c r="E186" s="39"/>
      <c r="F186" s="40"/>
      <c r="G186" s="37">
        <f>IFERROR(VLOOKUP(A186,data!A:V,22,FALSE),"")</f>
        <v>8858890799953</v>
      </c>
      <c r="H186" s="37"/>
      <c r="I186" s="37"/>
      <c r="J186" s="41"/>
      <c r="K186" s="41"/>
      <c r="L186" s="42">
        <v>25</v>
      </c>
      <c r="M186" s="43">
        <v>30</v>
      </c>
      <c r="N186" s="42">
        <v>60</v>
      </c>
      <c r="O186" s="42">
        <v>10</v>
      </c>
      <c r="P186" s="44"/>
      <c r="Q186" s="45">
        <f>IFERROR(VLOOKUP(A186,'data-ค่าฝา'!A:G,7,0),"")</f>
      </c>
    </row>
    <row r="187" spans="1:17" x14ac:dyDescent="0.25">
      <c r="A187" s="1" t="s">
        <v>398</v>
      </c>
      <c r="B187" s="1" t="s">
        <v>297</v>
      </c>
      <c r="C187" s="38" t="str">
        <f>IFERROR(VLOOKUP(A187,data!A:G,7,FALSE),"")</f>
        <v>Other Equipment - อุปกรณ์อื่นๆ</v>
      </c>
      <c r="D187" s="38" t="str">
        <f>IFERROR(VLOOKUP(A187,data!A:D,4,FALSE),"")</f>
        <v>ชุดอุปกรณ์ทำไฮไลท์ 3 มิติ รหัส CPS-001</v>
      </c>
      <c r="E187" s="39"/>
      <c r="F187" s="40"/>
      <c r="G187" s="37">
        <f>IFERROR(VLOOKUP(A187,data!A:V,22,FALSE),"")</f>
      </c>
      <c r="H187" s="37"/>
      <c r="I187" s="37"/>
      <c r="J187" s="41"/>
      <c r="K187" s="41"/>
      <c r="L187" s="42">
        <v>200</v>
      </c>
      <c r="M187" s="43">
        <v>220</v>
      </c>
      <c r="N187" s="42">
        <v>350</v>
      </c>
      <c r="O187" s="42">
        <v>10</v>
      </c>
      <c r="P187" s="44"/>
      <c r="Q187" s="45">
        <f>IFERROR(VLOOKUP(A187,'data-ค่าฝา'!A:G,7,0),"")</f>
      </c>
    </row>
    <row r="188" spans="1:17" x14ac:dyDescent="0.25">
      <c r="A188" s="1" t="s">
        <v>399</v>
      </c>
      <c r="B188" s="1" t="s">
        <v>297</v>
      </c>
      <c r="C188" s="38" t="str">
        <f>IFERROR(VLOOKUP(A188,data!A:G,7,FALSE),"")</f>
        <v>Other Equipment - อุปกรณ์อื่นๆ</v>
      </c>
      <c r="D188" s="38" t="str">
        <f>IFERROR(VLOOKUP(A188,data!A:D,4,FALSE),"")</f>
        <v>VAL-3300 วาเลนเต้ กระบอกฉีดน้ำเล็กลายกรรไกรสีดำ</v>
      </c>
      <c r="E188" s="39"/>
      <c r="F188" s="40"/>
      <c r="G188" s="37">
        <f>IFERROR(VLOOKUP(A188,data!A:V,22,FALSE),"")</f>
        <v>8858890799885</v>
      </c>
      <c r="H188" s="37"/>
      <c r="I188" s="37"/>
      <c r="J188" s="41"/>
      <c r="K188" s="41"/>
      <c r="L188" s="42">
        <v>15</v>
      </c>
      <c r="M188" s="43">
        <v>20</v>
      </c>
      <c r="N188" s="42">
        <v>35</v>
      </c>
      <c r="O188" s="42">
        <v>10</v>
      </c>
      <c r="P188" s="44"/>
      <c r="Q188" s="45">
        <f>IFERROR(VLOOKUP(A188,'data-ค่าฝา'!A:G,7,0),"")</f>
      </c>
    </row>
    <row r="189" spans="1:17" x14ac:dyDescent="0.25">
      <c r="A189" s="1" t="s">
        <v>400</v>
      </c>
      <c r="B189" s="1" t="s">
        <v>297</v>
      </c>
      <c r="C189" s="38" t="str">
        <f>IFERROR(VLOOKUP(A189,data!A:G,7,FALSE),"")</f>
        <v>Other Equipment - อุปกรณ์อื่นๆ</v>
      </c>
      <c r="D189" s="38" t="str">
        <f>IFERROR(VLOOKUP(A189,data!A:D,4,FALSE),"")</f>
        <v>กระบอกฉีดน้ำเล็ก</v>
      </c>
      <c r="E189" s="39"/>
      <c r="F189" s="40"/>
      <c r="G189" s="37">
        <f>IFERROR(VLOOKUP(A189,data!A:V,22,FALSE),"")</f>
        <v>8858890798567</v>
      </c>
      <c r="H189" s="37"/>
      <c r="I189" s="37"/>
      <c r="J189" s="41"/>
      <c r="K189" s="41"/>
      <c r="L189" s="42">
        <v>18</v>
      </c>
      <c r="M189" s="43">
        <v>20</v>
      </c>
      <c r="N189" s="42">
        <v>35</v>
      </c>
      <c r="O189" s="42">
        <v>10</v>
      </c>
      <c r="P189" s="44"/>
      <c r="Q189" s="45">
        <f>IFERROR(VLOOKUP(A189,'data-ค่าฝา'!A:G,7,0),"")</f>
      </c>
    </row>
    <row r="190" spans="1:17" x14ac:dyDescent="0.25">
      <c r="A190" s="1" t="s">
        <v>401</v>
      </c>
      <c r="B190" s="1" t="s">
        <v>297</v>
      </c>
      <c r="C190" s="38" t="str">
        <f>IFERROR(VLOOKUP(A190,data!A:G,7,FALSE),"")</f>
        <v>Other Equipment - อุปกรณ์อื่นๆ</v>
      </c>
      <c r="D190" s="38" t="str">
        <f>IFERROR(VLOOKUP(A190,data!A:D,4,FALSE),"")</f>
        <v>VALENTE กระบอกฉีดน้ำ รุ่น VAL-9804</v>
      </c>
      <c r="E190" s="39"/>
      <c r="F190" s="40"/>
      <c r="G190" s="37">
        <f>IFERROR(VLOOKUP(A190,data!A:V,22,FALSE),"")</f>
        <v>8858890798598</v>
      </c>
      <c r="H190" s="37"/>
      <c r="I190" s="37"/>
      <c r="J190" s="41"/>
      <c r="K190" s="41"/>
      <c r="L190" s="42">
        <v>24</v>
      </c>
      <c r="M190" s="43">
        <v>30</v>
      </c>
      <c r="N190" s="42">
        <v>60</v>
      </c>
      <c r="O190" s="42">
        <v>10</v>
      </c>
      <c r="P190" s="44"/>
      <c r="Q190" s="45">
        <f>IFERROR(VLOOKUP(A190,'data-ค่าฝา'!A:G,7,0),"")</f>
      </c>
    </row>
    <row r="191" spans="1:17" x14ac:dyDescent="0.25">
      <c r="A191" s="1" t="s">
        <v>402</v>
      </c>
      <c r="B191" s="1" t="s">
        <v>297</v>
      </c>
      <c r="C191" s="38">
        <f>IFERROR(VLOOKUP(A191,data!A:G,7,FALSE),"")</f>
      </c>
      <c r="D191" s="38">
        <f>IFERROR(VLOOKUP(A191,data!A:D,4,FALSE),"")</f>
      </c>
      <c r="E191" s="39"/>
      <c r="F191" s="40"/>
      <c r="G191" s="37">
        <f>IFERROR(VLOOKUP(A191,data!A:V,22,FALSE),"")</f>
      </c>
      <c r="H191" s="37"/>
      <c r="I191" s="37"/>
      <c r="J191" s="41"/>
      <c r="K191" s="41"/>
      <c r="L191" s="42">
        <v>14</v>
      </c>
      <c r="M191" s="43">
        <v>20</v>
      </c>
      <c r="N191" s="42">
        <v>35</v>
      </c>
      <c r="O191" s="42">
        <v>10</v>
      </c>
      <c r="P191" s="44"/>
      <c r="Q191" s="45">
        <f>IFERROR(VLOOKUP(A191,'data-ค่าฝา'!A:G,7,0),"")</f>
      </c>
    </row>
    <row r="192" spans="1:17" x14ac:dyDescent="0.25">
      <c r="A192" s="1" t="s">
        <v>403</v>
      </c>
      <c r="B192" s="1" t="s">
        <v>297</v>
      </c>
      <c r="C192" s="38">
        <f>IFERROR(VLOOKUP(A192,data!A:G,7,FALSE),"")</f>
      </c>
      <c r="D192" s="38">
        <f>IFERROR(VLOOKUP(A192,data!A:D,4,FALSE),"")</f>
      </c>
      <c r="E192" s="39"/>
      <c r="F192" s="40"/>
      <c r="G192" s="37">
        <f>IFERROR(VLOOKUP(A192,data!A:V,22,FALSE),"")</f>
      </c>
      <c r="H192" s="37"/>
      <c r="I192" s="37"/>
      <c r="J192" s="41"/>
      <c r="K192" s="41"/>
      <c r="L192" s="42">
        <v>14</v>
      </c>
      <c r="M192" s="43">
        <v>20</v>
      </c>
      <c r="N192" s="42">
        <v>35</v>
      </c>
      <c r="O192" s="42">
        <v>10</v>
      </c>
      <c r="P192" s="44"/>
      <c r="Q192" s="45">
        <f>IFERROR(VLOOKUP(A192,'data-ค่าฝา'!A:G,7,0),"")</f>
      </c>
    </row>
    <row r="193" spans="1:17" x14ac:dyDescent="0.25">
      <c r="A193" s="1" t="s">
        <v>404</v>
      </c>
      <c r="B193" s="1" t="s">
        <v>297</v>
      </c>
      <c r="C193" s="38">
        <f>IFERROR(VLOOKUP(A193,data!A:G,7,FALSE),"")</f>
      </c>
      <c r="D193" s="38">
        <f>IFERROR(VLOOKUP(A193,data!A:D,4,FALSE),"")</f>
      </c>
      <c r="E193" s="39"/>
      <c r="F193" s="40"/>
      <c r="G193" s="37">
        <f>IFERROR(VLOOKUP(A193,data!A:V,22,FALSE),"")</f>
      </c>
      <c r="H193" s="37"/>
      <c r="I193" s="37"/>
      <c r="J193" s="41"/>
      <c r="K193" s="41"/>
      <c r="L193" s="42">
        <v>14</v>
      </c>
      <c r="M193" s="43">
        <v>20</v>
      </c>
      <c r="N193" s="42">
        <v>35</v>
      </c>
      <c r="O193" s="42">
        <v>10</v>
      </c>
      <c r="P193" s="44"/>
      <c r="Q193" s="45">
        <f>IFERROR(VLOOKUP(A193,'data-ค่าฝา'!A:G,7,0),"")</f>
      </c>
    </row>
    <row r="194" spans="1:17" x14ac:dyDescent="0.25">
      <c r="A194" s="1" t="s">
        <v>405</v>
      </c>
      <c r="B194" s="1" t="s">
        <v>297</v>
      </c>
      <c r="C194" s="38">
        <f>IFERROR(VLOOKUP(A194,data!A:G,7,FALSE),"")</f>
      </c>
      <c r="D194" s="38">
        <f>IFERROR(VLOOKUP(A194,data!A:D,4,FALSE),"")</f>
      </c>
      <c r="E194" s="39"/>
      <c r="F194" s="40"/>
      <c r="G194" s="37">
        <f>IFERROR(VLOOKUP(A194,data!A:V,22,FALSE),"")</f>
      </c>
      <c r="H194" s="37"/>
      <c r="I194" s="37"/>
      <c r="J194" s="41"/>
      <c r="K194" s="41"/>
      <c r="L194" s="42">
        <v>14</v>
      </c>
      <c r="M194" s="43">
        <v>20</v>
      </c>
      <c r="N194" s="42">
        <v>35</v>
      </c>
      <c r="O194" s="42">
        <v>10</v>
      </c>
      <c r="P194" s="44"/>
      <c r="Q194" s="45">
        <f>IFERROR(VLOOKUP(A194,'data-ค่าฝา'!A:G,7,0),"")</f>
      </c>
    </row>
    <row r="195" spans="1:17" x14ac:dyDescent="0.25">
      <c r="A195" s="1" t="s">
        <v>406</v>
      </c>
      <c r="B195" s="1" t="s">
        <v>297</v>
      </c>
      <c r="C195" s="38">
        <f>IFERROR(VLOOKUP(A195,data!A:G,7,FALSE),"")</f>
      </c>
      <c r="D195" s="38">
        <f>IFERROR(VLOOKUP(A195,data!A:D,4,FALSE),"")</f>
      </c>
      <c r="E195" s="39"/>
      <c r="F195" s="40"/>
      <c r="G195" s="37">
        <f>IFERROR(VLOOKUP(A195,data!A:V,22,FALSE),"")</f>
      </c>
      <c r="H195" s="37"/>
      <c r="I195" s="37"/>
      <c r="J195" s="41"/>
      <c r="K195" s="41"/>
      <c r="L195" s="42">
        <v>14</v>
      </c>
      <c r="M195" s="43">
        <v>20</v>
      </c>
      <c r="N195" s="42">
        <v>35</v>
      </c>
      <c r="O195" s="42">
        <v>10</v>
      </c>
      <c r="P195" s="44"/>
      <c r="Q195" s="45">
        <f>IFERROR(VLOOKUP(A195,'data-ค่าฝา'!A:G,7,0),"")</f>
      </c>
    </row>
    <row r="196" spans="1:17" x14ac:dyDescent="0.25">
      <c r="A196" s="1" t="s">
        <v>407</v>
      </c>
      <c r="B196" s="1" t="s">
        <v>297</v>
      </c>
      <c r="C196" s="38">
        <f>IFERROR(VLOOKUP(A196,data!A:G,7,FALSE),"")</f>
      </c>
      <c r="D196" s="38">
        <f>IFERROR(VLOOKUP(A196,data!A:D,4,FALSE),"")</f>
      </c>
      <c r="E196" s="39"/>
      <c r="F196" s="40"/>
      <c r="G196" s="37">
        <f>IFERROR(VLOOKUP(A196,data!A:V,22,FALSE),"")</f>
      </c>
      <c r="H196" s="37"/>
      <c r="I196" s="37"/>
      <c r="J196" s="41"/>
      <c r="K196" s="41"/>
      <c r="L196" s="42">
        <v>14</v>
      </c>
      <c r="M196" s="43">
        <v>20</v>
      </c>
      <c r="N196" s="42">
        <v>35</v>
      </c>
      <c r="O196" s="42">
        <v>10</v>
      </c>
      <c r="P196" s="44"/>
      <c r="Q196" s="45">
        <f>IFERROR(VLOOKUP(A196,'data-ค่าฝา'!A:G,7,0),"")</f>
      </c>
    </row>
    <row r="197" spans="1:17" x14ac:dyDescent="0.25">
      <c r="A197" s="1" t="s">
        <v>408</v>
      </c>
      <c r="B197" s="1" t="s">
        <v>297</v>
      </c>
      <c r="C197" s="38">
        <f>IFERROR(VLOOKUP(A197,data!A:G,7,FALSE),"")</f>
      </c>
      <c r="D197" s="38">
        <f>IFERROR(VLOOKUP(A197,data!A:D,4,FALSE),"")</f>
      </c>
      <c r="E197" s="39"/>
      <c r="F197" s="40"/>
      <c r="G197" s="37">
        <f>IFERROR(VLOOKUP(A197,data!A:V,22,FALSE),"")</f>
      </c>
      <c r="H197" s="37"/>
      <c r="I197" s="37"/>
      <c r="J197" s="41"/>
      <c r="K197" s="41"/>
      <c r="L197" s="42">
        <v>140</v>
      </c>
      <c r="M197" s="43">
        <v>155</v>
      </c>
      <c r="N197" s="42">
        <v>180</v>
      </c>
      <c r="O197" s="42">
        <v>10</v>
      </c>
      <c r="P197" s="44"/>
      <c r="Q197" s="45">
        <f>IFERROR(VLOOKUP(A197,'data-ค่าฝา'!A:G,7,0),"")</f>
      </c>
    </row>
    <row r="198" spans="1:17" x14ac:dyDescent="0.25">
      <c r="A198" s="1" t="s">
        <v>409</v>
      </c>
      <c r="B198" s="1" t="s">
        <v>297</v>
      </c>
      <c r="C198" s="38">
        <f>IFERROR(VLOOKUP(A198,data!A:G,7,FALSE),"")</f>
      </c>
      <c r="D198" s="38">
        <f>IFERROR(VLOOKUP(A198,data!A:D,4,FALSE),"")</f>
      </c>
      <c r="E198" s="39"/>
      <c r="F198" s="40"/>
      <c r="G198" s="37">
        <f>IFERROR(VLOOKUP(A198,data!A:V,22,FALSE),"")</f>
      </c>
      <c r="H198" s="37"/>
      <c r="I198" s="37"/>
      <c r="J198" s="41"/>
      <c r="K198" s="41"/>
      <c r="L198" s="42">
        <v>140</v>
      </c>
      <c r="M198" s="43">
        <v>155</v>
      </c>
      <c r="N198" s="42">
        <v>180</v>
      </c>
      <c r="O198" s="42">
        <v>10</v>
      </c>
      <c r="P198" s="44"/>
      <c r="Q198" s="45">
        <f>IFERROR(VLOOKUP(A198,'data-ค่าฝา'!A:G,7,0),"")</f>
      </c>
    </row>
    <row r="199" spans="1:17" x14ac:dyDescent="0.25">
      <c r="A199" s="1" t="s">
        <v>410</v>
      </c>
      <c r="B199" s="1" t="s">
        <v>297</v>
      </c>
      <c r="C199" s="38">
        <f>IFERROR(VLOOKUP(A199,data!A:G,7,FALSE),"")</f>
      </c>
      <c r="D199" s="38">
        <f>IFERROR(VLOOKUP(A199,data!A:D,4,FALSE),"")</f>
      </c>
      <c r="E199" s="39"/>
      <c r="F199" s="40"/>
      <c r="G199" s="37">
        <f>IFERROR(VLOOKUP(A199,data!A:V,22,FALSE),"")</f>
      </c>
      <c r="H199" s="37"/>
      <c r="I199" s="37"/>
      <c r="J199" s="41"/>
      <c r="K199" s="41"/>
      <c r="L199" s="42">
        <v>47</v>
      </c>
      <c r="M199" s="43">
        <v>55</v>
      </c>
      <c r="N199" s="42">
        <v>70</v>
      </c>
      <c r="O199" s="42">
        <v>10</v>
      </c>
      <c r="P199" s="44"/>
      <c r="Q199" s="45">
        <f>IFERROR(VLOOKUP(A199,'data-ค่าฝา'!A:G,7,0),"")</f>
      </c>
    </row>
    <row r="200" spans="1:17" x14ac:dyDescent="0.25">
      <c r="A200" s="1" t="s">
        <v>411</v>
      </c>
      <c r="B200" s="1" t="s">
        <v>297</v>
      </c>
      <c r="C200" s="38">
        <f>IFERROR(VLOOKUP(A200,data!A:G,7,FALSE),"")</f>
      </c>
      <c r="D200" s="38">
        <f>IFERROR(VLOOKUP(A200,data!A:D,4,FALSE),"")</f>
      </c>
      <c r="E200" s="39"/>
      <c r="F200" s="40"/>
      <c r="G200" s="37">
        <f>IFERROR(VLOOKUP(A200,data!A:V,22,FALSE),"")</f>
      </c>
      <c r="H200" s="37"/>
      <c r="I200" s="37"/>
      <c r="J200" s="41"/>
      <c r="K200" s="41"/>
      <c r="L200" s="42">
        <v>47</v>
      </c>
      <c r="M200" s="43">
        <v>55</v>
      </c>
      <c r="N200" s="42">
        <v>70</v>
      </c>
      <c r="O200" s="42">
        <v>10</v>
      </c>
      <c r="P200" s="44"/>
      <c r="Q200" s="45">
        <f>IFERROR(VLOOKUP(A200,'data-ค่าฝา'!A:G,7,0),"")</f>
      </c>
    </row>
    <row r="201" spans="1:17" x14ac:dyDescent="0.25">
      <c r="A201" s="1" t="s">
        <v>412</v>
      </c>
      <c r="B201" s="1" t="s">
        <v>297</v>
      </c>
      <c r="C201" s="38" t="str">
        <f>IFERROR(VLOOKUP(A201,data!A:G,7,FALSE),"")</f>
        <v>Other Equipment - อุปกรณ์อื่นๆ</v>
      </c>
      <c r="D201" s="38" t="str">
        <f>IFERROR(VLOOKUP(A201,data!A:D,4,FALSE),"")</f>
        <v>M-46 วาเลนเต้ กระดาษพันคอ 1 แพ็ค 5 ม้วน สีดำ 500g</v>
      </c>
      <c r="E201" s="39"/>
      <c r="F201" s="40"/>
      <c r="G201" s="37">
        <f>IFERROR(VLOOKUP(A201,data!A:V,22,FALSE),"")</f>
        <v>8858890798550</v>
      </c>
      <c r="H201" s="37"/>
      <c r="I201" s="37"/>
      <c r="J201" s="41"/>
      <c r="K201" s="41"/>
      <c r="L201" s="42">
        <v>105</v>
      </c>
      <c r="M201" s="43">
        <v>120</v>
      </c>
      <c r="N201" s="42">
        <v>125</v>
      </c>
      <c r="O201" s="42">
        <v>10</v>
      </c>
      <c r="P201" s="44"/>
      <c r="Q201" s="45">
        <f>IFERROR(VLOOKUP(A201,'data-ค่าฝา'!A:G,7,0),"")</f>
      </c>
    </row>
    <row r="202" spans="1:17" x14ac:dyDescent="0.25">
      <c r="A202" s="1" t="s">
        <v>413</v>
      </c>
      <c r="B202" s="1" t="s">
        <v>297</v>
      </c>
      <c r="C202" s="38" t="str">
        <f>IFERROR(VLOOKUP(A202,data!A:G,7,FALSE),"")</f>
        <v>Other Equipment - อุปกรณ์อื่นๆ</v>
      </c>
      <c r="D202" s="38" t="str">
        <f>IFERROR(VLOOKUP(A202,data!A:D,4,FALSE),"")</f>
        <v>กล่องใส่กระดาษรองคอตัดผมบาร์เบอร์ (VLY-2003)</v>
      </c>
      <c r="E202" s="39"/>
      <c r="F202" s="40"/>
      <c r="G202" s="37">
        <f>IFERROR(VLOOKUP(A202,data!A:V,22,FALSE),"")</f>
        <v>8858890796457</v>
      </c>
      <c r="H202" s="37"/>
      <c r="I202" s="37"/>
      <c r="J202" s="41"/>
      <c r="K202" s="41"/>
      <c r="L202" s="42">
        <v>55</v>
      </c>
      <c r="M202" s="43">
        <v>65</v>
      </c>
      <c r="N202" s="42">
        <v>99</v>
      </c>
      <c r="O202" s="42">
        <v>10</v>
      </c>
      <c r="P202" s="44"/>
      <c r="Q202" s="45">
        <f>IFERROR(VLOOKUP(A202,'data-ค่าฝา'!A:G,7,0),"")</f>
      </c>
    </row>
    <row r="203" spans="1:17" x14ac:dyDescent="0.25">
      <c r="A203" s="1" t="s">
        <v>414</v>
      </c>
      <c r="B203" s="1" t="s">
        <v>297</v>
      </c>
      <c r="C203" s="38" t="str">
        <f>IFERROR(VLOOKUP(A203,data!A:G,7,FALSE),"")</f>
        <v>Other Equipment - อุปกรณ์อื่นๆ</v>
      </c>
      <c r="D203" s="38" t="str">
        <f>IFERROR(VLOOKUP(A203,data!A:D,4,FALSE),"")</f>
        <v>กระจก 2 ด้าน กระจกแบบพับ ส่องตัดผม รหัส SR-9973</v>
      </c>
      <c r="E203" s="39"/>
      <c r="F203" s="40"/>
      <c r="G203" s="37">
        <f>IFERROR(VLOOKUP(A203,data!A:V,22,FALSE),"")</f>
        <v>8858890793883</v>
      </c>
      <c r="H203" s="37"/>
      <c r="I203" s="37"/>
      <c r="J203" s="41"/>
      <c r="K203" s="41"/>
      <c r="L203" s="42">
        <v>250</v>
      </c>
      <c r="M203" s="43">
        <v>275</v>
      </c>
      <c r="N203" s="42">
        <v>350</v>
      </c>
      <c r="O203" s="42">
        <v>10</v>
      </c>
      <c r="P203" s="44"/>
      <c r="Q203" s="45">
        <f>IFERROR(VLOOKUP(A203,'data-ค่าฝา'!A:G,7,0),"")</f>
      </c>
    </row>
    <row r="204" spans="1:17" x14ac:dyDescent="0.25">
      <c r="A204" s="1" t="s">
        <v>415</v>
      </c>
      <c r="B204" s="1" t="s">
        <v>297</v>
      </c>
      <c r="C204" s="38" t="str">
        <f>IFERROR(VLOOKUP(A204,data!A:G,7,FALSE),"")</f>
        <v>Other Equipment - อุปกรณ์อื่นๆ</v>
      </c>
      <c r="D204" s="38" t="str">
        <f>IFERROR(VLOOKUP(A204,data!A:D,4,FALSE),"")</f>
        <v>กระจกส่อง 2 ด้าน สีเงิน SR-9973-11</v>
      </c>
      <c r="E204" s="39"/>
      <c r="F204" s="40"/>
      <c r="G204" s="37">
        <f>IFERROR(VLOOKUP(A204,data!A:V,22,FALSE),"")</f>
        <v>8858890798796</v>
      </c>
      <c r="H204" s="37"/>
      <c r="I204" s="37"/>
      <c r="J204" s="41"/>
      <c r="K204" s="41"/>
      <c r="L204" s="42">
        <v>250</v>
      </c>
      <c r="M204" s="43">
        <v>275</v>
      </c>
      <c r="N204" s="42">
        <v>350</v>
      </c>
      <c r="O204" s="42">
        <v>10</v>
      </c>
      <c r="P204" s="44"/>
      <c r="Q204" s="45">
        <f>IFERROR(VLOOKUP(A204,'data-ค่าฝา'!A:G,7,0),"")</f>
      </c>
    </row>
    <row r="205" spans="1:30" x14ac:dyDescent="0.25">
      <c r="A205" s="9" t="s">
        <v>416</v>
      </c>
      <c r="B205" s="9" t="s">
        <v>297</v>
      </c>
      <c r="C205" s="51" t="str">
        <f>IFERROR(VLOOKUP(A205,data!A:G,7,FALSE),"")</f>
        <v>Other Equipment - อุปกรณ์อื่นๆ</v>
      </c>
      <c r="D205" s="51" t="str">
        <f>IFERROR(VLOOKUP(A205,data!A:D,4,FALSE),"")</f>
        <v>VAL-700 วาเลนเต้ กระจกด้านเดียวสีดำ</v>
      </c>
      <c r="E205" s="52"/>
      <c r="F205" s="33"/>
      <c r="G205" s="53">
        <f>IFERROR(VLOOKUP(A205,data!A:V,22,FALSE),"")</f>
        <v>8858890799854</v>
      </c>
      <c r="H205" s="53"/>
      <c r="I205" s="53"/>
      <c r="J205" s="54">
        <v>0.723</v>
      </c>
      <c r="K205" s="54" t="s">
        <v>417</v>
      </c>
      <c r="L205" s="9">
        <v>130</v>
      </c>
      <c r="M205" s="8">
        <v>145</v>
      </c>
      <c r="N205" s="55">
        <v>200</v>
      </c>
      <c r="O205" s="9">
        <v>10</v>
      </c>
      <c r="P205" s="53"/>
      <c r="Q205" s="56">
        <f>IFERROR(VLOOKUP(A205,'data-ค่าฝา'!A:G,7,0),"")</f>
      </c>
      <c r="R205" s="8"/>
      <c r="S205" s="8"/>
      <c r="T205" s="8"/>
      <c r="U205" s="8"/>
      <c r="V205" s="8"/>
      <c r="W205" s="8"/>
      <c r="X205" s="8"/>
      <c r="Y205" s="8"/>
      <c r="Z205" s="8"/>
      <c r="AA205" s="8"/>
      <c r="AB205" s="8"/>
      <c r="AC205" s="8"/>
      <c r="AD205" s="8"/>
    </row>
    <row r="206" spans="1:30" x14ac:dyDescent="0.25">
      <c r="A206" s="9" t="s">
        <v>418</v>
      </c>
      <c r="B206" s="9" t="s">
        <v>297</v>
      </c>
      <c r="C206" s="51" t="str">
        <f>IFERROR(VLOOKUP(A206,data!A:G,7,FALSE),"")</f>
        <v>Other Equipment - อุปกรณ์อื่นๆ</v>
      </c>
      <c r="D206" s="51" t="str">
        <f>IFERROR(VLOOKUP(A206,data!A:D,4,FALSE),"")</f>
        <v>VAL-800 วาเลนเต้ กระจกด้านเดียวสีเงิน</v>
      </c>
      <c r="E206" s="52"/>
      <c r="F206" s="33"/>
      <c r="G206" s="53">
        <f>IFERROR(VLOOKUP(A206,data!A:V,22,FALSE),"")</f>
        <v>8858890799861</v>
      </c>
      <c r="H206" s="53"/>
      <c r="I206" s="53"/>
      <c r="J206" s="54">
        <v>0.723</v>
      </c>
      <c r="K206" s="54" t="s">
        <v>419</v>
      </c>
      <c r="L206" s="9">
        <v>130</v>
      </c>
      <c r="M206" s="8">
        <v>145</v>
      </c>
      <c r="N206" s="9">
        <v>200</v>
      </c>
      <c r="O206" s="9">
        <v>10</v>
      </c>
      <c r="P206" s="53"/>
      <c r="Q206" s="56">
        <f>IFERROR(VLOOKUP(A206,'data-ค่าฝา'!A:G,7,0),"")</f>
      </c>
      <c r="R206" s="8"/>
      <c r="S206" s="8"/>
      <c r="T206" s="8"/>
      <c r="U206" s="8"/>
      <c r="V206" s="8"/>
      <c r="W206" s="8"/>
      <c r="X206" s="8"/>
      <c r="Y206" s="8"/>
      <c r="Z206" s="8"/>
      <c r="AA206" s="8"/>
      <c r="AB206" s="8"/>
      <c r="AC206" s="8"/>
      <c r="AD206" s="8"/>
    </row>
    <row r="207" spans="1:17" x14ac:dyDescent="0.25">
      <c r="A207" s="1" t="s">
        <v>420</v>
      </c>
      <c r="B207" s="1" t="s">
        <v>297</v>
      </c>
      <c r="C207" s="38">
        <f>IFERROR(VLOOKUP(A207,data!A:G,7,FALSE),"")</f>
      </c>
      <c r="D207" s="38">
        <f>IFERROR(VLOOKUP(A207,data!A:D,4,FALSE),"")</f>
      </c>
      <c r="E207" s="39"/>
      <c r="F207" s="40"/>
      <c r="G207" s="37">
        <f>IFERROR(VLOOKUP(A207,data!A:V,22,FALSE),"")</f>
      </c>
      <c r="H207" s="37"/>
      <c r="I207" s="37"/>
      <c r="J207" s="41"/>
      <c r="K207" s="41"/>
      <c r="L207" s="42">
        <v>70</v>
      </c>
      <c r="M207" s="43">
        <v>80</v>
      </c>
      <c r="N207" s="42">
        <v>100</v>
      </c>
      <c r="O207" s="42">
        <v>10</v>
      </c>
      <c r="P207" s="44"/>
      <c r="Q207" s="45">
        <f>IFERROR(VLOOKUP(A207,'data-ค่าฝา'!A:G,7,0),"")</f>
      </c>
    </row>
    <row r="208" spans="1:17" x14ac:dyDescent="0.25">
      <c r="A208" s="1" t="s">
        <v>421</v>
      </c>
      <c r="B208" s="1" t="s">
        <v>297</v>
      </c>
      <c r="C208" s="38" t="str">
        <f>IFERROR(VLOOKUP(A208,data!A:G,7,FALSE),"")</f>
        <v>Other Equipment - อุปกรณ์อื่นๆ</v>
      </c>
      <c r="D208" s="38" t="str">
        <f>IFERROR(VLOOKUP(A208,data!A:D,4,FALSE),"")</f>
        <v>VALENTE กระจกทรงกลม รุ่น PK-0530</v>
      </c>
      <c r="E208" s="39"/>
      <c r="F208" s="40"/>
      <c r="G208" s="37">
        <f>IFERROR(VLOOKUP(A208,data!A:V,22,FALSE),"")</f>
        <v>8858890790325</v>
      </c>
      <c r="H208" s="37"/>
      <c r="I208" s="37"/>
      <c r="J208" s="41"/>
      <c r="K208" s="41"/>
      <c r="L208" s="42">
        <v>95</v>
      </c>
      <c r="M208" s="43">
        <v>105</v>
      </c>
      <c r="N208" s="42">
        <v>125</v>
      </c>
      <c r="O208" s="42">
        <v>10</v>
      </c>
      <c r="P208" s="44"/>
      <c r="Q208" s="45">
        <f>IFERROR(VLOOKUP(A208,'data-ค่าฝา'!A:G,7,0),"")</f>
      </c>
    </row>
    <row r="209" spans="1:17" x14ac:dyDescent="0.25">
      <c r="A209" s="1" t="s">
        <v>422</v>
      </c>
      <c r="B209" s="1" t="s">
        <v>297</v>
      </c>
      <c r="C209" s="38" t="str">
        <f>IFERROR(VLOOKUP(A209,data!A:G,7,FALSE),"")</f>
        <v>Other Equipment - อุปกรณ์อื่นๆ</v>
      </c>
      <c r="D209" s="38" t="str">
        <f>IFERROR(VLOOKUP(A209,data!A:D,4,FALSE),"")</f>
        <v>โถล้างเครื่องมือฆ่าเชื้อ 1000 มล. VLY-2001</v>
      </c>
      <c r="E209" s="39"/>
      <c r="F209" s="40"/>
      <c r="G209" s="37">
        <f>IFERROR(VLOOKUP(A209,data!A:V,22,FALSE),"")</f>
        <v>8858890796464</v>
      </c>
      <c r="H209" s="37"/>
      <c r="I209" s="37"/>
      <c r="J209" s="41"/>
      <c r="K209" s="41"/>
      <c r="L209" s="42">
        <v>200</v>
      </c>
      <c r="M209" s="43">
        <v>220</v>
      </c>
      <c r="N209" s="42">
        <v>350</v>
      </c>
      <c r="O209" s="42">
        <v>10</v>
      </c>
      <c r="P209" s="44"/>
      <c r="Q209" s="45">
        <f>IFERROR(VLOOKUP(A209,'data-ค่าฝา'!A:G,7,0),"")</f>
      </c>
    </row>
    <row r="210" spans="1:17" x14ac:dyDescent="0.25">
      <c r="A210" s="1" t="s">
        <v>423</v>
      </c>
      <c r="B210" s="1" t="s">
        <v>297</v>
      </c>
      <c r="C210" s="38" t="str">
        <f>IFERROR(VLOOKUP(A210,data!A:G,7,FALSE),"")</f>
        <v>Other Equipment - อุปกรณ์อื่นๆ</v>
      </c>
      <c r="D210" s="38" t="str">
        <f>IFERROR(VLOOKUP(A210,data!A:D,4,FALSE),"")</f>
        <v>โถล้างเครื่องมือฆ่าเชื้อ 1500มล. VLY-2002</v>
      </c>
      <c r="E210" s="39"/>
      <c r="F210" s="40"/>
      <c r="G210" s="37">
        <f>IFERROR(VLOOKUP(A210,data!A:V,22,FALSE),"")</f>
        <v>8858890796471</v>
      </c>
      <c r="H210" s="37"/>
      <c r="I210" s="37"/>
      <c r="J210" s="41"/>
      <c r="K210" s="41"/>
      <c r="L210" s="42">
        <v>250</v>
      </c>
      <c r="M210" s="43">
        <v>275</v>
      </c>
      <c r="N210" s="42">
        <v>395</v>
      </c>
      <c r="O210" s="42">
        <v>10</v>
      </c>
      <c r="P210" s="44"/>
      <c r="Q210" s="45">
        <f>IFERROR(VLOOKUP(A210,'data-ค่าฝา'!A:G,7,0),"")</f>
      </c>
    </row>
    <row r="211" spans="1:17" x14ac:dyDescent="0.25">
      <c r="A211" s="1" t="s">
        <v>424</v>
      </c>
      <c r="B211" s="1" t="s">
        <v>297</v>
      </c>
      <c r="C211" s="38" t="str">
        <f>IFERROR(VLOOKUP(A211,data!A:G,7,FALSE),"")</f>
        <v>Other Equipment - อุปกรณ์อื่นๆ</v>
      </c>
      <c r="D211" s="38" t="str">
        <f>IFERROR(VLOOKUP(A211,data!A:D,4,FALSE),"")</f>
        <v>กิ๊ฟปากจรเข้สีพาสเทล 6 ชิ้น รหัสสินค้า PKY-2232</v>
      </c>
      <c r="E211" s="39"/>
      <c r="F211" s="40"/>
      <c r="G211" s="37">
        <f>IFERROR(VLOOKUP(A211,data!A:V,22,FALSE),"")</f>
        <v>8858890798161</v>
      </c>
      <c r="H211" s="37"/>
      <c r="I211" s="37"/>
      <c r="J211" s="41"/>
      <c r="K211" s="41"/>
      <c r="L211" s="42">
        <v>38</v>
      </c>
      <c r="M211" s="43">
        <v>45</v>
      </c>
      <c r="N211" s="42">
        <v>60</v>
      </c>
      <c r="O211" s="42">
        <v>10</v>
      </c>
      <c r="P211" s="44"/>
      <c r="Q211" s="45">
        <f>IFERROR(VLOOKUP(A211,'data-ค่าฝา'!A:G,7,0),"")</f>
      </c>
    </row>
    <row r="212" spans="1:17" x14ac:dyDescent="0.25">
      <c r="A212" s="1" t="s">
        <v>425</v>
      </c>
      <c r="B212" s="1" t="s">
        <v>297</v>
      </c>
      <c r="C212" s="38">
        <f>IFERROR(VLOOKUP(A212,data!A:G,7,FALSE),"")</f>
      </c>
      <c r="D212" s="38">
        <f>IFERROR(VLOOKUP(A212,data!A:D,4,FALSE),"")</f>
      </c>
      <c r="E212" s="39"/>
      <c r="F212" s="40"/>
      <c r="G212" s="37">
        <f>IFERROR(VLOOKUP(A212,data!A:V,22,FALSE),"")</f>
      </c>
      <c r="H212" s="37"/>
      <c r="I212" s="37"/>
      <c r="J212" s="41"/>
      <c r="K212" s="41"/>
      <c r="L212" s="42">
        <v>32</v>
      </c>
      <c r="M212" s="43">
        <v>40</v>
      </c>
      <c r="N212" s="42">
        <v>50</v>
      </c>
      <c r="O212" s="42">
        <v>10</v>
      </c>
      <c r="P212" s="44"/>
      <c r="Q212" s="45">
        <f>IFERROR(VLOOKUP(A212,'data-ค่าฝา'!A:G,7,0),"")</f>
      </c>
    </row>
    <row r="213" spans="1:17" x14ac:dyDescent="0.25">
      <c r="A213" s="1" t="s">
        <v>426</v>
      </c>
      <c r="B213" s="1" t="s">
        <v>297</v>
      </c>
      <c r="C213" s="38">
        <f>IFERROR(VLOOKUP(A213,data!A:G,7,FALSE),"")</f>
      </c>
      <c r="D213" s="38">
        <f>IFERROR(VLOOKUP(A213,data!A:D,4,FALSE),"")</f>
      </c>
      <c r="E213" s="39"/>
      <c r="F213" s="40"/>
      <c r="G213" s="37">
        <f>IFERROR(VLOOKUP(A213,data!A:V,22,FALSE),"")</f>
      </c>
      <c r="H213" s="37"/>
      <c r="I213" s="37"/>
      <c r="J213" s="41"/>
      <c r="K213" s="41"/>
      <c r="L213" s="42">
        <v>32</v>
      </c>
      <c r="M213" s="43">
        <v>40</v>
      </c>
      <c r="N213" s="42">
        <v>50</v>
      </c>
      <c r="O213" s="42">
        <v>10</v>
      </c>
      <c r="P213" s="44"/>
      <c r="Q213" s="45">
        <f>IFERROR(VLOOKUP(A213,'data-ค่าฝา'!A:G,7,0),"")</f>
      </c>
    </row>
    <row r="214" spans="1:17" x14ac:dyDescent="0.25">
      <c r="A214" s="1" t="s">
        <v>427</v>
      </c>
      <c r="B214" s="1" t="s">
        <v>297</v>
      </c>
      <c r="C214" s="38">
        <f>IFERROR(VLOOKUP(A214,data!A:G,7,FALSE),"")</f>
      </c>
      <c r="D214" s="38">
        <f>IFERROR(VLOOKUP(A214,data!A:D,4,FALSE),"")</f>
      </c>
      <c r="E214" s="39"/>
      <c r="F214" s="40"/>
      <c r="G214" s="37">
        <f>IFERROR(VLOOKUP(A214,data!A:V,22,FALSE),"")</f>
      </c>
      <c r="H214" s="37"/>
      <c r="I214" s="37"/>
      <c r="J214" s="41"/>
      <c r="K214" s="41"/>
      <c r="L214" s="42">
        <v>32</v>
      </c>
      <c r="M214" s="43">
        <v>40</v>
      </c>
      <c r="N214" s="42">
        <v>50</v>
      </c>
      <c r="O214" s="42">
        <v>10</v>
      </c>
      <c r="P214" s="44"/>
      <c r="Q214" s="45">
        <f>IFERROR(VLOOKUP(A214,'data-ค่าฝา'!A:G,7,0),"")</f>
      </c>
    </row>
    <row r="215" spans="1:17" x14ac:dyDescent="0.25">
      <c r="A215" s="1" t="s">
        <v>428</v>
      </c>
      <c r="B215" s="1" t="s">
        <v>297</v>
      </c>
      <c r="C215" s="38">
        <f>IFERROR(VLOOKUP(A215,data!A:G,7,FALSE),"")</f>
      </c>
      <c r="D215" s="38">
        <f>IFERROR(VLOOKUP(A215,data!A:D,4,FALSE),"")</f>
      </c>
      <c r="E215" s="39"/>
      <c r="F215" s="40"/>
      <c r="G215" s="37">
        <f>IFERROR(VLOOKUP(A215,data!A:V,22,FALSE),"")</f>
      </c>
      <c r="H215" s="37"/>
      <c r="I215" s="37"/>
      <c r="J215" s="41"/>
      <c r="K215" s="41"/>
      <c r="L215" s="42">
        <v>32</v>
      </c>
      <c r="M215" s="43">
        <v>40</v>
      </c>
      <c r="N215" s="42">
        <v>50</v>
      </c>
      <c r="O215" s="42">
        <v>10</v>
      </c>
      <c r="P215" s="44"/>
      <c r="Q215" s="45">
        <f>IFERROR(VLOOKUP(A215,'data-ค่าฝา'!A:G,7,0),"")</f>
      </c>
    </row>
    <row r="216" spans="1:17" x14ac:dyDescent="0.25">
      <c r="A216" s="1" t="s">
        <v>429</v>
      </c>
      <c r="B216" s="1" t="s">
        <v>297</v>
      </c>
      <c r="C216" s="38" t="str">
        <f>IFERROR(VLOOKUP(A216,data!A:G,7,FALSE),"")</f>
        <v>Other Equipment - อุปกรณ์อื่นๆ</v>
      </c>
      <c r="D216" s="38" t="str">
        <f>IFERROR(VLOOKUP(A216,data!A:D,4,FALSE),"")</f>
        <v>วาเลนเต้ กิ๊ฟผีเสื้อ สีเหลือง,ชมพู,ม่วง,ฟ้า 0.059g. รหัสสินค้า VAL-1401</v>
      </c>
      <c r="E216" s="39"/>
      <c r="F216" s="40"/>
      <c r="G216" s="37">
        <f>IFERROR(VLOOKUP(A216,data!A:V,22,FALSE),"")</f>
        <v>8858890791445</v>
      </c>
      <c r="H216" s="37"/>
      <c r="I216" s="37"/>
      <c r="J216" s="41"/>
      <c r="K216" s="41"/>
      <c r="L216" s="42">
        <v>38</v>
      </c>
      <c r="M216" s="43">
        <v>45</v>
      </c>
      <c r="N216" s="42">
        <v>60</v>
      </c>
      <c r="O216" s="42">
        <v>10</v>
      </c>
      <c r="P216" s="44"/>
      <c r="Q216" s="45">
        <f>IFERROR(VLOOKUP(A216,'data-ค่าฝา'!A:G,7,0),"")</f>
      </c>
    </row>
    <row r="217" spans="1:17" x14ac:dyDescent="0.25">
      <c r="A217" s="1" t="s">
        <v>430</v>
      </c>
      <c r="B217" s="1" t="s">
        <v>297</v>
      </c>
      <c r="C217" s="38" t="str">
        <f>IFERROR(VLOOKUP(A217,data!A:G,7,FALSE),"")</f>
        <v>Other Equipment - อุปกรณ์อื่นๆ</v>
      </c>
      <c r="D217" s="38" t="str">
        <f>IFERROR(VLOOKUP(A217,data!A:D,4,FALSE),"")</f>
        <v>VALENTE HAIR CLIP กิ๊บหนีบผม 1แพคมี6ชิ้น คละสี รุ่น VAL-1407/A</v>
      </c>
      <c r="E217" s="39"/>
      <c r="F217" s="40"/>
      <c r="G217" s="37">
        <f>IFERROR(VLOOKUP(A217,data!A:V,22,FALSE),"")</f>
        <v>8858890791247</v>
      </c>
      <c r="H217" s="37"/>
      <c r="I217" s="37"/>
      <c r="J217" s="41"/>
      <c r="K217" s="41"/>
      <c r="L217" s="42">
        <v>35</v>
      </c>
      <c r="M217" s="43">
        <v>40</v>
      </c>
      <c r="N217" s="42">
        <v>60</v>
      </c>
      <c r="O217" s="42">
        <v>10</v>
      </c>
      <c r="P217" s="44"/>
      <c r="Q217" s="45">
        <f>IFERROR(VLOOKUP(A217,'data-ค่าฝา'!A:G,7,0),"")</f>
      </c>
    </row>
    <row r="218" spans="1:17" x14ac:dyDescent="0.25">
      <c r="A218" s="1" t="s">
        <v>431</v>
      </c>
      <c r="B218" s="1" t="s">
        <v>297</v>
      </c>
      <c r="C218" s="38" t="str">
        <f>IFERROR(VLOOKUP(A218,data!A:G,7,FALSE),"")</f>
        <v>Other Equipment - อุปกรณ์อื่นๆ</v>
      </c>
      <c r="D218" s="38" t="str">
        <f>IFERROR(VLOOKUP(A218,data!A:D,4,FALSE),"")</f>
        <v>VALENTE HAIR CLIP กิ๊บหนีบผม 1แพคมี12ชิ้น คละสี รุ่น VAL-1412</v>
      </c>
      <c r="E218" s="39"/>
      <c r="F218" s="40"/>
      <c r="G218" s="37">
        <f>IFERROR(VLOOKUP(A218,data!A:V,22,FALSE),"")</f>
        <v>8858890790585</v>
      </c>
      <c r="H218" s="37"/>
      <c r="I218" s="37"/>
      <c r="J218" s="41"/>
      <c r="K218" s="41"/>
      <c r="L218" s="42">
        <v>61</v>
      </c>
      <c r="M218" s="43">
        <v>70</v>
      </c>
      <c r="N218" s="42">
        <v>85</v>
      </c>
      <c r="O218" s="42">
        <v>10</v>
      </c>
      <c r="P218" s="44"/>
      <c r="Q218" s="45">
        <f>IFERROR(VLOOKUP(A218,'data-ค่าฝา'!A:G,7,0),"")</f>
      </c>
    </row>
    <row r="219" spans="1:17" x14ac:dyDescent="0.25">
      <c r="A219" s="1" t="s">
        <v>432</v>
      </c>
      <c r="B219" s="1" t="s">
        <v>297</v>
      </c>
      <c r="C219" s="38" t="str">
        <f>IFERROR(VLOOKUP(A219,data!A:G,7,FALSE),"")</f>
        <v>Other Equipment - อุปกรณ์อื่นๆ</v>
      </c>
      <c r="D219" s="38" t="str">
        <f>IFERROR(VLOOKUP(A219,data!A:D,4,FALSE),"")</f>
        <v>ไม้ตีสี ผสมสี อุปกรณ์ซาลอน (PKY-1402)</v>
      </c>
      <c r="E219" s="39"/>
      <c r="F219" s="40"/>
      <c r="G219" s="37">
        <f>IFERROR(VLOOKUP(A219,data!A:V,22,FALSE),"")</f>
        <v>8858890794033</v>
      </c>
      <c r="H219" s="37"/>
      <c r="I219" s="37"/>
      <c r="J219" s="41"/>
      <c r="K219" s="41"/>
      <c r="L219" s="42">
        <v>39</v>
      </c>
      <c r="M219" s="43">
        <v>45</v>
      </c>
      <c r="N219" s="42">
        <v>60</v>
      </c>
      <c r="O219" s="42">
        <v>10</v>
      </c>
      <c r="P219" s="44"/>
      <c r="Q219" s="45">
        <f>IFERROR(VLOOKUP(A219,'data-ค่าฝา'!A:G,7,0),"")</f>
      </c>
    </row>
    <row r="220" spans="1:17" x14ac:dyDescent="0.25">
      <c r="A220" s="1" t="s">
        <v>433</v>
      </c>
      <c r="B220" s="1" t="s">
        <v>297</v>
      </c>
      <c r="C220" s="38" t="str">
        <f>IFERROR(VLOOKUP(A220,data!A:G,7,FALSE),"")</f>
        <v>Other Equipment - อุปกรณ์อื่นๆ</v>
      </c>
      <c r="D220" s="38" t="str">
        <f>IFERROR(VLOOKUP(A220,data!A:D,4,FALSE),"")</f>
        <v>VALENTE COMB หวีแบ่งผม ทำไฮไลท์ รุ่น VAL-K237</v>
      </c>
      <c r="E220" s="39"/>
      <c r="F220" s="40"/>
      <c r="G220" s="37">
        <f>IFERROR(VLOOKUP(A220,data!A:V,22,FALSE),"")</f>
        <v>8858890782368</v>
      </c>
      <c r="H220" s="37"/>
      <c r="I220" s="37"/>
      <c r="J220" s="41"/>
      <c r="K220" s="41"/>
      <c r="L220" s="42">
        <v>28</v>
      </c>
      <c r="M220" s="43">
        <v>35</v>
      </c>
      <c r="N220" s="42">
        <v>60</v>
      </c>
      <c r="O220" s="42">
        <v>10</v>
      </c>
      <c r="P220" s="44"/>
      <c r="Q220" s="45">
        <f>IFERROR(VLOOKUP(A220,'data-ค่าฝา'!A:G,7,0),"")</f>
      </c>
    </row>
    <row r="221" spans="1:17" x14ac:dyDescent="0.25">
      <c r="A221" s="1" t="s">
        <v>434</v>
      </c>
      <c r="B221" s="1" t="s">
        <v>297</v>
      </c>
      <c r="C221" s="38" t="str">
        <f>IFERROR(VLOOKUP(A221,data!A:G,7,FALSE),"")</f>
        <v>Other Equipment - อุปกรณ์อื่นๆ</v>
      </c>
      <c r="D221" s="38" t="str">
        <f>IFERROR(VLOOKUP(A221,data!A:D,4,FALSE),"")</f>
        <v>ฟลอยด์แบบยาว G-11</v>
      </c>
      <c r="E221" s="39"/>
      <c r="F221" s="40"/>
      <c r="G221" s="37">
        <f>IFERROR(VLOOKUP(A221,data!A:V,22,FALSE),"")</f>
        <v>8858890796693</v>
      </c>
      <c r="H221" s="37"/>
      <c r="I221" s="37"/>
      <c r="J221" s="41"/>
      <c r="K221" s="41"/>
      <c r="L221" s="42">
        <v>37</v>
      </c>
      <c r="M221" s="43">
        <v>45</v>
      </c>
      <c r="N221" s="42">
        <v>60</v>
      </c>
      <c r="O221" s="42">
        <v>10</v>
      </c>
      <c r="P221" s="44"/>
      <c r="Q221" s="45">
        <f>IFERROR(VLOOKUP(A221,'data-ค่าฝา'!A:G,7,0),"")</f>
      </c>
    </row>
    <row r="222" spans="1:17" x14ac:dyDescent="0.25">
      <c r="A222" s="1" t="s">
        <v>435</v>
      </c>
      <c r="B222" s="1" t="s">
        <v>297</v>
      </c>
      <c r="C222" s="38" t="str">
        <f>IFERROR(VLOOKUP(A222,data!A:G,7,FALSE),"")</f>
        <v>Other Equipment - อุปกรณ์อื่นๆ</v>
      </c>
      <c r="D222" s="38" t="str">
        <f>IFERROR(VLOOKUP(A222,data!A:D,4,FALSE),"")</f>
        <v>วาเลนเต้ ฟลอยด์แบบสั้น สีเงิน 0.112g. รหัสสินค้า LST-186</v>
      </c>
      <c r="E222" s="39"/>
      <c r="F222" s="40"/>
      <c r="G222" s="37">
        <f>IFERROR(VLOOKUP(A222,data!A:V,22,FALSE),"")</f>
        <v>8858890791100</v>
      </c>
      <c r="H222" s="37"/>
      <c r="I222" s="37"/>
      <c r="J222" s="41"/>
      <c r="K222" s="41"/>
      <c r="L222" s="42">
        <v>39</v>
      </c>
      <c r="M222" s="43">
        <v>45</v>
      </c>
      <c r="N222" s="42">
        <v>60</v>
      </c>
      <c r="O222" s="42">
        <v>10</v>
      </c>
      <c r="P222" s="44"/>
      <c r="Q222" s="45">
        <f>IFERROR(VLOOKUP(A222,'data-ค่าฝา'!A:G,7,0),"")</f>
      </c>
    </row>
    <row r="223" spans="1:17" x14ac:dyDescent="0.25">
      <c r="A223" s="1" t="s">
        <v>436</v>
      </c>
      <c r="B223" s="1" t="s">
        <v>297</v>
      </c>
      <c r="C223" s="38" t="str">
        <f>IFERROR(VLOOKUP(A223,data!A:G,7,FALSE),"")</f>
        <v>Other Equipment - อุปกรณ์อื่นๆ</v>
      </c>
      <c r="D223" s="38" t="str">
        <f>IFERROR(VLOOKUP(A223,data!A:D,4,FALSE),"")</f>
        <v>ฟรอยด์สั้น ขนาด 16 เมตร XZ-1</v>
      </c>
      <c r="E223" s="39"/>
      <c r="F223" s="40"/>
      <c r="G223" s="37">
        <f>IFERROR(VLOOKUP(A223,data!A:V,22,FALSE),"")</f>
        <v>8858890798987</v>
      </c>
      <c r="H223" s="37"/>
      <c r="I223" s="37"/>
      <c r="J223" s="41"/>
      <c r="K223" s="41"/>
      <c r="L223" s="42">
        <v>95</v>
      </c>
      <c r="M223" s="43">
        <v>105</v>
      </c>
      <c r="N223" s="42">
        <v>120</v>
      </c>
      <c r="O223" s="42">
        <v>10</v>
      </c>
      <c r="P223" s="44"/>
      <c r="Q223" s="45">
        <f>IFERROR(VLOOKUP(A223,'data-ค่าฝา'!A:G,7,0),"")</f>
      </c>
    </row>
    <row r="224" spans="1:17" x14ac:dyDescent="0.25">
      <c r="A224" s="1" t="s">
        <v>437</v>
      </c>
      <c r="B224" s="1" t="s">
        <v>297</v>
      </c>
      <c r="C224" s="38" t="str">
        <f>IFERROR(VLOOKUP(A224,data!A:G,7,FALSE),"")</f>
        <v>Other Equipment - อุปกรณ์อื่นๆ</v>
      </c>
      <c r="D224" s="38" t="str">
        <f>IFERROR(VLOOKUP(A224,data!A:D,4,FALSE),"")</f>
        <v>แผ่นโฟมทำไฮไลท์ 50 แผ่น/แพค รหัส ZP-A16012</v>
      </c>
      <c r="E224" s="46"/>
      <c r="F224" s="40"/>
      <c r="G224" s="37">
        <f>IFERROR(VLOOKUP(A224,data!A:V,22,FALSE),"")</f>
        <v>8858890794842</v>
      </c>
      <c r="H224" s="37"/>
      <c r="I224" s="37"/>
      <c r="J224" s="41"/>
      <c r="K224" s="41"/>
      <c r="L224" s="42">
        <v>99</v>
      </c>
      <c r="M224" s="43">
        <v>110</v>
      </c>
      <c r="N224" s="42">
        <v>150</v>
      </c>
      <c r="O224" s="42">
        <v>10</v>
      </c>
      <c r="P224" s="44"/>
      <c r="Q224" s="45">
        <f>IFERROR(VLOOKUP(A224,'data-ค่าฝา'!A:G,7,0),"")</f>
      </c>
    </row>
    <row r="225" spans="1:17" x14ac:dyDescent="0.25">
      <c r="A225" s="1" t="s">
        <v>438</v>
      </c>
      <c r="B225" s="1" t="s">
        <v>297</v>
      </c>
      <c r="C225" s="38" t="str">
        <f>IFERROR(VLOOKUP(A225,data!A:G,7,FALSE),"")</f>
        <v>Other Equipment - อุปกรณ์อื่นๆ</v>
      </c>
      <c r="D225" s="38" t="str">
        <f>IFERROR(VLOOKUP(A225,data!A:D,4,FALSE),"")</f>
        <v>ฟิล์มยืดใส BD-9002</v>
      </c>
      <c r="E225" s="39"/>
      <c r="F225" s="40"/>
      <c r="G225" s="37">
        <f>IFERROR(VLOOKUP(A225,data!A:V,22,FALSE),"")</f>
      </c>
      <c r="H225" s="37"/>
      <c r="I225" s="37"/>
      <c r="J225" s="41"/>
      <c r="K225" s="41"/>
      <c r="L225" s="42">
        <v>45</v>
      </c>
      <c r="M225" s="43">
        <v>50</v>
      </c>
      <c r="N225" s="42">
        <v>70</v>
      </c>
      <c r="O225" s="42">
        <v>10</v>
      </c>
      <c r="P225" s="44"/>
      <c r="Q225" s="45">
        <f>IFERROR(VLOOKUP(A225,'data-ค่าฝา'!A:G,7,0),"")</f>
      </c>
    </row>
    <row r="226" spans="1:17" x14ac:dyDescent="0.25">
      <c r="A226" s="1" t="s">
        <v>439</v>
      </c>
      <c r="B226" s="1" t="s">
        <v>297</v>
      </c>
      <c r="C226" s="38" t="str">
        <f>IFERROR(VLOOKUP(A226,data!A:G,7,FALSE),"")</f>
        <v>Other Equipment - อุปกรณ์อื่นๆ</v>
      </c>
      <c r="D226" s="38" t="str">
        <f>IFERROR(VLOOKUP(A226,data!A:D,4,FALSE),"")</f>
        <v>กิ๊บปากเป็ดสั้น อลูมิเนียม คละสี (กิ๊บอลูมิเนียมคละสี) VAL-600</v>
      </c>
      <c r="E226" s="39"/>
      <c r="F226" s="40"/>
      <c r="G226" s="37">
        <f>IFERROR(VLOOKUP(A226,data!A:V,22,FALSE),"")</f>
        <v>8858890799892</v>
      </c>
      <c r="H226" s="37"/>
      <c r="I226" s="37"/>
      <c r="J226" s="41"/>
      <c r="K226" s="41"/>
      <c r="L226" s="42">
        <v>65</v>
      </c>
      <c r="M226" s="43">
        <v>75</v>
      </c>
      <c r="N226" s="42">
        <v>90</v>
      </c>
      <c r="O226" s="42">
        <v>10</v>
      </c>
      <c r="P226" s="44"/>
      <c r="Q226" s="45">
        <f>IFERROR(VLOOKUP(A226,'data-ค่าฝา'!A:G,7,0),"")</f>
      </c>
    </row>
    <row r="227" spans="1:17" x14ac:dyDescent="0.25">
      <c r="A227" s="1" t="s">
        <v>440</v>
      </c>
      <c r="B227" s="1" t="s">
        <v>297</v>
      </c>
      <c r="C227" s="38" t="str">
        <f>IFERROR(VLOOKUP(A227,data!A:G,7,FALSE),"")</f>
        <v>Other Equipment - อุปกรณ์อื่นๆ</v>
      </c>
      <c r="D227" s="38" t="str">
        <f>IFERROR(VLOOKUP(A227,data!A:D,4,FALSE),"")</f>
        <v>กิ๊ฟดำตุ่มใหญ่</v>
      </c>
      <c r="E227" s="39"/>
      <c r="F227" s="40"/>
      <c r="G227" s="37">
        <f>IFERROR(VLOOKUP(A227,data!A:V,22,FALSE),"")</f>
        <v>88588907927630</v>
      </c>
      <c r="H227" s="37"/>
      <c r="I227" s="37"/>
      <c r="J227" s="41"/>
      <c r="K227" s="41"/>
      <c r="L227" s="42">
        <v>33</v>
      </c>
      <c r="M227" s="43">
        <v>40</v>
      </c>
      <c r="N227" s="42">
        <v>60</v>
      </c>
      <c r="O227" s="42">
        <v>10</v>
      </c>
      <c r="P227" s="44"/>
      <c r="Q227" s="45">
        <f>IFERROR(VLOOKUP(A227,'data-ค่าฝา'!A:G,7,0),"")</f>
      </c>
    </row>
    <row r="228" spans="1:17" x14ac:dyDescent="0.25">
      <c r="A228" s="1" t="s">
        <v>441</v>
      </c>
      <c r="B228" s="1" t="s">
        <v>297</v>
      </c>
      <c r="C228" s="38" t="str">
        <f>IFERROR(VLOOKUP(A228,data!A:G,7,FALSE),"")</f>
        <v>Other Equipment - อุปกรณ์อื่นๆ</v>
      </c>
      <c r="D228" s="38" t="str">
        <f>IFERROR(VLOOKUP(A228,data!A:D,4,FALSE),"")</f>
        <v>VALENTE กิ๊บดำ ตุ้มใหญ่ ห่อใหญ่ วาเลนเต้ ขนาด 450g. GX-002</v>
      </c>
      <c r="E228" s="39"/>
      <c r="F228" s="40"/>
      <c r="G228" s="37">
        <f>IFERROR(VLOOKUP(A228,data!A:V,22,FALSE),"")</f>
        <v>8858890792961</v>
      </c>
      <c r="H228" s="37"/>
      <c r="I228" s="37"/>
      <c r="J228" s="41"/>
      <c r="K228" s="41"/>
      <c r="L228" s="42">
        <v>70</v>
      </c>
      <c r="M228" s="43">
        <v>80</v>
      </c>
      <c r="N228" s="42">
        <v>100</v>
      </c>
      <c r="O228" s="42">
        <v>10</v>
      </c>
      <c r="P228" s="44"/>
      <c r="Q228" s="45">
        <f>IFERROR(VLOOKUP(A228,'data-ค่าฝา'!A:G,7,0),"")</f>
      </c>
    </row>
    <row r="229" spans="1:17" x14ac:dyDescent="0.25">
      <c r="A229" s="10" t="s">
        <v>442</v>
      </c>
      <c r="B229" s="1" t="s">
        <v>297</v>
      </c>
      <c r="C229" s="38">
        <f>IFERROR(VLOOKUP(A229,data!A:G,7,FALSE),"")</f>
      </c>
      <c r="D229" s="38">
        <f>IFERROR(VLOOKUP(A229,data!A:D,4,FALSE),"")</f>
      </c>
      <c r="E229" s="39"/>
      <c r="F229" s="40"/>
      <c r="G229" s="37">
        <f>IFERROR(VLOOKUP(A229,data!A:V,22,FALSE),"")</f>
      </c>
      <c r="H229" s="37"/>
      <c r="I229" s="37"/>
      <c r="J229" s="41"/>
      <c r="K229" s="41"/>
      <c r="L229" s="42">
        <v>18</v>
      </c>
      <c r="M229" s="43">
        <v>20</v>
      </c>
      <c r="N229" s="43">
        <f>CEILING(D229*1.3,5)</f>
        <v>0</v>
      </c>
      <c r="O229" s="42">
        <v>10</v>
      </c>
      <c r="P229" s="44"/>
      <c r="Q229" s="45">
        <f>IFERROR(VLOOKUP(A229,'data-ค่าฝา'!A:G,7,0),"")</f>
      </c>
    </row>
    <row r="230" spans="1:17" x14ac:dyDescent="0.25">
      <c r="A230" s="1" t="s">
        <v>443</v>
      </c>
      <c r="B230" s="1" t="s">
        <v>297</v>
      </c>
      <c r="C230" s="38" t="str">
        <f>IFERROR(VLOOKUP(A230,data!A:G,7,FALSE),"")</f>
        <v>Other Equipment - อุปกรณ์อื่นๆ</v>
      </c>
      <c r="D230" s="38" t="str">
        <f>IFERROR(VLOOKUP(A230,data!A:D,4,FALSE),"")</f>
        <v>อุปกรณ์ย้อมผมด้วยตัวเอง ถ้วยผสมสี+แปรงย้อม PKY-1506</v>
      </c>
      <c r="E230" s="39"/>
      <c r="F230" s="40"/>
      <c r="G230" s="37">
        <f>IFERROR(VLOOKUP(A230,data!A:V,22,FALSE),"")</f>
        <v>8858890794453</v>
      </c>
      <c r="H230" s="37"/>
      <c r="I230" s="37"/>
      <c r="J230" s="41"/>
      <c r="K230" s="41"/>
      <c r="L230" s="42">
        <v>16</v>
      </c>
      <c r="M230" s="43">
        <v>20</v>
      </c>
      <c r="N230" s="42">
        <v>50</v>
      </c>
      <c r="O230" s="42">
        <v>10</v>
      </c>
      <c r="P230" s="44"/>
      <c r="Q230" s="45">
        <f>IFERROR(VLOOKUP(A230,'data-ค่าฝา'!A:G,7,0),"")</f>
      </c>
    </row>
    <row r="231" spans="1:17" x14ac:dyDescent="0.25">
      <c r="A231" s="1" t="s">
        <v>444</v>
      </c>
      <c r="B231" s="1" t="s">
        <v>297</v>
      </c>
      <c r="C231" s="38" t="str">
        <f>IFERROR(VLOOKUP(A231,data!A:G,7,FALSE),"")</f>
        <v>Other Equipment - อุปกรณ์อื่นๆ</v>
      </c>
      <c r="D231" s="38" t="str">
        <f>IFERROR(VLOOKUP(A231,data!A:D,4,FALSE),"")</f>
        <v>วาเลนเต้ ถ้วยผสมสี 0.110g. รหัสสินค้า SR-001</v>
      </c>
      <c r="E231" s="39"/>
      <c r="F231" s="40"/>
      <c r="G231" s="37">
        <f>IFERROR(VLOOKUP(A231,data!A:V,22,FALSE),"")</f>
        <v>8858890793746</v>
      </c>
      <c r="H231" s="37"/>
      <c r="I231" s="37"/>
      <c r="J231" s="41"/>
      <c r="K231" s="41"/>
      <c r="L231" s="42">
        <v>10</v>
      </c>
      <c r="M231" s="43">
        <v>15</v>
      </c>
      <c r="N231" s="42">
        <v>35</v>
      </c>
      <c r="O231" s="42">
        <v>10</v>
      </c>
      <c r="P231" s="44"/>
      <c r="Q231" s="45">
        <f>IFERROR(VLOOKUP(A231,'data-ค่าฝา'!A:G,7,0),"")</f>
      </c>
    </row>
    <row r="232" spans="1:17" x14ac:dyDescent="0.25">
      <c r="A232" s="1" t="s">
        <v>445</v>
      </c>
      <c r="B232" s="1" t="s">
        <v>297</v>
      </c>
      <c r="C232" s="38" t="str">
        <f>IFERROR(VLOOKUP(A232,data!A:G,7,FALSE),"")</f>
        <v>Other Equipment - อุปกรณ์อื่นๆ</v>
      </c>
      <c r="D232" s="38" t="str">
        <f>IFERROR(VLOOKUP(A232,data!A:D,4,FALSE),"")</f>
        <v>ถ้วยผสมสี ผสมด้วยการเชค รหัสสินค้า SR-002</v>
      </c>
      <c r="E232" s="39"/>
      <c r="F232" s="40"/>
      <c r="G232" s="37">
        <f>IFERROR(VLOOKUP(A232,data!A:V,22,FALSE),"")</f>
        <v>8858890793753</v>
      </c>
      <c r="H232" s="37"/>
      <c r="I232" s="37"/>
      <c r="J232" s="41"/>
      <c r="K232" s="41"/>
      <c r="L232" s="42">
        <v>10</v>
      </c>
      <c r="M232" s="43">
        <v>15</v>
      </c>
      <c r="N232" s="42">
        <v>35</v>
      </c>
      <c r="O232" s="42">
        <v>10</v>
      </c>
      <c r="P232" s="44"/>
      <c r="Q232" s="45">
        <f>IFERROR(VLOOKUP(A232,'data-ค่าฝา'!A:G,7,0),"")</f>
      </c>
    </row>
    <row r="233" spans="1:17" x14ac:dyDescent="0.25">
      <c r="A233" s="1" t="s">
        <v>446</v>
      </c>
      <c r="B233" s="1" t="s">
        <v>297</v>
      </c>
      <c r="C233" s="38" t="str">
        <f>IFERROR(VLOOKUP(A233,data!A:G,7,FALSE),"")</f>
        <v>Other Equipment - อุปกรณ์อื่นๆ</v>
      </c>
      <c r="D233" s="38" t="str">
        <f>IFERROR(VLOOKUP(A233,data!A:D,4,FALSE),"")</f>
        <v>วาเลนเต้ ถ้วยผสมสี สีฟ้า</v>
      </c>
      <c r="E233" s="39"/>
      <c r="F233" s="40"/>
      <c r="G233" s="37">
        <f>IFERROR(VLOOKUP(A233,data!A:V,22,FALSE),"")</f>
      </c>
      <c r="H233" s="37"/>
      <c r="I233" s="37"/>
      <c r="J233" s="41"/>
      <c r="K233" s="41"/>
      <c r="L233" s="42">
        <v>31</v>
      </c>
      <c r="M233" s="43">
        <v>35</v>
      </c>
      <c r="N233" s="42">
        <v>50</v>
      </c>
      <c r="O233" s="42">
        <v>10</v>
      </c>
      <c r="P233" s="44"/>
      <c r="Q233" s="45">
        <f>IFERROR(VLOOKUP(A233,'data-ค่าฝา'!A:G,7,0),"")</f>
      </c>
    </row>
    <row r="234" spans="1:17" x14ac:dyDescent="0.25">
      <c r="A234" s="10" t="s">
        <v>447</v>
      </c>
      <c r="B234" s="1" t="s">
        <v>297</v>
      </c>
      <c r="C234" s="38">
        <f>IFERROR(VLOOKUP(A234,data!A:G,7,FALSE),"")</f>
      </c>
      <c r="D234" s="38">
        <f>IFERROR(VLOOKUP(A234,data!A:D,4,FALSE),"")</f>
      </c>
      <c r="E234" s="39"/>
      <c r="F234" s="40"/>
      <c r="G234" s="37">
        <f>IFERROR(VLOOKUP(A234,data!A:V,22,FALSE),"")</f>
      </c>
      <c r="H234" s="37"/>
      <c r="I234" s="37"/>
      <c r="J234" s="41"/>
      <c r="K234" s="41"/>
      <c r="L234" s="42">
        <v>22</v>
      </c>
      <c r="M234" s="43">
        <v>25</v>
      </c>
      <c r="N234" s="43">
        <f>CEILING(D234*1.3,5)</f>
        <v>0</v>
      </c>
      <c r="O234" s="42">
        <v>10</v>
      </c>
      <c r="P234" s="44"/>
      <c r="Q234" s="45">
        <f>IFERROR(VLOOKUP(A234,'data-ค่าฝา'!A:G,7,0),"")</f>
      </c>
    </row>
    <row r="235" spans="1:17" x14ac:dyDescent="0.25">
      <c r="A235" s="1" t="s">
        <v>448</v>
      </c>
      <c r="B235" s="1" t="s">
        <v>297</v>
      </c>
      <c r="C235" s="38" t="str">
        <f>IFERROR(VLOOKUP(A235,data!A:G,7,FALSE),"")</f>
        <v>Other Equipment - อุปกรณ์อื่นๆ</v>
      </c>
      <c r="D235" s="38" t="str">
        <f>IFERROR(VLOOKUP(A235,data!A:D,4,FALSE),"")</f>
        <v>วาเลนเต้ แปรงสำหรับทำเคมี 0.014g. VAL-1708</v>
      </c>
      <c r="E235" s="39"/>
      <c r="F235" s="40"/>
      <c r="G235" s="37">
        <f>IFERROR(VLOOKUP(A235,data!A:V,22,FALSE),"")</f>
        <v>8858890780180</v>
      </c>
      <c r="H235" s="37"/>
      <c r="I235" s="37"/>
      <c r="J235" s="41"/>
      <c r="K235" s="41"/>
      <c r="L235" s="42">
        <v>10</v>
      </c>
      <c r="M235" s="43">
        <v>15</v>
      </c>
      <c r="N235" s="42">
        <v>35</v>
      </c>
      <c r="O235" s="42">
        <v>10</v>
      </c>
      <c r="P235" s="44"/>
      <c r="Q235" s="45">
        <f>IFERROR(VLOOKUP(A235,'data-ค่าฝา'!A:G,7,0),"")</f>
      </c>
    </row>
    <row r="236" spans="1:17" x14ac:dyDescent="0.25">
      <c r="A236" s="1" t="s">
        <v>449</v>
      </c>
      <c r="B236" s="1" t="s">
        <v>297</v>
      </c>
      <c r="C236" s="38" t="str">
        <f>IFERROR(VLOOKUP(A236,data!A:G,7,FALSE),"")</f>
        <v>Other Equipment - อุปกรณ์อื่นๆ</v>
      </c>
      <c r="D236" s="38" t="str">
        <f>IFERROR(VLOOKUP(A236,data!A:D,4,FALSE),"")</f>
        <v>แปรงสำหรับทำเคมี 2 ด้าน รหัสสินค้า VAL-1200</v>
      </c>
      <c r="E236" s="39"/>
      <c r="F236" s="40"/>
      <c r="G236" s="37">
        <f>IFERROR(VLOOKUP(A236,data!A:V,22,FALSE),"")</f>
        <v>8858890780999</v>
      </c>
      <c r="H236" s="37"/>
      <c r="I236" s="37"/>
      <c r="J236" s="41"/>
      <c r="K236" s="41"/>
      <c r="L236" s="42">
        <v>10</v>
      </c>
      <c r="M236" s="43">
        <v>15</v>
      </c>
      <c r="N236" s="42">
        <v>35</v>
      </c>
      <c r="O236" s="42">
        <v>10</v>
      </c>
      <c r="P236" s="44"/>
      <c r="Q236" s="45">
        <f>IFERROR(VLOOKUP(A236,'data-ค่าฝา'!A:G,7,0),"")</f>
      </c>
    </row>
    <row r="237" spans="1:17" x14ac:dyDescent="0.25">
      <c r="A237" s="1" t="s">
        <v>450</v>
      </c>
      <c r="B237" s="1" t="s">
        <v>297</v>
      </c>
      <c r="C237" s="38" t="str">
        <f>IFERROR(VLOOKUP(A237,data!A:G,7,FALSE),"")</f>
        <v>Other Equipment - อุปกรณ์อื่นๆ</v>
      </c>
      <c r="D237" s="38" t="str">
        <f>IFERROR(VLOOKUP(A237,data!A:D,4,FALSE),"")</f>
        <v>แปรงสำหรับทำเคมี ด้านเดียว รหัสสินค้า VAL-1201</v>
      </c>
      <c r="E237" s="39"/>
      <c r="F237" s="40"/>
      <c r="G237" s="37">
        <f>IFERROR(VLOOKUP(A237,data!A:V,22,FALSE),"")</f>
        <v>8858890780982</v>
      </c>
      <c r="H237" s="37"/>
      <c r="I237" s="37"/>
      <c r="J237" s="41"/>
      <c r="K237" s="41"/>
      <c r="L237" s="42">
        <v>10</v>
      </c>
      <c r="M237" s="43">
        <v>15</v>
      </c>
      <c r="N237" s="42">
        <v>35</v>
      </c>
      <c r="O237" s="42">
        <v>10</v>
      </c>
      <c r="P237" s="44"/>
      <c r="Q237" s="45">
        <f>IFERROR(VLOOKUP(A237,'data-ค่าฝา'!A:G,7,0),"")</f>
      </c>
    </row>
    <row r="238" spans="1:17" x14ac:dyDescent="0.25">
      <c r="A238" s="1" t="s">
        <v>451</v>
      </c>
      <c r="B238" s="1" t="s">
        <v>297</v>
      </c>
      <c r="C238" s="38" t="str">
        <f>IFERROR(VLOOKUP(A238,data!A:G,7,FALSE),"")</f>
        <v>Other Equipment - อุปกรณ์อื่นๆ</v>
      </c>
      <c r="D238" s="38" t="str">
        <f>IFERROR(VLOOKUP(A238,data!A:D,4,FALSE),"")</f>
        <v>SET แปรงยัอมผม ND-02</v>
      </c>
      <c r="E238" s="39"/>
      <c r="F238" s="40"/>
      <c r="G238" s="37">
        <f>IFERROR(VLOOKUP(A238,data!A:V,22,FALSE),"")</f>
        <v>8858890798970</v>
      </c>
      <c r="H238" s="37"/>
      <c r="I238" s="37"/>
      <c r="J238" s="41"/>
      <c r="K238" s="41"/>
      <c r="L238" s="42">
        <v>120</v>
      </c>
      <c r="M238" s="43">
        <v>135</v>
      </c>
      <c r="N238" s="42">
        <v>160</v>
      </c>
      <c r="O238" s="42">
        <v>10</v>
      </c>
      <c r="P238" s="44"/>
      <c r="Q238" s="45">
        <f>IFERROR(VLOOKUP(A238,'data-ค่าฝา'!A:G,7,0),"")</f>
      </c>
    </row>
    <row r="239" spans="1:17" x14ac:dyDescent="0.25">
      <c r="A239" s="1" t="s">
        <v>452</v>
      </c>
      <c r="B239" s="1" t="s">
        <v>297</v>
      </c>
      <c r="C239" s="38" t="str">
        <f>IFERROR(VLOOKUP(A239,data!A:G,7,FALSE),"")</f>
        <v>Other Equipment - อุปกรณ์อื่นๆ</v>
      </c>
      <c r="D239" s="38" t="str">
        <f>IFERROR(VLOOKUP(A239,data!A:D,4,FALSE),"")</f>
        <v>ถ้วยย้อมใส C-04</v>
      </c>
      <c r="E239" s="39"/>
      <c r="F239" s="40"/>
      <c r="G239" s="37">
        <f>IFERROR(VLOOKUP(A239,data!A:V,22,FALSE),"")</f>
        <v>8858890798963</v>
      </c>
      <c r="H239" s="37"/>
      <c r="I239" s="37"/>
      <c r="J239" s="41"/>
      <c r="K239" s="41"/>
      <c r="L239" s="42">
        <v>55</v>
      </c>
      <c r="M239" s="43">
        <v>65</v>
      </c>
      <c r="N239" s="42">
        <v>80</v>
      </c>
      <c r="O239" s="42">
        <v>10</v>
      </c>
      <c r="P239" s="44"/>
      <c r="Q239" s="45">
        <f>IFERROR(VLOOKUP(A239,'data-ค่าฝา'!A:G,7,0),"")</f>
      </c>
    </row>
    <row r="240" spans="1:17" x14ac:dyDescent="0.25">
      <c r="A240" s="1" t="s">
        <v>453</v>
      </c>
      <c r="B240" s="1" t="s">
        <v>297</v>
      </c>
      <c r="C240" s="38" t="str">
        <f>IFERROR(VLOOKUP(A240,data!A:G,7,FALSE),"")</f>
        <v>Other Equipment - อุปกรณ์อื่นๆ</v>
      </c>
      <c r="D240" s="38" t="str">
        <f>IFERROR(VLOOKUP(A240,data!A:D,4,FALSE),"")</f>
        <v>วาเลนเต้ ช่อผมทดลองเคมี สีน้ำตาล 0.068g. รหัสสินค้า HP/2</v>
      </c>
      <c r="E240" s="39"/>
      <c r="F240" s="40"/>
      <c r="G240" s="37">
        <f>IFERROR(VLOOKUP(A240,data!A:V,22,FALSE),"")</f>
        <v>8858890795146</v>
      </c>
      <c r="H240" s="37"/>
      <c r="I240" s="37"/>
      <c r="J240" s="41"/>
      <c r="K240" s="41"/>
      <c r="L240" s="42">
        <v>350</v>
      </c>
      <c r="M240" s="43">
        <v>385</v>
      </c>
      <c r="N240" s="42">
        <v>439</v>
      </c>
      <c r="O240" s="42">
        <v>10</v>
      </c>
      <c r="P240" s="44"/>
      <c r="Q240" s="45">
        <f>IFERROR(VLOOKUP(A240,'data-ค่าฝา'!A:G,7,0),"")</f>
      </c>
    </row>
    <row r="241" spans="1:17" x14ac:dyDescent="0.25">
      <c r="A241" s="1" t="s">
        <v>454</v>
      </c>
      <c r="B241" s="1" t="s">
        <v>297</v>
      </c>
      <c r="C241" s="38" t="str">
        <f>IFERROR(VLOOKUP(A241,data!A:G,7,FALSE),"")</f>
        <v>Other Equipment - อุปกรณ์อื่นๆ</v>
      </c>
      <c r="D241" s="38" t="str">
        <f>IFERROR(VLOOKUP(A241,data!A:D,4,FALSE),"")</f>
        <v>วาเลนเต้ หมวกทำไฮไลท์ VAL-400</v>
      </c>
      <c r="E241" s="39"/>
      <c r="F241" s="40"/>
      <c r="G241" s="37">
        <f>IFERROR(VLOOKUP(A241,data!A:V,22,FALSE),"")</f>
        <v>8858890799878</v>
      </c>
      <c r="H241" s="37"/>
      <c r="I241" s="37"/>
      <c r="J241" s="41"/>
      <c r="K241" s="41"/>
      <c r="L241" s="42">
        <v>79</v>
      </c>
      <c r="M241" s="43">
        <v>90</v>
      </c>
      <c r="N241" s="42">
        <v>120</v>
      </c>
      <c r="O241" s="42">
        <v>10</v>
      </c>
      <c r="P241" s="44"/>
      <c r="Q241" s="45">
        <f>IFERROR(VLOOKUP(A241,'data-ค่าฝา'!A:G,7,0),"")</f>
      </c>
    </row>
    <row r="242" spans="1:17" x14ac:dyDescent="0.25">
      <c r="A242" s="1" t="s">
        <v>455</v>
      </c>
      <c r="B242" s="1" t="s">
        <v>297</v>
      </c>
      <c r="C242" s="38" t="str">
        <f>IFERROR(VLOOKUP(A242,data!A:G,7,FALSE),"")</f>
        <v>Chemical - เคมีภัณฑ์</v>
      </c>
      <c r="D242" s="38" t="str">
        <f>IFERROR(VLOOKUP(A242,data!A:D,4,FALSE),"")</f>
        <v>หมวกทำไฮไลท์ รุ่น HS-00339</v>
      </c>
      <c r="E242" s="39"/>
      <c r="F242" s="40"/>
      <c r="G242" s="37">
        <f>IFERROR(VLOOKUP(A242,data!A:V,22,FALSE),"")</f>
        <v>8858890795931</v>
      </c>
      <c r="H242" s="37"/>
      <c r="I242" s="37"/>
      <c r="J242" s="41"/>
      <c r="K242" s="41"/>
      <c r="L242" s="42">
        <v>28</v>
      </c>
      <c r="M242" s="43">
        <v>35</v>
      </c>
      <c r="N242" s="42">
        <v>60</v>
      </c>
      <c r="O242" s="42">
        <v>10</v>
      </c>
      <c r="P242" s="44"/>
      <c r="Q242" s="45">
        <f>IFERROR(VLOOKUP(A242,'data-ค่าฝา'!A:G,7,0),"")</f>
      </c>
    </row>
    <row r="243" spans="1:17" x14ac:dyDescent="0.25">
      <c r="A243" s="1" t="s">
        <v>456</v>
      </c>
      <c r="B243" s="1" t="s">
        <v>297</v>
      </c>
      <c r="C243" s="38" t="str">
        <f>IFERROR(VLOOKUP(A243,data!A:G,7,FALSE),"")</f>
        <v>Other Equipment - อุปกรณ์อื่นๆ</v>
      </c>
      <c r="D243" s="38" t="str">
        <f>IFERROR(VLOOKUP(A243,data!A:D,4,FALSE),"")</f>
        <v>ACCESSORY หมวกคลุมผมดัด BD-051</v>
      </c>
      <c r="E243" s="39"/>
      <c r="F243" s="40"/>
      <c r="G243" s="37">
        <f>IFERROR(VLOOKUP(A243,data!A:V,22,FALSE),"")</f>
        <v>8858890793388</v>
      </c>
      <c r="H243" s="37"/>
      <c r="I243" s="37"/>
      <c r="J243" s="41"/>
      <c r="K243" s="41"/>
      <c r="L243" s="42">
        <v>28</v>
      </c>
      <c r="M243" s="43">
        <v>35</v>
      </c>
      <c r="N243" s="42">
        <v>55</v>
      </c>
      <c r="O243" s="42">
        <v>10</v>
      </c>
      <c r="P243" s="44"/>
      <c r="Q243" s="45">
        <f>IFERROR(VLOOKUP(A243,'data-ค่าฝา'!A:G,7,0),"")</f>
      </c>
    </row>
    <row r="244" spans="1:17" x14ac:dyDescent="0.25">
      <c r="A244" s="1" t="s">
        <v>457</v>
      </c>
      <c r="B244" s="1" t="s">
        <v>297</v>
      </c>
      <c r="C244" s="38" t="str">
        <f>IFERROR(VLOOKUP(A244,data!A:G,7,FALSE),"")</f>
        <v>Other Equipment - อุปกรณ์อื่นๆ</v>
      </c>
      <c r="D244" s="38" t="str">
        <f>IFERROR(VLOOKUP(A244,data!A:D,4,FALSE),"")</f>
        <v>วาเลนเต้ หน้ากากกันสเปรย์ สีชมพู 0.044g. VAL-8005</v>
      </c>
      <c r="E244" s="39"/>
      <c r="F244" s="40"/>
      <c r="G244" s="37">
        <f>IFERROR(VLOOKUP(A244,data!A:V,22,FALSE),"")</f>
        <v>8858890790554</v>
      </c>
      <c r="H244" s="37"/>
      <c r="I244" s="37"/>
      <c r="J244" s="41"/>
      <c r="K244" s="41"/>
      <c r="L244" s="42">
        <v>16</v>
      </c>
      <c r="M244" s="43">
        <v>20</v>
      </c>
      <c r="N244" s="42">
        <v>55</v>
      </c>
      <c r="O244" s="42">
        <v>10</v>
      </c>
      <c r="P244" s="44"/>
      <c r="Q244" s="45">
        <f>IFERROR(VLOOKUP(A244,'data-ค่าฝา'!A:G,7,0),"")</f>
      </c>
    </row>
    <row r="245" spans="1:30" x14ac:dyDescent="0.25">
      <c r="A245" s="9" t="s">
        <v>458</v>
      </c>
      <c r="B245" s="9" t="s">
        <v>297</v>
      </c>
      <c r="C245" s="51" t="str">
        <f>IFERROR(VLOOKUP(A245,data!A:G,7,FALSE),"")</f>
        <v>Other Equipment - อุปกรณ์อื่นๆ</v>
      </c>
      <c r="D245" s="51" t="str">
        <f>IFERROR(VLOOKUP(A245,data!A:D,4,FALSE),"")</f>
        <v>หัวหุ่นชาย H-004</v>
      </c>
      <c r="E245" s="58" t="s">
        <v>459</v>
      </c>
      <c r="F245" s="33"/>
      <c r="G245" s="53">
        <f>IFERROR(VLOOKUP(A245,data!A:V,22,FALSE),"")</f>
        <v>8858890798994</v>
      </c>
      <c r="H245" s="53"/>
      <c r="I245" s="53"/>
      <c r="J245" s="54">
        <v>0.777</v>
      </c>
      <c r="K245" s="54" t="s">
        <v>460</v>
      </c>
      <c r="L245" s="9">
        <v>750</v>
      </c>
      <c r="M245" s="8">
        <v>825</v>
      </c>
      <c r="N245" s="9">
        <v>950</v>
      </c>
      <c r="O245" s="9">
        <v>10</v>
      </c>
      <c r="P245" s="53"/>
      <c r="Q245" s="56">
        <f>IFERROR(VLOOKUP(A245,'data-ค่าฝา'!A:G,7,0),"")</f>
      </c>
      <c r="R245" s="8"/>
      <c r="S245" s="8"/>
      <c r="T245" s="8"/>
      <c r="U245" s="8"/>
      <c r="V245" s="8"/>
      <c r="W245" s="8"/>
      <c r="X245" s="8"/>
      <c r="Y245" s="8"/>
      <c r="Z245" s="8"/>
      <c r="AA245" s="8"/>
      <c r="AB245" s="8"/>
      <c r="AC245" s="8"/>
      <c r="AD245" s="8"/>
    </row>
    <row r="246" spans="1:30" x14ac:dyDescent="0.25">
      <c r="A246" s="9" t="s">
        <v>461</v>
      </c>
      <c r="B246" s="9" t="s">
        <v>297</v>
      </c>
      <c r="C246" s="51" t="str">
        <f>IFERROR(VLOOKUP(A246,data!A:G,7,FALSE),"")</f>
        <v>Other Equipment - อุปกรณ์อื่นๆ</v>
      </c>
      <c r="D246" s="51" t="str">
        <f>IFERROR(VLOOKUP(A246,data!A:D,4,FALSE),"")</f>
        <v>หัวหุ่นหญิง H-005</v>
      </c>
      <c r="E246" s="58" t="s">
        <v>462</v>
      </c>
      <c r="F246" s="33"/>
      <c r="G246" s="53">
        <f>IFERROR(VLOOKUP(A246,data!A:V,22,FALSE),"")</f>
        <v>8858890799007</v>
      </c>
      <c r="H246" s="53"/>
      <c r="I246" s="53"/>
      <c r="J246" s="54">
        <v>0.605</v>
      </c>
      <c r="K246" s="54" t="s">
        <v>463</v>
      </c>
      <c r="L246" s="9">
        <v>1600</v>
      </c>
      <c r="M246" s="8">
        <v>1760</v>
      </c>
      <c r="N246" s="9">
        <v>1950</v>
      </c>
      <c r="O246" s="9">
        <v>10</v>
      </c>
      <c r="P246" s="53"/>
      <c r="Q246" s="56">
        <f>IFERROR(VLOOKUP(A246,'data-ค่าฝา'!A:G,7,0),"")</f>
      </c>
      <c r="R246" s="8"/>
      <c r="S246" s="8"/>
      <c r="T246" s="8"/>
      <c r="U246" s="8"/>
      <c r="V246" s="8"/>
      <c r="W246" s="8"/>
      <c r="X246" s="8"/>
      <c r="Y246" s="8"/>
      <c r="Z246" s="8"/>
      <c r="AA246" s="8"/>
      <c r="AB246" s="8"/>
      <c r="AC246" s="8"/>
      <c r="AD246" s="8"/>
    </row>
    <row r="247" spans="1:17" x14ac:dyDescent="0.25">
      <c r="A247" s="10" t="s">
        <v>464</v>
      </c>
      <c r="B247" s="1" t="s">
        <v>297</v>
      </c>
      <c r="C247" s="38">
        <f>IFERROR(VLOOKUP(A247,data!A:G,7,FALSE),"")</f>
      </c>
      <c r="D247" s="38">
        <f>IFERROR(VLOOKUP(A247,data!A:D,4,FALSE),"")</f>
      </c>
      <c r="E247" s="39"/>
      <c r="F247" s="40"/>
      <c r="G247" s="37">
        <f>IFERROR(VLOOKUP(A247,data!A:V,22,FALSE),"")</f>
      </c>
      <c r="H247" s="37"/>
      <c r="I247" s="37"/>
      <c r="J247" s="41"/>
      <c r="K247" s="41"/>
      <c r="L247" s="1">
        <v>50</v>
      </c>
      <c r="M247" s="6">
        <v>55</v>
      </c>
      <c r="N247" s="6">
        <f>CEILING(D247*1.3,5)</f>
        <v>0</v>
      </c>
      <c r="O247" s="1">
        <v>10</v>
      </c>
      <c r="P247" s="37"/>
      <c r="Q247" s="61">
        <f>IFERROR(VLOOKUP(A247,'data-ค่าฝา'!A:G,7,0),"")</f>
      </c>
    </row>
    <row r="248" spans="1:17" x14ac:dyDescent="0.25">
      <c r="A248" s="1" t="s">
        <v>465</v>
      </c>
      <c r="B248" s="1" t="s">
        <v>297</v>
      </c>
      <c r="C248" s="38" t="str">
        <f>IFERROR(VLOOKUP(A248,data!A:G,7,FALSE),"")</f>
        <v>Other Equipment - อุปกรณ์อื่นๆ</v>
      </c>
      <c r="D248" s="38" t="str">
        <f>IFERROR(VLOOKUP(A248,data!A:D,4,FALSE),"")</f>
        <v>แผ่นกันความร้อนดัดสปาเพิร์ม 20แผ่น/แพค GLY-1302</v>
      </c>
      <c r="E248" s="39"/>
      <c r="F248" s="40"/>
      <c r="G248" s="37">
        <f>IFERROR(VLOOKUP(A248,data!A:V,22,FALSE),"")</f>
        <v>8858890793630</v>
      </c>
      <c r="H248" s="37"/>
      <c r="I248" s="37"/>
      <c r="J248" s="41"/>
      <c r="K248" s="41"/>
      <c r="L248" s="42">
        <v>65</v>
      </c>
      <c r="M248" s="43">
        <v>75</v>
      </c>
      <c r="N248" s="42">
        <v>100</v>
      </c>
      <c r="O248" s="42">
        <v>10</v>
      </c>
      <c r="P248" s="44"/>
      <c r="Q248" s="45">
        <f>IFERROR(VLOOKUP(A248,'data-ค่าฝา'!A:G,7,0),"")</f>
      </c>
    </row>
    <row r="249" spans="1:30" x14ac:dyDescent="0.25">
      <c r="A249" s="9" t="s">
        <v>466</v>
      </c>
      <c r="B249" s="9" t="s">
        <v>297</v>
      </c>
      <c r="C249" s="51" t="str">
        <f>IFERROR(VLOOKUP(A249,data!A:G,7,FALSE),"")</f>
        <v>Other Equipment - อุปกรณ์อื่นๆ</v>
      </c>
      <c r="D249" s="51" t="str">
        <f>IFERROR(VLOOKUP(A249,data!A:D,4,FALSE),"")</f>
        <v>กระดาษพันแกนดัดเย็น 35แผ่น/1กล่อง รุ่น Z-027</v>
      </c>
      <c r="E249" s="58" t="s">
        <v>467</v>
      </c>
      <c r="F249" s="33"/>
      <c r="G249" s="53">
        <f>IFERROR(VLOOKUP(A249,data!A:V,22,FALSE),"")</f>
        <v>8858890794651</v>
      </c>
      <c r="H249" s="53"/>
      <c r="I249" s="53"/>
      <c r="J249" s="54">
        <v>0.055</v>
      </c>
      <c r="K249" s="54" t="s">
        <v>468</v>
      </c>
      <c r="L249" s="9">
        <v>33</v>
      </c>
      <c r="M249" s="8">
        <v>40</v>
      </c>
      <c r="N249" s="9">
        <v>60</v>
      </c>
      <c r="O249" s="9">
        <v>10</v>
      </c>
      <c r="P249" s="53"/>
      <c r="Q249" s="56">
        <f>IFERROR(VLOOKUP(A249,'data-ค่าฝา'!A:G,7,0),"")</f>
      </c>
      <c r="R249" s="8"/>
      <c r="S249" s="8"/>
      <c r="T249" s="8"/>
      <c r="U249" s="8"/>
      <c r="V249" s="8"/>
      <c r="W249" s="8"/>
      <c r="X249" s="8"/>
      <c r="Y249" s="8"/>
      <c r="Z249" s="8"/>
      <c r="AA249" s="8"/>
      <c r="AB249" s="8"/>
      <c r="AC249" s="8"/>
      <c r="AD249" s="8"/>
    </row>
    <row r="250" spans="1:30" x14ac:dyDescent="0.25">
      <c r="A250" s="9" t="s">
        <v>469</v>
      </c>
      <c r="B250" s="9" t="s">
        <v>297</v>
      </c>
      <c r="C250" s="51" t="str">
        <f>IFERROR(VLOOKUP(A250,data!A:G,7,FALSE),"")</f>
        <v>Other Equipment - อุปกรณ์อื่นๆ</v>
      </c>
      <c r="D250" s="51" t="str">
        <f>IFERROR(VLOOKUP(A250,data!A:D,4,FALSE),"")</f>
        <v>วาเลนเต้ กระดาษพันแกนดัน ดันเย็น อุปกรณ์ดัดผม จำนวน 380 แผ่น รหัสสินค้า Z-028</v>
      </c>
      <c r="E250" s="58" t="s">
        <v>470</v>
      </c>
      <c r="F250" s="33"/>
      <c r="G250" s="53">
        <f>IFERROR(VLOOKUP(A250,data!A:V,22,FALSE),"")</f>
        <v>8858890796631</v>
      </c>
      <c r="H250" s="53"/>
      <c r="I250" s="53"/>
      <c r="J250" s="54">
        <v>0.106</v>
      </c>
      <c r="K250" s="54" t="s">
        <v>471</v>
      </c>
      <c r="L250" s="9">
        <v>45</v>
      </c>
      <c r="M250" s="8">
        <v>50</v>
      </c>
      <c r="N250" s="9">
        <v>80</v>
      </c>
      <c r="O250" s="9">
        <v>10</v>
      </c>
      <c r="P250" s="53"/>
      <c r="Q250" s="56">
        <f>IFERROR(VLOOKUP(A250,'data-ค่าฝา'!A:G,7,0),"")</f>
      </c>
      <c r="R250" s="8"/>
      <c r="S250" s="8"/>
      <c r="T250" s="8"/>
      <c r="U250" s="8"/>
      <c r="V250" s="8"/>
      <c r="W250" s="8"/>
      <c r="X250" s="8"/>
      <c r="Y250" s="8"/>
      <c r="Z250" s="8"/>
      <c r="AA250" s="8"/>
      <c r="AB250" s="8"/>
      <c r="AC250" s="8"/>
      <c r="AD250" s="8"/>
    </row>
    <row r="251" spans="1:30" x14ac:dyDescent="0.25">
      <c r="A251" s="9" t="s">
        <v>472</v>
      </c>
      <c r="B251" s="9" t="s">
        <v>297</v>
      </c>
      <c r="C251" s="51" t="str">
        <f>IFERROR(VLOOKUP(A251,data!A:G,7,FALSE),"")</f>
        <v>Other Equipment - อุปกรณ์อื่นๆ</v>
      </c>
      <c r="D251" s="51" t="str">
        <f>IFERROR(VLOOKUP(A251,data!A:D,4,FALSE),"")</f>
        <v>PKY-2282 กระดาษพันแกนแบบเกาหลี 1000 แผ่น</v>
      </c>
      <c r="E251" s="58" t="s">
        <v>473</v>
      </c>
      <c r="F251" s="33"/>
      <c r="G251" s="53">
        <f>IFERROR(VLOOKUP(A251,data!A:V,22,FALSE),"")</f>
        <v>8858890798758</v>
      </c>
      <c r="H251" s="53"/>
      <c r="I251" s="53"/>
      <c r="J251" s="54">
        <v>0.122</v>
      </c>
      <c r="K251" s="54" t="s">
        <v>474</v>
      </c>
      <c r="L251" s="9">
        <v>65</v>
      </c>
      <c r="M251" s="8">
        <v>75</v>
      </c>
      <c r="N251" s="9">
        <v>90</v>
      </c>
      <c r="O251" s="9">
        <v>10</v>
      </c>
      <c r="P251" s="53"/>
      <c r="Q251" s="56">
        <f>IFERROR(VLOOKUP(A251,'data-ค่าฝา'!A:G,7,0),"")</f>
      </c>
      <c r="R251" s="8"/>
      <c r="S251" s="8"/>
      <c r="T251" s="8"/>
      <c r="U251" s="8"/>
      <c r="V251" s="8"/>
      <c r="W251" s="8"/>
      <c r="X251" s="8"/>
      <c r="Y251" s="8"/>
      <c r="Z251" s="8"/>
      <c r="AA251" s="8"/>
      <c r="AB251" s="8"/>
      <c r="AC251" s="8"/>
      <c r="AD251" s="8"/>
    </row>
    <row r="252" spans="1:30" x14ac:dyDescent="0.25">
      <c r="A252" s="9" t="s">
        <v>475</v>
      </c>
      <c r="B252" s="9" t="s">
        <v>297</v>
      </c>
      <c r="C252" s="51" t="str">
        <f>IFERROR(VLOOKUP(A252,data!A:G,7,FALSE),"")</f>
        <v>Other Equipment - อุปกรณ์อื่นๆ</v>
      </c>
      <c r="D252" s="51" t="str">
        <f>IFERROR(VLOOKUP(A252,data!A:D,4,FALSE),"")</f>
        <v>ถาดรองน้ำยาดัด พลาสติก ขอบผ้า รองน้ำยาดัด ขนาดใหญ่ หลุมลึก ไม่บาดคอ Q-71</v>
      </c>
      <c r="E252" s="52"/>
      <c r="F252" s="33"/>
      <c r="G252" s="53">
        <f>IFERROR(VLOOKUP(A252,data!A:V,22,FALSE),"")</f>
        <v>8858890799458</v>
      </c>
      <c r="H252" s="53"/>
      <c r="I252" s="53"/>
      <c r="J252" s="54">
        <v>0.118</v>
      </c>
      <c r="K252" s="54" t="s">
        <v>476</v>
      </c>
      <c r="L252" s="9">
        <v>60</v>
      </c>
      <c r="M252" s="8">
        <v>70</v>
      </c>
      <c r="N252" s="9">
        <v>120</v>
      </c>
      <c r="O252" s="9">
        <v>10</v>
      </c>
      <c r="P252" s="53"/>
      <c r="Q252" s="56">
        <f>IFERROR(VLOOKUP(A252,'data-ค่าฝา'!A:G,7,0),"")</f>
      </c>
      <c r="R252" s="8"/>
      <c r="S252" s="8"/>
      <c r="T252" s="8"/>
      <c r="U252" s="8"/>
      <c r="V252" s="8"/>
      <c r="W252" s="8"/>
      <c r="X252" s="8"/>
      <c r="Y252" s="8"/>
      <c r="Z252" s="8"/>
      <c r="AA252" s="8"/>
      <c r="AB252" s="8"/>
      <c r="AC252" s="8"/>
      <c r="AD252" s="8"/>
    </row>
    <row r="253" spans="1:30" x14ac:dyDescent="0.25">
      <c r="A253" s="9" t="s">
        <v>477</v>
      </c>
      <c r="B253" s="9" t="s">
        <v>297</v>
      </c>
      <c r="C253" s="51" t="str">
        <f>IFERROR(VLOOKUP(A253,data!A:G,7,FALSE),"")</f>
        <v>Other Equipment - อุปกรณ์อื่นๆ</v>
      </c>
      <c r="D253" s="51" t="str">
        <f>IFERROR(VLOOKUP(A253,data!A:D,4,FALSE),"")</f>
        <v>วาเลนเต้ ถาดรองน้ำยา VAL-300</v>
      </c>
      <c r="E253" s="52"/>
      <c r="F253" s="33"/>
      <c r="G253" s="53">
        <f>IFERROR(VLOOKUP(A253,data!A:V,22,FALSE),"")</f>
        <v>8858890799847</v>
      </c>
      <c r="H253" s="53"/>
      <c r="I253" s="53"/>
      <c r="J253" s="54">
        <v>0.035</v>
      </c>
      <c r="K253" s="54" t="s">
        <v>478</v>
      </c>
      <c r="L253" s="9">
        <v>40</v>
      </c>
      <c r="M253" s="8">
        <v>45</v>
      </c>
      <c r="N253" s="9">
        <v>100</v>
      </c>
      <c r="O253" s="9">
        <v>10</v>
      </c>
      <c r="P253" s="53"/>
      <c r="Q253" s="56">
        <f>IFERROR(VLOOKUP(A253,'data-ค่าฝา'!A:G,7,0),"")</f>
      </c>
      <c r="R253" s="8"/>
      <c r="S253" s="8"/>
      <c r="T253" s="8"/>
      <c r="U253" s="8"/>
      <c r="V253" s="8"/>
      <c r="W253" s="8"/>
      <c r="X253" s="8"/>
      <c r="Y253" s="8"/>
      <c r="Z253" s="8"/>
      <c r="AA253" s="8"/>
      <c r="AB253" s="8"/>
      <c r="AC253" s="8"/>
      <c r="AD253" s="8"/>
    </row>
    <row r="254" spans="1:17" x14ac:dyDescent="0.25">
      <c r="A254" s="1" t="s">
        <v>479</v>
      </c>
      <c r="B254" s="1" t="s">
        <v>297</v>
      </c>
      <c r="C254" s="38">
        <f>IFERROR(VLOOKUP(A254,data!A:G,7,FALSE),"")</f>
      </c>
      <c r="D254" s="38">
        <f>IFERROR(VLOOKUP(A254,data!A:D,4,FALSE),"")</f>
      </c>
      <c r="E254" s="39"/>
      <c r="F254" s="40"/>
      <c r="G254" s="37">
        <f>IFERROR(VLOOKUP(A254,data!A:V,22,FALSE),"")</f>
      </c>
      <c r="H254" s="37"/>
      <c r="I254" s="37"/>
      <c r="J254" s="41"/>
      <c r="K254" s="41"/>
      <c r="L254" s="42">
        <v>155</v>
      </c>
      <c r="M254" s="43">
        <v>175</v>
      </c>
      <c r="N254" s="42">
        <v>200</v>
      </c>
      <c r="O254" s="42">
        <v>10</v>
      </c>
      <c r="P254" s="44"/>
      <c r="Q254" s="45">
        <f>IFERROR(VLOOKUP(A254,'data-ค่าฝา'!A:G,7,0),"")</f>
      </c>
    </row>
    <row r="255" spans="1:17" x14ac:dyDescent="0.25">
      <c r="A255" s="1" t="s">
        <v>480</v>
      </c>
      <c r="B255" s="1" t="s">
        <v>297</v>
      </c>
      <c r="C255" s="38">
        <f>IFERROR(VLOOKUP(A255,data!A:G,7,FALSE),"")</f>
      </c>
      <c r="D255" s="38">
        <f>IFERROR(VLOOKUP(A255,data!A:D,4,FALSE),"")</f>
      </c>
      <c r="E255" s="39"/>
      <c r="F255" s="40"/>
      <c r="G255" s="37">
        <f>IFERROR(VLOOKUP(A255,data!A:V,22,FALSE),"")</f>
      </c>
      <c r="H255" s="37"/>
      <c r="I255" s="37"/>
      <c r="J255" s="41"/>
      <c r="K255" s="41"/>
      <c r="L255" s="42">
        <v>155</v>
      </c>
      <c r="M255" s="43">
        <v>175</v>
      </c>
      <c r="N255" s="42">
        <v>200</v>
      </c>
      <c r="O255" s="42">
        <v>10</v>
      </c>
      <c r="P255" s="44"/>
      <c r="Q255" s="45">
        <f>IFERROR(VLOOKUP(A255,'data-ค่าฝา'!A:G,7,0),"")</f>
      </c>
    </row>
    <row r="256" spans="1:17" x14ac:dyDescent="0.25">
      <c r="A256" s="1" t="s">
        <v>481</v>
      </c>
      <c r="B256" s="1" t="s">
        <v>297</v>
      </c>
      <c r="C256" s="38">
        <f>IFERROR(VLOOKUP(A256,data!A:G,7,FALSE),"")</f>
      </c>
      <c r="D256" s="38">
        <f>IFERROR(VLOOKUP(A256,data!A:D,4,FALSE),"")</f>
      </c>
      <c r="E256" s="39"/>
      <c r="F256" s="40"/>
      <c r="G256" s="37">
        <f>IFERROR(VLOOKUP(A256,data!A:V,22,FALSE),"")</f>
      </c>
      <c r="H256" s="37"/>
      <c r="I256" s="37"/>
      <c r="J256" s="41"/>
      <c r="K256" s="41"/>
      <c r="L256" s="42">
        <v>155</v>
      </c>
      <c r="M256" s="43">
        <v>175</v>
      </c>
      <c r="N256" s="42">
        <v>200</v>
      </c>
      <c r="O256" s="42">
        <v>10</v>
      </c>
      <c r="P256" s="44"/>
      <c r="Q256" s="45">
        <f>IFERROR(VLOOKUP(A256,'data-ค่าฝา'!A:G,7,0),"")</f>
      </c>
    </row>
    <row r="257" spans="1:17" x14ac:dyDescent="0.25">
      <c r="A257" s="1" t="s">
        <v>482</v>
      </c>
      <c r="B257" s="1" t="s">
        <v>297</v>
      </c>
      <c r="C257" s="38">
        <f>IFERROR(VLOOKUP(A257,data!A:G,7,FALSE),"")</f>
      </c>
      <c r="D257" s="38">
        <f>IFERROR(VLOOKUP(A257,data!A:D,4,FALSE),"")</f>
      </c>
      <c r="E257" s="39"/>
      <c r="F257" s="40"/>
      <c r="G257" s="37">
        <f>IFERROR(VLOOKUP(A257,data!A:V,22,FALSE),"")</f>
      </c>
      <c r="H257" s="37"/>
      <c r="I257" s="37"/>
      <c r="J257" s="41"/>
      <c r="K257" s="41"/>
      <c r="L257" s="42">
        <v>170</v>
      </c>
      <c r="M257" s="43">
        <v>190</v>
      </c>
      <c r="N257" s="42">
        <v>220</v>
      </c>
      <c r="O257" s="42">
        <v>10</v>
      </c>
      <c r="P257" s="44"/>
      <c r="Q257" s="45">
        <f>IFERROR(VLOOKUP(A257,'data-ค่าฝา'!A:G,7,0),"")</f>
      </c>
    </row>
    <row r="258" spans="1:17" x14ac:dyDescent="0.25">
      <c r="A258" s="1" t="s">
        <v>483</v>
      </c>
      <c r="B258" s="1" t="s">
        <v>297</v>
      </c>
      <c r="C258" s="38">
        <f>IFERROR(VLOOKUP(A258,data!A:G,7,FALSE),"")</f>
      </c>
      <c r="D258" s="38">
        <f>IFERROR(VLOOKUP(A258,data!A:D,4,FALSE),"")</f>
      </c>
      <c r="E258" s="39"/>
      <c r="F258" s="40"/>
      <c r="G258" s="37">
        <f>IFERROR(VLOOKUP(A258,data!A:V,22,FALSE),"")</f>
      </c>
      <c r="H258" s="37"/>
      <c r="I258" s="37"/>
      <c r="J258" s="41"/>
      <c r="K258" s="41"/>
      <c r="L258" s="42">
        <v>170</v>
      </c>
      <c r="M258" s="43">
        <v>190</v>
      </c>
      <c r="N258" s="42">
        <v>220</v>
      </c>
      <c r="O258" s="42">
        <v>10</v>
      </c>
      <c r="P258" s="44"/>
      <c r="Q258" s="45">
        <f>IFERROR(VLOOKUP(A258,'data-ค่าฝา'!A:G,7,0),"")</f>
      </c>
    </row>
    <row r="259" spans="1:17" x14ac:dyDescent="0.25">
      <c r="A259" s="1" t="s">
        <v>484</v>
      </c>
      <c r="B259" s="1" t="s">
        <v>297</v>
      </c>
      <c r="C259" s="38">
        <f>IFERROR(VLOOKUP(A259,data!A:G,7,FALSE),"")</f>
      </c>
      <c r="D259" s="38">
        <f>IFERROR(VLOOKUP(A259,data!A:D,4,FALSE),"")</f>
      </c>
      <c r="E259" s="39"/>
      <c r="F259" s="40"/>
      <c r="G259" s="37">
        <f>IFERROR(VLOOKUP(A259,data!A:V,22,FALSE),"")</f>
      </c>
      <c r="H259" s="37"/>
      <c r="I259" s="37"/>
      <c r="J259" s="41"/>
      <c r="K259" s="41"/>
      <c r="L259" s="42">
        <v>170</v>
      </c>
      <c r="M259" s="43">
        <v>190</v>
      </c>
      <c r="N259" s="42">
        <v>220</v>
      </c>
      <c r="O259" s="42">
        <v>10</v>
      </c>
      <c r="P259" s="44"/>
      <c r="Q259" s="45">
        <f>IFERROR(VLOOKUP(A259,'data-ค่าฝา'!A:G,7,0),"")</f>
      </c>
    </row>
    <row r="260" spans="1:17" x14ac:dyDescent="0.25">
      <c r="A260" s="1" t="s">
        <v>485</v>
      </c>
      <c r="B260" s="1" t="s">
        <v>297</v>
      </c>
      <c r="C260" s="38" t="str">
        <f>IFERROR(VLOOKUP(A260,data!A:G,7,FALSE),"")</f>
        <v>Other Equipment - อุปกรณ์อื่นๆ</v>
      </c>
      <c r="D260" s="38" t="str">
        <f>IFERROR(VLOOKUP(A260,data!A:D,4,FALSE),"")</f>
        <v>ถังใส่ผ้าขนหนู เก็บผ้าขนหนู มีล้อเลื่อน อุปกรณ์ร้านซาลอน รุ่น DY-001</v>
      </c>
      <c r="E260" s="39"/>
      <c r="F260" s="40"/>
      <c r="G260" s="37">
        <f>IFERROR(VLOOKUP(A260,data!A:V,22,FALSE),"")</f>
        <v>8858890792589</v>
      </c>
      <c r="H260" s="37"/>
      <c r="I260" s="37"/>
      <c r="J260" s="41"/>
      <c r="K260" s="41"/>
      <c r="L260" s="42">
        <v>500</v>
      </c>
      <c r="M260" s="43">
        <v>550</v>
      </c>
      <c r="N260" s="42">
        <v>750</v>
      </c>
      <c r="O260" s="42">
        <v>10</v>
      </c>
      <c r="P260" s="44"/>
      <c r="Q260" s="45">
        <f>IFERROR(VLOOKUP(A260,'data-ค่าฝา'!A:G,7,0),"")</f>
      </c>
    </row>
    <row r="261" spans="1:17" x14ac:dyDescent="0.25">
      <c r="A261" s="1" t="s">
        <v>486</v>
      </c>
      <c r="B261" s="1" t="s">
        <v>297</v>
      </c>
      <c r="C261" s="38" t="str">
        <f>IFERROR(VLOOKUP(A261,data!A:G,7,FALSE),"")</f>
        <v>Other Equipment - อุปกรณ์อื่นๆ</v>
      </c>
      <c r="D261" s="38" t="str">
        <f>IFERROR(VLOOKUP(A261,data!A:D,4,FALSE),"")</f>
        <v>ชั้นวางอุปกรณ์ แบรนด์ VALENTE รหัส XG-380</v>
      </c>
      <c r="E261" s="39"/>
      <c r="F261" s="40"/>
      <c r="G261" s="37">
        <f>IFERROR(VLOOKUP(A261,data!A:V,22,FALSE),"")</f>
        <v>8858890792077</v>
      </c>
      <c r="H261" s="37"/>
      <c r="I261" s="37"/>
      <c r="J261" s="41"/>
      <c r="K261" s="41"/>
      <c r="L261" s="42">
        <v>1070</v>
      </c>
      <c r="M261" s="43">
        <v>1180</v>
      </c>
      <c r="N261" s="42">
        <v>1450</v>
      </c>
      <c r="O261" s="42">
        <v>10</v>
      </c>
      <c r="P261" s="44"/>
      <c r="Q261" s="45">
        <f>IFERROR(VLOOKUP(A261,'data-ค่าฝา'!A:G,7,0),"")</f>
      </c>
    </row>
    <row r="262" spans="1:17" x14ac:dyDescent="0.25">
      <c r="A262" s="1" t="s">
        <v>487</v>
      </c>
      <c r="B262" s="1" t="s">
        <v>297</v>
      </c>
      <c r="C262" s="38" t="str">
        <f>IFERROR(VLOOKUP(A262,data!A:G,7,FALSE),"")</f>
        <v>Comb and Brush - หวีและแปรง</v>
      </c>
      <c r="D262" s="38" t="str">
        <f>IFERROR(VLOOKUP(A262,data!A:D,4,FALSE),"")</f>
        <v>AFRO COMB หวีส้อม ซี่เหล็ก เซตผม ขนาดเล็ก รุ่น VAL-C819/S</v>
      </c>
      <c r="E262" s="39"/>
      <c r="F262" s="40"/>
      <c r="G262" s="37">
        <f>IFERROR(VLOOKUP(A262,data!A:V,22,FALSE),"")</f>
        <v>8858890782528</v>
      </c>
      <c r="H262" s="37"/>
      <c r="I262" s="37"/>
      <c r="J262" s="41"/>
      <c r="K262" s="41"/>
      <c r="L262" s="42">
        <v>20</v>
      </c>
      <c r="M262" s="43">
        <v>25</v>
      </c>
      <c r="N262" s="42">
        <v>45</v>
      </c>
      <c r="O262" s="42">
        <v>10</v>
      </c>
      <c r="P262" s="44"/>
      <c r="Q262" s="45">
        <f>IFERROR(VLOOKUP(A262,'data-ค่าฝา'!A:G,7,0),"")</f>
      </c>
    </row>
    <row r="263" spans="1:17" x14ac:dyDescent="0.25">
      <c r="A263" s="1" t="s">
        <v>488</v>
      </c>
      <c r="B263" s="1" t="s">
        <v>297</v>
      </c>
      <c r="C263" s="38" t="str">
        <f>IFERROR(VLOOKUP(A263,data!A:G,7,FALSE),"")</f>
        <v>Comb and Brush - หวีและแปรง</v>
      </c>
      <c r="D263" s="38" t="str">
        <f>IFERROR(VLOOKUP(A263,data!A:D,4,FALSE),"")</f>
        <v>AFRO COMB หวีส้อม ซี่เหล็ก เซตผม รุ่น VAL-C819</v>
      </c>
      <c r="E263" s="39"/>
      <c r="F263" s="40"/>
      <c r="G263" s="37">
        <f>IFERROR(VLOOKUP(A263,data!A:V,22,FALSE),"")</f>
        <v>8858890782535</v>
      </c>
      <c r="H263" s="37"/>
      <c r="I263" s="37"/>
      <c r="J263" s="41"/>
      <c r="K263" s="41"/>
      <c r="L263" s="42">
        <v>25</v>
      </c>
      <c r="M263" s="43">
        <v>30</v>
      </c>
      <c r="N263" s="42">
        <v>60</v>
      </c>
      <c r="O263" s="42">
        <v>10</v>
      </c>
      <c r="P263" s="44"/>
      <c r="Q263" s="45">
        <f>IFERROR(VLOOKUP(A263,'data-ค่าฝา'!A:G,7,0),"")</f>
      </c>
    </row>
    <row r="264" spans="1:17" x14ac:dyDescent="0.25">
      <c r="A264" s="10" t="s">
        <v>489</v>
      </c>
      <c r="B264" s="1" t="s">
        <v>297</v>
      </c>
      <c r="C264" s="38">
        <f>IFERROR(VLOOKUP(A264,data!A:G,7,FALSE),"")</f>
      </c>
      <c r="D264" s="38">
        <f>IFERROR(VLOOKUP(A264,data!A:D,4,FALSE),"")</f>
      </c>
      <c r="E264" s="39"/>
      <c r="F264" s="40"/>
      <c r="G264" s="37">
        <f>IFERROR(VLOOKUP(A264,data!A:V,22,FALSE),"")</f>
      </c>
      <c r="H264" s="37"/>
      <c r="I264" s="37"/>
      <c r="J264" s="41"/>
      <c r="K264" s="41"/>
      <c r="L264" s="42">
        <v>30</v>
      </c>
      <c r="M264" s="43">
        <v>35</v>
      </c>
      <c r="N264" s="42">
        <v>40</v>
      </c>
      <c r="O264" s="42">
        <v>10</v>
      </c>
      <c r="P264" s="44"/>
      <c r="Q264" s="45">
        <f>IFERROR(VLOOKUP(A264,'data-ค่าฝา'!A:G,7,0),"")</f>
      </c>
    </row>
    <row r="265" spans="1:17" x14ac:dyDescent="0.25">
      <c r="A265" s="1" t="s">
        <v>490</v>
      </c>
      <c r="B265" s="1" t="s">
        <v>297</v>
      </c>
      <c r="C265" s="38">
        <f>IFERROR(VLOOKUP(A265,data!A:G,7,FALSE),"")</f>
      </c>
      <c r="D265" s="38">
        <f>IFERROR(VLOOKUP(A265,data!A:D,4,FALSE),"")</f>
      </c>
      <c r="E265" s="39"/>
      <c r="F265" s="40"/>
      <c r="G265" s="37">
        <f>IFERROR(VLOOKUP(A265,data!A:V,22,FALSE),"")</f>
      </c>
      <c r="H265" s="37"/>
      <c r="I265" s="37"/>
      <c r="J265" s="41"/>
      <c r="K265" s="41"/>
      <c r="L265" s="42">
        <v>199</v>
      </c>
      <c r="M265" s="43">
        <v>220</v>
      </c>
      <c r="N265" s="42">
        <v>299</v>
      </c>
      <c r="O265" s="42">
        <v>10</v>
      </c>
      <c r="P265" s="44"/>
      <c r="Q265" s="45">
        <f>IFERROR(VLOOKUP(A265,'data-ค่าฝา'!A:G,7,0),"")</f>
      </c>
    </row>
    <row r="266" spans="1:17" x14ac:dyDescent="0.25">
      <c r="A266" s="1" t="s">
        <v>491</v>
      </c>
      <c r="B266" s="1" t="s">
        <v>297</v>
      </c>
      <c r="C266" s="38">
        <f>IFERROR(VLOOKUP(A266,data!A:G,7,FALSE),"")</f>
      </c>
      <c r="D266" s="38">
        <f>IFERROR(VLOOKUP(A266,data!A:D,4,FALSE),"")</f>
      </c>
      <c r="E266" s="39"/>
      <c r="F266" s="40"/>
      <c r="G266" s="37">
        <f>IFERROR(VLOOKUP(A266,data!A:V,22,FALSE),"")</f>
      </c>
      <c r="H266" s="37"/>
      <c r="I266" s="37"/>
      <c r="J266" s="41"/>
      <c r="K266" s="41"/>
      <c r="L266" s="42">
        <v>299</v>
      </c>
      <c r="M266" s="43">
        <v>330</v>
      </c>
      <c r="N266" s="42">
        <v>399</v>
      </c>
      <c r="O266" s="42">
        <v>10</v>
      </c>
      <c r="P266" s="44"/>
      <c r="Q266" s="45">
        <f>IFERROR(VLOOKUP(A266,'data-ค่าฝา'!A:G,7,0),"")</f>
      </c>
    </row>
    <row r="267" spans="1:17" x14ac:dyDescent="0.25">
      <c r="A267" s="1" t="s">
        <v>492</v>
      </c>
      <c r="B267" s="1" t="s">
        <v>297</v>
      </c>
      <c r="C267" s="38">
        <f>IFERROR(VLOOKUP(A267,data!A:G,7,FALSE),"")</f>
      </c>
      <c r="D267" s="38">
        <f>IFERROR(VLOOKUP(A267,data!A:D,4,FALSE),"")</f>
      </c>
      <c r="E267" s="39"/>
      <c r="F267" s="40"/>
      <c r="G267" s="37">
        <f>IFERROR(VLOOKUP(A267,data!A:V,22,FALSE),"")</f>
      </c>
      <c r="H267" s="37"/>
      <c r="I267" s="37"/>
      <c r="J267" s="41"/>
      <c r="K267" s="41"/>
      <c r="L267" s="42">
        <v>199</v>
      </c>
      <c r="M267" s="43">
        <v>220</v>
      </c>
      <c r="N267" s="42">
        <v>299</v>
      </c>
      <c r="O267" s="42">
        <v>10</v>
      </c>
      <c r="P267" s="44"/>
      <c r="Q267" s="45">
        <f>IFERROR(VLOOKUP(A267,'data-ค่าฝา'!A:G,7,0),"")</f>
      </c>
    </row>
    <row r="268" spans="1:17" x14ac:dyDescent="0.25">
      <c r="A268" s="1" t="s">
        <v>493</v>
      </c>
      <c r="B268" s="1" t="s">
        <v>297</v>
      </c>
      <c r="C268" s="38">
        <f>IFERROR(VLOOKUP(A268,data!A:G,7,FALSE),"")</f>
      </c>
      <c r="D268" s="38">
        <f>IFERROR(VLOOKUP(A268,data!A:D,4,FALSE),"")</f>
      </c>
      <c r="E268" s="39"/>
      <c r="F268" s="40"/>
      <c r="G268" s="37">
        <f>IFERROR(VLOOKUP(A268,data!A:V,22,FALSE),"")</f>
      </c>
      <c r="H268" s="37"/>
      <c r="I268" s="37"/>
      <c r="J268" s="41"/>
      <c r="K268" s="41"/>
      <c r="L268" s="42">
        <v>299</v>
      </c>
      <c r="M268" s="43">
        <v>330</v>
      </c>
      <c r="N268" s="42">
        <v>399</v>
      </c>
      <c r="O268" s="42">
        <v>10</v>
      </c>
      <c r="P268" s="44"/>
      <c r="Q268" s="45">
        <f>IFERROR(VLOOKUP(A268,'data-ค่าฝา'!A:G,7,0),"")</f>
      </c>
    </row>
    <row r="269" spans="1:17" x14ac:dyDescent="0.25">
      <c r="A269" s="1" t="s">
        <v>494</v>
      </c>
      <c r="B269" s="1" t="s">
        <v>297</v>
      </c>
      <c r="C269" s="38" t="str">
        <f>IFERROR(VLOOKUP(A269,data!A:G,7,FALSE),"")</f>
        <v>Comb and Brush - หวีและแปรง</v>
      </c>
      <c r="D269" s="38" t="str">
        <f>IFERROR(VLOOKUP(A269,data!A:D,4,FALSE),"")</f>
        <v>VAL-850B-8</v>
      </c>
      <c r="E269" s="39"/>
      <c r="F269" s="40"/>
      <c r="G269" s="37">
        <f>IFERROR(VLOOKUP(A269,data!A:V,22,FALSE),"")</f>
        <v>8858890800079</v>
      </c>
      <c r="H269" s="37"/>
      <c r="I269" s="37"/>
      <c r="J269" s="41"/>
      <c r="K269" s="41"/>
      <c r="L269" s="42">
        <v>48</v>
      </c>
      <c r="M269" s="43">
        <v>55</v>
      </c>
      <c r="N269" s="42">
        <v>90</v>
      </c>
      <c r="O269" s="42">
        <v>10</v>
      </c>
      <c r="P269" s="44"/>
      <c r="Q269" s="45">
        <f>IFERROR(VLOOKUP(A269,'data-ค่าฝา'!A:G,7,0),"")</f>
      </c>
    </row>
    <row r="270" spans="1:17" x14ac:dyDescent="0.25">
      <c r="A270" s="1" t="s">
        <v>495</v>
      </c>
      <c r="B270" s="1" t="s">
        <v>297</v>
      </c>
      <c r="C270" s="38" t="str">
        <f>IFERROR(VLOOKUP(A270,data!A:G,7,FALSE),"")</f>
        <v>Comb and Brush - หวีและแปรง</v>
      </c>
      <c r="D270" s="38" t="str">
        <f>IFERROR(VLOOKUP(A270,data!A:D,4,FALSE),"")</f>
        <v>VAl-850B-10</v>
      </c>
      <c r="E270" s="39"/>
      <c r="F270" s="40"/>
      <c r="G270" s="37">
        <f>IFERROR(VLOOKUP(A270,data!A:V,22,FALSE),"")</f>
        <v>8858890800086</v>
      </c>
      <c r="H270" s="37"/>
      <c r="I270" s="37"/>
      <c r="J270" s="41"/>
      <c r="K270" s="41"/>
      <c r="L270" s="42">
        <v>55</v>
      </c>
      <c r="M270" s="43">
        <v>65</v>
      </c>
      <c r="N270" s="42">
        <v>90</v>
      </c>
      <c r="O270" s="42">
        <v>10</v>
      </c>
      <c r="P270" s="44"/>
      <c r="Q270" s="45">
        <f>IFERROR(VLOOKUP(A270,'data-ค่าฝา'!A:G,7,0),"")</f>
      </c>
    </row>
    <row r="271" spans="1:17" x14ac:dyDescent="0.25">
      <c r="A271" s="1" t="s">
        <v>496</v>
      </c>
      <c r="B271" s="1" t="s">
        <v>297</v>
      </c>
      <c r="C271" s="38" t="str">
        <f>IFERROR(VLOOKUP(A271,data!A:G,7,FALSE),"")</f>
        <v>Comb and Brush - หวีและแปรง</v>
      </c>
      <c r="D271" s="38" t="str">
        <f>IFERROR(VLOOKUP(A271,data!A:D,4,FALSE),"")</f>
        <v>VALENTE แปรงไดร์ผม รุ่น VAL-850D</v>
      </c>
      <c r="E271" s="39"/>
      <c r="F271" s="40"/>
      <c r="G271" s="37">
        <f>IFERROR(VLOOKUP(A271,data!A:V,22,FALSE),"")</f>
        <v>8858890782450</v>
      </c>
      <c r="H271" s="37"/>
      <c r="I271" s="37"/>
      <c r="J271" s="41"/>
      <c r="K271" s="41"/>
      <c r="L271" s="42">
        <v>48</v>
      </c>
      <c r="M271" s="43">
        <v>55</v>
      </c>
      <c r="N271" s="42">
        <v>90</v>
      </c>
      <c r="O271" s="42">
        <v>10</v>
      </c>
      <c r="P271" s="44"/>
      <c r="Q271" s="45">
        <f>IFERROR(VLOOKUP(A271,'data-ค่าฝา'!A:G,7,0),"")</f>
      </c>
    </row>
    <row r="272" spans="1:17" x14ac:dyDescent="0.25">
      <c r="A272" s="1" t="s">
        <v>497</v>
      </c>
      <c r="B272" s="1" t="s">
        <v>297</v>
      </c>
      <c r="C272" s="38" t="str">
        <f>IFERROR(VLOOKUP(A272,data!A:G,7,FALSE),"")</f>
        <v>Comb and Brush - หวีและแปรง</v>
      </c>
      <c r="D272" s="38" t="str">
        <f>IFERROR(VLOOKUP(A272,data!A:D,4,FALSE),"")</f>
        <v>VALENTE วาเลนเต้ แปรงไดร์ ฟันสลับ 10 แถว (VAL-850D-10)</v>
      </c>
      <c r="E272" s="39"/>
      <c r="F272" s="40"/>
      <c r="G272" s="37">
        <f>IFERROR(VLOOKUP(A272,data!A:V,22,FALSE),"")</f>
        <v>8858890782467</v>
      </c>
      <c r="H272" s="37"/>
      <c r="I272" s="37"/>
      <c r="J272" s="41"/>
      <c r="K272" s="41"/>
      <c r="L272" s="42">
        <v>55</v>
      </c>
      <c r="M272" s="43">
        <v>65</v>
      </c>
      <c r="N272" s="42">
        <v>90</v>
      </c>
      <c r="O272" s="42">
        <v>10</v>
      </c>
      <c r="P272" s="44"/>
      <c r="Q272" s="45">
        <f>IFERROR(VLOOKUP(A272,'data-ค่าฝา'!A:G,7,0),"")</f>
      </c>
    </row>
    <row r="273" spans="1:17" x14ac:dyDescent="0.25">
      <c r="A273" s="1" t="s">
        <v>498</v>
      </c>
      <c r="B273" s="1" t="s">
        <v>297</v>
      </c>
      <c r="C273" s="38" t="str">
        <f>IFERROR(VLOOKUP(A273,data!A:G,7,FALSE),"")</f>
        <v>Comb and Brush - หวีและแปรง</v>
      </c>
      <c r="D273" s="38" t="str">
        <f>IFERROR(VLOOKUP(A273,data!A:D,4,FALSE),"")</f>
        <v>VALENTE แปรงกลมลายเฉียง 8 เเถว รุ่น VAL-981</v>
      </c>
      <c r="E273" s="39"/>
      <c r="F273" s="40"/>
      <c r="G273" s="37">
        <f>IFERROR(VLOOKUP(A273,data!A:V,22,FALSE),"")</f>
        <v>8858890781088</v>
      </c>
      <c r="H273" s="37"/>
      <c r="I273" s="37"/>
      <c r="J273" s="41"/>
      <c r="K273" s="41"/>
      <c r="L273" s="42">
        <v>97</v>
      </c>
      <c r="M273" s="43">
        <v>110</v>
      </c>
      <c r="N273" s="42">
        <v>120</v>
      </c>
      <c r="O273" s="42">
        <v>10</v>
      </c>
      <c r="P273" s="44"/>
      <c r="Q273" s="45">
        <f>IFERROR(VLOOKUP(A273,'data-ค่าฝา'!A:G,7,0),"")</f>
      </c>
    </row>
    <row r="274" spans="1:17" x14ac:dyDescent="0.25">
      <c r="A274" s="1" t="s">
        <v>499</v>
      </c>
      <c r="B274" s="1" t="s">
        <v>297</v>
      </c>
      <c r="C274" s="38" t="str">
        <f>IFERROR(VLOOKUP(A274,data!A:G,7,FALSE),"")</f>
        <v>Comb and Brush - หวีและแปรง</v>
      </c>
      <c r="D274" s="38" t="str">
        <f>IFERROR(VLOOKUP(A274,data!A:D,4,FALSE),"")</f>
        <v>VALENTE แปรงกลมลายเฉียง 10 เเถว รุ่น VAL-982</v>
      </c>
      <c r="E274" s="39"/>
      <c r="F274" s="40"/>
      <c r="G274" s="37">
        <f>IFERROR(VLOOKUP(A274,data!A:V,22,FALSE),"")</f>
        <v>8858890781095</v>
      </c>
      <c r="H274" s="37"/>
      <c r="I274" s="37"/>
      <c r="J274" s="41"/>
      <c r="K274" s="41"/>
      <c r="L274" s="42">
        <v>102</v>
      </c>
      <c r="M274" s="43">
        <v>115</v>
      </c>
      <c r="N274" s="42">
        <v>135</v>
      </c>
      <c r="O274" s="42">
        <v>10</v>
      </c>
      <c r="P274" s="44"/>
      <c r="Q274" s="45">
        <f>IFERROR(VLOOKUP(A274,'data-ค่าฝา'!A:G,7,0),"")</f>
      </c>
    </row>
    <row r="275" spans="1:17" x14ac:dyDescent="0.25">
      <c r="A275" s="1" t="s">
        <v>500</v>
      </c>
      <c r="B275" s="1" t="s">
        <v>297</v>
      </c>
      <c r="C275" s="38" t="str">
        <f>IFERROR(VLOOKUP(A275,data!A:G,7,FALSE),"")</f>
        <v>Comb and Brush - หวีและแปรง</v>
      </c>
      <c r="D275" s="38" t="str">
        <f>IFERROR(VLOOKUP(A275,data!A:D,4,FALSE),"")</f>
        <v>VALENTE แปรงกลมลายเฉียง 12 เเถว รุ่น VAL-983</v>
      </c>
      <c r="E275" s="39"/>
      <c r="F275" s="40"/>
      <c r="G275" s="37">
        <f>IFERROR(VLOOKUP(A275,data!A:V,22,FALSE),"")</f>
        <v>8858890781101</v>
      </c>
      <c r="H275" s="37"/>
      <c r="I275" s="37"/>
      <c r="J275" s="41"/>
      <c r="K275" s="41"/>
      <c r="L275" s="42">
        <v>105</v>
      </c>
      <c r="M275" s="43">
        <v>120</v>
      </c>
      <c r="N275" s="42">
        <v>140</v>
      </c>
      <c r="O275" s="42">
        <v>10</v>
      </c>
      <c r="P275" s="44"/>
      <c r="Q275" s="45">
        <f>IFERROR(VLOOKUP(A275,'data-ค่าฝา'!A:G,7,0),"")</f>
      </c>
    </row>
    <row r="276" spans="1:17" x14ac:dyDescent="0.25">
      <c r="A276" s="1" t="s">
        <v>501</v>
      </c>
      <c r="B276" s="1" t="s">
        <v>297</v>
      </c>
      <c r="C276" s="38" t="str">
        <f>IFERROR(VLOOKUP(A276,data!A:G,7,FALSE),"")</f>
        <v>Comb and Brush - หวีและแปรง</v>
      </c>
      <c r="D276" s="38" t="str">
        <f>IFERROR(VLOOKUP(A276,data!A:D,4,FALSE),"")</f>
        <v>VALENTE แปรงกลมลายเฉียง 4 เเถว รุ่น VAL-984</v>
      </c>
      <c r="E276" s="39"/>
      <c r="F276" s="40"/>
      <c r="G276" s="37">
        <f>IFERROR(VLOOKUP(A276,data!A:V,22,FALSE),"")</f>
        <v>8858890781118</v>
      </c>
      <c r="H276" s="37"/>
      <c r="I276" s="37"/>
      <c r="J276" s="41"/>
      <c r="K276" s="41"/>
      <c r="L276" s="42">
        <v>110</v>
      </c>
      <c r="M276" s="43">
        <v>125</v>
      </c>
      <c r="N276" s="42">
        <v>145</v>
      </c>
      <c r="O276" s="42">
        <v>10</v>
      </c>
      <c r="P276" s="44"/>
      <c r="Q276" s="45">
        <f>IFERROR(VLOOKUP(A276,'data-ค่าฝา'!A:G,7,0),"")</f>
      </c>
    </row>
    <row r="277" spans="1:17" x14ac:dyDescent="0.25">
      <c r="A277" s="1" t="s">
        <v>502</v>
      </c>
      <c r="B277" s="1" t="s">
        <v>297</v>
      </c>
      <c r="C277" s="38" t="str">
        <f>IFERROR(VLOOKUP(A277,data!A:G,7,FALSE),"")</f>
        <v>Comb and Brush - หวีและแปรง</v>
      </c>
      <c r="D277" s="38" t="str">
        <f>IFERROR(VLOOKUP(A277,data!A:D,4,FALSE),"")</f>
        <v>HP-005-1 วาเลนเต้ แปรงไดร์ฟาร่าปลายแหลม 10 แถว 41.8g</v>
      </c>
      <c r="E277" s="39"/>
      <c r="F277" s="40"/>
      <c r="G277" s="37">
        <f>IFERROR(VLOOKUP(A277,data!A:V,22,FALSE),"")</f>
        <v>8858890798536</v>
      </c>
      <c r="H277" s="37"/>
      <c r="I277" s="37"/>
      <c r="J277" s="41"/>
      <c r="K277" s="41"/>
      <c r="L277" s="42">
        <v>100</v>
      </c>
      <c r="M277" s="43">
        <v>110</v>
      </c>
      <c r="N277" s="42">
        <v>150</v>
      </c>
      <c r="O277" s="42">
        <v>10</v>
      </c>
      <c r="P277" s="44"/>
      <c r="Q277" s="45">
        <f>IFERROR(VLOOKUP(A277,'data-ค่าฝา'!A:G,7,0),"")</f>
      </c>
    </row>
    <row r="278" spans="1:17" x14ac:dyDescent="0.25">
      <c r="A278" s="1" t="s">
        <v>503</v>
      </c>
      <c r="B278" s="1" t="s">
        <v>297</v>
      </c>
      <c r="C278" s="38" t="str">
        <f>IFERROR(VLOOKUP(A278,data!A:G,7,FALSE),"")</f>
        <v>Comb and Brush - หวีและแปรง</v>
      </c>
      <c r="D278" s="38" t="str">
        <f>IFERROR(VLOOKUP(A278,data!A:D,4,FALSE),"")</f>
        <v>HP-006-1 วาเลนเต้ แปรงไดร์ฟาร่าปลายแหลม 12 แถว 51.6g</v>
      </c>
      <c r="E278" s="39"/>
      <c r="F278" s="40"/>
      <c r="G278" s="37">
        <f>IFERROR(VLOOKUP(A278,data!A:V,22,FALSE),"")</f>
        <v>8858890798505</v>
      </c>
      <c r="H278" s="37"/>
      <c r="I278" s="37"/>
      <c r="J278" s="41"/>
      <c r="K278" s="41"/>
      <c r="L278" s="42">
        <v>100</v>
      </c>
      <c r="M278" s="43">
        <v>110</v>
      </c>
      <c r="N278" s="42">
        <v>150</v>
      </c>
      <c r="O278" s="42">
        <v>10</v>
      </c>
      <c r="P278" s="44"/>
      <c r="Q278" s="45">
        <f>IFERROR(VLOOKUP(A278,'data-ค่าฝา'!A:G,7,0),"")</f>
      </c>
    </row>
    <row r="279" spans="1:17" x14ac:dyDescent="0.25">
      <c r="A279" s="1" t="s">
        <v>504</v>
      </c>
      <c r="B279" s="1" t="s">
        <v>297</v>
      </c>
      <c r="C279" s="38" t="str">
        <f>IFERROR(VLOOKUP(A279,data!A:G,7,FALSE),"")</f>
        <v>Comb and Brush - หวีและแปรง</v>
      </c>
      <c r="D279" s="38" t="str">
        <f>IFERROR(VLOOKUP(A279,data!A:D,4,FALSE),"")</f>
        <v>HP-007-1 วาเลนเต้ แปรงไดร์ฟาร่าปลายแหลม 14 แถว 65.2g</v>
      </c>
      <c r="E279" s="39"/>
      <c r="F279" s="40"/>
      <c r="G279" s="37">
        <f>IFERROR(VLOOKUP(A279,data!A:V,22,FALSE),"")</f>
        <v>8858890798512</v>
      </c>
      <c r="H279" s="37"/>
      <c r="I279" s="37"/>
      <c r="J279" s="41"/>
      <c r="K279" s="41"/>
      <c r="L279" s="42">
        <v>105</v>
      </c>
      <c r="M279" s="43">
        <v>120</v>
      </c>
      <c r="N279" s="42">
        <v>160</v>
      </c>
      <c r="O279" s="42">
        <v>10</v>
      </c>
      <c r="P279" s="44"/>
      <c r="Q279" s="45">
        <f>IFERROR(VLOOKUP(A279,'data-ค่าฝา'!A:G,7,0),"")</f>
      </c>
    </row>
    <row r="280" spans="1:17" x14ac:dyDescent="0.25">
      <c r="A280" s="1" t="s">
        <v>505</v>
      </c>
      <c r="B280" s="1" t="s">
        <v>297</v>
      </c>
      <c r="C280" s="38" t="str">
        <f>IFERROR(VLOOKUP(A280,data!A:G,7,FALSE),"")</f>
        <v>Comb and Brush - หวีและแปรง</v>
      </c>
      <c r="D280" s="38" t="str">
        <f>IFERROR(VLOOKUP(A280,data!A:D,4,FALSE),"")</f>
        <v>HP-008-1 วาเลนเต้ แปรงไดร์ฟาร่าปลายแหลม 14 แถว 91.8g</v>
      </c>
      <c r="E280" s="39"/>
      <c r="F280" s="40"/>
      <c r="G280" s="37">
        <f>IFERROR(VLOOKUP(A280,data!A:V,22,FALSE),"")</f>
        <v>8858890798529</v>
      </c>
      <c r="H280" s="37"/>
      <c r="I280" s="37"/>
      <c r="J280" s="41"/>
      <c r="K280" s="41"/>
      <c r="L280" s="42">
        <v>105</v>
      </c>
      <c r="M280" s="43">
        <v>120</v>
      </c>
      <c r="N280" s="42">
        <v>160</v>
      </c>
      <c r="O280" s="42">
        <v>10</v>
      </c>
      <c r="P280" s="44"/>
      <c r="Q280" s="45">
        <f>IFERROR(VLOOKUP(A280,'data-ค่าฝา'!A:G,7,0),"")</f>
      </c>
    </row>
    <row r="281" spans="1:17" x14ac:dyDescent="0.25">
      <c r="A281" s="1" t="s">
        <v>506</v>
      </c>
      <c r="B281" s="1" t="s">
        <v>297</v>
      </c>
      <c r="C281" s="38" t="str">
        <f>IFERROR(VLOOKUP(A281,data!A:G,7,FALSE),"")</f>
        <v>Comb and Brush - หวีและแปรง</v>
      </c>
      <c r="D281" s="38" t="str">
        <f>IFERROR(VLOOKUP(A281,data!A:D,4,FALSE),"")</f>
        <v>VALENTE หวีแปรงไดร์กลมลายเฉียง 8 แถว รุ่น VAL-815X</v>
      </c>
      <c r="E281" s="39"/>
      <c r="F281" s="40"/>
      <c r="G281" s="37">
        <f>IFERROR(VLOOKUP(A281,data!A:V,22,FALSE),"")</f>
        <v>8858890780852</v>
      </c>
      <c r="H281" s="37"/>
      <c r="I281" s="37"/>
      <c r="J281" s="41"/>
      <c r="K281" s="41"/>
      <c r="L281" s="42">
        <v>48</v>
      </c>
      <c r="M281" s="43">
        <v>55</v>
      </c>
      <c r="N281" s="42">
        <v>100</v>
      </c>
      <c r="O281" s="42">
        <v>10</v>
      </c>
      <c r="P281" s="44"/>
      <c r="Q281" s="45">
        <f>IFERROR(VLOOKUP(A281,'data-ค่าฝา'!A:G,7,0),"")</f>
      </c>
    </row>
    <row r="282" spans="1:17" x14ac:dyDescent="0.25">
      <c r="A282" s="1" t="s">
        <v>507</v>
      </c>
      <c r="B282" s="1" t="s">
        <v>297</v>
      </c>
      <c r="C282" s="38" t="str">
        <f>IFERROR(VLOOKUP(A282,data!A:G,7,FALSE),"")</f>
        <v>Comb and Brush - หวีและแปรง</v>
      </c>
      <c r="D282" s="38" t="str">
        <f>IFERROR(VLOOKUP(A282,data!A:D,4,FALSE),"")</f>
        <v>VALENTE หวีแปรงไดร์กลมลายเฉียง 10 แถว รุ่น VAL-816X</v>
      </c>
      <c r="E282" s="39"/>
      <c r="F282" s="40"/>
      <c r="G282" s="37">
        <f>IFERROR(VLOOKUP(A282,data!A:V,22,FALSE),"")</f>
        <v>8858890780876</v>
      </c>
      <c r="H282" s="37"/>
      <c r="I282" s="37"/>
      <c r="J282" s="41"/>
      <c r="K282" s="41"/>
      <c r="L282" s="42">
        <v>52</v>
      </c>
      <c r="M282" s="43">
        <v>60</v>
      </c>
      <c r="N282" s="42">
        <v>100</v>
      </c>
      <c r="O282" s="42">
        <v>10</v>
      </c>
      <c r="P282" s="44"/>
      <c r="Q282" s="45">
        <f>IFERROR(VLOOKUP(A282,'data-ค่าฝา'!A:G,7,0),"")</f>
      </c>
    </row>
    <row r="283" spans="1:17" x14ac:dyDescent="0.25">
      <c r="A283" s="1" t="s">
        <v>508</v>
      </c>
      <c r="B283" s="1" t="s">
        <v>297</v>
      </c>
      <c r="C283" s="38" t="str">
        <f>IFERROR(VLOOKUP(A283,data!A:G,7,FALSE),"")</f>
        <v>Comb and Brush - หวีและแปรง</v>
      </c>
      <c r="D283" s="38" t="str">
        <f>IFERROR(VLOOKUP(A283,data!A:D,4,FALSE),"")</f>
        <v>VALENTE หวีแปรงไดร์กลมลายเฉียง 12 แถว รุ่น VAL-817X</v>
      </c>
      <c r="E283" s="39"/>
      <c r="F283" s="40"/>
      <c r="G283" s="37">
        <f>IFERROR(VLOOKUP(A283,data!A:V,22,FALSE),"")</f>
        <v>8858890780890</v>
      </c>
      <c r="H283" s="37"/>
      <c r="I283" s="37"/>
      <c r="J283" s="41"/>
      <c r="K283" s="41"/>
      <c r="L283" s="42">
        <v>55</v>
      </c>
      <c r="M283" s="43">
        <v>65</v>
      </c>
      <c r="N283" s="42">
        <v>100</v>
      </c>
      <c r="O283" s="42">
        <v>10</v>
      </c>
      <c r="P283" s="44"/>
      <c r="Q283" s="45">
        <f>IFERROR(VLOOKUP(A283,'data-ค่าฝา'!A:G,7,0),"")</f>
      </c>
    </row>
    <row r="284" spans="1:17" x14ac:dyDescent="0.25">
      <c r="A284" s="1" t="s">
        <v>509</v>
      </c>
      <c r="B284" s="1" t="s">
        <v>297</v>
      </c>
      <c r="C284" s="38" t="str">
        <f>IFERROR(VLOOKUP(A284,data!A:G,7,FALSE),"")</f>
        <v>Comb and Brush - หวีและแปรง</v>
      </c>
      <c r="D284" s="38" t="str">
        <f>IFERROR(VLOOKUP(A284,data!A:D,4,FALSE),"")</f>
        <v>VALENTE หวีแปรงไดร์กลมลายเฉียง 14 แถว รุ่น VAL-818X</v>
      </c>
      <c r="E284" s="39"/>
      <c r="F284" s="40"/>
      <c r="G284" s="37">
        <f>IFERROR(VLOOKUP(A284,data!A:V,22,FALSE),"")</f>
        <v>8858890780913</v>
      </c>
      <c r="H284" s="37"/>
      <c r="I284" s="37"/>
      <c r="J284" s="41"/>
      <c r="K284" s="41"/>
      <c r="L284" s="42">
        <v>60</v>
      </c>
      <c r="M284" s="43">
        <v>70</v>
      </c>
      <c r="N284" s="42">
        <v>100</v>
      </c>
      <c r="O284" s="42">
        <v>10</v>
      </c>
      <c r="P284" s="44"/>
      <c r="Q284" s="45">
        <f>IFERROR(VLOOKUP(A284,'data-ค่าฝา'!A:G,7,0),"")</f>
      </c>
    </row>
    <row r="285" spans="1:17" x14ac:dyDescent="0.25">
      <c r="A285" s="1" t="s">
        <v>510</v>
      </c>
      <c r="B285" s="1" t="s">
        <v>297</v>
      </c>
      <c r="C285" s="38" t="str">
        <f>IFERROR(VLOOKUP(A285,data!A:G,7,FALSE),"")</f>
        <v>Comb and Brush - หวีและแปรง</v>
      </c>
      <c r="D285" s="38" t="str">
        <f>IFERROR(VLOOKUP(A285,data!A:D,4,FALSE),"")</f>
        <v>VALENTE หวีแปรงไดร์กลมลายตรง 8 แถว รุ่น VAL-815Z</v>
      </c>
      <c r="E285" s="39"/>
      <c r="F285" s="40"/>
      <c r="G285" s="37">
        <f>IFERROR(VLOOKUP(A285,data!A:V,22,FALSE),"")</f>
        <v>8858890780869</v>
      </c>
      <c r="H285" s="37"/>
      <c r="I285" s="37"/>
      <c r="J285" s="41"/>
      <c r="K285" s="41"/>
      <c r="L285" s="42">
        <v>48</v>
      </c>
      <c r="M285" s="43">
        <v>55</v>
      </c>
      <c r="N285" s="42">
        <v>100</v>
      </c>
      <c r="O285" s="42">
        <v>10</v>
      </c>
      <c r="P285" s="44"/>
      <c r="Q285" s="45">
        <f>IFERROR(VLOOKUP(A285,'data-ค่าฝา'!A:G,7,0),"")</f>
      </c>
    </row>
    <row r="286" spans="1:17" x14ac:dyDescent="0.25">
      <c r="A286" s="1" t="s">
        <v>511</v>
      </c>
      <c r="B286" s="1" t="s">
        <v>297</v>
      </c>
      <c r="C286" s="38" t="str">
        <f>IFERROR(VLOOKUP(A286,data!A:G,7,FALSE),"")</f>
        <v>Comb and Brush - หวีและแปรง</v>
      </c>
      <c r="D286" s="38" t="str">
        <f>IFERROR(VLOOKUP(A286,data!A:D,4,FALSE),"")</f>
        <v>VALENTE หวีแปรงไดร์กลมลายตรง 10 แถว รุ่น VAL-816Z</v>
      </c>
      <c r="E286" s="39"/>
      <c r="F286" s="40"/>
      <c r="G286" s="37">
        <f>IFERROR(VLOOKUP(A286,data!A:V,22,FALSE),"")</f>
        <v>8858890780883</v>
      </c>
      <c r="H286" s="37"/>
      <c r="I286" s="37"/>
      <c r="J286" s="41"/>
      <c r="K286" s="41"/>
      <c r="L286" s="42">
        <v>52</v>
      </c>
      <c r="M286" s="43">
        <v>60</v>
      </c>
      <c r="N286" s="42">
        <v>100</v>
      </c>
      <c r="O286" s="42">
        <v>10</v>
      </c>
      <c r="P286" s="44"/>
      <c r="Q286" s="45">
        <f>IFERROR(VLOOKUP(A286,'data-ค่าฝา'!A:G,7,0),"")</f>
      </c>
    </row>
    <row r="287" spans="1:17" x14ac:dyDescent="0.25">
      <c r="A287" s="1" t="s">
        <v>512</v>
      </c>
      <c r="B287" s="1" t="s">
        <v>297</v>
      </c>
      <c r="C287" s="38" t="str">
        <f>IFERROR(VLOOKUP(A287,data!A:G,7,FALSE),"")</f>
        <v>Comb and Brush - หวีและแปรง</v>
      </c>
      <c r="D287" s="38" t="str">
        <f>IFERROR(VLOOKUP(A287,data!A:D,4,FALSE),"")</f>
        <v>VALENTE หวีแปรงไดร์กลมลายตรง 12 แถว รุ่น VAL-817Z</v>
      </c>
      <c r="E287" s="39"/>
      <c r="F287" s="40"/>
      <c r="G287" s="37">
        <f>IFERROR(VLOOKUP(A287,data!A:V,22,FALSE),"")</f>
        <v>8858890780906</v>
      </c>
      <c r="H287" s="37"/>
      <c r="I287" s="37"/>
      <c r="J287" s="41"/>
      <c r="K287" s="41"/>
      <c r="L287" s="42">
        <v>55</v>
      </c>
      <c r="M287" s="43">
        <v>65</v>
      </c>
      <c r="N287" s="42">
        <v>100</v>
      </c>
      <c r="O287" s="42">
        <v>10</v>
      </c>
      <c r="P287" s="44"/>
      <c r="Q287" s="45">
        <f>IFERROR(VLOOKUP(A287,'data-ค่าฝา'!A:G,7,0),"")</f>
      </c>
    </row>
    <row r="288" spans="1:17" x14ac:dyDescent="0.25">
      <c r="A288" s="1" t="s">
        <v>513</v>
      </c>
      <c r="B288" s="1" t="s">
        <v>297</v>
      </c>
      <c r="C288" s="38" t="str">
        <f>IFERROR(VLOOKUP(A288,data!A:G,7,FALSE),"")</f>
        <v>Comb and Brush - หวีและแปรง</v>
      </c>
      <c r="D288" s="38" t="str">
        <f>IFERROR(VLOOKUP(A288,data!A:D,4,FALSE),"")</f>
        <v>VALENTE หวีแปรงไดร์กลมลายตรง 14 แถว รุ่น VAL-818Z</v>
      </c>
      <c r="E288" s="39"/>
      <c r="F288" s="40"/>
      <c r="G288" s="37">
        <f>IFERROR(VLOOKUP(A288,data!A:V,22,FALSE),"")</f>
        <v>8858890780920</v>
      </c>
      <c r="H288" s="37"/>
      <c r="I288" s="37"/>
      <c r="J288" s="41"/>
      <c r="K288" s="41"/>
      <c r="L288" s="42">
        <v>60</v>
      </c>
      <c r="M288" s="43">
        <v>70</v>
      </c>
      <c r="N288" s="42">
        <v>100</v>
      </c>
      <c r="O288" s="42">
        <v>10</v>
      </c>
      <c r="P288" s="44"/>
      <c r="Q288" s="45">
        <f>IFERROR(VLOOKUP(A288,'data-ค่าฝา'!A:G,7,0),"")</f>
      </c>
    </row>
    <row r="289" spans="1:17" x14ac:dyDescent="0.25">
      <c r="A289" s="1" t="s">
        <v>514</v>
      </c>
      <c r="B289" s="1" t="s">
        <v>297</v>
      </c>
      <c r="C289" s="38" t="str">
        <f>IFERROR(VLOOKUP(A289,data!A:G,7,FALSE),"")</f>
        <v>Comb and Brush - หวีและแปรง</v>
      </c>
      <c r="D289" s="38" t="str">
        <f>IFERROR(VLOOKUP(A289,data!A:D,4,FALSE),"")</f>
        <v>หวีแปรงกลม วาเลนเต้ ด้ามไม้ ขนหมู 16 แถว รุ่น VAL-008</v>
      </c>
      <c r="E289" s="39"/>
      <c r="F289" s="40"/>
      <c r="G289" s="37">
        <f>IFERROR(VLOOKUP(A289,data!A:V,22,FALSE),"")</f>
        <v>8858890781675</v>
      </c>
      <c r="H289" s="37"/>
      <c r="I289" s="37"/>
      <c r="J289" s="41"/>
      <c r="K289" s="41"/>
      <c r="L289" s="42">
        <v>85</v>
      </c>
      <c r="M289" s="43">
        <v>95</v>
      </c>
      <c r="N289" s="42">
        <v>115</v>
      </c>
      <c r="O289" s="42">
        <v>10</v>
      </c>
      <c r="P289" s="44"/>
      <c r="Q289" s="45">
        <f>IFERROR(VLOOKUP(A289,'data-ค่าฝา'!A:G,7,0),"")</f>
      </c>
    </row>
    <row r="290" spans="1:17" x14ac:dyDescent="0.25">
      <c r="A290" s="1" t="s">
        <v>515</v>
      </c>
      <c r="B290" s="1" t="s">
        <v>297</v>
      </c>
      <c r="C290" s="38" t="str">
        <f>IFERROR(VLOOKUP(A290,data!A:G,7,FALSE),"")</f>
        <v>Comb and Brush - หวีและแปรง</v>
      </c>
      <c r="D290" s="38" t="str">
        <f>IFERROR(VLOOKUP(A290,data!A:D,4,FALSE),"")</f>
        <v>หวีแปรงกลม วาเลนเต้ ด้ามไม้ ขนหมู 18 แถว รุ่น VAL-008</v>
      </c>
      <c r="E290" s="39"/>
      <c r="F290" s="40"/>
      <c r="G290" s="37">
        <f>IFERROR(VLOOKUP(A290,data!A:V,22,FALSE),"")</f>
        <v>8858890781682</v>
      </c>
      <c r="H290" s="37"/>
      <c r="I290" s="37"/>
      <c r="J290" s="41"/>
      <c r="K290" s="41"/>
      <c r="L290" s="42">
        <v>90</v>
      </c>
      <c r="M290" s="43">
        <v>100</v>
      </c>
      <c r="N290" s="42">
        <v>120</v>
      </c>
      <c r="O290" s="42">
        <v>10</v>
      </c>
      <c r="P290" s="44"/>
      <c r="Q290" s="45">
        <f>IFERROR(VLOOKUP(A290,'data-ค่าฝา'!A:G,7,0),"")</f>
      </c>
    </row>
    <row r="291" spans="1:17" x14ac:dyDescent="0.25">
      <c r="A291" s="1" t="s">
        <v>516</v>
      </c>
      <c r="B291" s="1" t="s">
        <v>297</v>
      </c>
      <c r="C291" s="38" t="str">
        <f>IFERROR(VLOOKUP(A291,data!A:G,7,FALSE),"")</f>
        <v>Comb and Brush - หวีและแปรง</v>
      </c>
      <c r="D291" s="38" t="str">
        <f>IFERROR(VLOOKUP(A291,data!A:D,4,FALSE),"")</f>
        <v>หวีแปรงกลม วาเลนเต้ ด้ามไม้ ขนหมู 20 แถว รุ่น VAL-008</v>
      </c>
      <c r="E291" s="39"/>
      <c r="F291" s="40"/>
      <c r="G291" s="37">
        <f>IFERROR(VLOOKUP(A291,data!A:V,22,FALSE),"")</f>
        <v>8858890781699</v>
      </c>
      <c r="H291" s="37"/>
      <c r="I291" s="37"/>
      <c r="J291" s="41"/>
      <c r="K291" s="41"/>
      <c r="L291" s="42">
        <v>95</v>
      </c>
      <c r="M291" s="43">
        <v>105</v>
      </c>
      <c r="N291" s="42">
        <v>125</v>
      </c>
      <c r="O291" s="42">
        <v>10</v>
      </c>
      <c r="P291" s="44"/>
      <c r="Q291" s="45">
        <f>IFERROR(VLOOKUP(A291,'data-ค่าฝา'!A:G,7,0),"")</f>
      </c>
    </row>
    <row r="292" spans="1:17" x14ac:dyDescent="0.25">
      <c r="A292" s="1" t="s">
        <v>517</v>
      </c>
      <c r="B292" s="1" t="s">
        <v>297</v>
      </c>
      <c r="C292" s="38" t="str">
        <f>IFERROR(VLOOKUP(A292,data!A:G,7,FALSE),"")</f>
        <v>Comb and Brush - หวีและแปรง</v>
      </c>
      <c r="D292" s="38" t="str">
        <f>IFERROR(VLOOKUP(A292,data!A:D,4,FALSE),"")</f>
        <v>หวีแปรงกลม วาเลนเต้ ด้ามไม้ 24 แถวขนหมู รุ่น VAL-008</v>
      </c>
      <c r="E292" s="39"/>
      <c r="F292" s="40"/>
      <c r="G292" s="37">
        <f>IFERROR(VLOOKUP(A292,data!A:V,22,FALSE),"")</f>
        <v>8858890781705</v>
      </c>
      <c r="H292" s="37"/>
      <c r="I292" s="37"/>
      <c r="J292" s="41"/>
      <c r="K292" s="41"/>
      <c r="L292" s="42">
        <v>105</v>
      </c>
      <c r="M292" s="43">
        <v>120</v>
      </c>
      <c r="N292" s="42">
        <v>130</v>
      </c>
      <c r="O292" s="42">
        <v>10</v>
      </c>
      <c r="P292" s="44"/>
      <c r="Q292" s="45">
        <f>IFERROR(VLOOKUP(A292,'data-ค่าฝา'!A:G,7,0),"")</f>
      </c>
    </row>
    <row r="293" spans="1:17" x14ac:dyDescent="0.25">
      <c r="A293" s="1" t="s">
        <v>518</v>
      </c>
      <c r="B293" s="1" t="s">
        <v>297</v>
      </c>
      <c r="C293" s="38" t="str">
        <f>IFERROR(VLOOKUP(A293,data!A:G,7,FALSE),"")</f>
        <v>Comb and Brush - หวีและแปรง</v>
      </c>
      <c r="D293" s="38" t="str">
        <f>IFERROR(VLOOKUP(A293,data!A:D,4,FALSE),"")</f>
        <v>VALENTE แปรงไดร์กลม 16 แถว รุ่น VAL-931</v>
      </c>
      <c r="E293" s="39"/>
      <c r="F293" s="40"/>
      <c r="G293" s="37">
        <f>IFERROR(VLOOKUP(A293,data!A:V,22,FALSE),"")</f>
        <v>8858890780937</v>
      </c>
      <c r="H293" s="37"/>
      <c r="I293" s="37"/>
      <c r="J293" s="41"/>
      <c r="K293" s="41"/>
      <c r="L293" s="42">
        <v>90</v>
      </c>
      <c r="M293" s="43">
        <v>100</v>
      </c>
      <c r="N293" s="42">
        <v>125</v>
      </c>
      <c r="O293" s="42">
        <v>10</v>
      </c>
      <c r="P293" s="44"/>
      <c r="Q293" s="45">
        <f>IFERROR(VLOOKUP(A293,'data-ค่าฝา'!A:G,7,0),"")</f>
      </c>
    </row>
    <row r="294" spans="1:17" x14ac:dyDescent="0.25">
      <c r="A294" s="1" t="s">
        <v>519</v>
      </c>
      <c r="B294" s="1" t="s">
        <v>297</v>
      </c>
      <c r="C294" s="38" t="str">
        <f>IFERROR(VLOOKUP(A294,data!A:G,7,FALSE),"")</f>
        <v>Comb and Brush - หวีและแปรง</v>
      </c>
      <c r="D294" s="38" t="str">
        <f>IFERROR(VLOOKUP(A294,data!A:D,4,FALSE),"")</f>
        <v>VALENTE แปรงไดร์กลม 18 แถว รุ่น VAL-932</v>
      </c>
      <c r="E294" s="39"/>
      <c r="F294" s="40"/>
      <c r="G294" s="37">
        <f>IFERROR(VLOOKUP(A294,data!A:V,22,FALSE),"")</f>
        <v>8858890780944</v>
      </c>
      <c r="H294" s="37"/>
      <c r="I294" s="37"/>
      <c r="J294" s="41"/>
      <c r="K294" s="41"/>
      <c r="L294" s="42">
        <v>95</v>
      </c>
      <c r="M294" s="43">
        <v>105</v>
      </c>
      <c r="N294" s="42">
        <v>130</v>
      </c>
      <c r="O294" s="42">
        <v>10</v>
      </c>
      <c r="P294" s="44"/>
      <c r="Q294" s="45">
        <f>IFERROR(VLOOKUP(A294,'data-ค่าฝา'!A:G,7,0),"")</f>
      </c>
    </row>
    <row r="295" spans="1:17" x14ac:dyDescent="0.25">
      <c r="A295" s="1" t="s">
        <v>520</v>
      </c>
      <c r="B295" s="1" t="s">
        <v>297</v>
      </c>
      <c r="C295" s="38" t="str">
        <f>IFERROR(VLOOKUP(A295,data!A:G,7,FALSE),"")</f>
        <v>Comb and Brush - หวีและแปรง</v>
      </c>
      <c r="D295" s="38" t="str">
        <f>IFERROR(VLOOKUP(A295,data!A:D,4,FALSE),"")</f>
        <v>VALENTE แปรงไดร์กลม รุ่น VAL-933</v>
      </c>
      <c r="E295" s="39"/>
      <c r="F295" s="40"/>
      <c r="G295" s="37">
        <f>IFERROR(VLOOKUP(A295,data!A:V,22,FALSE),"")</f>
        <v>8858890780951</v>
      </c>
      <c r="H295" s="37"/>
      <c r="I295" s="37"/>
      <c r="J295" s="41"/>
      <c r="K295" s="41"/>
      <c r="L295" s="42">
        <v>100</v>
      </c>
      <c r="M295" s="43">
        <v>110</v>
      </c>
      <c r="N295" s="42">
        <v>135</v>
      </c>
      <c r="O295" s="42">
        <v>10</v>
      </c>
      <c r="P295" s="44"/>
      <c r="Q295" s="45">
        <f>IFERROR(VLOOKUP(A295,'data-ค่าฝา'!A:G,7,0),"")</f>
      </c>
    </row>
    <row r="296" spans="1:17" x14ac:dyDescent="0.25">
      <c r="A296" s="1" t="s">
        <v>521</v>
      </c>
      <c r="B296" s="1" t="s">
        <v>297</v>
      </c>
      <c r="C296" s="38" t="str">
        <f>IFERROR(VLOOKUP(A296,data!A:G,7,FALSE),"")</f>
        <v>Comb and Brush - หวีและแปรง</v>
      </c>
      <c r="D296" s="38" t="str">
        <f>IFERROR(VLOOKUP(A296,data!A:D,4,FALSE),"")</f>
        <v>VALENTE แปรงไดร์กลม รุ่น VAL-934</v>
      </c>
      <c r="E296" s="39"/>
      <c r="F296" s="40"/>
      <c r="G296" s="37">
        <f>IFERROR(VLOOKUP(A296,data!A:V,22,FALSE),"")</f>
        <v>8858890780968</v>
      </c>
      <c r="H296" s="37"/>
      <c r="I296" s="37"/>
      <c r="J296" s="41"/>
      <c r="K296" s="41"/>
      <c r="L296" s="42">
        <v>105</v>
      </c>
      <c r="M296" s="43">
        <v>120</v>
      </c>
      <c r="N296" s="42">
        <v>140</v>
      </c>
      <c r="O296" s="42">
        <v>10</v>
      </c>
      <c r="P296" s="44"/>
      <c r="Q296" s="45">
        <f>IFERROR(VLOOKUP(A296,'data-ค่าฝา'!A:G,7,0),"")</f>
      </c>
    </row>
    <row r="297" spans="1:17" x14ac:dyDescent="0.25">
      <c r="A297" s="1" t="s">
        <v>522</v>
      </c>
      <c r="B297" s="1" t="s">
        <v>297</v>
      </c>
      <c r="C297" s="38" t="str">
        <f>IFERROR(VLOOKUP(A297,data!A:G,7,FALSE),"")</f>
        <v>Comb and Brush - หวีและแปรง</v>
      </c>
      <c r="D297" s="38" t="str">
        <f>IFERROR(VLOOKUP(A297,data!A:D,4,FALSE),"")</f>
        <v>VALENTE แปรงไดร์กลม 8 แถว ไดร์ผม ด้ามไม้ สีขาว VAL-970</v>
      </c>
      <c r="E297" s="39"/>
      <c r="F297" s="40"/>
      <c r="G297" s="37">
        <f>IFERROR(VLOOKUP(A297,data!A:V,22,FALSE),"")</f>
        <v>8858890782078</v>
      </c>
      <c r="H297" s="37"/>
      <c r="I297" s="37"/>
      <c r="J297" s="41"/>
      <c r="K297" s="41"/>
      <c r="L297" s="42">
        <v>45</v>
      </c>
      <c r="M297" s="43">
        <v>50</v>
      </c>
      <c r="N297" s="42">
        <v>85</v>
      </c>
      <c r="O297" s="42">
        <v>10</v>
      </c>
      <c r="P297" s="44"/>
      <c r="Q297" s="45">
        <f>IFERROR(VLOOKUP(A297,'data-ค่าฝา'!A:G,7,0),"")</f>
      </c>
    </row>
    <row r="298" spans="1:17" x14ac:dyDescent="0.25">
      <c r="A298" s="1" t="s">
        <v>523</v>
      </c>
      <c r="B298" s="1" t="s">
        <v>297</v>
      </c>
      <c r="C298" s="38" t="str">
        <f>IFERROR(VLOOKUP(A298,data!A:G,7,FALSE),"")</f>
        <v>Comb and Brush - หวีและแปรง</v>
      </c>
      <c r="D298" s="38" t="str">
        <f>IFERROR(VLOOKUP(A298,data!A:D,4,FALSE),"")</f>
        <v>VALENTE แปรงไดร์กลม ไดร์ผม 10 แถว ด้ามไม้ สีขาว VAL-971</v>
      </c>
      <c r="E298" s="39"/>
      <c r="F298" s="40"/>
      <c r="G298" s="37">
        <f>IFERROR(VLOOKUP(A298,data!A:V,22,FALSE),"")</f>
        <v>88588907820850</v>
      </c>
      <c r="H298" s="37"/>
      <c r="I298" s="37"/>
      <c r="J298" s="41"/>
      <c r="K298" s="41"/>
      <c r="L298" s="42">
        <v>45</v>
      </c>
      <c r="M298" s="43">
        <v>50</v>
      </c>
      <c r="N298" s="42">
        <v>85</v>
      </c>
      <c r="O298" s="42">
        <v>10</v>
      </c>
      <c r="P298" s="44"/>
      <c r="Q298" s="45">
        <f>IFERROR(VLOOKUP(A298,'data-ค่าฝา'!A:G,7,0),"")</f>
      </c>
    </row>
    <row r="299" spans="1:17" x14ac:dyDescent="0.25">
      <c r="A299" s="1" t="s">
        <v>524</v>
      </c>
      <c r="B299" s="1" t="s">
        <v>297</v>
      </c>
      <c r="C299" s="38" t="str">
        <f>IFERROR(VLOOKUP(A299,data!A:G,7,FALSE),"")</f>
        <v>Comb and Brush - หวีและแปรง</v>
      </c>
      <c r="D299" s="38" t="str">
        <f>IFERROR(VLOOKUP(A299,data!A:D,4,FALSE),"")</f>
        <v>VALENTE แปรงไดร์กลม 12 แถว ไดร์ผม ด้ามไม้ สีขาว VAL-972</v>
      </c>
      <c r="E299" s="39"/>
      <c r="F299" s="40"/>
      <c r="G299" s="37">
        <f>IFERROR(VLOOKUP(A299,data!A:V,22,FALSE),"")</f>
        <v>8858890782092</v>
      </c>
      <c r="H299" s="37"/>
      <c r="I299" s="37"/>
      <c r="J299" s="41"/>
      <c r="K299" s="41"/>
      <c r="L299" s="42">
        <v>45</v>
      </c>
      <c r="M299" s="43">
        <v>50</v>
      </c>
      <c r="N299" s="42">
        <v>85</v>
      </c>
      <c r="O299" s="42">
        <v>10</v>
      </c>
      <c r="P299" s="44"/>
      <c r="Q299" s="45">
        <f>IFERROR(VLOOKUP(A299,'data-ค่าฝา'!A:G,7,0),"")</f>
      </c>
    </row>
    <row r="300" spans="1:17" x14ac:dyDescent="0.25">
      <c r="A300" s="1" t="s">
        <v>525</v>
      </c>
      <c r="B300" s="1" t="s">
        <v>297</v>
      </c>
      <c r="C300" s="38" t="str">
        <f>IFERROR(VLOOKUP(A300,data!A:G,7,FALSE),"")</f>
        <v>Comb and Brush - หวีและแปรง</v>
      </c>
      <c r="D300" s="38" t="str">
        <f>IFERROR(VLOOKUP(A300,data!A:D,4,FALSE),"")</f>
        <v>VALENTE แปรงไดร์กลม 14 แถว ไดร์ผม ด้ามไม้ สีขาว VAL-973</v>
      </c>
      <c r="E300" s="39"/>
      <c r="F300" s="40"/>
      <c r="G300" s="37">
        <f>IFERROR(VLOOKUP(A300,data!A:V,22,FALSE),"")</f>
        <v>8858890782108</v>
      </c>
      <c r="H300" s="37"/>
      <c r="I300" s="37"/>
      <c r="J300" s="41"/>
      <c r="K300" s="41"/>
      <c r="L300" s="42">
        <v>45</v>
      </c>
      <c r="M300" s="43">
        <v>50</v>
      </c>
      <c r="N300" s="42">
        <v>85</v>
      </c>
      <c r="O300" s="42">
        <v>10</v>
      </c>
      <c r="P300" s="44"/>
      <c r="Q300" s="45">
        <f>IFERROR(VLOOKUP(A300,'data-ค่าฝา'!A:G,7,0),"")</f>
      </c>
    </row>
    <row r="301" spans="1:17" x14ac:dyDescent="0.25">
      <c r="A301" s="1" t="s">
        <v>526</v>
      </c>
      <c r="B301" s="1" t="s">
        <v>297</v>
      </c>
      <c r="C301" s="38" t="str">
        <f>IFERROR(VLOOKUP(A301,data!A:G,7,FALSE),"")</f>
        <v>Comb and Brush - หวีและแปรง</v>
      </c>
      <c r="D301" s="38" t="str">
        <f>IFERROR(VLOOKUP(A301,data!A:D,4,FALSE),"")</f>
        <v>VALENTE แปรงไดร์กลม 10 แถว รุ่น VAL-862-D</v>
      </c>
      <c r="E301" s="39"/>
      <c r="F301" s="40"/>
      <c r="G301" s="37">
        <f>IFERROR(VLOOKUP(A301,data!A:V,22,FALSE),"")</f>
        <v>8858890781637</v>
      </c>
      <c r="H301" s="37"/>
      <c r="I301" s="37"/>
      <c r="J301" s="41"/>
      <c r="K301" s="41"/>
      <c r="L301" s="42">
        <v>30</v>
      </c>
      <c r="M301" s="43">
        <v>35</v>
      </c>
      <c r="N301" s="42">
        <v>60</v>
      </c>
      <c r="O301" s="42">
        <v>10</v>
      </c>
      <c r="P301" s="44"/>
      <c r="Q301" s="45">
        <f>IFERROR(VLOOKUP(A301,'data-ค่าฝา'!A:G,7,0),"")</f>
      </c>
    </row>
    <row r="302" spans="1:17" x14ac:dyDescent="0.25">
      <c r="A302" s="1" t="s">
        <v>527</v>
      </c>
      <c r="B302" s="1" t="s">
        <v>297</v>
      </c>
      <c r="C302" s="38" t="str">
        <f>IFERROR(VLOOKUP(A302,data!A:G,7,FALSE),"")</f>
        <v>Comb and Brush - หวีและแปรง</v>
      </c>
      <c r="D302" s="38" t="str">
        <f>IFERROR(VLOOKUP(A302,data!A:D,4,FALSE),"")</f>
        <v>VALENTE แปรงไดร์กลม 12 แถว รุ่น VAL-863-D</v>
      </c>
      <c r="E302" s="39"/>
      <c r="F302" s="40"/>
      <c r="G302" s="37">
        <f>IFERROR(VLOOKUP(A302,data!A:V,22,FALSE),"")</f>
        <v>8858890781644</v>
      </c>
      <c r="H302" s="37"/>
      <c r="I302" s="37"/>
      <c r="J302" s="41"/>
      <c r="K302" s="41"/>
      <c r="L302" s="42">
        <v>30</v>
      </c>
      <c r="M302" s="43">
        <v>35</v>
      </c>
      <c r="N302" s="42">
        <v>60</v>
      </c>
      <c r="O302" s="42">
        <v>10</v>
      </c>
      <c r="P302" s="44"/>
      <c r="Q302" s="45">
        <f>IFERROR(VLOOKUP(A302,'data-ค่าฝา'!A:G,7,0),"")</f>
      </c>
    </row>
    <row r="303" spans="1:17" x14ac:dyDescent="0.25">
      <c r="A303" s="1" t="s">
        <v>528</v>
      </c>
      <c r="B303" s="1" t="s">
        <v>297</v>
      </c>
      <c r="C303" s="38" t="str">
        <f>IFERROR(VLOOKUP(A303,data!A:G,7,FALSE),"")</f>
        <v>Comb and Brush - หวีและแปรง</v>
      </c>
      <c r="D303" s="38" t="str">
        <f>IFERROR(VLOOKUP(A303,data!A:D,4,FALSE),"")</f>
        <v>VALENTE แปรงไดร์กลม มี 14 แถว รุ่น VAL-862-D-VAL-869-D</v>
      </c>
      <c r="E303" s="39"/>
      <c r="F303" s="40"/>
      <c r="G303" s="37">
        <f>IFERROR(VLOOKUP(A303,data!A:V,22,FALSE),"")</f>
        <v>8858890781651</v>
      </c>
      <c r="H303" s="37"/>
      <c r="I303" s="37"/>
      <c r="J303" s="41"/>
      <c r="K303" s="41"/>
      <c r="L303" s="42">
        <v>30</v>
      </c>
      <c r="M303" s="43">
        <v>35</v>
      </c>
      <c r="N303" s="42">
        <v>60</v>
      </c>
      <c r="O303" s="42">
        <v>10</v>
      </c>
      <c r="P303" s="44"/>
      <c r="Q303" s="45">
        <f>IFERROR(VLOOKUP(A303,'data-ค่าฝา'!A:G,7,0),"")</f>
      </c>
    </row>
    <row r="304" spans="1:17" x14ac:dyDescent="0.25">
      <c r="A304" s="1" t="s">
        <v>529</v>
      </c>
      <c r="B304" s="1" t="s">
        <v>297</v>
      </c>
      <c r="C304" s="38" t="str">
        <f>IFERROR(VLOOKUP(A304,data!A:G,7,FALSE),"")</f>
        <v>Comb and Brush - หวีและแปรง</v>
      </c>
      <c r="D304" s="38" t="str">
        <f>IFERROR(VLOOKUP(A304,data!A:D,4,FALSE),"")</f>
        <v>วาเลนเต้ แปรงไดร์กลม 12 แถว สีดำ 0.039g. VAL-971/B</v>
      </c>
      <c r="E304" s="39"/>
      <c r="F304" s="40"/>
      <c r="G304" s="37">
        <f>IFERROR(VLOOKUP(A304,data!A:V,22,FALSE),"")</f>
        <v>8858890781170</v>
      </c>
      <c r="H304" s="37"/>
      <c r="I304" s="37"/>
      <c r="J304" s="41"/>
      <c r="K304" s="41"/>
      <c r="L304" s="42">
        <v>30</v>
      </c>
      <c r="M304" s="43">
        <v>35</v>
      </c>
      <c r="N304" s="42">
        <v>85</v>
      </c>
      <c r="O304" s="42">
        <v>10</v>
      </c>
      <c r="P304" s="44"/>
      <c r="Q304" s="45">
        <f>IFERROR(VLOOKUP(A304,'data-ค่าฝา'!A:G,7,0),"")</f>
      </c>
    </row>
    <row r="305" spans="1:17" x14ac:dyDescent="0.25">
      <c r="A305" s="1" t="s">
        <v>530</v>
      </c>
      <c r="B305" s="1" t="s">
        <v>297</v>
      </c>
      <c r="C305" s="38" t="str">
        <f>IFERROR(VLOOKUP(A305,data!A:G,7,FALSE),"")</f>
        <v>Comb and Brush - หวีและแปรง</v>
      </c>
      <c r="D305" s="38" t="str">
        <f>IFERROR(VLOOKUP(A305,data!A:D,4,FALSE),"")</f>
        <v>VALENTE แปรงไดร์กลม 14 แถว (VAL-972/B)</v>
      </c>
      <c r="E305" s="39"/>
      <c r="F305" s="40"/>
      <c r="G305" s="37">
        <f>IFERROR(VLOOKUP(A305,data!A:V,22,FALSE),"")</f>
        <v>8858890781200</v>
      </c>
      <c r="H305" s="37"/>
      <c r="I305" s="37"/>
      <c r="J305" s="41"/>
      <c r="K305" s="41"/>
      <c r="L305" s="42">
        <v>30</v>
      </c>
      <c r="M305" s="43">
        <v>35</v>
      </c>
      <c r="N305" s="42">
        <v>85</v>
      </c>
      <c r="O305" s="42">
        <v>10</v>
      </c>
      <c r="P305" s="44"/>
      <c r="Q305" s="45">
        <f>IFERROR(VLOOKUP(A305,'data-ค่าฝา'!A:G,7,0),"")</f>
      </c>
    </row>
    <row r="306" spans="1:17" x14ac:dyDescent="0.25">
      <c r="A306" s="1" t="s">
        <v>531</v>
      </c>
      <c r="B306" s="1" t="s">
        <v>297</v>
      </c>
      <c r="C306" s="38" t="str">
        <f>IFERROR(VLOOKUP(A306,data!A:G,7,FALSE),"")</f>
        <v>Comb and Brush - หวีและแปรง</v>
      </c>
      <c r="D306" s="38" t="str">
        <f>IFERROR(VLOOKUP(A306,data!A:D,4,FALSE),"")</f>
        <v>VALENTE round hair brush แปรงกลมวาเลนเต้ 16 แถว รุ่น VAL-973/B</v>
      </c>
      <c r="E306" s="39"/>
      <c r="F306" s="40"/>
      <c r="G306" s="37">
        <f>IFERROR(VLOOKUP(A306,data!A:V,22,FALSE),"")</f>
        <v>8858890781231</v>
      </c>
      <c r="H306" s="37"/>
      <c r="I306" s="37"/>
      <c r="J306" s="41"/>
      <c r="K306" s="41"/>
      <c r="L306" s="42">
        <v>30</v>
      </c>
      <c r="M306" s="43">
        <v>35</v>
      </c>
      <c r="N306" s="42">
        <v>85</v>
      </c>
      <c r="O306" s="42">
        <v>10</v>
      </c>
      <c r="P306" s="44"/>
      <c r="Q306" s="45">
        <f>IFERROR(VLOOKUP(A306,'data-ค่าฝา'!A:G,7,0),"")</f>
      </c>
    </row>
    <row r="307" spans="1:17" x14ac:dyDescent="0.25">
      <c r="A307" s="1" t="s">
        <v>532</v>
      </c>
      <c r="B307" s="1" t="s">
        <v>297</v>
      </c>
      <c r="C307" s="38" t="str">
        <f>IFERROR(VLOOKUP(A307,data!A:G,7,FALSE),"")</f>
        <v>Comb and Brush - หวีและแปรง</v>
      </c>
      <c r="D307" s="38" t="str">
        <f>IFERROR(VLOOKUP(A307,data!A:D,4,FALSE),"")</f>
        <v>หวีแปรงไดร์เกาหลี ขนหมูลายตรง ขนาด 18 แถว รหัส HP-011-1</v>
      </c>
      <c r="E307" s="39"/>
      <c r="F307" s="40"/>
      <c r="G307" s="37">
        <f>IFERROR(VLOOKUP(A307,data!A:V,22,FALSE),"")</f>
        <v>8858890799403</v>
      </c>
      <c r="H307" s="37"/>
      <c r="I307" s="37"/>
      <c r="J307" s="41"/>
      <c r="K307" s="41"/>
      <c r="L307" s="42">
        <v>165</v>
      </c>
      <c r="M307" s="43">
        <v>185</v>
      </c>
      <c r="N307" s="42">
        <v>220</v>
      </c>
      <c r="O307" s="42">
        <v>10</v>
      </c>
      <c r="P307" s="44"/>
      <c r="Q307" s="45">
        <f>IFERROR(VLOOKUP(A307,'data-ค่าฝา'!A:G,7,0),"")</f>
      </c>
    </row>
    <row r="308" spans="1:17" x14ac:dyDescent="0.25">
      <c r="A308" s="1" t="s">
        <v>533</v>
      </c>
      <c r="B308" s="1" t="s">
        <v>297</v>
      </c>
      <c r="C308" s="38" t="str">
        <f>IFERROR(VLOOKUP(A308,data!A:G,7,FALSE),"")</f>
        <v>Comb and Brush - หวีและแปรง</v>
      </c>
      <c r="D308" s="38" t="str">
        <f>IFERROR(VLOOKUP(A308,data!A:D,4,FALSE),"")</f>
        <v>แปรงไดร์เกาหลี ขนหมูลายเฉียง ขนาด 10 แถว รหัส HP-012</v>
      </c>
      <c r="E308" s="39"/>
      <c r="F308" s="40"/>
      <c r="G308" s="37">
        <f>IFERROR(VLOOKUP(A308,data!A:V,22,FALSE),"")</f>
        <v>8858890799410</v>
      </c>
      <c r="H308" s="37"/>
      <c r="I308" s="37"/>
      <c r="J308" s="41"/>
      <c r="K308" s="41"/>
      <c r="L308" s="42">
        <v>145</v>
      </c>
      <c r="M308" s="43">
        <v>160</v>
      </c>
      <c r="N308" s="42">
        <v>190</v>
      </c>
      <c r="O308" s="42">
        <v>10</v>
      </c>
      <c r="P308" s="44"/>
      <c r="Q308" s="45">
        <f>IFERROR(VLOOKUP(A308,'data-ค่าฝา'!A:G,7,0),"")</f>
      </c>
    </row>
    <row r="309" spans="1:17" x14ac:dyDescent="0.25">
      <c r="A309" s="1" t="s">
        <v>534</v>
      </c>
      <c r="B309" s="1" t="s">
        <v>297</v>
      </c>
      <c r="C309" s="38" t="str">
        <f>IFERROR(VLOOKUP(A309,data!A:G,7,FALSE),"")</f>
        <v>Comb and Brush - หวีและแปรง</v>
      </c>
      <c r="D309" s="38" t="str">
        <f>IFERROR(VLOOKUP(A309,data!A:D,4,FALSE),"")</f>
        <v>แปรงไดร์เกาหลี ขนหมูลายเฉียง ขนาด 14 แถว รหัส HP-013</v>
      </c>
      <c r="E309" s="39"/>
      <c r="F309" s="40"/>
      <c r="G309" s="37">
        <f>IFERROR(VLOOKUP(A309,data!A:V,22,FALSE),"")</f>
        <v>8858890799427</v>
      </c>
      <c r="H309" s="37"/>
      <c r="I309" s="37"/>
      <c r="J309" s="41"/>
      <c r="K309" s="41"/>
      <c r="L309" s="42">
        <v>155</v>
      </c>
      <c r="M309" s="43">
        <v>175</v>
      </c>
      <c r="N309" s="42">
        <v>200</v>
      </c>
      <c r="O309" s="42">
        <v>10</v>
      </c>
      <c r="P309" s="44"/>
      <c r="Q309" s="45">
        <f>IFERROR(VLOOKUP(A309,'data-ค่าฝา'!A:G,7,0),"")</f>
      </c>
    </row>
    <row r="310" spans="1:17" x14ac:dyDescent="0.25">
      <c r="A310" s="1" t="s">
        <v>535</v>
      </c>
      <c r="B310" s="1" t="s">
        <v>297</v>
      </c>
      <c r="C310" s="38" t="str">
        <f>IFERROR(VLOOKUP(A310,data!A:G,7,FALSE),"")</f>
        <v>Comb and Brush - หวีและแปรง</v>
      </c>
      <c r="D310" s="38" t="str">
        <f>IFERROR(VLOOKUP(A310,data!A:D,4,FALSE),"")</f>
        <v>แปรงไดร์เกาหลี ขนหมูลายเฉียง ขนาด 18 แถว รหัส HP-014</v>
      </c>
      <c r="E310" s="39"/>
      <c r="F310" s="40"/>
      <c r="G310" s="37">
        <f>IFERROR(VLOOKUP(A310,data!A:V,22,FALSE),"")</f>
        <v>8858890799434</v>
      </c>
      <c r="H310" s="37"/>
      <c r="I310" s="37"/>
      <c r="J310" s="41"/>
      <c r="K310" s="41"/>
      <c r="L310" s="42">
        <v>165</v>
      </c>
      <c r="M310" s="43">
        <v>185</v>
      </c>
      <c r="N310" s="42">
        <v>210</v>
      </c>
      <c r="O310" s="42">
        <v>10</v>
      </c>
      <c r="P310" s="44"/>
      <c r="Q310" s="45">
        <f>IFERROR(VLOOKUP(A310,'data-ค่าฝา'!A:G,7,0),"")</f>
      </c>
    </row>
    <row r="311" spans="1:17" x14ac:dyDescent="0.25">
      <c r="A311" s="1" t="s">
        <v>536</v>
      </c>
      <c r="B311" s="1" t="s">
        <v>297</v>
      </c>
      <c r="C311" s="38" t="str">
        <f>IFERROR(VLOOKUP(A311,data!A:G,7,FALSE),"")</f>
        <v>Comb and Brush - หวีและแปรง</v>
      </c>
      <c r="D311" s="38" t="str">
        <f>IFERROR(VLOOKUP(A311,data!A:D,4,FALSE),"")</f>
        <v>หวีแปรงไดร์ 10 แถว HP-009</v>
      </c>
      <c r="E311" s="39"/>
      <c r="F311" s="40"/>
      <c r="G311" s="37">
        <f>IFERROR(VLOOKUP(A311,data!A:V,22,FALSE),"")</f>
        <v>8858890798918</v>
      </c>
      <c r="H311" s="37"/>
      <c r="I311" s="37"/>
      <c r="J311" s="41"/>
      <c r="K311" s="41"/>
      <c r="L311" s="42">
        <v>145</v>
      </c>
      <c r="M311" s="43">
        <v>160</v>
      </c>
      <c r="N311" s="42">
        <v>190</v>
      </c>
      <c r="O311" s="42">
        <v>10</v>
      </c>
      <c r="P311" s="44"/>
      <c r="Q311" s="45">
        <f>IFERROR(VLOOKUP(A311,'data-ค่าฝา'!A:G,7,0),"")</f>
      </c>
    </row>
    <row r="312" spans="1:17" x14ac:dyDescent="0.25">
      <c r="A312" s="1" t="s">
        <v>537</v>
      </c>
      <c r="B312" s="1" t="s">
        <v>297</v>
      </c>
      <c r="C312" s="38" t="str">
        <f>IFERROR(VLOOKUP(A312,data!A:G,7,FALSE),"")</f>
        <v>Comb and Brush - หวีและแปรง</v>
      </c>
      <c r="D312" s="38" t="str">
        <f>IFERROR(VLOOKUP(A312,data!A:D,4,FALSE),"")</f>
        <v>หวีแปรงไดร์ 14 แถว HP-010</v>
      </c>
      <c r="E312" s="39"/>
      <c r="F312" s="40"/>
      <c r="G312" s="37">
        <f>IFERROR(VLOOKUP(A312,data!A:V,22,FALSE),"")</f>
        <v>8858890798925</v>
      </c>
      <c r="H312" s="37"/>
      <c r="I312" s="37"/>
      <c r="J312" s="41"/>
      <c r="K312" s="41"/>
      <c r="L312" s="42">
        <v>155</v>
      </c>
      <c r="M312" s="43">
        <v>175</v>
      </c>
      <c r="N312" s="42">
        <v>200</v>
      </c>
      <c r="O312" s="42">
        <v>10</v>
      </c>
      <c r="P312" s="44"/>
      <c r="Q312" s="45">
        <f>IFERROR(VLOOKUP(A312,'data-ค่าฝา'!A:G,7,0),"")</f>
      </c>
    </row>
    <row r="313" spans="1:17" x14ac:dyDescent="0.25">
      <c r="A313" s="1" t="s">
        <v>538</v>
      </c>
      <c r="B313" s="1" t="s">
        <v>297</v>
      </c>
      <c r="C313" s="38" t="str">
        <f>IFERROR(VLOOKUP(A313,data!A:G,7,FALSE),"")</f>
        <v>Comb and Brush - หวีและแปรง</v>
      </c>
      <c r="D313" s="38" t="str">
        <f>IFERROR(VLOOKUP(A313,data!A:D,4,FALSE),"")</f>
        <v>หวีแปรงไดร์ 18 แถว HP-011</v>
      </c>
      <c r="E313" s="39"/>
      <c r="F313" s="40"/>
      <c r="G313" s="37">
        <f>IFERROR(VLOOKUP(A313,data!A:V,22,FALSE),"")</f>
        <v>8858890798932</v>
      </c>
      <c r="H313" s="37"/>
      <c r="I313" s="37"/>
      <c r="J313" s="41"/>
      <c r="K313" s="41"/>
      <c r="L313" s="42">
        <v>165</v>
      </c>
      <c r="M313" s="43">
        <v>185</v>
      </c>
      <c r="N313" s="42">
        <v>220</v>
      </c>
      <c r="O313" s="42">
        <v>10</v>
      </c>
      <c r="P313" s="44"/>
      <c r="Q313" s="45">
        <f>IFERROR(VLOOKUP(A313,'data-ค่าฝา'!A:G,7,0),"")</f>
      </c>
    </row>
    <row r="314" spans="1:17" x14ac:dyDescent="0.25">
      <c r="A314" s="1" t="s">
        <v>539</v>
      </c>
      <c r="B314" s="1" t="s">
        <v>297</v>
      </c>
      <c r="C314" s="38" t="str">
        <f>IFERROR(VLOOKUP(A314,data!A:G,7,FALSE),"")</f>
        <v>Comb and Brush - หวีและแปรง</v>
      </c>
      <c r="D314" s="38" t="str">
        <f>IFERROR(VLOOKUP(A314,data!A:D,4,FALSE),"")</f>
        <v>วาเลนเต้แปรงไดรยกโคนผมแบบเก็บความร้อน</v>
      </c>
      <c r="E314" s="39"/>
      <c r="F314" s="40"/>
      <c r="G314" s="37">
        <f>IFERROR(VLOOKUP(A314,data!A:V,22,FALSE),"")</f>
        <v>8858890800239</v>
      </c>
      <c r="H314" s="37"/>
      <c r="I314" s="37"/>
      <c r="J314" s="41"/>
      <c r="K314" s="41"/>
      <c r="L314" s="42">
        <v>75</v>
      </c>
      <c r="M314" s="43">
        <v>85</v>
      </c>
      <c r="N314" s="42">
        <v>110</v>
      </c>
      <c r="O314" s="42">
        <v>10</v>
      </c>
      <c r="P314" s="44"/>
      <c r="Q314" s="45">
        <f>IFERROR(VLOOKUP(A314,'data-ค่าฝา'!A:G,7,0),"")</f>
      </c>
    </row>
    <row r="315" spans="1:17" x14ac:dyDescent="0.25">
      <c r="A315" s="1" t="s">
        <v>540</v>
      </c>
      <c r="B315" s="1" t="s">
        <v>297</v>
      </c>
      <c r="C315" s="38" t="str">
        <f>IFERROR(VLOOKUP(A315,data!A:G,7,FALSE),"")</f>
        <v>Comb and Brush - หวีและแปรง</v>
      </c>
      <c r="D315" s="38" t="str">
        <f>IFERROR(VLOOKUP(A315,data!A:D,4,FALSE),"")</f>
        <v>วาเลนเต้แปรงไดรยกโคนผมแบบเก็บความร้อน</v>
      </c>
      <c r="E315" s="39"/>
      <c r="F315" s="40"/>
      <c r="G315" s="37">
        <f>IFERROR(VLOOKUP(A315,data!A:V,22,FALSE),"")</f>
        <v>8858890800246</v>
      </c>
      <c r="H315" s="37"/>
      <c r="I315" s="37"/>
      <c r="J315" s="41"/>
      <c r="K315" s="41"/>
      <c r="L315" s="42">
        <v>80</v>
      </c>
      <c r="M315" s="43">
        <v>90</v>
      </c>
      <c r="N315" s="42">
        <v>115</v>
      </c>
      <c r="O315" s="42">
        <v>10</v>
      </c>
      <c r="P315" s="44"/>
      <c r="Q315" s="45">
        <f>IFERROR(VLOOKUP(A315,'data-ค่าฝา'!A:G,7,0),"")</f>
      </c>
    </row>
    <row r="316" spans="1:17" x14ac:dyDescent="0.25">
      <c r="A316" s="1" t="s">
        <v>541</v>
      </c>
      <c r="B316" s="1" t="s">
        <v>297</v>
      </c>
      <c r="C316" s="38" t="str">
        <f>IFERROR(VLOOKUP(A316,data!A:G,7,FALSE),"")</f>
        <v>Comb and Brush - หวีและแปรง</v>
      </c>
      <c r="D316" s="38" t="str">
        <f>IFERROR(VLOOKUP(A316,data!A:D,4,FALSE),"")</f>
        <v>แปรงยกโคนเก็บความร้อน 14 แถว</v>
      </c>
      <c r="E316" s="39"/>
      <c r="F316" s="40"/>
      <c r="G316" s="37">
        <f>IFERROR(VLOOKUP(A316,data!A:V,22,FALSE),"")</f>
        <v>8858890800451</v>
      </c>
      <c r="H316" s="37"/>
      <c r="I316" s="37"/>
      <c r="J316" s="41"/>
      <c r="K316" s="41"/>
      <c r="L316" s="42">
        <v>85</v>
      </c>
      <c r="M316" s="43">
        <v>95</v>
      </c>
      <c r="N316" s="42">
        <v>120</v>
      </c>
      <c r="O316" s="42">
        <v>10</v>
      </c>
      <c r="P316" s="44"/>
      <c r="Q316" s="45">
        <f>IFERROR(VLOOKUP(A316,'data-ค่าฝา'!A:G,7,0),"")</f>
      </c>
    </row>
    <row r="317" spans="1:17" x14ac:dyDescent="0.25">
      <c r="A317" s="1" t="s">
        <v>542</v>
      </c>
      <c r="B317" s="1" t="s">
        <v>297</v>
      </c>
      <c r="C317" s="38" t="str">
        <f>IFERROR(VLOOKUP(A317,data!A:G,7,FALSE),"")</f>
        <v>Comb and Brush - หวีและแปรง</v>
      </c>
      <c r="D317" s="38" t="str">
        <f>IFERROR(VLOOKUP(A317,data!A:D,4,FALSE),"")</f>
        <v>แปรงยกโคนเก็บความร้อน 16 แถว</v>
      </c>
      <c r="E317" s="39"/>
      <c r="F317" s="40"/>
      <c r="G317" s="37">
        <f>IFERROR(VLOOKUP(A317,data!A:V,22,FALSE),"")</f>
        <v>8858800800468</v>
      </c>
      <c r="H317" s="37"/>
      <c r="I317" s="37"/>
      <c r="J317" s="41"/>
      <c r="K317" s="41"/>
      <c r="L317" s="42">
        <v>90</v>
      </c>
      <c r="M317" s="43">
        <v>100</v>
      </c>
      <c r="N317" s="42">
        <v>125</v>
      </c>
      <c r="O317" s="42">
        <v>10</v>
      </c>
      <c r="P317" s="44"/>
      <c r="Q317" s="45">
        <f>IFERROR(VLOOKUP(A317,'data-ค่าฝา'!A:G,7,0),"")</f>
      </c>
    </row>
    <row r="318" spans="1:17" x14ac:dyDescent="0.25">
      <c r="A318" s="10" t="s">
        <v>543</v>
      </c>
      <c r="B318" s="1" t="s">
        <v>297</v>
      </c>
      <c r="C318" s="38">
        <f>IFERROR(VLOOKUP(A318,data!A:G,7,FALSE),"")</f>
      </c>
      <c r="D318" s="38">
        <f>IFERROR(VLOOKUP(A318,data!A:D,4,FALSE),"")</f>
      </c>
      <c r="E318" s="39"/>
      <c r="F318" s="40"/>
      <c r="G318" s="37">
        <f>IFERROR(VLOOKUP(A318,data!A:V,22,FALSE),"")</f>
      </c>
      <c r="H318" s="37"/>
      <c r="I318" s="37"/>
      <c r="J318" s="41"/>
      <c r="K318" s="41"/>
      <c r="L318" s="42">
        <v>25</v>
      </c>
      <c r="M318" s="43">
        <v>30</v>
      </c>
      <c r="N318" s="42">
        <v>50</v>
      </c>
      <c r="O318" s="42">
        <v>10</v>
      </c>
      <c r="P318" s="44"/>
      <c r="Q318" s="45">
        <f>IFERROR(VLOOKUP(A318,'data-ค่าฝา'!A:G,7,0),"")</f>
      </c>
    </row>
    <row r="319" spans="1:17" x14ac:dyDescent="0.25">
      <c r="A319" s="10" t="s">
        <v>544</v>
      </c>
      <c r="B319" s="1" t="s">
        <v>297</v>
      </c>
      <c r="C319" s="38">
        <f>IFERROR(VLOOKUP(A319,data!A:G,7,FALSE),"")</f>
      </c>
      <c r="D319" s="38">
        <f>IFERROR(VLOOKUP(A319,data!A:D,4,FALSE),"")</f>
      </c>
      <c r="E319" s="39"/>
      <c r="F319" s="40"/>
      <c r="G319" s="37">
        <f>IFERROR(VLOOKUP(A319,data!A:V,22,FALSE),"")</f>
      </c>
      <c r="H319" s="37"/>
      <c r="I319" s="37"/>
      <c r="J319" s="41"/>
      <c r="K319" s="41"/>
      <c r="L319" s="42">
        <v>25</v>
      </c>
      <c r="M319" s="43">
        <v>30</v>
      </c>
      <c r="N319" s="42">
        <v>50</v>
      </c>
      <c r="O319" s="42">
        <v>10</v>
      </c>
      <c r="P319" s="44"/>
      <c r="Q319" s="45">
        <f>IFERROR(VLOOKUP(A319,'data-ค่าฝา'!A:G,7,0),"")</f>
      </c>
    </row>
    <row r="320" spans="1:17" x14ac:dyDescent="0.25">
      <c r="A320" s="10" t="s">
        <v>545</v>
      </c>
      <c r="B320" s="1" t="s">
        <v>297</v>
      </c>
      <c r="C320" s="38" t="str">
        <f>IFERROR(VLOOKUP(A320,data!A:G,7,FALSE),"")</f>
        <v>Comb and Brush - หวีและแปรง</v>
      </c>
      <c r="D320" s="38" t="str">
        <f>IFERROR(VLOOKUP(A320,data!A:D,4,FALSE),"")</f>
        <v>VALENTE วาเลนเต้ หวีหาง หวียี ยีฟู ไฟเบอร์ (VAL-222/B)</v>
      </c>
      <c r="E320" s="39"/>
      <c r="F320" s="40"/>
      <c r="G320" s="37">
        <f>IFERROR(VLOOKUP(A320,data!A:V,22,FALSE),"")</f>
        <v>8858890780784</v>
      </c>
      <c r="H320" s="37"/>
      <c r="I320" s="37"/>
      <c r="J320" s="41"/>
      <c r="K320" s="41"/>
      <c r="L320" s="42">
        <v>25</v>
      </c>
      <c r="M320" s="43">
        <v>30</v>
      </c>
      <c r="N320" s="42">
        <v>50</v>
      </c>
      <c r="O320" s="42">
        <v>10</v>
      </c>
      <c r="P320" s="44"/>
      <c r="Q320" s="45">
        <f>IFERROR(VLOOKUP(A320,'data-ค่าฝา'!A:G,7,0),"")</f>
      </c>
    </row>
    <row r="321" spans="1:17" x14ac:dyDescent="0.25">
      <c r="A321" s="10" t="s">
        <v>546</v>
      </c>
      <c r="B321" s="1" t="s">
        <v>297</v>
      </c>
      <c r="C321" s="38">
        <f>IFERROR(VLOOKUP(A321,data!A:G,7,FALSE),"")</f>
      </c>
      <c r="D321" s="38">
        <f>IFERROR(VLOOKUP(A321,data!A:D,4,FALSE),"")</f>
      </c>
      <c r="E321" s="39"/>
      <c r="F321" s="40"/>
      <c r="G321" s="37">
        <f>IFERROR(VLOOKUP(A321,data!A:V,22,FALSE),"")</f>
      </c>
      <c r="H321" s="37"/>
      <c r="I321" s="37"/>
      <c r="J321" s="41"/>
      <c r="K321" s="41"/>
      <c r="L321" s="42">
        <v>25</v>
      </c>
      <c r="M321" s="43">
        <v>30</v>
      </c>
      <c r="N321" s="42">
        <v>50</v>
      </c>
      <c r="O321" s="42">
        <v>10</v>
      </c>
      <c r="P321" s="44"/>
      <c r="Q321" s="45">
        <f>IFERROR(VLOOKUP(A321,'data-ค่าฝา'!A:G,7,0),"")</f>
      </c>
    </row>
    <row r="322" spans="1:17" x14ac:dyDescent="0.25">
      <c r="A322" s="10" t="s">
        <v>547</v>
      </c>
      <c r="B322" s="1" t="s">
        <v>297</v>
      </c>
      <c r="C322" s="38">
        <f>IFERROR(VLOOKUP(A322,data!A:G,7,FALSE),"")</f>
      </c>
      <c r="D322" s="38">
        <f>IFERROR(VLOOKUP(A322,data!A:D,4,FALSE),"")</f>
      </c>
      <c r="E322" s="39"/>
      <c r="F322" s="40"/>
      <c r="G322" s="37">
        <f>IFERROR(VLOOKUP(A322,data!A:V,22,FALSE),"")</f>
      </c>
      <c r="H322" s="37"/>
      <c r="I322" s="37"/>
      <c r="J322" s="41"/>
      <c r="K322" s="41"/>
      <c r="L322" s="42">
        <v>20</v>
      </c>
      <c r="M322" s="43">
        <v>25</v>
      </c>
      <c r="N322" s="42">
        <v>50</v>
      </c>
      <c r="O322" s="42">
        <v>10</v>
      </c>
      <c r="P322" s="44"/>
      <c r="Q322" s="45">
        <f>IFERROR(VLOOKUP(A322,'data-ค่าฝา'!A:G,7,0),"")</f>
      </c>
    </row>
    <row r="323" spans="1:17" x14ac:dyDescent="0.25">
      <c r="A323" s="10" t="s">
        <v>548</v>
      </c>
      <c r="B323" s="1" t="s">
        <v>297</v>
      </c>
      <c r="C323" s="38">
        <f>IFERROR(VLOOKUP(A323,data!A:G,7,FALSE),"")</f>
      </c>
      <c r="D323" s="38">
        <f>IFERROR(VLOOKUP(A323,data!A:D,4,FALSE),"")</f>
      </c>
      <c r="E323" s="39"/>
      <c r="F323" s="40"/>
      <c r="G323" s="37">
        <f>IFERROR(VLOOKUP(A323,data!A:V,22,FALSE),"")</f>
      </c>
      <c r="H323" s="37"/>
      <c r="I323" s="37"/>
      <c r="J323" s="41"/>
      <c r="K323" s="41"/>
      <c r="L323" s="42">
        <v>25</v>
      </c>
      <c r="M323" s="43">
        <v>30</v>
      </c>
      <c r="N323" s="42">
        <v>50</v>
      </c>
      <c r="O323" s="42">
        <v>10</v>
      </c>
      <c r="P323" s="44"/>
      <c r="Q323" s="45">
        <f>IFERROR(VLOOKUP(A323,'data-ค่าฝา'!A:G,7,0),"")</f>
      </c>
    </row>
    <row r="324" spans="1:17" x14ac:dyDescent="0.25">
      <c r="A324" s="1" t="s">
        <v>549</v>
      </c>
      <c r="B324" s="1" t="s">
        <v>297</v>
      </c>
      <c r="C324" s="38" t="str">
        <f>IFERROR(VLOOKUP(A324,data!A:G,7,FALSE),"")</f>
        <v>Comb and Brush - หวีและแปรง</v>
      </c>
      <c r="D324" s="38" t="str">
        <f>IFERROR(VLOOKUP(A324,data!A:D,4,FALSE),"")</f>
        <v>หวีไฟเบอร์ สีน้ำตาล รุ่น VAL-224/B</v>
      </c>
      <c r="E324" s="39"/>
      <c r="F324" s="40"/>
      <c r="G324" s="37">
        <f>IFERROR(VLOOKUP(A324,data!A:V,22,FALSE),"")</f>
      </c>
      <c r="H324" s="37"/>
      <c r="I324" s="37"/>
      <c r="J324" s="41"/>
      <c r="K324" s="41"/>
      <c r="L324" s="42">
        <v>25</v>
      </c>
      <c r="M324" s="43">
        <v>30</v>
      </c>
      <c r="N324" s="42">
        <v>50</v>
      </c>
      <c r="O324" s="42">
        <v>10</v>
      </c>
      <c r="P324" s="44"/>
      <c r="Q324" s="45">
        <f>IFERROR(VLOOKUP(A324,'data-ค่าฝา'!A:G,7,0),"")</f>
      </c>
    </row>
    <row r="325" spans="1:17" x14ac:dyDescent="0.25">
      <c r="A325" s="1" t="s">
        <v>550</v>
      </c>
      <c r="B325" s="1" t="s">
        <v>297</v>
      </c>
      <c r="C325" s="38" t="str">
        <f>IFERROR(VLOOKUP(A325,data!A:G,7,FALSE),"")</f>
        <v>Comb and Brush - หวีและแปรง</v>
      </c>
      <c r="D325" s="38" t="str">
        <f>IFERROR(VLOOKUP(A325,data!A:D,4,FALSE),"")</f>
        <v>VALENTE หวีหาง รุ่น POM-74539</v>
      </c>
      <c r="E325" s="39"/>
      <c r="F325" s="40"/>
      <c r="G325" s="37">
        <f>IFERROR(VLOOKUP(A325,data!A:V,22,FALSE),"")</f>
        <v>8858890780128</v>
      </c>
      <c r="H325" s="37"/>
      <c r="I325" s="37"/>
      <c r="J325" s="41"/>
      <c r="K325" s="41"/>
      <c r="L325" s="42">
        <v>8</v>
      </c>
      <c r="M325" s="43">
        <v>10</v>
      </c>
      <c r="N325" s="42">
        <v>30</v>
      </c>
      <c r="O325" s="42">
        <v>10</v>
      </c>
      <c r="P325" s="44"/>
      <c r="Q325" s="45">
        <f>IFERROR(VLOOKUP(A325,'data-ค่าฝา'!A:G,7,0),"")</f>
      </c>
    </row>
    <row r="326" spans="1:17" x14ac:dyDescent="0.25">
      <c r="A326" s="1" t="s">
        <v>551</v>
      </c>
      <c r="B326" s="1" t="s">
        <v>297</v>
      </c>
      <c r="C326" s="38" t="str">
        <f>IFERROR(VLOOKUP(A326,data!A:G,7,FALSE),"")</f>
        <v>Comb and Brush - หวีและแปรง</v>
      </c>
      <c r="D326" s="38" t="str">
        <f>IFERROR(VLOOKUP(A326,data!A:D,4,FALSE),"")</f>
        <v>วาเลนเต้ หวีหางฟันห่าง สีดำ 0.022g. รหัสสินค้า BD-050</v>
      </c>
      <c r="E326" s="39"/>
      <c r="F326" s="40"/>
      <c r="G326" s="37">
        <f>IFERROR(VLOOKUP(A326,data!A:V,22,FALSE),"")</f>
        <v>885889078126201</v>
      </c>
      <c r="H326" s="37"/>
      <c r="I326" s="37"/>
      <c r="J326" s="41"/>
      <c r="K326" s="41"/>
      <c r="L326" s="42">
        <v>14.5</v>
      </c>
      <c r="M326" s="43">
        <v>20</v>
      </c>
      <c r="N326" s="42">
        <v>40</v>
      </c>
      <c r="O326" s="42">
        <v>10</v>
      </c>
      <c r="P326" s="44"/>
      <c r="Q326" s="45">
        <f>IFERROR(VLOOKUP(A326,'data-ค่าฝา'!A:G,7,0),"")</f>
      </c>
    </row>
    <row r="327" spans="1:17" x14ac:dyDescent="0.25">
      <c r="A327" s="10" t="s">
        <v>552</v>
      </c>
      <c r="B327" s="1" t="s">
        <v>297</v>
      </c>
      <c r="C327" s="38">
        <f>IFERROR(VLOOKUP(A327,data!A:G,7,FALSE),"")</f>
      </c>
      <c r="D327" s="38">
        <f>IFERROR(VLOOKUP(A327,data!A:D,4,FALSE),"")</f>
      </c>
      <c r="E327" s="39"/>
      <c r="F327" s="40"/>
      <c r="G327" s="37">
        <f>IFERROR(VLOOKUP(A327,data!A:V,22,FALSE),"")</f>
      </c>
      <c r="H327" s="37"/>
      <c r="I327" s="37"/>
      <c r="J327" s="41"/>
      <c r="K327" s="41"/>
      <c r="L327" s="42">
        <v>20</v>
      </c>
      <c r="M327" s="43">
        <v>25</v>
      </c>
      <c r="N327" s="42">
        <v>50</v>
      </c>
      <c r="O327" s="42">
        <v>10</v>
      </c>
      <c r="P327" s="44"/>
      <c r="Q327" s="45">
        <f>IFERROR(VLOOKUP(A327,'data-ค่าฝา'!A:G,7,0),"")</f>
      </c>
    </row>
    <row r="328" spans="1:17" x14ac:dyDescent="0.25">
      <c r="A328" s="10" t="s">
        <v>553</v>
      </c>
      <c r="B328" s="1" t="s">
        <v>297</v>
      </c>
      <c r="C328" s="38">
        <f>IFERROR(VLOOKUP(A328,data!A:G,7,FALSE),"")</f>
      </c>
      <c r="D328" s="38">
        <f>IFERROR(VLOOKUP(A328,data!A:D,4,FALSE),"")</f>
      </c>
      <c r="E328" s="39"/>
      <c r="F328" s="40"/>
      <c r="G328" s="37">
        <f>IFERROR(VLOOKUP(A328,data!A:V,22,FALSE),"")</f>
      </c>
      <c r="H328" s="37"/>
      <c r="I328" s="37"/>
      <c r="J328" s="41"/>
      <c r="K328" s="41"/>
      <c r="L328" s="42">
        <v>20</v>
      </c>
      <c r="M328" s="43">
        <v>25</v>
      </c>
      <c r="N328" s="42">
        <v>50</v>
      </c>
      <c r="O328" s="42">
        <v>10</v>
      </c>
      <c r="P328" s="44"/>
      <c r="Q328" s="45">
        <f>IFERROR(VLOOKUP(A328,'data-ค่าฝา'!A:G,7,0),"")</f>
      </c>
    </row>
    <row r="329" spans="1:17" x14ac:dyDescent="0.25">
      <c r="A329" s="1" t="s">
        <v>554</v>
      </c>
      <c r="B329" s="1" t="s">
        <v>297</v>
      </c>
      <c r="C329" s="38" t="str">
        <f>IFERROR(VLOOKUP(A329,data!A:G,7,FALSE),"")</f>
        <v>Comb and Brush - หวีและแปรง</v>
      </c>
      <c r="D329" s="38" t="str">
        <f>IFERROR(VLOOKUP(A329,data!A:D,4,FALSE),"")</f>
        <v>VALENTE วาเลนเต้ หวีหาง หวียี ยีฟู ไฟเบอร์ (VAL-222/A)</v>
      </c>
      <c r="E329" s="39"/>
      <c r="F329" s="40"/>
      <c r="G329" s="37">
        <f>IFERROR(VLOOKUP(A329,data!A:V,22,FALSE),"")</f>
        <v>8858890780777</v>
      </c>
      <c r="H329" s="37"/>
      <c r="I329" s="37"/>
      <c r="J329" s="41"/>
      <c r="K329" s="41"/>
      <c r="L329" s="42">
        <v>20</v>
      </c>
      <c r="M329" s="43">
        <v>25</v>
      </c>
      <c r="N329" s="42">
        <v>50</v>
      </c>
      <c r="O329" s="42">
        <v>10</v>
      </c>
      <c r="P329" s="44"/>
      <c r="Q329" s="45">
        <f>IFERROR(VLOOKUP(A329,'data-ค่าฝา'!A:G,7,0),"")</f>
      </c>
    </row>
    <row r="330" spans="1:17" x14ac:dyDescent="0.25">
      <c r="A330" s="62" t="s">
        <v>555</v>
      </c>
      <c r="B330" s="1" t="s">
        <v>297</v>
      </c>
      <c r="C330" s="38">
        <f>IFERROR(VLOOKUP(A330,data!A:G,7,FALSE),"")</f>
      </c>
      <c r="D330" s="38">
        <f>IFERROR(VLOOKUP(A330,data!A:D,4,FALSE),"")</f>
      </c>
      <c r="E330" s="39"/>
      <c r="F330" s="40"/>
      <c r="G330" s="37">
        <f>IFERROR(VLOOKUP(A330,data!A:V,22,FALSE),"")</f>
      </c>
      <c r="H330" s="37"/>
      <c r="I330" s="37"/>
      <c r="J330" s="41"/>
      <c r="K330" s="41"/>
      <c r="L330" s="63">
        <v>20</v>
      </c>
      <c r="M330" s="43">
        <v>25</v>
      </c>
      <c r="N330" s="42">
        <v>50</v>
      </c>
      <c r="O330" s="42">
        <v>10</v>
      </c>
      <c r="P330" s="44"/>
      <c r="Q330" s="45">
        <f>IFERROR(VLOOKUP(A330,'data-ค่าฝา'!A:G,7,0),"")</f>
      </c>
    </row>
    <row r="331" spans="1:17" x14ac:dyDescent="0.25">
      <c r="A331" s="16" t="s">
        <v>556</v>
      </c>
      <c r="B331" s="1" t="s">
        <v>297</v>
      </c>
      <c r="C331" s="38" t="str">
        <f>IFERROR(VLOOKUP(A331,data!A:G,7,FALSE),"")</f>
        <v>Comb and Brush - หวีและแปรง</v>
      </c>
      <c r="D331" s="38" t="str">
        <f>IFERROR(VLOOKUP(A331,data!A:D,4,FALSE),"")</f>
        <v>VALENTE COMB วาเลนเต้ หวีหางเหล็ก รุ่น VAL-125</v>
      </c>
      <c r="E331" s="39"/>
      <c r="F331" s="40"/>
      <c r="G331" s="37">
        <f>IFERROR(VLOOKUP(A331,data!A:V,22,FALSE),"")</f>
        <v>8858890781149</v>
      </c>
      <c r="H331" s="37"/>
      <c r="I331" s="37"/>
      <c r="J331" s="41"/>
      <c r="K331" s="41"/>
      <c r="L331" s="63">
        <v>14</v>
      </c>
      <c r="M331" s="43">
        <v>20</v>
      </c>
      <c r="N331" s="42">
        <v>45</v>
      </c>
      <c r="O331" s="42">
        <v>10</v>
      </c>
      <c r="P331" s="44"/>
      <c r="Q331" s="45">
        <f>IFERROR(VLOOKUP(A331,'data-ค่าฝา'!A:G,7,0),"")</f>
      </c>
    </row>
    <row r="332" spans="1:17" x14ac:dyDescent="0.25">
      <c r="A332" s="16" t="s">
        <v>557</v>
      </c>
      <c r="B332" s="1" t="s">
        <v>297</v>
      </c>
      <c r="C332" s="38" t="str">
        <f>IFERROR(VLOOKUP(A332,data!A:G,7,FALSE),"")</f>
        <v>Comb and Brush - หวีและแปรง</v>
      </c>
      <c r="D332" s="38" t="str">
        <f>IFERROR(VLOOKUP(A332,data!A:D,4,FALSE),"")</f>
        <v>หวีหางเหล็ก B-19</v>
      </c>
      <c r="E332" s="39"/>
      <c r="F332" s="40"/>
      <c r="G332" s="37">
        <f>IFERROR(VLOOKUP(A332,data!A:V,22,FALSE),"")</f>
        <v>8858890798949</v>
      </c>
      <c r="H332" s="37"/>
      <c r="I332" s="37"/>
      <c r="J332" s="41"/>
      <c r="K332" s="41"/>
      <c r="L332" s="63">
        <v>42</v>
      </c>
      <c r="M332" s="43">
        <v>50</v>
      </c>
      <c r="N332" s="42">
        <v>65</v>
      </c>
      <c r="O332" s="42">
        <v>10</v>
      </c>
      <c r="P332" s="44"/>
      <c r="Q332" s="45">
        <f>IFERROR(VLOOKUP(A332,'data-ค่าฝา'!A:G,7,0),"")</f>
      </c>
    </row>
    <row r="333" spans="1:17" x14ac:dyDescent="0.25">
      <c r="A333" s="16" t="s">
        <v>558</v>
      </c>
      <c r="B333" s="1" t="s">
        <v>297</v>
      </c>
      <c r="C333" s="38">
        <f>IFERROR(VLOOKUP(A333,data!A:G,7,FALSE),"")</f>
      </c>
      <c r="D333" s="38">
        <f>IFERROR(VLOOKUP(A333,data!A:D,4,FALSE),"")</f>
      </c>
      <c r="E333" s="39"/>
      <c r="F333" s="40"/>
      <c r="G333" s="37">
        <f>IFERROR(VLOOKUP(A333,data!A:V,22,FALSE),"")</f>
      </c>
      <c r="H333" s="37"/>
      <c r="I333" s="37"/>
      <c r="J333" s="41"/>
      <c r="K333" s="41"/>
      <c r="L333" s="64">
        <v>20</v>
      </c>
      <c r="M333" s="43">
        <v>25</v>
      </c>
      <c r="N333" s="42">
        <v>60</v>
      </c>
      <c r="O333" s="42">
        <v>10</v>
      </c>
      <c r="P333" s="44"/>
      <c r="Q333" s="45">
        <f>IFERROR(VLOOKUP(A333,'data-ค่าฝา'!A:G,7,0),"")</f>
      </c>
    </row>
    <row r="334" spans="1:17" x14ac:dyDescent="0.25">
      <c r="A334" s="1" t="s">
        <v>559</v>
      </c>
      <c r="B334" s="1" t="s">
        <v>297</v>
      </c>
      <c r="C334" s="38" t="str">
        <f>IFERROR(VLOOKUP(A334,data!A:G,7,FALSE),"")</f>
        <v>Comb and Brush - หวีและแปรง</v>
      </c>
      <c r="D334" s="38" t="str">
        <f>IFERROR(VLOOKUP(A334,data!A:D,4,FALSE),"")</f>
        <v>วาเลนเต้ หวีรองตัด คละสี VAL-100</v>
      </c>
      <c r="E334" s="39"/>
      <c r="F334" s="40"/>
      <c r="G334" s="37">
        <f>IFERROR(VLOOKUP(A334,data!A:V,22,FALSE),"")</f>
        <v>8858890799946</v>
      </c>
      <c r="H334" s="37"/>
      <c r="I334" s="37"/>
      <c r="J334" s="41"/>
      <c r="K334" s="41"/>
      <c r="L334" s="42">
        <v>52</v>
      </c>
      <c r="M334" s="43">
        <v>60</v>
      </c>
      <c r="N334" s="42">
        <v>80</v>
      </c>
      <c r="O334" s="42">
        <v>10</v>
      </c>
      <c r="P334" s="44"/>
      <c r="Q334" s="45">
        <f>IFERROR(VLOOKUP(A334,'data-ค่าฝา'!A:G,7,0),"")</f>
      </c>
    </row>
    <row r="335" spans="1:17" x14ac:dyDescent="0.25">
      <c r="A335" s="1" t="s">
        <v>560</v>
      </c>
      <c r="B335" s="1" t="s">
        <v>297</v>
      </c>
      <c r="C335" s="38" t="str">
        <f>IFERROR(VLOOKUP(A335,data!A:G,7,FALSE),"")</f>
        <v>Comb and Brush - หวีและแปรง</v>
      </c>
      <c r="D335" s="38" t="str">
        <f>IFERROR(VLOOKUP(A335,data!A:D,4,FALSE),"")</f>
        <v>หวีรองซอยสีรุ้ง แบบสั้น (VAL-339)</v>
      </c>
      <c r="E335" s="39"/>
      <c r="F335" s="40"/>
      <c r="G335" s="37">
        <f>IFERROR(VLOOKUP(A335,data!A:V,22,FALSE),"")</f>
        <v>8858890782559</v>
      </c>
      <c r="H335" s="37"/>
      <c r="I335" s="37"/>
      <c r="J335" s="41"/>
      <c r="K335" s="41"/>
      <c r="L335" s="42">
        <v>57</v>
      </c>
      <c r="M335" s="43">
        <v>65</v>
      </c>
      <c r="N335" s="42">
        <v>80</v>
      </c>
      <c r="O335" s="42">
        <v>10</v>
      </c>
      <c r="P335" s="44"/>
      <c r="Q335" s="45">
        <f>IFERROR(VLOOKUP(A335,'data-ค่าฝา'!A:G,7,0),"")</f>
      </c>
    </row>
    <row r="336" spans="1:17" x14ac:dyDescent="0.25">
      <c r="A336" s="1" t="s">
        <v>561</v>
      </c>
      <c r="B336" s="1" t="s">
        <v>297</v>
      </c>
      <c r="C336" s="38" t="str">
        <f>IFERROR(VLOOKUP(A336,data!A:G,7,FALSE),"")</f>
        <v>Comb and Brush - หวีและแปรง</v>
      </c>
      <c r="D336" s="38" t="str">
        <f>IFERROR(VLOOKUP(A336,data!A:D,4,FALSE),"")</f>
        <v>หวีรองซอยสีรุ้ง แบบยาว (VAL-320)</v>
      </c>
      <c r="E336" s="39"/>
      <c r="F336" s="40"/>
      <c r="G336" s="37">
        <f>IFERROR(VLOOKUP(A336,data!A:V,22,FALSE),"")</f>
        <v>8858890782542</v>
      </c>
      <c r="H336" s="37"/>
      <c r="I336" s="37"/>
      <c r="J336" s="41"/>
      <c r="K336" s="41"/>
      <c r="L336" s="42">
        <v>57</v>
      </c>
      <c r="M336" s="43">
        <v>65</v>
      </c>
      <c r="N336" s="42">
        <v>80</v>
      </c>
      <c r="O336" s="42">
        <v>10</v>
      </c>
      <c r="P336" s="44"/>
      <c r="Q336" s="45">
        <f>IFERROR(VLOOKUP(A336,'data-ค่าฝา'!A:G,7,0),"")</f>
      </c>
    </row>
    <row r="337" spans="1:17" x14ac:dyDescent="0.25">
      <c r="A337" s="1" t="s">
        <v>562</v>
      </c>
      <c r="B337" s="1" t="s">
        <v>297</v>
      </c>
      <c r="C337" s="38" t="str">
        <f>IFERROR(VLOOKUP(A337,data!A:G,7,FALSE),"")</f>
        <v>Comb and Brush - หวีและแปรง</v>
      </c>
      <c r="D337" s="38" t="str">
        <f>IFERROR(VLOOKUP(A337,data!A:D,4,FALSE),"")</f>
        <v>หวีรองซอย B-14</v>
      </c>
      <c r="E337" s="39"/>
      <c r="F337" s="40"/>
      <c r="G337" s="37">
        <f>IFERROR(VLOOKUP(A337,data!A:V,22,FALSE),"")</f>
        <v>8858890798956</v>
      </c>
      <c r="H337" s="37"/>
      <c r="I337" s="37"/>
      <c r="J337" s="41"/>
      <c r="K337" s="41"/>
      <c r="L337" s="42">
        <v>42</v>
      </c>
      <c r="M337" s="43">
        <v>50</v>
      </c>
      <c r="N337" s="42">
        <v>65</v>
      </c>
      <c r="O337" s="42">
        <v>10</v>
      </c>
      <c r="P337" s="44"/>
      <c r="Q337" s="45">
        <f>IFERROR(VLOOKUP(A337,'data-ค่าฝา'!A:G,7,0),"")</f>
      </c>
    </row>
    <row r="338" spans="1:17" x14ac:dyDescent="0.25">
      <c r="A338" s="1" t="s">
        <v>563</v>
      </c>
      <c r="B338" s="1" t="s">
        <v>297</v>
      </c>
      <c r="C338" s="38" t="str">
        <f>IFERROR(VLOOKUP(A338,data!A:G,7,FALSE),"")</f>
        <v>Comb and Brush - หวีและแปรง</v>
      </c>
      <c r="D338" s="38" t="str">
        <f>IFERROR(VLOOKUP(A338,data!A:D,4,FALSE),"")</f>
        <v>หวีรองซอย VALENTE รุ่น VAL-211/B</v>
      </c>
      <c r="E338" s="39"/>
      <c r="F338" s="40"/>
      <c r="G338" s="37">
        <f>IFERROR(VLOOKUP(A338,data!A:V,22,FALSE),"")</f>
        <v>8858890720414</v>
      </c>
      <c r="H338" s="37"/>
      <c r="I338" s="37"/>
      <c r="J338" s="41"/>
      <c r="K338" s="41"/>
      <c r="L338" s="42">
        <v>22</v>
      </c>
      <c r="M338" s="43">
        <v>25</v>
      </c>
      <c r="N338" s="42">
        <v>50</v>
      </c>
      <c r="O338" s="42">
        <v>10</v>
      </c>
      <c r="P338" s="44"/>
      <c r="Q338" s="45">
        <f>IFERROR(VLOOKUP(A338,'data-ค่าฝา'!A:G,7,0),"")</f>
      </c>
    </row>
    <row r="339" spans="1:17" x14ac:dyDescent="0.25">
      <c r="A339" s="1" t="s">
        <v>564</v>
      </c>
      <c r="B339" s="1" t="s">
        <v>297</v>
      </c>
      <c r="C339" s="38" t="str">
        <f>IFERROR(VLOOKUP(A339,data!A:G,7,FALSE),"")</f>
        <v>Comb and Brush - หวีและแปรง</v>
      </c>
      <c r="D339" s="38" t="str">
        <f>IFERROR(VLOOKUP(A339,data!A:D,4,FALSE),"")</f>
        <v>วาเลนเต้ หวีรองซอยไฟเบอร์ (VAL-212/B)</v>
      </c>
      <c r="E339" s="39"/>
      <c r="F339" s="40"/>
      <c r="G339" s="37">
        <f>IFERROR(VLOOKUP(A339,data!A:V,22,FALSE),"")</f>
        <v>8858890780685</v>
      </c>
      <c r="H339" s="37"/>
      <c r="I339" s="37"/>
      <c r="J339" s="41"/>
      <c r="K339" s="41"/>
      <c r="L339" s="42">
        <v>25</v>
      </c>
      <c r="M339" s="43">
        <v>30</v>
      </c>
      <c r="N339" s="42">
        <v>50</v>
      </c>
      <c r="O339" s="42">
        <v>10</v>
      </c>
      <c r="P339" s="44"/>
      <c r="Q339" s="45">
        <f>IFERROR(VLOOKUP(A339,'data-ค่าฝา'!A:G,7,0),"")</f>
      </c>
    </row>
    <row r="340" spans="1:17" x14ac:dyDescent="0.25">
      <c r="A340" s="1" t="s">
        <v>565</v>
      </c>
      <c r="B340" s="1" t="s">
        <v>297</v>
      </c>
      <c r="C340" s="38" t="str">
        <f>IFERROR(VLOOKUP(A340,data!A:G,7,FALSE),"")</f>
        <v>Comb and Brush - หวีและแปรง</v>
      </c>
      <c r="D340" s="38" t="str">
        <f>IFERROR(VLOOKUP(A340,data!A:D,4,FALSE),"")</f>
        <v>หวีรองซอยไฟเบอร์ รุ่น VAL-213/A</v>
      </c>
      <c r="E340" s="39"/>
      <c r="F340" s="40"/>
      <c r="G340" s="37">
        <f>IFERROR(VLOOKUP(A340,data!A:V,22,FALSE),"")</f>
        <v>8858890780692</v>
      </c>
      <c r="H340" s="37"/>
      <c r="I340" s="37"/>
      <c r="J340" s="41"/>
      <c r="K340" s="41"/>
      <c r="L340" s="42">
        <v>20</v>
      </c>
      <c r="M340" s="43">
        <v>25</v>
      </c>
      <c r="N340" s="42">
        <v>50</v>
      </c>
      <c r="O340" s="42">
        <v>10</v>
      </c>
      <c r="P340" s="44"/>
      <c r="Q340" s="45">
        <f>IFERROR(VLOOKUP(A340,'data-ค่าฝา'!A:G,7,0),"")</f>
      </c>
    </row>
    <row r="341" spans="1:17" x14ac:dyDescent="0.25">
      <c r="A341" s="1" t="s">
        <v>566</v>
      </c>
      <c r="B341" s="1" t="s">
        <v>297</v>
      </c>
      <c r="C341" s="38" t="str">
        <f>IFERROR(VLOOKUP(A341,data!A:G,7,FALSE),"")</f>
        <v>Comb and Brush - หวีและแปรง</v>
      </c>
      <c r="D341" s="38" t="str">
        <f>IFERROR(VLOOKUP(A341,data!A:D,4,FALSE),"")</f>
        <v>VALENTE หวีรองซอย รุ่น VAL-213/B</v>
      </c>
      <c r="E341" s="39"/>
      <c r="F341" s="40"/>
      <c r="G341" s="37">
        <f>IFERROR(VLOOKUP(A341,data!A:V,22,FALSE),"")</f>
        <v>8858890780708</v>
      </c>
      <c r="H341" s="37"/>
      <c r="I341" s="37"/>
      <c r="J341" s="41"/>
      <c r="K341" s="41"/>
      <c r="L341" s="42">
        <v>25</v>
      </c>
      <c r="M341" s="43">
        <v>30</v>
      </c>
      <c r="N341" s="42">
        <v>50</v>
      </c>
      <c r="O341" s="42">
        <v>10</v>
      </c>
      <c r="P341" s="44"/>
      <c r="Q341" s="45">
        <f>IFERROR(VLOOKUP(A341,'data-ค่าฝา'!A:G,7,0),"")</f>
      </c>
    </row>
    <row r="342" spans="1:17" x14ac:dyDescent="0.25">
      <c r="A342" s="1" t="s">
        <v>567</v>
      </c>
      <c r="B342" s="1" t="s">
        <v>297</v>
      </c>
      <c r="C342" s="38" t="str">
        <f>IFERROR(VLOOKUP(A342,data!A:G,7,FALSE),"")</f>
        <v>Comb and Brush - หวีและแปรง</v>
      </c>
      <c r="D342" s="38" t="str">
        <f>IFERROR(VLOOKUP(A342,data!A:D,4,FALSE),"")</f>
        <v>VALENTE หวีรองซอย รุ่น VAL-215/B</v>
      </c>
      <c r="E342" s="39"/>
      <c r="F342" s="40"/>
      <c r="G342" s="37">
        <f>IFERROR(VLOOKUP(A342,data!A:V,22,FALSE),"")</f>
        <v>8858890780722</v>
      </c>
      <c r="H342" s="37"/>
      <c r="I342" s="37"/>
      <c r="J342" s="41"/>
      <c r="K342" s="41"/>
      <c r="L342" s="42">
        <v>25</v>
      </c>
      <c r="M342" s="43">
        <v>30</v>
      </c>
      <c r="N342" s="42">
        <v>50</v>
      </c>
      <c r="O342" s="42">
        <v>10</v>
      </c>
      <c r="P342" s="44"/>
      <c r="Q342" s="45">
        <f>IFERROR(VLOOKUP(A342,'data-ค่าฝา'!A:G,7,0),"")</f>
      </c>
    </row>
    <row r="343" spans="1:17" x14ac:dyDescent="0.25">
      <c r="A343" s="1" t="s">
        <v>568</v>
      </c>
      <c r="B343" s="1" t="s">
        <v>297</v>
      </c>
      <c r="C343" s="38" t="str">
        <f>IFERROR(VLOOKUP(A343,data!A:G,7,FALSE),"")</f>
        <v>Comb and Brush - หวีและแปรง</v>
      </c>
      <c r="D343" s="38" t="str">
        <f>IFERROR(VLOOKUP(A343,data!A:D,4,FALSE),"")</f>
        <v>วาเลนเต้ หวีรองตัด สีน้ำตาล 0.016g. รหัสสินค้า ACS-006</v>
      </c>
      <c r="E343" s="39"/>
      <c r="F343" s="40"/>
      <c r="G343" s="37">
        <f>IFERROR(VLOOKUP(A343,data!A:V,22,FALSE),"")</f>
        <v>8858890780036</v>
      </c>
      <c r="H343" s="37"/>
      <c r="I343" s="37"/>
      <c r="J343" s="41"/>
      <c r="K343" s="41"/>
      <c r="L343" s="42">
        <v>36</v>
      </c>
      <c r="M343" s="43">
        <v>40</v>
      </c>
      <c r="N343" s="42">
        <v>65</v>
      </c>
      <c r="O343" s="42">
        <v>10</v>
      </c>
      <c r="P343" s="44"/>
      <c r="Q343" s="45">
        <f>IFERROR(VLOOKUP(A343,'data-ค่าฝา'!A:G,7,0),"")</f>
      </c>
    </row>
    <row r="344" spans="1:17" x14ac:dyDescent="0.25">
      <c r="A344" s="1" t="s">
        <v>569</v>
      </c>
      <c r="B344" s="1" t="s">
        <v>297</v>
      </c>
      <c r="C344" s="38" t="str">
        <f>IFERROR(VLOOKUP(A344,data!A:G,7,FALSE),"")</f>
        <v>Comb and Brush - หวีและแปรง</v>
      </c>
      <c r="D344" s="38" t="str">
        <f>IFERROR(VLOOKUP(A344,data!A:D,4,FALSE),"")</f>
        <v>หวีขึ้นทรง รองซอย (อีโต้) รุ่น VAL-K345 สีขาว</v>
      </c>
      <c r="E344" s="39"/>
      <c r="F344" s="40"/>
      <c r="G344" s="37">
        <f>IFERROR(VLOOKUP(A344,data!A:V,22,FALSE),"")</f>
        <v>8858890782481</v>
      </c>
      <c r="H344" s="37"/>
      <c r="I344" s="37"/>
      <c r="J344" s="41"/>
      <c r="K344" s="41"/>
      <c r="L344" s="42">
        <v>42</v>
      </c>
      <c r="M344" s="43">
        <v>50</v>
      </c>
      <c r="N344" s="42">
        <v>65</v>
      </c>
      <c r="O344" s="42">
        <v>10</v>
      </c>
      <c r="P344" s="44"/>
      <c r="Q344" s="45">
        <f>IFERROR(VLOOKUP(A344,'data-ค่าฝา'!A:G,7,0),"")</f>
      </c>
    </row>
    <row r="345" spans="1:17" x14ac:dyDescent="0.25">
      <c r="A345" s="1" t="s">
        <v>570</v>
      </c>
      <c r="B345" s="1" t="s">
        <v>297</v>
      </c>
      <c r="C345" s="38" t="str">
        <f>IFERROR(VLOOKUP(A345,data!A:G,7,FALSE),"")</f>
        <v>Comb and Brush - หวีและแปรง</v>
      </c>
      <c r="D345" s="38" t="str">
        <f>IFERROR(VLOOKUP(A345,data!A:D,4,FALSE),"")</f>
        <v>หวีลายการ์ตูน รหัส CB-610</v>
      </c>
      <c r="E345" s="39"/>
      <c r="F345" s="40"/>
      <c r="G345" s="37">
        <f>IFERROR(VLOOKUP(A345,data!A:V,22,FALSE),"")</f>
        <v>8858890781859</v>
      </c>
      <c r="H345" s="37"/>
      <c r="I345" s="37"/>
      <c r="J345" s="41"/>
      <c r="K345" s="41"/>
      <c r="L345" s="42">
        <v>6</v>
      </c>
      <c r="M345" s="43">
        <v>10</v>
      </c>
      <c r="N345" s="42">
        <v>19</v>
      </c>
      <c r="O345" s="42">
        <v>10</v>
      </c>
      <c r="P345" s="44"/>
      <c r="Q345" s="45">
        <f>IFERROR(VLOOKUP(A345,'data-ค่าฝา'!A:G,7,0),"")</f>
      </c>
    </row>
    <row r="346" spans="1:17" x14ac:dyDescent="0.25">
      <c r="A346" s="1" t="s">
        <v>571</v>
      </c>
      <c r="B346" s="1" t="s">
        <v>297</v>
      </c>
      <c r="C346" s="38" t="str">
        <f>IFERROR(VLOOKUP(A346,data!A:G,7,FALSE),"")</f>
        <v>Comb and Brush - หวีและแปรง</v>
      </c>
      <c r="D346" s="38" t="str">
        <f>IFERROR(VLOOKUP(A346,data!A:D,4,FALSE),"")</f>
        <v>วาเลนเต้ หวีอีโต้ใหญ่ สีแดง 0.017g. รหัสสินค้า BD-093</v>
      </c>
      <c r="E346" s="39"/>
      <c r="F346" s="40"/>
      <c r="G346" s="37">
        <f>IFERROR(VLOOKUP(A346,data!A:V,22,FALSE),"")</f>
        <v>885889078116302</v>
      </c>
      <c r="H346" s="37"/>
      <c r="I346" s="37"/>
      <c r="J346" s="41"/>
      <c r="K346" s="41"/>
      <c r="L346" s="42">
        <v>14</v>
      </c>
      <c r="M346" s="43">
        <v>20</v>
      </c>
      <c r="N346" s="42">
        <v>35</v>
      </c>
      <c r="O346" s="42">
        <v>10</v>
      </c>
      <c r="P346" s="44"/>
      <c r="Q346" s="45">
        <f>IFERROR(VLOOKUP(A346,'data-ค่าฝา'!A:G,7,0),"")</f>
      </c>
    </row>
    <row r="347" spans="1:17" x14ac:dyDescent="0.25">
      <c r="A347" s="1" t="s">
        <v>572</v>
      </c>
      <c r="B347" s="1" t="s">
        <v>297</v>
      </c>
      <c r="C347" s="38" t="str">
        <f>IFERROR(VLOOKUP(A347,data!A:G,7,FALSE),"")</f>
        <v>Comb and Brush - หวีและแปรง</v>
      </c>
      <c r="D347" s="38" t="str">
        <f>IFERROR(VLOOKUP(A347,data!A:D,4,FALSE),"")</f>
        <v>VALENTE หวีอีโต้ไฟเบอร์ รุ่น ZN-809</v>
      </c>
      <c r="E347" s="39"/>
      <c r="F347" s="40"/>
      <c r="G347" s="37">
        <f>IFERROR(VLOOKUP(A347,data!A:V,22,FALSE),"")</f>
        <v>8858890780500</v>
      </c>
      <c r="H347" s="37"/>
      <c r="I347" s="37"/>
      <c r="J347" s="41"/>
      <c r="K347" s="41"/>
      <c r="L347" s="42">
        <v>12</v>
      </c>
      <c r="M347" s="43">
        <v>15</v>
      </c>
      <c r="N347" s="42">
        <v>35</v>
      </c>
      <c r="O347" s="42">
        <v>10</v>
      </c>
      <c r="P347" s="44"/>
      <c r="Q347" s="45">
        <f>IFERROR(VLOOKUP(A347,'data-ค่าฝา'!A:G,7,0),"")</f>
      </c>
    </row>
    <row r="348" spans="1:17" x14ac:dyDescent="0.25">
      <c r="A348" s="1" t="s">
        <v>573</v>
      </c>
      <c r="B348" s="1" t="s">
        <v>297</v>
      </c>
      <c r="C348" s="38" t="str">
        <f>IFERROR(VLOOKUP(A348,data!A:G,7,FALSE),"")</f>
        <v>Comb and Brush - หวีและแปรง</v>
      </c>
      <c r="D348" s="38" t="str">
        <f>IFERROR(VLOOKUP(A348,data!A:D,4,FALSE),"")</f>
        <v>VALENTE หวีรองซอย VAL-123</v>
      </c>
      <c r="E348" s="39"/>
      <c r="F348" s="40"/>
      <c r="G348" s="37">
        <f>IFERROR(VLOOKUP(A348,data!A:V,22,FALSE),"")</f>
        <v>8858890781361</v>
      </c>
      <c r="H348" s="37"/>
      <c r="I348" s="37"/>
      <c r="J348" s="41"/>
      <c r="K348" s="41"/>
      <c r="L348" s="42">
        <v>11</v>
      </c>
      <c r="M348" s="43">
        <v>15</v>
      </c>
      <c r="N348" s="42">
        <v>35</v>
      </c>
      <c r="O348" s="42">
        <v>10</v>
      </c>
      <c r="P348" s="44"/>
      <c r="Q348" s="45">
        <f>IFERROR(VLOOKUP(A348,'data-ค่าฝา'!A:G,7,0),"")</f>
      </c>
    </row>
    <row r="349" spans="1:17" x14ac:dyDescent="0.25">
      <c r="A349" s="1" t="s">
        <v>574</v>
      </c>
      <c r="B349" s="1" t="s">
        <v>297</v>
      </c>
      <c r="C349" s="38" t="str">
        <f>IFERROR(VLOOKUP(A349,data!A:G,7,FALSE),"")</f>
        <v>Comb and Brush - หวีและแปรง</v>
      </c>
      <c r="D349" s="38" t="str">
        <f>IFERROR(VLOOKUP(A349,data!A:D,4,FALSE),"")</f>
        <v>VALENTE Secondary Comb หวีรองซอย สีขาว รุ่น VAL-124</v>
      </c>
      <c r="E349" s="39"/>
      <c r="F349" s="40"/>
      <c r="G349" s="37">
        <f>IFERROR(VLOOKUP(A349,data!A:V,22,FALSE),"")</f>
        <v>8858890782214</v>
      </c>
      <c r="H349" s="37"/>
      <c r="I349" s="37"/>
      <c r="J349" s="41"/>
      <c r="K349" s="41"/>
      <c r="L349" s="42">
        <v>18.34</v>
      </c>
      <c r="M349" s="43">
        <v>25</v>
      </c>
      <c r="N349" s="42">
        <v>50</v>
      </c>
      <c r="O349" s="42">
        <v>10</v>
      </c>
      <c r="P349" s="44"/>
      <c r="Q349" s="45">
        <f>IFERROR(VLOOKUP(A349,'data-ค่าฝา'!A:G,7,0),"")</f>
      </c>
    </row>
    <row r="350" spans="1:30" x14ac:dyDescent="0.25">
      <c r="A350" s="55" t="s">
        <v>575</v>
      </c>
      <c r="B350" s="9" t="s">
        <v>297</v>
      </c>
      <c r="C350" s="51">
        <f>IFERROR(VLOOKUP(A350,data!A:G,7,FALSE),"")</f>
      </c>
      <c r="D350" s="9" t="s">
        <v>576</v>
      </c>
      <c r="E350" s="52"/>
      <c r="F350" s="33"/>
      <c r="G350" s="65">
        <v>8858890801052</v>
      </c>
      <c r="H350" s="65"/>
      <c r="I350" s="65"/>
      <c r="J350" s="54">
        <v>0.054</v>
      </c>
      <c r="K350" s="54" t="s">
        <v>577</v>
      </c>
      <c r="L350" s="9">
        <v>155</v>
      </c>
      <c r="M350" s="8">
        <v>175</v>
      </c>
      <c r="N350" s="9">
        <v>210</v>
      </c>
      <c r="O350" s="9">
        <v>10</v>
      </c>
      <c r="P350" s="53"/>
      <c r="Q350" s="56">
        <f>IFERROR(VLOOKUP(A350,'data-ค่าฝา'!A:G,7,0),"")</f>
      </c>
      <c r="R350" s="8"/>
      <c r="S350" s="8"/>
      <c r="T350" s="8"/>
      <c r="U350" s="8"/>
      <c r="V350" s="8"/>
      <c r="W350" s="8"/>
      <c r="X350" s="8"/>
      <c r="Y350" s="8"/>
      <c r="Z350" s="8"/>
      <c r="AA350" s="8"/>
      <c r="AB350" s="8"/>
      <c r="AC350" s="8"/>
      <c r="AD350" s="8"/>
    </row>
    <row r="351" spans="1:30" x14ac:dyDescent="0.25">
      <c r="A351" s="55" t="s">
        <v>578</v>
      </c>
      <c r="B351" s="9" t="s">
        <v>297</v>
      </c>
      <c r="C351" s="51">
        <f>IFERROR(VLOOKUP(A351,data!A:G,7,FALSE),"")</f>
      </c>
      <c r="D351" s="9" t="s">
        <v>579</v>
      </c>
      <c r="E351" s="52"/>
      <c r="F351" s="33"/>
      <c r="G351" s="65">
        <v>8858890801045</v>
      </c>
      <c r="H351" s="65"/>
      <c r="I351" s="65"/>
      <c r="J351" s="54">
        <v>0.067</v>
      </c>
      <c r="K351" s="54" t="s">
        <v>580</v>
      </c>
      <c r="L351" s="9">
        <v>165</v>
      </c>
      <c r="M351" s="8">
        <v>185</v>
      </c>
      <c r="N351" s="9">
        <v>215</v>
      </c>
      <c r="O351" s="9">
        <v>10</v>
      </c>
      <c r="P351" s="53"/>
      <c r="Q351" s="56">
        <f>IFERROR(VLOOKUP(A351,'data-ค่าฝา'!A:G,7,0),"")</f>
      </c>
      <c r="R351" s="8"/>
      <c r="S351" s="8"/>
      <c r="T351" s="8"/>
      <c r="U351" s="8"/>
      <c r="V351" s="8"/>
      <c r="W351" s="8"/>
      <c r="X351" s="8"/>
      <c r="Y351" s="8"/>
      <c r="Z351" s="8"/>
      <c r="AA351" s="8"/>
      <c r="AB351" s="8"/>
      <c r="AC351" s="8"/>
      <c r="AD351" s="8"/>
    </row>
    <row r="352" spans="1:30" x14ac:dyDescent="0.25">
      <c r="A352" s="55" t="s">
        <v>581</v>
      </c>
      <c r="B352" s="9" t="s">
        <v>297</v>
      </c>
      <c r="C352" s="51">
        <f>IFERROR(VLOOKUP(A352,data!A:G,7,FALSE),"")</f>
      </c>
      <c r="D352" s="9" t="s">
        <v>582</v>
      </c>
      <c r="E352" s="52"/>
      <c r="F352" s="33"/>
      <c r="G352" s="65">
        <v>8858890800857</v>
      </c>
      <c r="H352" s="65"/>
      <c r="I352" s="65"/>
      <c r="J352" s="54">
        <v>0.088</v>
      </c>
      <c r="K352" s="54" t="s">
        <v>583</v>
      </c>
      <c r="L352" s="9">
        <v>175</v>
      </c>
      <c r="M352" s="8">
        <v>195</v>
      </c>
      <c r="N352" s="9">
        <v>230</v>
      </c>
      <c r="O352" s="9">
        <v>10</v>
      </c>
      <c r="P352" s="53"/>
      <c r="Q352" s="56">
        <f>IFERROR(VLOOKUP(A352,'data-ค่าฝา'!A:G,7,0),"")</f>
      </c>
      <c r="R352" s="8"/>
      <c r="S352" s="8"/>
      <c r="T352" s="8"/>
      <c r="U352" s="8"/>
      <c r="V352" s="8"/>
      <c r="W352" s="8"/>
      <c r="X352" s="8"/>
      <c r="Y352" s="8"/>
      <c r="Z352" s="8"/>
      <c r="AA352" s="8"/>
      <c r="AB352" s="8"/>
      <c r="AC352" s="8"/>
      <c r="AD352" s="8"/>
    </row>
    <row r="353" spans="1:30" x14ac:dyDescent="0.25">
      <c r="A353" s="55" t="s">
        <v>584</v>
      </c>
      <c r="B353" s="9" t="s">
        <v>297</v>
      </c>
      <c r="C353" s="51">
        <f>IFERROR(VLOOKUP(A353,data!A:G,7,FALSE),"")</f>
      </c>
      <c r="D353" s="9" t="s">
        <v>585</v>
      </c>
      <c r="E353" s="52"/>
      <c r="F353" s="33"/>
      <c r="G353" s="65">
        <v>8858890800864</v>
      </c>
      <c r="H353" s="65"/>
      <c r="I353" s="65"/>
      <c r="J353" s="54">
        <v>0.107</v>
      </c>
      <c r="K353" s="54" t="s">
        <v>586</v>
      </c>
      <c r="L353" s="9">
        <v>185</v>
      </c>
      <c r="M353" s="8">
        <v>205</v>
      </c>
      <c r="N353" s="9">
        <v>240</v>
      </c>
      <c r="O353" s="9">
        <v>10</v>
      </c>
      <c r="P353" s="53"/>
      <c r="Q353" s="56">
        <f>IFERROR(VLOOKUP(A353,'data-ค่าฝา'!A:G,7,0),"")</f>
      </c>
      <c r="R353" s="8"/>
      <c r="S353" s="8"/>
      <c r="T353" s="8"/>
      <c r="U353" s="8"/>
      <c r="V353" s="8"/>
      <c r="W353" s="8"/>
      <c r="X353" s="8"/>
      <c r="Y353" s="8"/>
      <c r="Z353" s="8"/>
      <c r="AA353" s="8"/>
      <c r="AB353" s="8"/>
      <c r="AC353" s="8"/>
      <c r="AD353" s="8"/>
    </row>
    <row r="354" spans="1:17" x14ac:dyDescent="0.25">
      <c r="A354" s="1" t="s">
        <v>587</v>
      </c>
      <c r="B354" s="1" t="s">
        <v>297</v>
      </c>
      <c r="C354" s="38" t="str">
        <f>IFERROR(VLOOKUP(A354,data!A:G,7,FALSE),"")</f>
        <v>Comb and Brush - หวีและแปรง</v>
      </c>
      <c r="D354" s="38" t="str">
        <f>IFERROR(VLOOKUP(A354,data!A:D,4,FALSE),"")</f>
        <v>หวีหนีบผม ด้ามไม้ วาเลนเต้ รหัส LU-1702</v>
      </c>
      <c r="E354" s="39"/>
      <c r="F354" s="40"/>
      <c r="G354" s="37">
        <f>IFERROR(VLOOKUP(A354,data!A:V,22,FALSE),"")</f>
        <v>8858890780265</v>
      </c>
      <c r="H354" s="37"/>
      <c r="I354" s="37"/>
      <c r="J354" s="41"/>
      <c r="K354" s="41"/>
      <c r="L354" s="42">
        <v>95</v>
      </c>
      <c r="M354" s="43">
        <v>105</v>
      </c>
      <c r="N354" s="42">
        <v>125</v>
      </c>
      <c r="O354" s="42">
        <v>10</v>
      </c>
      <c r="P354" s="44"/>
      <c r="Q354" s="45">
        <f>IFERROR(VLOOKUP(A354,'data-ค่าฝา'!A:G,7,0),"")</f>
      </c>
    </row>
    <row r="355" spans="1:17" x14ac:dyDescent="0.25">
      <c r="A355" s="10" t="s">
        <v>588</v>
      </c>
      <c r="B355" s="1" t="s">
        <v>297</v>
      </c>
      <c r="C355" s="38" t="str">
        <f>IFERROR(VLOOKUP(A355,data!A:G,7,FALSE),"")</f>
        <v>Comb and Brush - หวีและแปรง</v>
      </c>
      <c r="D355" s="38" t="str">
        <f>IFERROR(VLOOKUP(A355,data!A:D,4,FALSE),"")</f>
        <v>หวีแปรงเปียก โดนความร้อนได้ JX-1</v>
      </c>
      <c r="E355" s="39"/>
      <c r="F355" s="40"/>
      <c r="G355" s="37">
        <f>IFERROR(VLOOKUP(A355,data!A:V,22,FALSE),"")</f>
        <v>8858890799311</v>
      </c>
      <c r="H355" s="37"/>
      <c r="I355" s="37"/>
      <c r="J355" s="41"/>
      <c r="K355" s="41"/>
      <c r="L355" s="42">
        <v>175</v>
      </c>
      <c r="M355" s="43">
        <v>195</v>
      </c>
      <c r="N355" s="42">
        <v>220</v>
      </c>
      <c r="O355" s="42">
        <v>10</v>
      </c>
      <c r="P355" s="44"/>
      <c r="Q355" s="45">
        <f>IFERROR(VLOOKUP(A355,'data-ค่าฝา'!A:G,7,0),"")</f>
      </c>
    </row>
    <row r="356" spans="1:17" x14ac:dyDescent="0.25">
      <c r="A356" s="1" t="s">
        <v>589</v>
      </c>
      <c r="B356" s="1" t="s">
        <v>297</v>
      </c>
      <c r="C356" s="38" t="str">
        <f>IFERROR(VLOOKUP(A356,data!A:G,7,FALSE),"")</f>
        <v>Comb and Brush - หวีและแปรง</v>
      </c>
      <c r="D356" s="38" t="str">
        <f>IFERROR(VLOOKUP(A356,data!A:D,4,FALSE),"")</f>
        <v>วาเลนเต้ หวีแปรงเปียก 0.089g. รหัสสินค้า JM-001</v>
      </c>
      <c r="E356" s="39"/>
      <c r="F356" s="40"/>
      <c r="G356" s="37">
        <f>IFERROR(VLOOKUP(A356,data!A:V,22,FALSE),"")</f>
        <v>885889078199602</v>
      </c>
      <c r="H356" s="37"/>
      <c r="I356" s="37"/>
      <c r="J356" s="41"/>
      <c r="K356" s="41"/>
      <c r="L356" s="42">
        <v>75</v>
      </c>
      <c r="M356" s="43">
        <v>85</v>
      </c>
      <c r="N356" s="42">
        <v>105</v>
      </c>
      <c r="O356" s="42">
        <v>10</v>
      </c>
      <c r="P356" s="44"/>
      <c r="Q356" s="45">
        <f>IFERROR(VLOOKUP(A356,'data-ค่าฝา'!A:G,7,0),"")</f>
      </c>
    </row>
    <row r="357" spans="1:17" x14ac:dyDescent="0.25">
      <c r="A357" s="1" t="s">
        <v>590</v>
      </c>
      <c r="B357" s="1" t="s">
        <v>297</v>
      </c>
      <c r="C357" s="38" t="str">
        <f>IFERROR(VLOOKUP(A357,data!A:G,7,FALSE),"")</f>
        <v>Comb and Brush - หวีและแปรง</v>
      </c>
      <c r="D357" s="38" t="str">
        <f>IFERROR(VLOOKUP(A357,data!A:D,4,FALSE),"")</f>
        <v>VALENTE หวีแปรงเปียก สำหรับหวีผมเปียก รุ่น JM-002</v>
      </c>
      <c r="E357" s="39"/>
      <c r="F357" s="40"/>
      <c r="G357" s="37">
        <f>IFERROR(VLOOKUP(A357,data!A:V,22,FALSE),"")</f>
        <v>8858890782009</v>
      </c>
      <c r="H357" s="37"/>
      <c r="I357" s="37"/>
      <c r="J357" s="41"/>
      <c r="K357" s="41"/>
      <c r="L357" s="42">
        <v>70</v>
      </c>
      <c r="M357" s="43">
        <v>80</v>
      </c>
      <c r="N357" s="42">
        <v>99</v>
      </c>
      <c r="O357" s="42">
        <v>10</v>
      </c>
      <c r="P357" s="44"/>
      <c r="Q357" s="45">
        <f>IFERROR(VLOOKUP(A357,'data-ค่าฝา'!A:G,7,0),"")</f>
      </c>
    </row>
    <row r="358" spans="1:17" x14ac:dyDescent="0.25">
      <c r="A358" s="1" t="s">
        <v>591</v>
      </c>
      <c r="B358" s="1" t="s">
        <v>297</v>
      </c>
      <c r="C358" s="38">
        <f>IFERROR(VLOOKUP(A358,data!A:G,7,FALSE),"")</f>
      </c>
      <c r="D358" s="38">
        <f>IFERROR(VLOOKUP(A358,data!A:D,4,FALSE),"")</f>
      </c>
      <c r="E358" s="39"/>
      <c r="F358" s="40"/>
      <c r="G358" s="37">
        <f>IFERROR(VLOOKUP(A358,data!A:V,22,FALSE),"")</f>
      </c>
      <c r="H358" s="37"/>
      <c r="I358" s="37"/>
      <c r="J358" s="41"/>
      <c r="K358" s="41"/>
      <c r="L358" s="42">
        <v>67</v>
      </c>
      <c r="M358" s="43">
        <v>75</v>
      </c>
      <c r="N358" s="42">
        <v>60</v>
      </c>
      <c r="O358" s="42">
        <v>10</v>
      </c>
      <c r="P358" s="44"/>
      <c r="Q358" s="45">
        <f>IFERROR(VLOOKUP(A358,'data-ค่าฝา'!A:G,7,0),"")</f>
      </c>
    </row>
    <row r="359" spans="1:17" x14ac:dyDescent="0.25">
      <c r="A359" s="1" t="s">
        <v>592</v>
      </c>
      <c r="B359" s="1" t="s">
        <v>297</v>
      </c>
      <c r="C359" s="38" t="str">
        <f>IFERROR(VLOOKUP(A359,data!A:G,7,FALSE),"")</f>
        <v>Comb and Brush - หวีและแปรง</v>
      </c>
      <c r="D359" s="38" t="str">
        <f>IFERROR(VLOOKUP(A359,data!A:D,4,FALSE),"")</f>
        <v>หวีแปรงผม Valente VAL-620</v>
      </c>
      <c r="E359" s="39"/>
      <c r="F359" s="40"/>
      <c r="G359" s="37">
        <f>IFERROR(VLOOKUP(A359,data!A:V,22,FALSE),"")</f>
        <v>8858890780975</v>
      </c>
      <c r="H359" s="37"/>
      <c r="I359" s="37"/>
      <c r="J359" s="41"/>
      <c r="K359" s="41"/>
      <c r="L359" s="42">
        <v>53</v>
      </c>
      <c r="M359" s="43">
        <v>60</v>
      </c>
      <c r="N359" s="42">
        <v>80</v>
      </c>
      <c r="O359" s="42">
        <v>10</v>
      </c>
      <c r="P359" s="44"/>
      <c r="Q359" s="45">
        <f>IFERROR(VLOOKUP(A359,'data-ค่าฝา'!A:G,7,0),"")</f>
      </c>
    </row>
    <row r="360" spans="1:17" x14ac:dyDescent="0.25">
      <c r="A360" s="1" t="s">
        <v>593</v>
      </c>
      <c r="B360" s="1" t="s">
        <v>297</v>
      </c>
      <c r="C360" s="38" t="str">
        <f>IFERROR(VLOOKUP(A360,data!A:G,7,FALSE),"")</f>
        <v>Comb and Brush - หวีและแปรง</v>
      </c>
      <c r="D360" s="38" t="str">
        <f>IFERROR(VLOOKUP(A360,data!A:D,4,FALSE),"")</f>
        <v>หวีกระดูก รุ่น (CH-1200)</v>
      </c>
      <c r="E360" s="39"/>
      <c r="F360" s="40"/>
      <c r="G360" s="37">
        <f>IFERROR(VLOOKUP(A360,data!A:V,22,FALSE),"")</f>
        <v>8858890780395</v>
      </c>
      <c r="H360" s="37"/>
      <c r="I360" s="37"/>
      <c r="J360" s="41"/>
      <c r="K360" s="41"/>
      <c r="L360" s="42">
        <v>15</v>
      </c>
      <c r="M360" s="43">
        <v>20</v>
      </c>
      <c r="N360" s="42">
        <v>45</v>
      </c>
      <c r="O360" s="42">
        <v>10</v>
      </c>
      <c r="P360" s="44"/>
      <c r="Q360" s="45">
        <f>IFERROR(VLOOKUP(A360,'data-ค่าฝา'!A:G,7,0),"")</f>
      </c>
    </row>
    <row r="361" spans="1:17" x14ac:dyDescent="0.25">
      <c r="A361" s="1" t="s">
        <v>594</v>
      </c>
      <c r="B361" s="1" t="s">
        <v>297</v>
      </c>
      <c r="C361" s="38" t="str">
        <f>IFERROR(VLOOKUP(A361,data!A:G,7,FALSE),"")</f>
        <v>Comb and Brush - หวีและแปรง</v>
      </c>
      <c r="D361" s="38" t="str">
        <f>IFERROR(VLOOKUP(A361,data!A:D,4,FALSE),"")</f>
        <v>หวีกระดูก(ใหญ่) รุ่น XL-11301</v>
      </c>
      <c r="E361" s="39"/>
      <c r="F361" s="40"/>
      <c r="G361" s="37">
        <f>IFERROR(VLOOKUP(A361,data!A:V,22,FALSE),"")</f>
        <v>8858890780258</v>
      </c>
      <c r="H361" s="37"/>
      <c r="I361" s="37"/>
      <c r="J361" s="41"/>
      <c r="K361" s="41"/>
      <c r="L361" s="42">
        <v>98</v>
      </c>
      <c r="M361" s="43">
        <v>110</v>
      </c>
      <c r="N361" s="42">
        <v>130</v>
      </c>
      <c r="O361" s="42">
        <v>10</v>
      </c>
      <c r="P361" s="44"/>
      <c r="Q361" s="45">
        <f>IFERROR(VLOOKUP(A361,'data-ค่าฝา'!A:G,7,0),"")</f>
      </c>
    </row>
    <row r="362" spans="1:17" x14ac:dyDescent="0.25">
      <c r="A362" s="10" t="s">
        <v>595</v>
      </c>
      <c r="B362" s="1" t="s">
        <v>297</v>
      </c>
      <c r="C362" s="38">
        <f>IFERROR(VLOOKUP(A362,data!A:G,7,FALSE),"")</f>
      </c>
      <c r="D362" s="38">
        <f>IFERROR(VLOOKUP(A362,data!A:D,4,FALSE),"")</f>
      </c>
      <c r="E362" s="39"/>
      <c r="F362" s="40"/>
      <c r="G362" s="37">
        <f>IFERROR(VLOOKUP(A362,data!A:V,22,FALSE),"")</f>
      </c>
      <c r="H362" s="37"/>
      <c r="I362" s="37"/>
      <c r="J362" s="41"/>
      <c r="K362" s="41"/>
      <c r="L362" s="42">
        <v>29</v>
      </c>
      <c r="M362" s="43">
        <v>35</v>
      </c>
      <c r="N362" s="43">
        <f>CEILING(D362*1.3,5)</f>
        <v>0</v>
      </c>
      <c r="O362" s="42">
        <v>10</v>
      </c>
      <c r="P362" s="44"/>
      <c r="Q362" s="45">
        <f>IFERROR(VLOOKUP(A362,'data-ค่าฝา'!A:G,7,0),"")</f>
      </c>
    </row>
    <row r="363" spans="1:17" x14ac:dyDescent="0.25">
      <c r="A363" s="1" t="s">
        <v>596</v>
      </c>
      <c r="B363" s="1" t="s">
        <v>297</v>
      </c>
      <c r="C363" s="38" t="str">
        <f>IFERROR(VLOOKUP(A363,data!A:G,7,FALSE),"")</f>
        <v>Comb and Brush - หวีและแปรง</v>
      </c>
      <c r="D363" s="38" t="str">
        <f>IFERROR(VLOOKUP(A363,data!A:D,4,FALSE),"")</f>
        <v>3D หวีหมุนได้ 360 องศา (สีชมพู) รหัสสินค้า PKY-1553</v>
      </c>
      <c r="E363" s="39"/>
      <c r="F363" s="40"/>
      <c r="G363" s="37">
        <f>IFERROR(VLOOKUP(A363,data!A:V,22,FALSE),"")</f>
        <v>8858890781811</v>
      </c>
      <c r="H363" s="37"/>
      <c r="I363" s="37"/>
      <c r="J363" s="41"/>
      <c r="K363" s="41"/>
      <c r="L363" s="42">
        <v>35</v>
      </c>
      <c r="M363" s="43">
        <v>40</v>
      </c>
      <c r="N363" s="42">
        <v>60</v>
      </c>
      <c r="O363" s="42">
        <v>10</v>
      </c>
      <c r="P363" s="44"/>
      <c r="Q363" s="45">
        <f>IFERROR(VLOOKUP(A363,'data-ค่าฝา'!A:G,7,0),"")</f>
      </c>
    </row>
    <row r="364" spans="1:17" x14ac:dyDescent="0.25">
      <c r="A364" s="1" t="s">
        <v>597</v>
      </c>
      <c r="B364" s="1" t="s">
        <v>297</v>
      </c>
      <c r="C364" s="38" t="str">
        <f>IFERROR(VLOOKUP(A364,data!A:G,7,FALSE),"")</f>
        <v>Comb and Brush - หวีและแปรง</v>
      </c>
      <c r="D364" s="38" t="str">
        <f>IFERROR(VLOOKUP(A364,data!A:D,4,FALSE),"")</f>
        <v>VALENTE เซทหวีอเนกประสงค์ (10ชิ้น / ชุด) VAL-589</v>
      </c>
      <c r="E364" s="39"/>
      <c r="F364" s="40"/>
      <c r="G364" s="37">
        <f>IFERROR(VLOOKUP(A364,data!A:V,22,FALSE),"")</f>
        <v>8858890781842</v>
      </c>
      <c r="H364" s="37"/>
      <c r="I364" s="37"/>
      <c r="J364" s="41"/>
      <c r="K364" s="41"/>
      <c r="L364" s="42">
        <v>85</v>
      </c>
      <c r="M364" s="43">
        <v>95</v>
      </c>
      <c r="N364" s="42">
        <v>130</v>
      </c>
      <c r="O364" s="42">
        <v>10</v>
      </c>
      <c r="P364" s="44"/>
      <c r="Q364" s="45">
        <f>IFERROR(VLOOKUP(A364,'data-ค่าฝา'!A:G,7,0),"")</f>
      </c>
    </row>
    <row r="365" spans="1:17" x14ac:dyDescent="0.25">
      <c r="A365" s="1" t="s">
        <v>598</v>
      </c>
      <c r="B365" s="1" t="s">
        <v>297</v>
      </c>
      <c r="C365" s="38">
        <f>IFERROR(VLOOKUP(A365,data!A:G,7,FALSE),"")</f>
      </c>
      <c r="D365" s="38">
        <f>IFERROR(VLOOKUP(A365,data!A:D,4,FALSE),"")</f>
      </c>
      <c r="E365" s="39"/>
      <c r="F365" s="40"/>
      <c r="G365" s="37">
        <f>IFERROR(VLOOKUP(A365,data!A:V,22,FALSE),"")</f>
      </c>
      <c r="H365" s="37"/>
      <c r="I365" s="37"/>
      <c r="J365" s="41"/>
      <c r="K365" s="41"/>
      <c r="L365" s="42">
        <v>30</v>
      </c>
      <c r="M365" s="43">
        <v>35</v>
      </c>
      <c r="N365" s="42">
        <v>99</v>
      </c>
      <c r="O365" s="42">
        <v>10</v>
      </c>
      <c r="P365" s="44"/>
      <c r="Q365" s="45">
        <f>IFERROR(VLOOKUP(A365,'data-ค่าฝา'!A:G,7,0),"")</f>
      </c>
    </row>
    <row r="366" spans="1:17" x14ac:dyDescent="0.25">
      <c r="A366" s="10" t="s">
        <v>599</v>
      </c>
      <c r="B366" s="1" t="s">
        <v>297</v>
      </c>
      <c r="C366" s="38">
        <f>IFERROR(VLOOKUP(A366,data!A:G,7,FALSE),"")</f>
      </c>
      <c r="D366" s="38">
        <f>IFERROR(VLOOKUP(A366,data!A:D,4,FALSE),"")</f>
      </c>
      <c r="E366" s="39"/>
      <c r="F366" s="40"/>
      <c r="G366" s="37">
        <f>IFERROR(VLOOKUP(A366,data!A:V,22,FALSE),"")</f>
      </c>
      <c r="H366" s="37"/>
      <c r="I366" s="37"/>
      <c r="J366" s="41"/>
      <c r="K366" s="41"/>
      <c r="L366" s="42">
        <v>50</v>
      </c>
      <c r="M366" s="43">
        <v>55</v>
      </c>
      <c r="N366" s="42">
        <v>120</v>
      </c>
      <c r="O366" s="42">
        <v>10</v>
      </c>
      <c r="P366" s="44"/>
      <c r="Q366" s="45">
        <f>IFERROR(VLOOKUP(A366,'data-ค่าฝา'!A:G,7,0),"")</f>
      </c>
    </row>
    <row r="367" spans="1:17" x14ac:dyDescent="0.25">
      <c r="A367" s="1" t="s">
        <v>600</v>
      </c>
      <c r="B367" s="1" t="s">
        <v>297</v>
      </c>
      <c r="C367" s="38" t="str">
        <f>IFERROR(VLOOKUP(A367,data!A:G,7,FALSE),"")</f>
        <v>Comb and Brush - หวีและแปรง</v>
      </c>
      <c r="D367" s="38" t="str">
        <f>IFERROR(VLOOKUP(A367,data!A:D,4,FALSE),"")</f>
        <v>VAL-900 วาเลนเต้ ชุดหวีแปรง</v>
      </c>
      <c r="E367" s="39"/>
      <c r="F367" s="40"/>
      <c r="G367" s="37">
        <f>IFERROR(VLOOKUP(A367,data!A:V,22,FALSE),"")</f>
        <v>8858890799922</v>
      </c>
      <c r="H367" s="37"/>
      <c r="I367" s="37"/>
      <c r="J367" s="41"/>
      <c r="K367" s="41"/>
      <c r="L367" s="42">
        <v>105</v>
      </c>
      <c r="M367" s="43">
        <v>120</v>
      </c>
      <c r="N367" s="42">
        <v>150</v>
      </c>
      <c r="O367" s="42">
        <v>10</v>
      </c>
      <c r="P367" s="44"/>
      <c r="Q367" s="45">
        <f>IFERROR(VLOOKUP(A367,'data-ค่าฝา'!A:G,7,0),"")</f>
      </c>
    </row>
    <row r="368" spans="1:30" x14ac:dyDescent="0.25">
      <c r="A368" s="66" t="s">
        <v>601</v>
      </c>
      <c r="B368" s="66" t="s">
        <v>297</v>
      </c>
      <c r="C368" s="67" t="str">
        <f>IFERROR(VLOOKUP(A368,data!A:G,7,FALSE),"")</f>
        <v>Other Equipment - อุปกรณ์อื่นๆ</v>
      </c>
      <c r="D368" s="67" t="str">
        <f>IFERROR(VLOOKUP(A368,data!A:D,4,FALSE),"")</f>
        <v>แกนดัดผมญี่ปุ่น 6 มม. 1 แพค 12 ชิ้น</v>
      </c>
      <c r="E368" s="68"/>
      <c r="F368" s="40"/>
      <c r="G368" s="69">
        <f>IFERROR(VLOOKUP(A368,data!A:V,22,FALSE),"")</f>
        <v>8858890800529</v>
      </c>
      <c r="H368" s="69"/>
      <c r="I368" s="69"/>
      <c r="J368" s="70"/>
      <c r="K368" s="70"/>
      <c r="L368" s="66">
        <v>38</v>
      </c>
      <c r="M368" s="71">
        <v>45</v>
      </c>
      <c r="N368" s="66">
        <v>65</v>
      </c>
      <c r="O368" s="66">
        <v>10</v>
      </c>
      <c r="P368" s="69"/>
      <c r="Q368" s="72">
        <f>IFERROR(VLOOKUP(A368,'data-ค่าฝา'!A:G,7,0),"")</f>
      </c>
      <c r="R368" s="71"/>
      <c r="S368" s="71"/>
      <c r="T368" s="71"/>
      <c r="U368" s="71"/>
      <c r="V368" s="71"/>
      <c r="W368" s="71"/>
      <c r="X368" s="71"/>
      <c r="Y368" s="71"/>
      <c r="Z368" s="71"/>
      <c r="AA368" s="71"/>
      <c r="AB368" s="71"/>
      <c r="AC368" s="71"/>
      <c r="AD368" s="71"/>
    </row>
    <row r="369" spans="1:30" x14ac:dyDescent="0.25">
      <c r="A369" s="66" t="s">
        <v>602</v>
      </c>
      <c r="B369" s="66" t="s">
        <v>297</v>
      </c>
      <c r="C369" s="67" t="str">
        <f>IFERROR(VLOOKUP(A369,data!A:G,7,FALSE),"")</f>
        <v>Other Equipment - อุปกรณ์อื่นๆ</v>
      </c>
      <c r="D369" s="67" t="str">
        <f>IFERROR(VLOOKUP(A369,data!A:D,4,FALSE),"")</f>
        <v>แกนดัดผมญี่ปุ่น 7.5 มม. 1 แพค 12 ชิ้น</v>
      </c>
      <c r="E369" s="68"/>
      <c r="F369" s="40"/>
      <c r="G369" s="69">
        <f>IFERROR(VLOOKUP(A369,data!A:V,22,FALSE),"")</f>
        <v>8858890800536</v>
      </c>
      <c r="H369" s="69"/>
      <c r="I369" s="69"/>
      <c r="J369" s="70"/>
      <c r="K369" s="70"/>
      <c r="L369" s="66">
        <v>39</v>
      </c>
      <c r="M369" s="71">
        <v>45</v>
      </c>
      <c r="N369" s="66">
        <v>65</v>
      </c>
      <c r="O369" s="66">
        <v>10</v>
      </c>
      <c r="P369" s="69"/>
      <c r="Q369" s="72">
        <f>IFERROR(VLOOKUP(A369,'data-ค่าฝา'!A:G,7,0),"")</f>
      </c>
      <c r="R369" s="71"/>
      <c r="S369" s="71"/>
      <c r="T369" s="71"/>
      <c r="U369" s="71"/>
      <c r="V369" s="71"/>
      <c r="W369" s="71"/>
      <c r="X369" s="71"/>
      <c r="Y369" s="71"/>
      <c r="Z369" s="71"/>
      <c r="AA369" s="71"/>
      <c r="AB369" s="71"/>
      <c r="AC369" s="71"/>
      <c r="AD369" s="71"/>
    </row>
    <row r="370" spans="1:30" x14ac:dyDescent="0.25">
      <c r="A370" s="66" t="s">
        <v>603</v>
      </c>
      <c r="B370" s="66" t="s">
        <v>297</v>
      </c>
      <c r="C370" s="67" t="str">
        <f>IFERROR(VLOOKUP(A370,data!A:G,7,FALSE),"")</f>
        <v>Other Equipment - อุปกรณ์อื่นๆ</v>
      </c>
      <c r="D370" s="67" t="str">
        <f>IFERROR(VLOOKUP(A370,data!A:D,4,FALSE),"")</f>
        <v>แกนดัดผมญี่ปุ่น 8.5 มม. 1 แพค 12 ชิ้น</v>
      </c>
      <c r="E370" s="68"/>
      <c r="F370" s="40"/>
      <c r="G370" s="69">
        <f>IFERROR(VLOOKUP(A370,data!A:V,22,FALSE),"")</f>
        <v>8858890800543</v>
      </c>
      <c r="H370" s="69"/>
      <c r="I370" s="69"/>
      <c r="J370" s="70"/>
      <c r="K370" s="70"/>
      <c r="L370" s="66">
        <v>40</v>
      </c>
      <c r="M370" s="71">
        <v>45</v>
      </c>
      <c r="N370" s="66">
        <v>65</v>
      </c>
      <c r="O370" s="66">
        <v>10</v>
      </c>
      <c r="P370" s="69"/>
      <c r="Q370" s="72">
        <f>IFERROR(VLOOKUP(A370,'data-ค่าฝา'!A:G,7,0),"")</f>
      </c>
      <c r="R370" s="71"/>
      <c r="S370" s="71"/>
      <c r="T370" s="71"/>
      <c r="U370" s="71"/>
      <c r="V370" s="71"/>
      <c r="W370" s="71"/>
      <c r="X370" s="71"/>
      <c r="Y370" s="71"/>
      <c r="Z370" s="71"/>
      <c r="AA370" s="71"/>
      <c r="AB370" s="71"/>
      <c r="AC370" s="71"/>
      <c r="AD370" s="71"/>
    </row>
    <row r="371" spans="1:30" x14ac:dyDescent="0.25">
      <c r="A371" s="66" t="s">
        <v>604</v>
      </c>
      <c r="B371" s="66" t="s">
        <v>297</v>
      </c>
      <c r="C371" s="67" t="str">
        <f>IFERROR(VLOOKUP(A371,data!A:G,7,FALSE),"")</f>
        <v>Other Equipment - อุปกรณ์อื่นๆ</v>
      </c>
      <c r="D371" s="67" t="str">
        <f>IFERROR(VLOOKUP(A371,data!A:D,4,FALSE),"")</f>
        <v>แกนดัดผมญี่ปุ่น 10 มม. 1 แพค 12 ชิ้น</v>
      </c>
      <c r="E371" s="68"/>
      <c r="F371" s="40"/>
      <c r="G371" s="69">
        <f>IFERROR(VLOOKUP(A371,data!A:V,22,FALSE),"")</f>
        <v>8858890800550</v>
      </c>
      <c r="H371" s="69"/>
      <c r="I371" s="69"/>
      <c r="J371" s="70"/>
      <c r="K371" s="70"/>
      <c r="L371" s="66">
        <v>41</v>
      </c>
      <c r="M371" s="71">
        <v>50</v>
      </c>
      <c r="N371" s="66">
        <v>65</v>
      </c>
      <c r="O371" s="66">
        <v>10</v>
      </c>
      <c r="P371" s="69"/>
      <c r="Q371" s="72">
        <f>IFERROR(VLOOKUP(A371,'data-ค่าฝา'!A:G,7,0),"")</f>
      </c>
      <c r="R371" s="71"/>
      <c r="S371" s="71"/>
      <c r="T371" s="71"/>
      <c r="U371" s="71"/>
      <c r="V371" s="71"/>
      <c r="W371" s="71"/>
      <c r="X371" s="71"/>
      <c r="Y371" s="71"/>
      <c r="Z371" s="71"/>
      <c r="AA371" s="71"/>
      <c r="AB371" s="71"/>
      <c r="AC371" s="71"/>
      <c r="AD371" s="71"/>
    </row>
    <row r="372" spans="1:30" x14ac:dyDescent="0.25">
      <c r="A372" s="66" t="s">
        <v>605</v>
      </c>
      <c r="B372" s="66" t="s">
        <v>297</v>
      </c>
      <c r="C372" s="67" t="str">
        <f>IFERROR(VLOOKUP(A372,data!A:G,7,FALSE),"")</f>
        <v>Other Equipment - อุปกรณ์อื่นๆ</v>
      </c>
      <c r="D372" s="67" t="str">
        <f>IFERROR(VLOOKUP(A372,data!A:D,4,FALSE),"")</f>
        <v>วาเลนเต้แกนดัดผมญี่ปุ่นสลับสี 12 มม.</v>
      </c>
      <c r="E372" s="68"/>
      <c r="F372" s="40"/>
      <c r="G372" s="69">
        <f>IFERROR(VLOOKUP(A372,data!A:V,22,FALSE),"")</f>
        <v>8858890800567</v>
      </c>
      <c r="H372" s="69"/>
      <c r="I372" s="69"/>
      <c r="J372" s="70"/>
      <c r="K372" s="70"/>
      <c r="L372" s="66">
        <v>43</v>
      </c>
      <c r="M372" s="71">
        <v>50</v>
      </c>
      <c r="N372" s="66">
        <v>70</v>
      </c>
      <c r="O372" s="66">
        <v>10</v>
      </c>
      <c r="P372" s="69"/>
      <c r="Q372" s="72">
        <f>IFERROR(VLOOKUP(A372,'data-ค่าฝา'!A:G,7,0),"")</f>
      </c>
      <c r="R372" s="71"/>
      <c r="S372" s="71"/>
      <c r="T372" s="71"/>
      <c r="U372" s="71"/>
      <c r="V372" s="71"/>
      <c r="W372" s="71"/>
      <c r="X372" s="71"/>
      <c r="Y372" s="71"/>
      <c r="Z372" s="71"/>
      <c r="AA372" s="71"/>
      <c r="AB372" s="71"/>
      <c r="AC372" s="71"/>
      <c r="AD372" s="71"/>
    </row>
    <row r="373" spans="1:30" x14ac:dyDescent="0.25">
      <c r="A373" s="66" t="s">
        <v>606</v>
      </c>
      <c r="B373" s="66" t="s">
        <v>297</v>
      </c>
      <c r="C373" s="67" t="str">
        <f>IFERROR(VLOOKUP(A373,data!A:G,7,FALSE),"")</f>
        <v>Other Equipment - อุปกรณ์อื่นๆ</v>
      </c>
      <c r="D373" s="67" t="str">
        <f>IFERROR(VLOOKUP(A373,data!A:D,4,FALSE),"")</f>
        <v>วาเลนเต้แกนดัดผมญี่ปุ่นสลับสี 14 มม.</v>
      </c>
      <c r="E373" s="68"/>
      <c r="F373" s="40"/>
      <c r="G373" s="69">
        <f>IFERROR(VLOOKUP(A373,data!A:V,22,FALSE),"")</f>
        <v>8858890800574</v>
      </c>
      <c r="H373" s="69"/>
      <c r="I373" s="69"/>
      <c r="J373" s="70"/>
      <c r="K373" s="70"/>
      <c r="L373" s="66">
        <v>45</v>
      </c>
      <c r="M373" s="71">
        <v>50</v>
      </c>
      <c r="N373" s="66">
        <v>70</v>
      </c>
      <c r="O373" s="66">
        <v>10</v>
      </c>
      <c r="P373" s="69"/>
      <c r="Q373" s="72">
        <f>IFERROR(VLOOKUP(A373,'data-ค่าฝา'!A:G,7,0),"")</f>
      </c>
      <c r="R373" s="71"/>
      <c r="S373" s="71"/>
      <c r="T373" s="71"/>
      <c r="U373" s="71"/>
      <c r="V373" s="71"/>
      <c r="W373" s="71"/>
      <c r="X373" s="71"/>
      <c r="Y373" s="71"/>
      <c r="Z373" s="71"/>
      <c r="AA373" s="71"/>
      <c r="AB373" s="71"/>
      <c r="AC373" s="71"/>
      <c r="AD373" s="71"/>
    </row>
    <row r="374" spans="1:30" x14ac:dyDescent="0.25">
      <c r="A374" s="66" t="s">
        <v>607</v>
      </c>
      <c r="B374" s="66" t="s">
        <v>297</v>
      </c>
      <c r="C374" s="67">
        <f>IFERROR(VLOOKUP(A374,data!A:G,7,FALSE),"")</f>
      </c>
      <c r="D374" s="67">
        <f>IFERROR(VLOOKUP(A374,data!A:D,4,FALSE),"")</f>
      </c>
      <c r="E374" s="68"/>
      <c r="F374" s="40"/>
      <c r="G374" s="69">
        <f>IFERROR(VLOOKUP(A374,data!A:V,22,FALSE),"")</f>
      </c>
      <c r="H374" s="69"/>
      <c r="I374" s="69"/>
      <c r="J374" s="70"/>
      <c r="K374" s="70"/>
      <c r="L374" s="66">
        <v>36</v>
      </c>
      <c r="M374" s="71">
        <v>40</v>
      </c>
      <c r="N374" s="71">
        <f t="shared" ref="N374:N377" si="3">CEILING(D374*1.3,5)</f>
        <v>0</v>
      </c>
      <c r="O374" s="66">
        <v>10</v>
      </c>
      <c r="P374" s="69"/>
      <c r="Q374" s="72">
        <f>IFERROR(VLOOKUP(A374,'data-ค่าฝา'!A:G,7,0),"")</f>
      </c>
      <c r="R374" s="71"/>
      <c r="S374" s="71"/>
      <c r="T374" s="71"/>
      <c r="U374" s="71"/>
      <c r="V374" s="71"/>
      <c r="W374" s="71"/>
      <c r="X374" s="71"/>
      <c r="Y374" s="71"/>
      <c r="Z374" s="71"/>
      <c r="AA374" s="71"/>
      <c r="AB374" s="71"/>
      <c r="AC374" s="71"/>
      <c r="AD374" s="71"/>
    </row>
    <row r="375" spans="1:30" x14ac:dyDescent="0.25">
      <c r="A375" s="66" t="s">
        <v>608</v>
      </c>
      <c r="B375" s="66" t="s">
        <v>297</v>
      </c>
      <c r="C375" s="67">
        <f>IFERROR(VLOOKUP(A375,data!A:G,7,FALSE),"")</f>
      </c>
      <c r="D375" s="67">
        <f>IFERROR(VLOOKUP(A375,data!A:D,4,FALSE),"")</f>
      </c>
      <c r="E375" s="68"/>
      <c r="F375" s="40"/>
      <c r="G375" s="69">
        <f>IFERROR(VLOOKUP(A375,data!A:V,22,FALSE),"")</f>
      </c>
      <c r="H375" s="69"/>
      <c r="I375" s="69"/>
      <c r="J375" s="70"/>
      <c r="K375" s="70"/>
      <c r="L375" s="66">
        <v>38</v>
      </c>
      <c r="M375" s="71">
        <v>45</v>
      </c>
      <c r="N375" s="71">
        <f t="shared" si="3"/>
        <v>0</v>
      </c>
      <c r="O375" s="66">
        <v>10</v>
      </c>
      <c r="P375" s="69"/>
      <c r="Q375" s="72">
        <f>IFERROR(VLOOKUP(A375,'data-ค่าฝา'!A:G,7,0),"")</f>
      </c>
      <c r="R375" s="71"/>
      <c r="S375" s="71"/>
      <c r="T375" s="71"/>
      <c r="U375" s="71"/>
      <c r="V375" s="71"/>
      <c r="W375" s="71"/>
      <c r="X375" s="71"/>
      <c r="Y375" s="71"/>
      <c r="Z375" s="71"/>
      <c r="AA375" s="71"/>
      <c r="AB375" s="71"/>
      <c r="AC375" s="71"/>
      <c r="AD375" s="71"/>
    </row>
    <row r="376" spans="1:30" x14ac:dyDescent="0.25">
      <c r="A376" s="66" t="s">
        <v>609</v>
      </c>
      <c r="B376" s="66" t="s">
        <v>297</v>
      </c>
      <c r="C376" s="67">
        <f>IFERROR(VLOOKUP(A376,data!A:G,7,FALSE),"")</f>
      </c>
      <c r="D376" s="67">
        <f>IFERROR(VLOOKUP(A376,data!A:D,4,FALSE),"")</f>
      </c>
      <c r="E376" s="68"/>
      <c r="F376" s="40"/>
      <c r="G376" s="69">
        <f>IFERROR(VLOOKUP(A376,data!A:V,22,FALSE),"")</f>
      </c>
      <c r="H376" s="69"/>
      <c r="I376" s="69"/>
      <c r="J376" s="70"/>
      <c r="K376" s="70"/>
      <c r="L376" s="66">
        <v>40</v>
      </c>
      <c r="M376" s="71">
        <v>45</v>
      </c>
      <c r="N376" s="71">
        <f t="shared" si="3"/>
        <v>0</v>
      </c>
      <c r="O376" s="66">
        <v>10</v>
      </c>
      <c r="P376" s="69"/>
      <c r="Q376" s="72">
        <f>IFERROR(VLOOKUP(A376,'data-ค่าฝา'!A:G,7,0),"")</f>
      </c>
      <c r="R376" s="71"/>
      <c r="S376" s="71"/>
      <c r="T376" s="71"/>
      <c r="U376" s="71"/>
      <c r="V376" s="71"/>
      <c r="W376" s="71"/>
      <c r="X376" s="71"/>
      <c r="Y376" s="71"/>
      <c r="Z376" s="71"/>
      <c r="AA376" s="71"/>
      <c r="AB376" s="71"/>
      <c r="AC376" s="71"/>
      <c r="AD376" s="71"/>
    </row>
    <row r="377" spans="1:30" x14ac:dyDescent="0.25">
      <c r="A377" s="66" t="s">
        <v>610</v>
      </c>
      <c r="B377" s="66" t="s">
        <v>297</v>
      </c>
      <c r="C377" s="67">
        <f>IFERROR(VLOOKUP(A377,data!A:G,7,FALSE),"")</f>
      </c>
      <c r="D377" s="67">
        <f>IFERROR(VLOOKUP(A377,data!A:D,4,FALSE),"")</f>
      </c>
      <c r="E377" s="68"/>
      <c r="F377" s="40"/>
      <c r="G377" s="69">
        <f>IFERROR(VLOOKUP(A377,data!A:V,22,FALSE),"")</f>
      </c>
      <c r="H377" s="69"/>
      <c r="I377" s="69"/>
      <c r="J377" s="70"/>
      <c r="K377" s="70"/>
      <c r="L377" s="66">
        <v>42</v>
      </c>
      <c r="M377" s="71">
        <v>50</v>
      </c>
      <c r="N377" s="71">
        <f t="shared" si="3"/>
        <v>0</v>
      </c>
      <c r="O377" s="66">
        <v>10</v>
      </c>
      <c r="P377" s="69"/>
      <c r="Q377" s="72">
        <f>IFERROR(VLOOKUP(A377,'data-ค่าฝา'!A:G,7,0),"")</f>
      </c>
      <c r="R377" s="71"/>
      <c r="S377" s="71"/>
      <c r="T377" s="71"/>
      <c r="U377" s="71"/>
      <c r="V377" s="71"/>
      <c r="W377" s="71"/>
      <c r="X377" s="71"/>
      <c r="Y377" s="71"/>
      <c r="Z377" s="71"/>
      <c r="AA377" s="71"/>
      <c r="AB377" s="71"/>
      <c r="AC377" s="71"/>
      <c r="AD377" s="71"/>
    </row>
    <row r="378" spans="1:30" x14ac:dyDescent="0.25">
      <c r="A378" s="66" t="s">
        <v>611</v>
      </c>
      <c r="B378" s="66" t="s">
        <v>297</v>
      </c>
      <c r="C378" s="67" t="str">
        <f>IFERROR(VLOOKUP(A378,data!A:G,7,FALSE),"")</f>
        <v>Other Equipment - อุปกรณ์อื่นๆ</v>
      </c>
      <c r="D378" s="67" t="str">
        <f>IFERROR(VLOOKUP(A378,data!A:D,4,FALSE),"")</f>
        <v>แกนดัดขนาดมาตรฐาน ขนาด 3.1 cm PRO-1</v>
      </c>
      <c r="E378" s="68"/>
      <c r="F378" s="40"/>
      <c r="G378" s="69">
        <f>IFERROR(VLOOKUP(A378,data!A:V,22,FALSE),"")</f>
        <v>8858890790035</v>
      </c>
      <c r="H378" s="69"/>
      <c r="I378" s="69"/>
      <c r="J378" s="70"/>
      <c r="K378" s="70"/>
      <c r="L378" s="66">
        <v>40</v>
      </c>
      <c r="M378" s="71">
        <v>45</v>
      </c>
      <c r="N378" s="66">
        <v>60</v>
      </c>
      <c r="O378" s="66">
        <v>10</v>
      </c>
      <c r="P378" s="69"/>
      <c r="Q378" s="72">
        <f>IFERROR(VLOOKUP(A378,'data-ค่าฝา'!A:G,7,0),"")</f>
      </c>
      <c r="R378" s="71"/>
      <c r="S378" s="71"/>
      <c r="T378" s="71"/>
      <c r="U378" s="71"/>
      <c r="V378" s="71"/>
      <c r="W378" s="71"/>
      <c r="X378" s="71"/>
      <c r="Y378" s="71"/>
      <c r="Z378" s="71"/>
      <c r="AA378" s="71"/>
      <c r="AB378" s="71"/>
      <c r="AC378" s="71"/>
      <c r="AD378" s="71"/>
    </row>
    <row r="379" spans="1:30" x14ac:dyDescent="0.25">
      <c r="A379" s="66" t="s">
        <v>612</v>
      </c>
      <c r="B379" s="66" t="s">
        <v>297</v>
      </c>
      <c r="C379" s="67" t="str">
        <f>IFERROR(VLOOKUP(A379,data!A:G,7,FALSE),"")</f>
        <v>Other Equipment - อุปกรณ์อื่นๆ</v>
      </c>
      <c r="D379" s="67" t="str">
        <f>IFERROR(VLOOKUP(A379,data!A:D,4,FALSE),"")</f>
        <v>แกนดัดขนาดมาตรฐาน ขนาด 2.9 cm PRO-2</v>
      </c>
      <c r="E379" s="68"/>
      <c r="F379" s="40"/>
      <c r="G379" s="69">
        <f>IFERROR(VLOOKUP(A379,data!A:V,22,FALSE),"")</f>
        <v>8858890790042</v>
      </c>
      <c r="H379" s="69"/>
      <c r="I379" s="69"/>
      <c r="J379" s="70"/>
      <c r="K379" s="70"/>
      <c r="L379" s="66">
        <v>37</v>
      </c>
      <c r="M379" s="71">
        <v>45</v>
      </c>
      <c r="N379" s="66">
        <v>60</v>
      </c>
      <c r="O379" s="66">
        <v>10</v>
      </c>
      <c r="P379" s="69"/>
      <c r="Q379" s="72">
        <f>IFERROR(VLOOKUP(A379,'data-ค่าฝา'!A:G,7,0),"")</f>
      </c>
      <c r="R379" s="71"/>
      <c r="S379" s="71"/>
      <c r="T379" s="71"/>
      <c r="U379" s="71"/>
      <c r="V379" s="71"/>
      <c r="W379" s="71"/>
      <c r="X379" s="71"/>
      <c r="Y379" s="71"/>
      <c r="Z379" s="71"/>
      <c r="AA379" s="71"/>
      <c r="AB379" s="71"/>
      <c r="AC379" s="71"/>
      <c r="AD379" s="71"/>
    </row>
    <row r="380" spans="1:30" x14ac:dyDescent="0.25">
      <c r="A380" s="66" t="s">
        <v>613</v>
      </c>
      <c r="B380" s="66" t="s">
        <v>297</v>
      </c>
      <c r="C380" s="67" t="str">
        <f>IFERROR(VLOOKUP(A380,data!A:G,7,FALSE),"")</f>
        <v>Other Equipment - อุปกรณ์อื่นๆ</v>
      </c>
      <c r="D380" s="67" t="str">
        <f>IFERROR(VLOOKUP(A380,data!A:D,4,FALSE),"")</f>
        <v>แกนดัดขนาดมาตรฐาน ขนาด 2.7 cm PRO-3</v>
      </c>
      <c r="E380" s="68"/>
      <c r="F380" s="40"/>
      <c r="G380" s="69">
        <f>IFERROR(VLOOKUP(A380,data!A:V,22,FALSE),"")</f>
        <v>8858890790059</v>
      </c>
      <c r="H380" s="69"/>
      <c r="I380" s="69"/>
      <c r="J380" s="70"/>
      <c r="K380" s="70"/>
      <c r="L380" s="66">
        <v>35</v>
      </c>
      <c r="M380" s="71">
        <v>40</v>
      </c>
      <c r="N380" s="66">
        <v>60</v>
      </c>
      <c r="O380" s="66">
        <v>10</v>
      </c>
      <c r="P380" s="69"/>
      <c r="Q380" s="72">
        <f>IFERROR(VLOOKUP(A380,'data-ค่าฝา'!A:G,7,0),"")</f>
      </c>
      <c r="R380" s="71"/>
      <c r="S380" s="71"/>
      <c r="T380" s="71"/>
      <c r="U380" s="71"/>
      <c r="V380" s="71"/>
      <c r="W380" s="71"/>
      <c r="X380" s="71"/>
      <c r="Y380" s="71"/>
      <c r="Z380" s="71"/>
      <c r="AA380" s="71"/>
      <c r="AB380" s="71"/>
      <c r="AC380" s="71"/>
      <c r="AD380" s="71"/>
    </row>
    <row r="381" spans="1:30" x14ac:dyDescent="0.25">
      <c r="A381" s="66" t="s">
        <v>614</v>
      </c>
      <c r="B381" s="66" t="s">
        <v>297</v>
      </c>
      <c r="C381" s="67" t="str">
        <f>IFERROR(VLOOKUP(A381,data!A:G,7,FALSE),"")</f>
        <v>Other Equipment - อุปกรณ์อื่นๆ</v>
      </c>
      <c r="D381" s="67" t="str">
        <f>IFERROR(VLOOKUP(A381,data!A:D,4,FALSE),"")</f>
        <v>แกนดัดขนาดมาตรฐาน ขนาด 2.3 cm PRO-5</v>
      </c>
      <c r="E381" s="68"/>
      <c r="F381" s="40"/>
      <c r="G381" s="69">
        <f>IFERROR(VLOOKUP(A381,data!A:V,22,FALSE),"")</f>
        <v>8858890790073</v>
      </c>
      <c r="H381" s="69"/>
      <c r="I381" s="69"/>
      <c r="J381" s="70"/>
      <c r="K381" s="70"/>
      <c r="L381" s="66">
        <v>31</v>
      </c>
      <c r="M381" s="71">
        <v>35</v>
      </c>
      <c r="N381" s="66">
        <v>60</v>
      </c>
      <c r="O381" s="66">
        <v>10</v>
      </c>
      <c r="P381" s="69"/>
      <c r="Q381" s="72">
        <f>IFERROR(VLOOKUP(A381,'data-ค่าฝา'!A:G,7,0),"")</f>
      </c>
      <c r="R381" s="71"/>
      <c r="S381" s="71"/>
      <c r="T381" s="71"/>
      <c r="U381" s="71"/>
      <c r="V381" s="71"/>
      <c r="W381" s="71"/>
      <c r="X381" s="71"/>
      <c r="Y381" s="71"/>
      <c r="Z381" s="71"/>
      <c r="AA381" s="71"/>
      <c r="AB381" s="71"/>
      <c r="AC381" s="71"/>
      <c r="AD381" s="71"/>
    </row>
    <row r="382" spans="1:30" x14ac:dyDescent="0.25">
      <c r="A382" s="66" t="s">
        <v>615</v>
      </c>
      <c r="B382" s="66" t="s">
        <v>297</v>
      </c>
      <c r="C382" s="67" t="str">
        <f>IFERROR(VLOOKUP(A382,data!A:G,7,FALSE),"")</f>
        <v>Other Equipment - อุปกรณ์อื่นๆ</v>
      </c>
      <c r="D382" s="67" t="str">
        <f>IFERROR(VLOOKUP(A382,data!A:D,4,FALSE),"")</f>
        <v>VAL-11202-7</v>
      </c>
      <c r="E382" s="68"/>
      <c r="F382" s="40"/>
      <c r="G382" s="69">
        <f>IFERROR(VLOOKUP(A382,data!A:V,22,FALSE),"")</f>
        <v>8858890790400</v>
      </c>
      <c r="H382" s="69"/>
      <c r="I382" s="69"/>
      <c r="J382" s="70"/>
      <c r="K382" s="70"/>
      <c r="L382" s="66">
        <v>20</v>
      </c>
      <c r="M382" s="71">
        <v>25</v>
      </c>
      <c r="N382" s="66">
        <v>60</v>
      </c>
      <c r="O382" s="66">
        <v>10</v>
      </c>
      <c r="P382" s="69"/>
      <c r="Q382" s="72">
        <f>IFERROR(VLOOKUP(A382,'data-ค่าฝา'!A:G,7,0),"")</f>
      </c>
      <c r="R382" s="71"/>
      <c r="S382" s="71"/>
      <c r="T382" s="71"/>
      <c r="U382" s="71"/>
      <c r="V382" s="71"/>
      <c r="W382" s="71"/>
      <c r="X382" s="71"/>
      <c r="Y382" s="71"/>
      <c r="Z382" s="71"/>
      <c r="AA382" s="71"/>
      <c r="AB382" s="71"/>
      <c r="AC382" s="71"/>
      <c r="AD382" s="71"/>
    </row>
    <row r="383" spans="1:30" x14ac:dyDescent="0.25">
      <c r="A383" s="66" t="s">
        <v>616</v>
      </c>
      <c r="B383" s="66" t="s">
        <v>297</v>
      </c>
      <c r="C383" s="67" t="str">
        <f>IFERROR(VLOOKUP(A383,data!A:G,7,FALSE),"")</f>
        <v>Other Equipment - อุปกรณ์อื่นๆ</v>
      </c>
      <c r="D383" s="67" t="str">
        <f>IFERROR(VLOOKUP(A383,data!A:D,4,FALSE),"")</f>
        <v>PKY-2281 วาเลนเต้ แกนดัดยกโคน ไซส์เล็ก 20 ชิ้น 278g</v>
      </c>
      <c r="E383" s="68"/>
      <c r="F383" s="40"/>
      <c r="G383" s="69">
        <f>IFERROR(VLOOKUP(A383,data!A:V,22,FALSE),"")</f>
        <v>8858890798581</v>
      </c>
      <c r="H383" s="69"/>
      <c r="I383" s="69"/>
      <c r="J383" s="70"/>
      <c r="K383" s="70"/>
      <c r="L383" s="66">
        <v>180</v>
      </c>
      <c r="M383" s="71">
        <v>200</v>
      </c>
      <c r="N383" s="66">
        <v>250</v>
      </c>
      <c r="O383" s="66">
        <v>10</v>
      </c>
      <c r="P383" s="69"/>
      <c r="Q383" s="72">
        <f>IFERROR(VLOOKUP(A383,'data-ค่าฝา'!A:G,7,0),"")</f>
      </c>
      <c r="R383" s="71"/>
      <c r="S383" s="71"/>
      <c r="T383" s="71"/>
      <c r="U383" s="71"/>
      <c r="V383" s="71"/>
      <c r="W383" s="71"/>
      <c r="X383" s="71"/>
      <c r="Y383" s="71"/>
      <c r="Z383" s="71"/>
      <c r="AA383" s="71"/>
      <c r="AB383" s="71"/>
      <c r="AC383" s="71"/>
      <c r="AD383" s="71"/>
    </row>
    <row r="384" spans="1:30" x14ac:dyDescent="0.25">
      <c r="A384" s="66" t="s">
        <v>617</v>
      </c>
      <c r="B384" s="66" t="s">
        <v>297</v>
      </c>
      <c r="C384" s="67" t="str">
        <f>IFERROR(VLOOKUP(A384,data!A:G,7,FALSE),"")</f>
        <v>Other Equipment - อุปกรณ์อื่นๆ</v>
      </c>
      <c r="D384" s="67" t="str">
        <f>IFERROR(VLOOKUP(A384,data!A:D,4,FALSE),"")</f>
        <v>PKY-2280 วาเลนเต้ แกนดัดยกโคน ไซส์ใหญ่ 16 ชิ้น 278g</v>
      </c>
      <c r="E384" s="68"/>
      <c r="F384" s="40"/>
      <c r="G384" s="69">
        <f>IFERROR(VLOOKUP(A384,data!A:V,22,FALSE),"")</f>
      </c>
      <c r="H384" s="69"/>
      <c r="I384" s="69"/>
      <c r="J384" s="70"/>
      <c r="K384" s="70"/>
      <c r="L384" s="66">
        <v>180</v>
      </c>
      <c r="M384" s="71">
        <v>200</v>
      </c>
      <c r="N384" s="66">
        <v>250</v>
      </c>
      <c r="O384" s="66">
        <v>10</v>
      </c>
      <c r="P384" s="69"/>
      <c r="Q384" s="72">
        <f>IFERROR(VLOOKUP(A384,'data-ค่าฝา'!A:G,7,0),"")</f>
      </c>
      <c r="R384" s="71"/>
      <c r="S384" s="71"/>
      <c r="T384" s="71"/>
      <c r="U384" s="71"/>
      <c r="V384" s="71"/>
      <c r="W384" s="71"/>
      <c r="X384" s="71"/>
      <c r="Y384" s="71"/>
      <c r="Z384" s="71"/>
      <c r="AA384" s="71"/>
      <c r="AB384" s="71"/>
      <c r="AC384" s="71"/>
      <c r="AD384" s="71"/>
    </row>
    <row r="385" spans="1:30" x14ac:dyDescent="0.25">
      <c r="A385" s="66" t="s">
        <v>618</v>
      </c>
      <c r="B385" s="66" t="s">
        <v>297</v>
      </c>
      <c r="C385" s="67" t="str">
        <f>IFERROR(VLOOKUP(A385,data!A:G,7,FALSE),"")</f>
        <v>Other Equipment - อุปกรณ์อื่นๆ</v>
      </c>
      <c r="D385" s="67" t="str">
        <f>IFERROR(VLOOKUP(A385,data!A:D,4,FALSE),"")</f>
        <v>แกนดัดเย็น ขนาด 25x125mm รหัสสินค้า XL-108/2</v>
      </c>
      <c r="E385" s="68"/>
      <c r="F385" s="40"/>
      <c r="G385" s="69">
        <f>IFERROR(VLOOKUP(A385,data!A:V,22,FALSE),"")</f>
        <v>8858890791421</v>
      </c>
      <c r="H385" s="69"/>
      <c r="I385" s="69"/>
      <c r="J385" s="70"/>
      <c r="K385" s="70"/>
      <c r="L385" s="66">
        <v>20</v>
      </c>
      <c r="M385" s="71">
        <v>25</v>
      </c>
      <c r="N385" s="66">
        <v>27</v>
      </c>
      <c r="O385" s="66">
        <v>10</v>
      </c>
      <c r="P385" s="69"/>
      <c r="Q385" s="72">
        <f>IFERROR(VLOOKUP(A385,'data-ค่าฝา'!A:G,7,0),"")</f>
      </c>
      <c r="R385" s="71"/>
      <c r="S385" s="71"/>
      <c r="T385" s="71"/>
      <c r="U385" s="71"/>
      <c r="V385" s="71"/>
      <c r="W385" s="71"/>
      <c r="X385" s="71"/>
      <c r="Y385" s="71"/>
      <c r="Z385" s="71"/>
      <c r="AA385" s="71"/>
      <c r="AB385" s="71"/>
      <c r="AC385" s="71"/>
      <c r="AD385" s="71"/>
    </row>
    <row r="386" spans="1:30" x14ac:dyDescent="0.25">
      <c r="A386" s="66" t="s">
        <v>619</v>
      </c>
      <c r="B386" s="66" t="s">
        <v>297</v>
      </c>
      <c r="C386" s="67" t="str">
        <f>IFERROR(VLOOKUP(A386,data!A:G,7,FALSE),"")</f>
        <v>Other Equipment - อุปกรณ์อื่นๆ</v>
      </c>
      <c r="D386" s="67" t="str">
        <f>IFERROR(VLOOKUP(A386,data!A:D,4,FALSE),"")</f>
        <v>แกนดัดเย็น ขนาด 17x125mm รหัสสินค้า XL-108/3</v>
      </c>
      <c r="E386" s="68"/>
      <c r="F386" s="40"/>
      <c r="G386" s="69">
        <f>IFERROR(VLOOKUP(A386,data!A:V,22,FALSE),"")</f>
        <v>8858890793487</v>
      </c>
      <c r="H386" s="69"/>
      <c r="I386" s="69"/>
      <c r="J386" s="70"/>
      <c r="K386" s="70"/>
      <c r="L386" s="66">
        <v>15</v>
      </c>
      <c r="M386" s="71">
        <v>20</v>
      </c>
      <c r="N386" s="66">
        <v>22</v>
      </c>
      <c r="O386" s="66">
        <v>10</v>
      </c>
      <c r="P386" s="69"/>
      <c r="Q386" s="72">
        <f>IFERROR(VLOOKUP(A386,'data-ค่าฝา'!A:G,7,0),"")</f>
      </c>
      <c r="R386" s="71"/>
      <c r="S386" s="71"/>
      <c r="T386" s="71"/>
      <c r="U386" s="71"/>
      <c r="V386" s="71"/>
      <c r="W386" s="71"/>
      <c r="X386" s="71"/>
      <c r="Y386" s="71"/>
      <c r="Z386" s="71"/>
      <c r="AA386" s="71"/>
      <c r="AB386" s="71"/>
      <c r="AC386" s="71"/>
      <c r="AD386" s="71"/>
    </row>
    <row r="387" spans="1:30" x14ac:dyDescent="0.25">
      <c r="A387" s="66" t="s">
        <v>620</v>
      </c>
      <c r="B387" s="66" t="s">
        <v>297</v>
      </c>
      <c r="C387" s="67" t="str">
        <f>IFERROR(VLOOKUP(A387,data!A:G,7,FALSE),"")</f>
        <v>Other Equipment - อุปกรณ์อื่นๆ</v>
      </c>
      <c r="D387" s="67" t="str">
        <f>IFERROR(VLOOKUP(A387,data!A:D,4,FALSE),"")</f>
        <v>แกนดัดเย็น ขนาด 15x125mm รหัสสินค้า XL-108/4</v>
      </c>
      <c r="E387" s="68"/>
      <c r="F387" s="40"/>
      <c r="G387" s="69">
        <f>IFERROR(VLOOKUP(A387,data!A:V,22,FALSE),"")</f>
        <v>8858890791711</v>
      </c>
      <c r="H387" s="69"/>
      <c r="I387" s="69"/>
      <c r="J387" s="70"/>
      <c r="K387" s="70"/>
      <c r="L387" s="66">
        <v>15</v>
      </c>
      <c r="M387" s="71">
        <v>20</v>
      </c>
      <c r="N387" s="66">
        <v>22</v>
      </c>
      <c r="O387" s="66">
        <v>10</v>
      </c>
      <c r="P387" s="69"/>
      <c r="Q387" s="72">
        <f>IFERROR(VLOOKUP(A387,'data-ค่าฝา'!A:G,7,0),"")</f>
      </c>
      <c r="R387" s="71"/>
      <c r="S387" s="71"/>
      <c r="T387" s="71"/>
      <c r="U387" s="71"/>
      <c r="V387" s="71"/>
      <c r="W387" s="71"/>
      <c r="X387" s="71"/>
      <c r="Y387" s="71"/>
      <c r="Z387" s="71"/>
      <c r="AA387" s="71"/>
      <c r="AB387" s="71"/>
      <c r="AC387" s="71"/>
      <c r="AD387" s="71"/>
    </row>
    <row r="388" spans="1:30" x14ac:dyDescent="0.25">
      <c r="A388" s="66" t="s">
        <v>621</v>
      </c>
      <c r="B388" s="66" t="s">
        <v>297</v>
      </c>
      <c r="C388" s="67" t="str">
        <f>IFERROR(VLOOKUP(A388,data!A:G,7,FALSE),"")</f>
        <v>Other Equipment - อุปกรณ์อื่นๆ</v>
      </c>
      <c r="D388" s="67" t="str">
        <f>IFERROR(VLOOKUP(A388,data!A:D,4,FALSE),"")</f>
        <v>A-015-4 แกนดัดเย็นแบบมงกุฎขนาด 2.2 cm.</v>
      </c>
      <c r="E388" s="68"/>
      <c r="F388" s="40"/>
      <c r="G388" s="69">
        <f>IFERROR(VLOOKUP(A388,data!A:V,22,FALSE),"")</f>
        <v>8858890798673</v>
      </c>
      <c r="H388" s="69"/>
      <c r="I388" s="69"/>
      <c r="J388" s="70"/>
      <c r="K388" s="70"/>
      <c r="L388" s="66">
        <v>27</v>
      </c>
      <c r="M388" s="71">
        <v>30</v>
      </c>
      <c r="N388" s="66">
        <v>55</v>
      </c>
      <c r="O388" s="66">
        <v>10</v>
      </c>
      <c r="P388" s="69"/>
      <c r="Q388" s="72">
        <f>IFERROR(VLOOKUP(A388,'data-ค่าฝา'!A:G,7,0),"")</f>
      </c>
      <c r="R388" s="71"/>
      <c r="S388" s="71"/>
      <c r="T388" s="71"/>
      <c r="U388" s="71"/>
      <c r="V388" s="71"/>
      <c r="W388" s="71"/>
      <c r="X388" s="71"/>
      <c r="Y388" s="71"/>
      <c r="Z388" s="71"/>
      <c r="AA388" s="71"/>
      <c r="AB388" s="71"/>
      <c r="AC388" s="71"/>
      <c r="AD388" s="71"/>
    </row>
    <row r="389" spans="1:30" x14ac:dyDescent="0.25">
      <c r="A389" s="66" t="s">
        <v>622</v>
      </c>
      <c r="B389" s="66" t="s">
        <v>297</v>
      </c>
      <c r="C389" s="67" t="str">
        <f>IFERROR(VLOOKUP(A389,data!A:G,7,FALSE),"")</f>
        <v>Other Equipment - อุปกรณ์อื่นๆ</v>
      </c>
      <c r="D389" s="67" t="str">
        <f>IFERROR(VLOOKUP(A389,data!A:D,4,FALSE),"")</f>
        <v>A-015-5 แกนดัดเย็นแบบมงกุฎขนาด 2 cm.</v>
      </c>
      <c r="E389" s="68"/>
      <c r="F389" s="40"/>
      <c r="G389" s="69">
        <f>IFERROR(VLOOKUP(A389,data!A:V,22,FALSE),"")</f>
        <v>8858890798680</v>
      </c>
      <c r="H389" s="69"/>
      <c r="I389" s="69"/>
      <c r="J389" s="70"/>
      <c r="K389" s="70"/>
      <c r="L389" s="66">
        <v>27</v>
      </c>
      <c r="M389" s="71">
        <v>30</v>
      </c>
      <c r="N389" s="66">
        <v>55</v>
      </c>
      <c r="O389" s="66">
        <v>10</v>
      </c>
      <c r="P389" s="69"/>
      <c r="Q389" s="72">
        <f>IFERROR(VLOOKUP(A389,'data-ค่าฝา'!A:G,7,0),"")</f>
      </c>
      <c r="R389" s="71"/>
      <c r="S389" s="71"/>
      <c r="T389" s="71"/>
      <c r="U389" s="71"/>
      <c r="V389" s="71"/>
      <c r="W389" s="71"/>
      <c r="X389" s="71"/>
      <c r="Y389" s="71"/>
      <c r="Z389" s="71"/>
      <c r="AA389" s="71"/>
      <c r="AB389" s="71"/>
      <c r="AC389" s="71"/>
      <c r="AD389" s="71"/>
    </row>
    <row r="390" spans="1:30" x14ac:dyDescent="0.25">
      <c r="A390" s="66" t="s">
        <v>623</v>
      </c>
      <c r="B390" s="66" t="s">
        <v>297</v>
      </c>
      <c r="C390" s="67" t="str">
        <f>IFERROR(VLOOKUP(A390,data!A:G,7,FALSE),"")</f>
        <v>Other Equipment - อุปกรณ์อื่นๆ</v>
      </c>
      <c r="D390" s="67" t="str">
        <f>IFERROR(VLOOKUP(A390,data!A:D,4,FALSE),"")</f>
        <v>A-015-6 แกนดัดเย็นแบบมงกุฎขนาด1.8 cm.</v>
      </c>
      <c r="E390" s="68"/>
      <c r="F390" s="40"/>
      <c r="G390" s="69">
        <f>IFERROR(VLOOKUP(A390,data!A:V,22,FALSE),"")</f>
        <v>8858890798697</v>
      </c>
      <c r="H390" s="69"/>
      <c r="I390" s="69"/>
      <c r="J390" s="70"/>
      <c r="K390" s="70"/>
      <c r="L390" s="66">
        <v>25</v>
      </c>
      <c r="M390" s="71">
        <v>30</v>
      </c>
      <c r="N390" s="66">
        <v>55</v>
      </c>
      <c r="O390" s="66">
        <v>10</v>
      </c>
      <c r="P390" s="69"/>
      <c r="Q390" s="72">
        <f>IFERROR(VLOOKUP(A390,'data-ค่าฝา'!A:G,7,0),"")</f>
      </c>
      <c r="R390" s="71"/>
      <c r="S390" s="71"/>
      <c r="T390" s="71"/>
      <c r="U390" s="71"/>
      <c r="V390" s="71"/>
      <c r="W390" s="71"/>
      <c r="X390" s="71"/>
      <c r="Y390" s="71"/>
      <c r="Z390" s="71"/>
      <c r="AA390" s="71"/>
      <c r="AB390" s="71"/>
      <c r="AC390" s="71"/>
      <c r="AD390" s="71"/>
    </row>
    <row r="391" spans="1:30" x14ac:dyDescent="0.25">
      <c r="A391" s="66" t="s">
        <v>624</v>
      </c>
      <c r="B391" s="66" t="s">
        <v>297</v>
      </c>
      <c r="C391" s="67" t="str">
        <f>IFERROR(VLOOKUP(A391,data!A:G,7,FALSE),"")</f>
        <v>Other Equipment - อุปกรณ์อื่นๆ</v>
      </c>
      <c r="D391" s="67" t="str">
        <f>IFERROR(VLOOKUP(A391,data!A:D,4,FALSE),"")</f>
        <v>A-015-7 แกนดัดเย็นแบบมงกุฎขนาด 1.7 cm.</v>
      </c>
      <c r="E391" s="68"/>
      <c r="F391" s="40"/>
      <c r="G391" s="69">
        <f>IFERROR(VLOOKUP(A391,data!A:V,22,FALSE),"")</f>
        <v>8858890798703</v>
      </c>
      <c r="H391" s="69"/>
      <c r="I391" s="69"/>
      <c r="J391" s="70"/>
      <c r="K391" s="70"/>
      <c r="L391" s="66">
        <v>25</v>
      </c>
      <c r="M391" s="71">
        <v>30</v>
      </c>
      <c r="N391" s="66">
        <v>55</v>
      </c>
      <c r="O391" s="66">
        <v>10</v>
      </c>
      <c r="P391" s="69"/>
      <c r="Q391" s="72">
        <f>IFERROR(VLOOKUP(A391,'data-ค่าฝา'!A:G,7,0),"")</f>
      </c>
      <c r="R391" s="71"/>
      <c r="S391" s="71"/>
      <c r="T391" s="71"/>
      <c r="U391" s="71"/>
      <c r="V391" s="71"/>
      <c r="W391" s="71"/>
      <c r="X391" s="71"/>
      <c r="Y391" s="71"/>
      <c r="Z391" s="71"/>
      <c r="AA391" s="71"/>
      <c r="AB391" s="71"/>
      <c r="AC391" s="71"/>
      <c r="AD391" s="71"/>
    </row>
    <row r="392" spans="1:30" x14ac:dyDescent="0.25">
      <c r="A392" s="66" t="s">
        <v>625</v>
      </c>
      <c r="B392" s="66" t="s">
        <v>297</v>
      </c>
      <c r="C392" s="67" t="str">
        <f>IFERROR(VLOOKUP(A392,data!A:G,7,FALSE),"")</f>
        <v>Other Equipment - อุปกรณ์อื่นๆ</v>
      </c>
      <c r="D392" s="67" t="str">
        <f>IFERROR(VLOOKUP(A392,data!A:D,4,FALSE),"")</f>
        <v>A-015-8 แกนดัดเย็นแบบมงกุฎขนาด 1.6 cm.</v>
      </c>
      <c r="E392" s="68"/>
      <c r="F392" s="40"/>
      <c r="G392" s="69">
        <f>IFERROR(VLOOKUP(A392,data!A:V,22,FALSE),"")</f>
        <v>8858890798710</v>
      </c>
      <c r="H392" s="69"/>
      <c r="I392" s="69"/>
      <c r="J392" s="70"/>
      <c r="K392" s="70"/>
      <c r="L392" s="66">
        <v>25</v>
      </c>
      <c r="M392" s="71">
        <v>30</v>
      </c>
      <c r="N392" s="66">
        <v>55</v>
      </c>
      <c r="O392" s="66">
        <v>10</v>
      </c>
      <c r="P392" s="69"/>
      <c r="Q392" s="72">
        <f>IFERROR(VLOOKUP(A392,'data-ค่าฝา'!A:G,7,0),"")</f>
      </c>
      <c r="R392" s="71"/>
      <c r="S392" s="71"/>
      <c r="T392" s="71"/>
      <c r="U392" s="71"/>
      <c r="V392" s="71"/>
      <c r="W392" s="71"/>
      <c r="X392" s="71"/>
      <c r="Y392" s="71"/>
      <c r="Z392" s="71"/>
      <c r="AA392" s="71"/>
      <c r="AB392" s="71"/>
      <c r="AC392" s="71"/>
      <c r="AD392" s="71"/>
    </row>
    <row r="393" spans="1:30" x14ac:dyDescent="0.25">
      <c r="A393" s="66" t="s">
        <v>626</v>
      </c>
      <c r="B393" s="66" t="s">
        <v>297</v>
      </c>
      <c r="C393" s="67" t="str">
        <f>IFERROR(VLOOKUP(A393,data!A:G,7,FALSE),"")</f>
        <v>Other Equipment - อุปกรณ์อื่นๆ</v>
      </c>
      <c r="D393" s="67" t="str">
        <f>IFERROR(VLOOKUP(A393,data!A:D,4,FALSE),"")</f>
        <v>A-015-9 แกนดัดเย็นแบบมงกุฎขนาด1.5 cm.</v>
      </c>
      <c r="E393" s="68"/>
      <c r="F393" s="40"/>
      <c r="G393" s="69">
        <f>IFERROR(VLOOKUP(A393,data!A:V,22,FALSE),"")</f>
        <v>8858890798727</v>
      </c>
      <c r="H393" s="69"/>
      <c r="I393" s="69"/>
      <c r="J393" s="70"/>
      <c r="K393" s="70"/>
      <c r="L393" s="66">
        <v>22</v>
      </c>
      <c r="M393" s="71">
        <v>25</v>
      </c>
      <c r="N393" s="66">
        <v>55</v>
      </c>
      <c r="O393" s="66">
        <v>10</v>
      </c>
      <c r="P393" s="69"/>
      <c r="Q393" s="72">
        <f>IFERROR(VLOOKUP(A393,'data-ค่าฝา'!A:G,7,0),"")</f>
      </c>
      <c r="R393" s="71"/>
      <c r="S393" s="71"/>
      <c r="T393" s="71"/>
      <c r="U393" s="71"/>
      <c r="V393" s="71"/>
      <c r="W393" s="71"/>
      <c r="X393" s="71"/>
      <c r="Y393" s="71"/>
      <c r="Z393" s="71"/>
      <c r="AA393" s="71"/>
      <c r="AB393" s="71"/>
      <c r="AC393" s="71"/>
      <c r="AD393" s="71"/>
    </row>
    <row r="394" spans="1:30" x14ac:dyDescent="0.25">
      <c r="A394" s="66" t="s">
        <v>627</v>
      </c>
      <c r="B394" s="66" t="s">
        <v>297</v>
      </c>
      <c r="C394" s="67" t="str">
        <f>IFERROR(VLOOKUP(A394,data!A:G,7,FALSE),"")</f>
        <v>Other Equipment - อุปกรณ์อื่นๆ</v>
      </c>
      <c r="D394" s="67" t="str">
        <f>IFERROR(VLOOKUP(A394,data!A:D,4,FALSE),"")</f>
        <v>A-015-10 แกนดัดเย็นแบบมงกุฎขนาด1.4 cm.</v>
      </c>
      <c r="E394" s="68"/>
      <c r="F394" s="40"/>
      <c r="G394" s="69">
        <f>IFERROR(VLOOKUP(A394,data!A:V,22,FALSE),"")</f>
        <v>8858890798734</v>
      </c>
      <c r="H394" s="69"/>
      <c r="I394" s="69"/>
      <c r="J394" s="70"/>
      <c r="K394" s="70"/>
      <c r="L394" s="66">
        <v>22</v>
      </c>
      <c r="M394" s="71">
        <v>25</v>
      </c>
      <c r="N394" s="66">
        <v>55</v>
      </c>
      <c r="O394" s="66">
        <v>10</v>
      </c>
      <c r="P394" s="69"/>
      <c r="Q394" s="72">
        <f>IFERROR(VLOOKUP(A394,'data-ค่าฝา'!A:G,7,0),"")</f>
      </c>
      <c r="R394" s="71"/>
      <c r="S394" s="71"/>
      <c r="T394" s="71"/>
      <c r="U394" s="71"/>
      <c r="V394" s="71"/>
      <c r="W394" s="71"/>
      <c r="X394" s="71"/>
      <c r="Y394" s="71"/>
      <c r="Z394" s="71"/>
      <c r="AA394" s="71"/>
      <c r="AB394" s="71"/>
      <c r="AC394" s="71"/>
      <c r="AD394" s="71"/>
    </row>
    <row r="395" spans="1:30" x14ac:dyDescent="0.25">
      <c r="A395" s="66" t="s">
        <v>628</v>
      </c>
      <c r="B395" s="66" t="s">
        <v>297</v>
      </c>
      <c r="C395" s="67" t="str">
        <f>IFERROR(VLOOKUP(A395,data!A:G,7,FALSE),"")</f>
        <v>Other Equipment - อุปกรณ์อื่นๆ</v>
      </c>
      <c r="D395" s="67" t="str">
        <f>IFERROR(VLOOKUP(A395,data!A:D,4,FALSE),"")</f>
        <v>A-015-11 แกนดัดเย็นแบบมงกุฎขนาด 1.3 cm.</v>
      </c>
      <c r="E395" s="68"/>
      <c r="F395" s="40"/>
      <c r="G395" s="69">
        <f>IFERROR(VLOOKUP(A395,data!A:V,22,FALSE),"")</f>
      </c>
      <c r="H395" s="69"/>
      <c r="I395" s="69"/>
      <c r="J395" s="70"/>
      <c r="K395" s="70"/>
      <c r="L395" s="66">
        <v>22</v>
      </c>
      <c r="M395" s="71">
        <v>25</v>
      </c>
      <c r="N395" s="66">
        <v>55</v>
      </c>
      <c r="O395" s="66">
        <v>10</v>
      </c>
      <c r="P395" s="69"/>
      <c r="Q395" s="72">
        <f>IFERROR(VLOOKUP(A395,'data-ค่าฝา'!A:G,7,0),"")</f>
      </c>
      <c r="R395" s="71"/>
      <c r="S395" s="71"/>
      <c r="T395" s="71"/>
      <c r="U395" s="71"/>
      <c r="V395" s="71"/>
      <c r="W395" s="71"/>
      <c r="X395" s="71"/>
      <c r="Y395" s="71"/>
      <c r="Z395" s="71"/>
      <c r="AA395" s="71"/>
      <c r="AB395" s="71"/>
      <c r="AC395" s="71"/>
      <c r="AD395" s="71"/>
    </row>
    <row r="396" spans="1:30" x14ac:dyDescent="0.25">
      <c r="A396" s="66" t="s">
        <v>629</v>
      </c>
      <c r="B396" s="66" t="s">
        <v>297</v>
      </c>
      <c r="C396" s="67" t="str">
        <f>IFERROR(VLOOKUP(A396,data!A:G,7,FALSE),"")</f>
        <v>Other Equipment - อุปกรณ์อื่นๆ</v>
      </c>
      <c r="D396" s="67" t="str">
        <f>IFERROR(VLOOKUP(A396,data!A:D,4,FALSE),"")</f>
        <v>วาเลนเต้ แกนดัดเย็ยแบบมงกุฏ ขนาด 1.2 cm.</v>
      </c>
      <c r="E396" s="68"/>
      <c r="F396" s="40"/>
      <c r="G396" s="69">
        <f>IFERROR(VLOOKUP(A396,data!A:V,22,FALSE),"")</f>
        <v>8858890800581</v>
      </c>
      <c r="H396" s="69"/>
      <c r="I396" s="69"/>
      <c r="J396" s="70"/>
      <c r="K396" s="70"/>
      <c r="L396" s="66">
        <v>22</v>
      </c>
      <c r="M396" s="71">
        <v>25</v>
      </c>
      <c r="N396" s="66">
        <v>55</v>
      </c>
      <c r="O396" s="66">
        <v>10</v>
      </c>
      <c r="P396" s="69"/>
      <c r="Q396" s="72">
        <f>IFERROR(VLOOKUP(A396,'data-ค่าฝา'!A:G,7,0),"")</f>
      </c>
      <c r="R396" s="71"/>
      <c r="S396" s="71"/>
      <c r="T396" s="71"/>
      <c r="U396" s="71"/>
      <c r="V396" s="71"/>
      <c r="W396" s="71"/>
      <c r="X396" s="71"/>
      <c r="Y396" s="71"/>
      <c r="Z396" s="71"/>
      <c r="AA396" s="71"/>
      <c r="AB396" s="71"/>
      <c r="AC396" s="71"/>
      <c r="AD396" s="71"/>
    </row>
    <row r="397" spans="1:30" x14ac:dyDescent="0.25">
      <c r="A397" s="66" t="s">
        <v>630</v>
      </c>
      <c r="B397" s="66" t="s">
        <v>297</v>
      </c>
      <c r="C397" s="67" t="str">
        <f>IFERROR(VLOOKUP(A397,data!A:G,7,FALSE),"")</f>
        <v>Other Equipment - อุปกรณ์อื่นๆ</v>
      </c>
      <c r="D397" s="67" t="str">
        <f>IFERROR(VLOOKUP(A397,data!A:D,4,FALSE),"")</f>
        <v>วาเลนเต้ แกนดัดเย็ยแบบมงกุฏ ขนาด 1.1 cm.</v>
      </c>
      <c r="E397" s="68"/>
      <c r="F397" s="40"/>
      <c r="G397" s="69">
        <f>IFERROR(VLOOKUP(A397,data!A:V,22,FALSE),"")</f>
        <v>8858890800598</v>
      </c>
      <c r="H397" s="69"/>
      <c r="I397" s="69"/>
      <c r="J397" s="70"/>
      <c r="K397" s="70"/>
      <c r="L397" s="66">
        <v>22</v>
      </c>
      <c r="M397" s="71">
        <v>25</v>
      </c>
      <c r="N397" s="66">
        <v>55</v>
      </c>
      <c r="O397" s="66">
        <v>10</v>
      </c>
      <c r="P397" s="69"/>
      <c r="Q397" s="72">
        <f>IFERROR(VLOOKUP(A397,'data-ค่าฝา'!A:G,7,0),"")</f>
      </c>
      <c r="R397" s="71"/>
      <c r="S397" s="71"/>
      <c r="T397" s="71"/>
      <c r="U397" s="71"/>
      <c r="V397" s="71"/>
      <c r="W397" s="71"/>
      <c r="X397" s="71"/>
      <c r="Y397" s="71"/>
      <c r="Z397" s="71"/>
      <c r="AA397" s="71"/>
      <c r="AB397" s="71"/>
      <c r="AC397" s="71"/>
      <c r="AD397" s="71"/>
    </row>
    <row r="398" spans="1:30" x14ac:dyDescent="0.25">
      <c r="A398" s="73" t="s">
        <v>631</v>
      </c>
      <c r="B398" s="66" t="s">
        <v>297</v>
      </c>
      <c r="C398" s="67">
        <f>IFERROR(VLOOKUP(A398,data!A:G,7,FALSE),"")</f>
      </c>
      <c r="D398" s="67">
        <f>IFERROR(VLOOKUP(A398,data!A:D,4,FALSE),"")</f>
      </c>
      <c r="E398" s="68"/>
      <c r="F398" s="40"/>
      <c r="G398" s="69">
        <f>IFERROR(VLOOKUP(A398,data!A:V,22,FALSE),"")</f>
      </c>
      <c r="H398" s="69"/>
      <c r="I398" s="69"/>
      <c r="J398" s="70"/>
      <c r="K398" s="70"/>
      <c r="L398" s="66">
        <v>15</v>
      </c>
      <c r="M398" s="71">
        <v>20</v>
      </c>
      <c r="N398" s="66">
        <v>45</v>
      </c>
      <c r="O398" s="66">
        <v>10</v>
      </c>
      <c r="P398" s="69"/>
      <c r="Q398" s="72">
        <f>IFERROR(VLOOKUP(A398,'data-ค่าฝา'!A:G,7,0),"")</f>
      </c>
      <c r="R398" s="71"/>
      <c r="S398" s="71"/>
      <c r="T398" s="71"/>
      <c r="U398" s="71"/>
      <c r="V398" s="71"/>
      <c r="W398" s="71"/>
      <c r="X398" s="71"/>
      <c r="Y398" s="71"/>
      <c r="Z398" s="71"/>
      <c r="AA398" s="71"/>
      <c r="AB398" s="71"/>
      <c r="AC398" s="71"/>
      <c r="AD398" s="71"/>
    </row>
    <row r="399" spans="1:30" x14ac:dyDescent="0.25">
      <c r="A399" s="73" t="s">
        <v>632</v>
      </c>
      <c r="B399" s="66" t="s">
        <v>297</v>
      </c>
      <c r="C399" s="67">
        <f>IFERROR(VLOOKUP(A399,data!A:G,7,FALSE),"")</f>
      </c>
      <c r="D399" s="67">
        <f>IFERROR(VLOOKUP(A399,data!A:D,4,FALSE),"")</f>
      </c>
      <c r="E399" s="68"/>
      <c r="F399" s="40"/>
      <c r="G399" s="69">
        <f>IFERROR(VLOOKUP(A399,data!A:V,22,FALSE),"")</f>
      </c>
      <c r="H399" s="69"/>
      <c r="I399" s="69"/>
      <c r="J399" s="70"/>
      <c r="K399" s="70"/>
      <c r="L399" s="66">
        <v>15</v>
      </c>
      <c r="M399" s="71">
        <v>20</v>
      </c>
      <c r="N399" s="66">
        <v>45</v>
      </c>
      <c r="O399" s="66">
        <v>10</v>
      </c>
      <c r="P399" s="69"/>
      <c r="Q399" s="72">
        <f>IFERROR(VLOOKUP(A399,'data-ค่าฝา'!A:G,7,0),"")</f>
      </c>
      <c r="R399" s="71"/>
      <c r="S399" s="71"/>
      <c r="T399" s="71"/>
      <c r="U399" s="71"/>
      <c r="V399" s="71"/>
      <c r="W399" s="71"/>
      <c r="X399" s="71"/>
      <c r="Y399" s="71"/>
      <c r="Z399" s="71"/>
      <c r="AA399" s="71"/>
      <c r="AB399" s="71"/>
      <c r="AC399" s="71"/>
      <c r="AD399" s="71"/>
    </row>
    <row r="400" spans="1:30" x14ac:dyDescent="0.25">
      <c r="A400" s="73" t="s">
        <v>633</v>
      </c>
      <c r="B400" s="66" t="s">
        <v>297</v>
      </c>
      <c r="C400" s="67" t="str">
        <f>IFERROR(VLOOKUP(A400,data!A:G,7,FALSE),"")</f>
        <v>Other Equipment - อุปกรณ์อื่นๆ</v>
      </c>
      <c r="D400" s="67" t="str">
        <f>IFERROR(VLOOKUP(A400,data!A:D,4,FALSE),"")</f>
        <v>แกนดัดขนาด 18x85mm.</v>
      </c>
      <c r="E400" s="68"/>
      <c r="F400" s="40"/>
      <c r="G400" s="69">
        <f>IFERROR(VLOOKUP(A400,data!A:V,22,FALSE),"")</f>
      </c>
      <c r="H400" s="69"/>
      <c r="I400" s="69"/>
      <c r="J400" s="70"/>
      <c r="K400" s="70"/>
      <c r="L400" s="66">
        <v>15</v>
      </c>
      <c r="M400" s="71">
        <v>20</v>
      </c>
      <c r="N400" s="66">
        <v>45</v>
      </c>
      <c r="O400" s="66">
        <v>10</v>
      </c>
      <c r="P400" s="69"/>
      <c r="Q400" s="72">
        <f>IFERROR(VLOOKUP(A400,'data-ค่าฝา'!A:G,7,0),"")</f>
      </c>
      <c r="R400" s="71"/>
      <c r="S400" s="71"/>
      <c r="T400" s="71"/>
      <c r="U400" s="71"/>
      <c r="V400" s="71"/>
      <c r="W400" s="71"/>
      <c r="X400" s="71"/>
      <c r="Y400" s="71"/>
      <c r="Z400" s="71"/>
      <c r="AA400" s="71"/>
      <c r="AB400" s="71"/>
      <c r="AC400" s="71"/>
      <c r="AD400" s="71"/>
    </row>
    <row r="401" spans="1:30" x14ac:dyDescent="0.25">
      <c r="A401" s="73" t="s">
        <v>634</v>
      </c>
      <c r="B401" s="66" t="s">
        <v>297</v>
      </c>
      <c r="C401" s="67" t="str">
        <f>IFERROR(VLOOKUP(A401,data!A:G,7,FALSE),"")</f>
        <v>Other Equipment - อุปกรณ์อื่นๆ</v>
      </c>
      <c r="D401" s="67" t="str">
        <f>IFERROR(VLOOKUP(A401,data!A:D,4,FALSE),"")</f>
        <v>LST-132-1</v>
      </c>
      <c r="E401" s="68"/>
      <c r="F401" s="40"/>
      <c r="G401" s="69">
        <f>IFERROR(VLOOKUP(A401,data!A:V,22,FALSE),"")</f>
        <v>8858890791346</v>
      </c>
      <c r="H401" s="69"/>
      <c r="I401" s="69"/>
      <c r="J401" s="70"/>
      <c r="K401" s="70"/>
      <c r="L401" s="66">
        <v>30</v>
      </c>
      <c r="M401" s="71">
        <v>35</v>
      </c>
      <c r="N401" s="66">
        <v>55</v>
      </c>
      <c r="O401" s="66">
        <v>10</v>
      </c>
      <c r="P401" s="69"/>
      <c r="Q401" s="72">
        <f>IFERROR(VLOOKUP(A401,'data-ค่าฝา'!A:G,7,0),"")</f>
      </c>
      <c r="R401" s="71"/>
      <c r="S401" s="71"/>
      <c r="T401" s="71"/>
      <c r="U401" s="71"/>
      <c r="V401" s="71"/>
      <c r="W401" s="71"/>
      <c r="X401" s="71"/>
      <c r="Y401" s="71"/>
      <c r="Z401" s="71"/>
      <c r="AA401" s="71"/>
      <c r="AB401" s="71"/>
      <c r="AC401" s="71"/>
      <c r="AD401" s="71"/>
    </row>
    <row r="402" spans="1:30" x14ac:dyDescent="0.25">
      <c r="A402" s="73" t="s">
        <v>635</v>
      </c>
      <c r="B402" s="66" t="s">
        <v>297</v>
      </c>
      <c r="C402" s="67">
        <f>IFERROR(VLOOKUP(A402,data!A:G,7,FALSE),"")</f>
      </c>
      <c r="D402" s="67">
        <f>IFERROR(VLOOKUP(A402,data!A:D,4,FALSE),"")</f>
      </c>
      <c r="E402" s="68"/>
      <c r="F402" s="40"/>
      <c r="G402" s="69">
        <f>IFERROR(VLOOKUP(A402,data!A:V,22,FALSE),"")</f>
      </c>
      <c r="H402" s="69"/>
      <c r="I402" s="69"/>
      <c r="J402" s="70"/>
      <c r="K402" s="70"/>
      <c r="L402" s="66">
        <v>17</v>
      </c>
      <c r="M402" s="71">
        <v>20</v>
      </c>
      <c r="N402" s="66">
        <v>35</v>
      </c>
      <c r="O402" s="66">
        <v>10</v>
      </c>
      <c r="P402" s="69"/>
      <c r="Q402" s="72">
        <f>IFERROR(VLOOKUP(A402,'data-ค่าฝา'!A:G,7,0),"")</f>
      </c>
      <c r="R402" s="71"/>
      <c r="S402" s="71"/>
      <c r="T402" s="71"/>
      <c r="U402" s="71"/>
      <c r="V402" s="71"/>
      <c r="W402" s="71"/>
      <c r="X402" s="71"/>
      <c r="Y402" s="71"/>
      <c r="Z402" s="71"/>
      <c r="AA402" s="71"/>
      <c r="AB402" s="71"/>
      <c r="AC402" s="71"/>
      <c r="AD402" s="71"/>
    </row>
    <row r="403" spans="1:30" x14ac:dyDescent="0.25">
      <c r="A403" s="66" t="s">
        <v>636</v>
      </c>
      <c r="B403" s="66" t="s">
        <v>297</v>
      </c>
      <c r="C403" s="67" t="str">
        <f>IFERROR(VLOOKUP(A403,data!A:G,7,FALSE),"")</f>
        <v>Other Equipment - อุปกรณ์อื่นๆ</v>
      </c>
      <c r="D403" s="67" t="str">
        <f>IFERROR(VLOOKUP(A403,data!A:D,4,FALSE),"")</f>
        <v>แกนดัด 20x175มม. BD-101</v>
      </c>
      <c r="E403" s="68"/>
      <c r="F403" s="40"/>
      <c r="G403" s="69">
        <f>IFERROR(VLOOKUP(A403,data!A:V,22,FALSE),"")</f>
        <v>8858890782689</v>
      </c>
      <c r="H403" s="69"/>
      <c r="I403" s="69"/>
      <c r="J403" s="70"/>
      <c r="K403" s="70"/>
      <c r="L403" s="66">
        <v>24</v>
      </c>
      <c r="M403" s="71">
        <v>30</v>
      </c>
      <c r="N403" s="66">
        <v>45</v>
      </c>
      <c r="O403" s="66">
        <v>10</v>
      </c>
      <c r="P403" s="69"/>
      <c r="Q403" s="72">
        <f>IFERROR(VLOOKUP(A403,'data-ค่าฝา'!A:G,7,0),"")</f>
      </c>
      <c r="R403" s="71"/>
      <c r="S403" s="71"/>
      <c r="T403" s="71"/>
      <c r="U403" s="71"/>
      <c r="V403" s="71"/>
      <c r="W403" s="71"/>
      <c r="X403" s="71"/>
      <c r="Y403" s="71"/>
      <c r="Z403" s="71"/>
      <c r="AA403" s="71"/>
      <c r="AB403" s="71"/>
      <c r="AC403" s="71"/>
      <c r="AD403" s="71"/>
    </row>
    <row r="404" spans="1:30" x14ac:dyDescent="0.25">
      <c r="A404" s="66" t="s">
        <v>637</v>
      </c>
      <c r="B404" s="66" t="s">
        <v>297</v>
      </c>
      <c r="C404" s="67" t="str">
        <f>IFERROR(VLOOKUP(A404,data!A:G,7,FALSE),"")</f>
        <v>Other Equipment - อุปกรณ์อื่นๆ</v>
      </c>
      <c r="D404" s="67" t="str">
        <f>IFERROR(VLOOKUP(A404,data!A:D,4,FALSE),"")</f>
        <v>แกนดัด 17x175มม. BD-102</v>
      </c>
      <c r="E404" s="68"/>
      <c r="F404" s="40"/>
      <c r="G404" s="69">
        <f>IFERROR(VLOOKUP(A404,data!A:V,22,FALSE),"")</f>
        <v>8858890782597</v>
      </c>
      <c r="H404" s="69"/>
      <c r="I404" s="69"/>
      <c r="J404" s="70"/>
      <c r="K404" s="70"/>
      <c r="L404" s="66">
        <v>24</v>
      </c>
      <c r="M404" s="71">
        <v>30</v>
      </c>
      <c r="N404" s="66">
        <v>45</v>
      </c>
      <c r="O404" s="66">
        <v>10</v>
      </c>
      <c r="P404" s="69"/>
      <c r="Q404" s="72">
        <f>IFERROR(VLOOKUP(A404,'data-ค่าฝา'!A:G,7,0),"")</f>
      </c>
      <c r="R404" s="71"/>
      <c r="S404" s="71"/>
      <c r="T404" s="71"/>
      <c r="U404" s="71"/>
      <c r="V404" s="71"/>
      <c r="W404" s="71"/>
      <c r="X404" s="71"/>
      <c r="Y404" s="71"/>
      <c r="Z404" s="71"/>
      <c r="AA404" s="71"/>
      <c r="AB404" s="71"/>
      <c r="AC404" s="71"/>
      <c r="AD404" s="71"/>
    </row>
    <row r="405" spans="1:30" x14ac:dyDescent="0.25">
      <c r="A405" s="66" t="s">
        <v>638</v>
      </c>
      <c r="B405" s="66" t="s">
        <v>297</v>
      </c>
      <c r="C405" s="67" t="str">
        <f>IFERROR(VLOOKUP(A405,data!A:G,7,FALSE),"")</f>
        <v>Other Equipment - อุปกรณ์อื่นๆ</v>
      </c>
      <c r="D405" s="67" t="str">
        <f>IFERROR(VLOOKUP(A405,data!A:D,4,FALSE),"")</f>
        <v>แกนดัด 14x175มม. BD-103</v>
      </c>
      <c r="E405" s="68"/>
      <c r="F405" s="40"/>
      <c r="G405" s="69">
        <f>IFERROR(VLOOKUP(A405,data!A:V,22,FALSE),"")</f>
        <v>8858890780696</v>
      </c>
      <c r="H405" s="69"/>
      <c r="I405" s="69"/>
      <c r="J405" s="70"/>
      <c r="K405" s="70"/>
      <c r="L405" s="66">
        <v>24</v>
      </c>
      <c r="M405" s="71">
        <v>30</v>
      </c>
      <c r="N405" s="66">
        <v>45</v>
      </c>
      <c r="O405" s="66">
        <v>10</v>
      </c>
      <c r="P405" s="69"/>
      <c r="Q405" s="72">
        <f>IFERROR(VLOOKUP(A405,'data-ค่าฝา'!A:G,7,0),"")</f>
      </c>
      <c r="R405" s="71"/>
      <c r="S405" s="71"/>
      <c r="T405" s="71"/>
      <c r="U405" s="71"/>
      <c r="V405" s="71"/>
      <c r="W405" s="71"/>
      <c r="X405" s="71"/>
      <c r="Y405" s="71"/>
      <c r="Z405" s="71"/>
      <c r="AA405" s="71"/>
      <c r="AB405" s="71"/>
      <c r="AC405" s="71"/>
      <c r="AD405" s="71"/>
    </row>
    <row r="406" spans="1:17" x14ac:dyDescent="0.25">
      <c r="A406" s="1" t="s">
        <v>76</v>
      </c>
      <c r="B406" s="1"/>
      <c r="C406" s="38"/>
      <c r="D406" s="38"/>
      <c r="E406" s="39"/>
      <c r="F406" s="40"/>
      <c r="G406" s="37"/>
      <c r="H406" s="37"/>
      <c r="I406" s="37"/>
      <c r="J406" s="41"/>
      <c r="K406" s="41"/>
      <c r="L406" s="1"/>
      <c r="N406" s="1"/>
      <c r="O406" s="1"/>
      <c r="P406" s="37"/>
      <c r="Q406" s="61"/>
    </row>
    <row r="407" spans="1:17" x14ac:dyDescent="0.25">
      <c r="A407" s="49" t="s">
        <v>97</v>
      </c>
      <c r="B407" s="1" t="s">
        <v>241</v>
      </c>
      <c r="C407" s="38"/>
      <c r="D407" s="1" t="s">
        <v>98</v>
      </c>
      <c r="E407" s="46" t="s">
        <v>639</v>
      </c>
      <c r="F407" s="40"/>
      <c r="G407" s="3">
        <v>8858890800895</v>
      </c>
      <c r="H407" s="3"/>
      <c r="I407" s="3"/>
      <c r="J407" s="34">
        <v>0.328</v>
      </c>
      <c r="K407" s="34" t="s">
        <v>640</v>
      </c>
      <c r="L407" s="1">
        <v>265</v>
      </c>
      <c r="N407" s="1">
        <v>350</v>
      </c>
      <c r="O407" s="1">
        <v>10</v>
      </c>
      <c r="P407" s="37"/>
      <c r="Q407" s="74">
        <v>20</v>
      </c>
    </row>
    <row r="408" spans="1:17" x14ac:dyDescent="0.25">
      <c r="A408" s="49" t="s">
        <v>103</v>
      </c>
      <c r="B408" s="1" t="s">
        <v>241</v>
      </c>
      <c r="C408" s="38"/>
      <c r="D408" s="1" t="s">
        <v>104</v>
      </c>
      <c r="E408" s="46" t="s">
        <v>639</v>
      </c>
      <c r="F408" s="40"/>
      <c r="G408" s="3">
        <v>8858890800901</v>
      </c>
      <c r="H408" s="3"/>
      <c r="I408" s="3"/>
      <c r="J408" s="34">
        <v>0.326</v>
      </c>
      <c r="K408" s="34" t="s">
        <v>640</v>
      </c>
      <c r="L408" s="1">
        <v>265</v>
      </c>
      <c r="N408" s="1">
        <v>350</v>
      </c>
      <c r="O408" s="1">
        <v>10</v>
      </c>
      <c r="P408" s="37"/>
      <c r="Q408" s="74">
        <v>20</v>
      </c>
    </row>
    <row r="409" spans="1:17" x14ac:dyDescent="0.25">
      <c r="A409" s="49" t="s">
        <v>106</v>
      </c>
      <c r="B409" s="1" t="s">
        <v>241</v>
      </c>
      <c r="C409" s="38"/>
      <c r="D409" s="1" t="s">
        <v>107</v>
      </c>
      <c r="E409" s="46" t="s">
        <v>639</v>
      </c>
      <c r="F409" s="40"/>
      <c r="G409" s="3">
        <v>8858890800918</v>
      </c>
      <c r="H409" s="3"/>
      <c r="I409" s="3"/>
      <c r="J409" s="34">
        <v>0.164</v>
      </c>
      <c r="K409" s="34" t="s">
        <v>641</v>
      </c>
      <c r="L409" s="1">
        <v>265</v>
      </c>
      <c r="N409" s="1">
        <v>350</v>
      </c>
      <c r="O409" s="1">
        <v>10</v>
      </c>
      <c r="P409" s="37"/>
      <c r="Q409" s="74">
        <v>20</v>
      </c>
    </row>
    <row r="410" spans="1:17" x14ac:dyDescent="0.25">
      <c r="A410" s="49" t="s">
        <v>110</v>
      </c>
      <c r="B410" s="1" t="s">
        <v>241</v>
      </c>
      <c r="C410" s="38"/>
      <c r="D410" s="1" t="s">
        <v>111</v>
      </c>
      <c r="E410" s="46" t="s">
        <v>642</v>
      </c>
      <c r="F410" s="40"/>
      <c r="G410" s="3">
        <v>8858890800925</v>
      </c>
      <c r="H410" s="3"/>
      <c r="I410" s="3"/>
      <c r="J410" s="34">
        <v>0.329</v>
      </c>
      <c r="K410" s="34" t="s">
        <v>640</v>
      </c>
      <c r="L410" s="1">
        <v>265</v>
      </c>
      <c r="N410" s="1">
        <v>385</v>
      </c>
      <c r="O410" s="1">
        <v>10</v>
      </c>
      <c r="P410" s="37"/>
      <c r="Q410" s="74">
        <v>20</v>
      </c>
    </row>
    <row r="411" spans="1:17" x14ac:dyDescent="0.25">
      <c r="A411" s="49" t="s">
        <v>112</v>
      </c>
      <c r="B411" s="1" t="s">
        <v>241</v>
      </c>
      <c r="C411" s="38"/>
      <c r="D411" s="1" t="s">
        <v>113</v>
      </c>
      <c r="E411" s="46" t="s">
        <v>642</v>
      </c>
      <c r="F411" s="40"/>
      <c r="G411" s="3">
        <v>8858890800932</v>
      </c>
      <c r="H411" s="3"/>
      <c r="I411" s="3"/>
      <c r="J411" s="34">
        <v>0.324</v>
      </c>
      <c r="K411" s="34" t="s">
        <v>640</v>
      </c>
      <c r="L411" s="1">
        <v>265</v>
      </c>
      <c r="N411" s="1">
        <v>385</v>
      </c>
      <c r="O411" s="1">
        <v>10</v>
      </c>
      <c r="P411" s="37"/>
      <c r="Q411" s="74">
        <v>20</v>
      </c>
    </row>
    <row r="412" spans="1:17" x14ac:dyDescent="0.25">
      <c r="A412" s="49" t="s">
        <v>114</v>
      </c>
      <c r="B412" s="1" t="s">
        <v>241</v>
      </c>
      <c r="C412" s="38"/>
      <c r="D412" s="1" t="s">
        <v>115</v>
      </c>
      <c r="E412" s="46" t="s">
        <v>642</v>
      </c>
      <c r="F412" s="40"/>
      <c r="G412" s="3">
        <v>8858890800949</v>
      </c>
      <c r="H412" s="3"/>
      <c r="I412" s="3"/>
      <c r="J412" s="34">
        <v>0.167</v>
      </c>
      <c r="K412" s="34" t="s">
        <v>641</v>
      </c>
      <c r="L412" s="1">
        <v>265</v>
      </c>
      <c r="N412" s="1">
        <v>385</v>
      </c>
      <c r="O412" s="1">
        <v>10</v>
      </c>
      <c r="P412" s="37"/>
      <c r="Q412" s="74">
        <v>20</v>
      </c>
    </row>
    <row r="413" spans="1:17" x14ac:dyDescent="0.25">
      <c r="A413" s="49" t="s">
        <v>643</v>
      </c>
      <c r="B413" s="1" t="s">
        <v>297</v>
      </c>
      <c r="C413" s="38"/>
      <c r="D413" s="1" t="s">
        <v>644</v>
      </c>
      <c r="E413" s="46" t="s">
        <v>645</v>
      </c>
      <c r="F413" s="40"/>
      <c r="G413" s="3">
        <v>8858890800666</v>
      </c>
      <c r="H413" s="3"/>
      <c r="I413" s="3"/>
      <c r="J413" s="41"/>
      <c r="K413" s="41"/>
      <c r="L413" s="1">
        <v>250</v>
      </c>
      <c r="N413" s="1">
        <v>350</v>
      </c>
      <c r="O413" s="1">
        <v>10</v>
      </c>
      <c r="P413" s="37"/>
      <c r="Q413" s="61"/>
    </row>
    <row r="414" spans="1:17" x14ac:dyDescent="0.25">
      <c r="A414" s="49" t="s">
        <v>646</v>
      </c>
      <c r="B414" s="1" t="s">
        <v>297</v>
      </c>
      <c r="C414" s="38"/>
      <c r="D414" s="1" t="s">
        <v>647</v>
      </c>
      <c r="E414" s="46" t="s">
        <v>648</v>
      </c>
      <c r="F414" s="40"/>
      <c r="G414" s="3">
        <v>8858890800673</v>
      </c>
      <c r="H414" s="3"/>
      <c r="I414" s="3"/>
      <c r="J414" s="41"/>
      <c r="K414" s="41"/>
      <c r="L414" s="1">
        <v>490</v>
      </c>
      <c r="N414" s="1">
        <v>650</v>
      </c>
      <c r="O414" s="1">
        <v>10</v>
      </c>
      <c r="P414" s="37"/>
      <c r="Q414" s="61"/>
    </row>
    <row r="415" spans="1:17" x14ac:dyDescent="0.25">
      <c r="A415" s="49" t="s">
        <v>598</v>
      </c>
      <c r="B415" s="1" t="s">
        <v>297</v>
      </c>
      <c r="C415" s="38"/>
      <c r="D415" s="1" t="s">
        <v>649</v>
      </c>
      <c r="E415" s="39"/>
      <c r="F415" s="40"/>
      <c r="G415" s="3">
        <v>8858890800956</v>
      </c>
      <c r="H415" s="3"/>
      <c r="I415" s="3"/>
      <c r="J415" s="41"/>
      <c r="K415" s="41"/>
      <c r="L415" s="1">
        <v>30</v>
      </c>
      <c r="N415" s="1">
        <v>80</v>
      </c>
      <c r="O415" s="1">
        <v>10</v>
      </c>
      <c r="P415" s="37"/>
      <c r="Q415" s="61"/>
    </row>
    <row r="416" spans="1:17" x14ac:dyDescent="0.25">
      <c r="A416" s="49" t="s">
        <v>599</v>
      </c>
      <c r="B416" s="1" t="s">
        <v>297</v>
      </c>
      <c r="C416" s="38"/>
      <c r="D416" s="1" t="s">
        <v>650</v>
      </c>
      <c r="E416" s="39"/>
      <c r="F416" s="40"/>
      <c r="G416" s="3">
        <v>8858890800963</v>
      </c>
      <c r="H416" s="3"/>
      <c r="I416" s="3"/>
      <c r="J416" s="41"/>
      <c r="K416" s="41"/>
      <c r="L416" s="1">
        <v>50</v>
      </c>
      <c r="N416" s="1">
        <v>85</v>
      </c>
      <c r="O416" s="1">
        <v>10</v>
      </c>
      <c r="P416" s="37"/>
      <c r="Q416" s="61"/>
    </row>
    <row r="417" spans="1:17" x14ac:dyDescent="0.25">
      <c r="A417" s="1" t="s">
        <v>76</v>
      </c>
      <c r="B417" s="1"/>
      <c r="C417" s="38"/>
      <c r="D417" s="38"/>
      <c r="E417" s="46"/>
      <c r="F417" s="40"/>
      <c r="G417" s="37"/>
      <c r="H417" s="37"/>
      <c r="I417" s="37"/>
      <c r="J417" s="41"/>
      <c r="K417" s="41"/>
      <c r="L417" s="1"/>
      <c r="N417" s="1"/>
      <c r="O417" s="1"/>
      <c r="P417" s="37"/>
      <c r="Q417" s="61"/>
    </row>
    <row r="418" spans="1:17" x14ac:dyDescent="0.25">
      <c r="A418" s="9" t="s">
        <v>651</v>
      </c>
      <c r="B418" s="1"/>
      <c r="C418" s="38"/>
      <c r="D418" s="1" t="s">
        <v>652</v>
      </c>
      <c r="E418" s="46" t="s">
        <v>639</v>
      </c>
      <c r="F418" s="40"/>
      <c r="G418" s="37"/>
      <c r="H418" s="37"/>
      <c r="I418" s="37"/>
      <c r="J418" s="41"/>
      <c r="K418" s="41"/>
      <c r="L418" s="1">
        <v>105</v>
      </c>
      <c r="N418" s="1">
        <v>150</v>
      </c>
      <c r="O418" s="1"/>
      <c r="P418" s="37"/>
      <c r="Q418" s="74">
        <v>5</v>
      </c>
    </row>
    <row r="419" spans="1:17" x14ac:dyDescent="0.25">
      <c r="A419" s="9" t="s">
        <v>653</v>
      </c>
      <c r="B419" s="1"/>
      <c r="C419" s="38"/>
      <c r="D419" s="1" t="s">
        <v>654</v>
      </c>
      <c r="E419" s="46" t="s">
        <v>639</v>
      </c>
      <c r="F419" s="40"/>
      <c r="G419" s="37"/>
      <c r="H419" s="37"/>
      <c r="I419" s="37"/>
      <c r="J419" s="41"/>
      <c r="K419" s="41"/>
      <c r="L419" s="1">
        <v>105</v>
      </c>
      <c r="N419" s="1">
        <v>150</v>
      </c>
      <c r="O419" s="1"/>
      <c r="P419" s="37"/>
      <c r="Q419" s="74">
        <v>5</v>
      </c>
    </row>
    <row r="420" spans="1:17" x14ac:dyDescent="0.25">
      <c r="A420" s="9" t="s">
        <v>655</v>
      </c>
      <c r="B420" s="1"/>
      <c r="C420" s="38"/>
      <c r="D420" s="1" t="s">
        <v>656</v>
      </c>
      <c r="E420" s="46" t="s">
        <v>657</v>
      </c>
      <c r="F420" s="40"/>
      <c r="G420" s="37"/>
      <c r="H420" s="37"/>
      <c r="I420" s="37"/>
      <c r="J420" s="41"/>
      <c r="K420" s="41"/>
      <c r="L420" s="1">
        <v>120</v>
      </c>
      <c r="N420" s="1">
        <v>150</v>
      </c>
      <c r="O420" s="1"/>
      <c r="P420" s="37"/>
      <c r="Q420" s="61"/>
    </row>
    <row r="421" spans="1:17" x14ac:dyDescent="0.25">
      <c r="A421" s="9" t="s">
        <v>658</v>
      </c>
      <c r="B421" s="1"/>
      <c r="C421" s="38"/>
      <c r="D421" s="1" t="s">
        <v>659</v>
      </c>
      <c r="E421" s="46" t="s">
        <v>639</v>
      </c>
      <c r="F421" s="40"/>
      <c r="G421" s="37"/>
      <c r="H421" s="37"/>
      <c r="I421" s="37"/>
      <c r="J421" s="41"/>
      <c r="K421" s="41"/>
      <c r="L421" s="1">
        <v>90</v>
      </c>
      <c r="N421" s="1">
        <v>150</v>
      </c>
      <c r="O421" s="1"/>
      <c r="P421" s="37"/>
      <c r="Q421" s="61"/>
    </row>
    <row r="422" spans="1:17" x14ac:dyDescent="0.25">
      <c r="A422" s="9" t="s">
        <v>660</v>
      </c>
      <c r="B422" s="1"/>
      <c r="C422" s="38"/>
      <c r="D422" s="1" t="s">
        <v>661</v>
      </c>
      <c r="E422" s="46" t="s">
        <v>639</v>
      </c>
      <c r="F422" s="40"/>
      <c r="G422" s="37"/>
      <c r="H422" s="37"/>
      <c r="I422" s="37"/>
      <c r="J422" s="41"/>
      <c r="K422" s="41"/>
      <c r="L422" s="1">
        <v>90</v>
      </c>
      <c r="N422" s="1">
        <v>150</v>
      </c>
      <c r="O422" s="1"/>
      <c r="P422" s="37"/>
      <c r="Q422" s="61"/>
    </row>
    <row r="423" spans="1:17" x14ac:dyDescent="0.25">
      <c r="A423" s="9" t="s">
        <v>662</v>
      </c>
      <c r="B423" s="1"/>
      <c r="C423" s="38"/>
      <c r="D423" s="1" t="s">
        <v>663</v>
      </c>
      <c r="E423" s="46" t="s">
        <v>664</v>
      </c>
      <c r="F423" s="40"/>
      <c r="G423" s="37"/>
      <c r="H423" s="37"/>
      <c r="I423" s="37"/>
      <c r="J423" s="41"/>
      <c r="K423" s="41"/>
      <c r="L423" s="1">
        <v>90</v>
      </c>
      <c r="N423" s="1">
        <v>150</v>
      </c>
      <c r="O423" s="1"/>
      <c r="P423" s="37"/>
      <c r="Q423" s="74">
        <v>5</v>
      </c>
    </row>
    <row r="424" spans="1:17" x14ac:dyDescent="0.25">
      <c r="A424" s="9" t="s">
        <v>665</v>
      </c>
      <c r="B424" s="1"/>
      <c r="C424" s="38"/>
      <c r="D424" s="1" t="s">
        <v>666</v>
      </c>
      <c r="E424" s="46" t="s">
        <v>664</v>
      </c>
      <c r="F424" s="40"/>
      <c r="G424" s="37"/>
      <c r="H424" s="37"/>
      <c r="I424" s="37"/>
      <c r="J424" s="41"/>
      <c r="K424" s="41"/>
      <c r="L424" s="1">
        <v>90</v>
      </c>
      <c r="N424" s="1">
        <v>150</v>
      </c>
      <c r="O424" s="1"/>
      <c r="P424" s="37"/>
      <c r="Q424" s="74">
        <v>5</v>
      </c>
    </row>
    <row r="425" spans="1:17" x14ac:dyDescent="0.25">
      <c r="A425" s="9" t="s">
        <v>667</v>
      </c>
      <c r="B425" s="1"/>
      <c r="C425" s="38"/>
      <c r="D425" s="1" t="s">
        <v>668</v>
      </c>
      <c r="E425" s="39"/>
      <c r="F425" s="40"/>
      <c r="G425" s="3">
        <v>8858890801021</v>
      </c>
      <c r="H425" s="3"/>
      <c r="I425" s="3"/>
      <c r="J425" s="41"/>
      <c r="K425" s="41"/>
      <c r="L425" s="1">
        <v>120</v>
      </c>
      <c r="N425" s="1">
        <v>150</v>
      </c>
      <c r="O425" s="1"/>
      <c r="P425" s="37"/>
      <c r="Q425" s="61"/>
    </row>
    <row r="426" spans="1:17" x14ac:dyDescent="0.25">
      <c r="A426" s="9" t="s">
        <v>669</v>
      </c>
      <c r="B426" s="1"/>
      <c r="C426" s="38"/>
      <c r="D426" s="1" t="s">
        <v>670</v>
      </c>
      <c r="E426" s="46" t="s">
        <v>671</v>
      </c>
      <c r="F426" s="40"/>
      <c r="G426" s="3">
        <v>8858890800871</v>
      </c>
      <c r="H426" s="37"/>
      <c r="I426" s="37"/>
      <c r="J426" s="41"/>
      <c r="K426" s="41"/>
      <c r="L426" s="1">
        <v>150</v>
      </c>
      <c r="N426" s="1">
        <v>185</v>
      </c>
      <c r="O426" s="1"/>
      <c r="P426" s="37"/>
      <c r="Q426" s="74">
        <v>10</v>
      </c>
    </row>
    <row r="427" spans="1:17" x14ac:dyDescent="0.25">
      <c r="A427" s="9" t="s">
        <v>672</v>
      </c>
      <c r="B427" s="1"/>
      <c r="C427" s="38"/>
      <c r="D427" s="1" t="s">
        <v>673</v>
      </c>
      <c r="E427" s="39"/>
      <c r="F427" s="40"/>
      <c r="G427" s="37"/>
      <c r="H427" s="37"/>
      <c r="I427" s="37"/>
      <c r="J427" s="41"/>
      <c r="K427" s="41"/>
      <c r="L427" s="1">
        <v>15</v>
      </c>
      <c r="N427" s="1">
        <v>50</v>
      </c>
      <c r="O427" s="1"/>
      <c r="P427" s="37"/>
      <c r="Q427" s="61"/>
    </row>
    <row r="428" spans="1:17" x14ac:dyDescent="0.25">
      <c r="A428" s="6" t="s">
        <v>674</v>
      </c>
      <c r="B428" s="1"/>
      <c r="C428" s="38"/>
      <c r="D428" s="38"/>
      <c r="E428" s="39"/>
      <c r="F428" s="40"/>
      <c r="G428" s="37"/>
      <c r="H428" s="37"/>
      <c r="I428" s="37"/>
      <c r="J428" s="41"/>
      <c r="K428" s="41"/>
      <c r="L428" s="1"/>
      <c r="N428" s="1"/>
      <c r="O428" s="1"/>
      <c r="P428" s="37"/>
      <c r="Q428" s="61"/>
    </row>
    <row r="429" spans="1:17" x14ac:dyDescent="0.25">
      <c r="A429" s="6" t="s">
        <v>675</v>
      </c>
      <c r="B429" s="1"/>
      <c r="C429" s="38"/>
      <c r="D429" s="38"/>
      <c r="E429" s="39"/>
      <c r="F429" s="40"/>
      <c r="G429" s="37"/>
      <c r="H429" s="37"/>
      <c r="I429" s="37"/>
      <c r="J429" s="41"/>
      <c r="K429" s="41"/>
      <c r="L429" s="1"/>
      <c r="N429" s="1"/>
      <c r="O429" s="1"/>
      <c r="P429" s="37"/>
      <c r="Q429" s="61"/>
    </row>
    <row r="430" spans="1:17" x14ac:dyDescent="0.25">
      <c r="A430" s="6" t="s">
        <v>676</v>
      </c>
      <c r="B430" s="1"/>
      <c r="C430" s="38"/>
      <c r="D430" s="38"/>
      <c r="E430" s="39"/>
      <c r="F430" s="40"/>
      <c r="G430" s="37"/>
      <c r="H430" s="37"/>
      <c r="I430" s="37"/>
      <c r="J430" s="41"/>
      <c r="K430" s="41"/>
      <c r="L430" s="1"/>
      <c r="N430" s="1"/>
      <c r="O430" s="1"/>
      <c r="P430" s="37"/>
      <c r="Q430" s="61"/>
    </row>
    <row r="431" spans="1:17" x14ac:dyDescent="0.25">
      <c r="A431" s="1" t="s">
        <v>677</v>
      </c>
      <c r="B431" s="1"/>
      <c r="C431" s="38"/>
      <c r="D431" s="38"/>
      <c r="E431" s="39"/>
      <c r="F431" s="40"/>
      <c r="G431" s="37"/>
      <c r="H431" s="37"/>
      <c r="I431" s="37"/>
      <c r="J431" s="41"/>
      <c r="K431" s="41"/>
      <c r="L431" s="1"/>
      <c r="N431" s="1"/>
      <c r="O431" s="1"/>
      <c r="P431" s="37"/>
      <c r="Q431" s="61"/>
    </row>
    <row r="432" spans="1:17" x14ac:dyDescent="0.25">
      <c r="A432" s="1" t="s">
        <v>678</v>
      </c>
      <c r="B432" s="1"/>
      <c r="C432" s="38"/>
      <c r="D432" s="1" t="s">
        <v>679</v>
      </c>
      <c r="E432" s="39"/>
      <c r="F432" s="40"/>
      <c r="G432" s="37"/>
      <c r="H432" s="3" t="s">
        <v>680</v>
      </c>
      <c r="I432" s="37"/>
      <c r="J432" s="41"/>
      <c r="K432" s="41"/>
      <c r="L432" s="1"/>
      <c r="N432" s="1"/>
      <c r="O432" s="1"/>
      <c r="P432" s="37"/>
      <c r="Q432" s="61"/>
    </row>
    <row r="433" spans="3:17" x14ac:dyDescent="0.25">
      <c r="C433" s="38"/>
      <c r="D433" s="38"/>
      <c r="E433" s="39"/>
      <c r="F433" s="40"/>
      <c r="G433" s="37"/>
      <c r="H433" s="37"/>
      <c r="I433" s="37"/>
      <c r="J433" s="41"/>
      <c r="K433" s="41"/>
      <c r="L433" s="43"/>
      <c r="M433" s="43"/>
      <c r="N433" s="43"/>
      <c r="O433" s="43"/>
      <c r="P433" s="44"/>
      <c r="Q433" s="45"/>
    </row>
    <row r="434" spans="3:17" x14ac:dyDescent="0.25">
      <c r="C434" s="38"/>
      <c r="D434" s="38"/>
      <c r="E434" s="39"/>
      <c r="F434" s="40"/>
      <c r="G434" s="37"/>
      <c r="H434" s="37"/>
      <c r="I434" s="37"/>
      <c r="J434" s="41"/>
      <c r="K434" s="41"/>
      <c r="L434" s="43"/>
      <c r="M434" s="43"/>
      <c r="N434" s="43"/>
      <c r="O434" s="43"/>
      <c r="P434" s="44"/>
      <c r="Q434" s="45"/>
    </row>
    <row r="435" spans="3:17" x14ac:dyDescent="0.25">
      <c r="C435" s="38"/>
      <c r="D435" s="38"/>
      <c r="E435" s="39"/>
      <c r="F435" s="40"/>
      <c r="G435" s="37"/>
      <c r="H435" s="37"/>
      <c r="I435" s="37"/>
      <c r="J435" s="41"/>
      <c r="K435" s="41"/>
      <c r="L435" s="43"/>
      <c r="M435" s="43"/>
      <c r="N435" s="43"/>
      <c r="O435" s="43"/>
      <c r="P435" s="44"/>
      <c r="Q435" s="45"/>
    </row>
    <row r="436" spans="3:17" x14ac:dyDescent="0.25">
      <c r="C436" s="38"/>
      <c r="D436" s="38"/>
      <c r="E436" s="39"/>
      <c r="F436" s="40"/>
      <c r="G436" s="37"/>
      <c r="H436" s="37"/>
      <c r="I436" s="37"/>
      <c r="J436" s="41"/>
      <c r="K436" s="41"/>
      <c r="L436" s="43"/>
      <c r="M436" s="43"/>
      <c r="N436" s="43"/>
      <c r="O436" s="43"/>
      <c r="P436" s="44"/>
      <c r="Q436" s="45"/>
    </row>
    <row r="437" spans="3:17" x14ac:dyDescent="0.25">
      <c r="C437" s="38"/>
      <c r="D437" s="38"/>
      <c r="E437" s="39"/>
      <c r="F437" s="40"/>
      <c r="G437" s="37"/>
      <c r="H437" s="37"/>
      <c r="I437" s="37"/>
      <c r="J437" s="41"/>
      <c r="K437" s="41"/>
      <c r="L437" s="43"/>
      <c r="M437" s="43"/>
      <c r="N437" s="43"/>
      <c r="O437" s="43"/>
      <c r="P437" s="44"/>
      <c r="Q437" s="45"/>
    </row>
    <row r="438" spans="3:17" x14ac:dyDescent="0.25">
      <c r="C438" s="38"/>
      <c r="D438" s="38"/>
      <c r="E438" s="39"/>
      <c r="F438" s="40"/>
      <c r="G438" s="37"/>
      <c r="H438" s="37"/>
      <c r="I438" s="37"/>
      <c r="J438" s="41"/>
      <c r="K438" s="41"/>
      <c r="L438" s="43"/>
      <c r="M438" s="43"/>
      <c r="N438" s="43"/>
      <c r="O438" s="43"/>
      <c r="P438" s="44"/>
      <c r="Q438" s="45"/>
    </row>
    <row r="439" spans="3:17" x14ac:dyDescent="0.25">
      <c r="C439" s="38"/>
      <c r="D439" s="38"/>
      <c r="E439" s="39"/>
      <c r="F439" s="40"/>
      <c r="G439" s="37"/>
      <c r="H439" s="37"/>
      <c r="I439" s="37"/>
      <c r="J439" s="41"/>
      <c r="K439" s="41"/>
      <c r="L439" s="43"/>
      <c r="M439" s="43"/>
      <c r="N439" s="43"/>
      <c r="O439" s="43"/>
      <c r="P439" s="44"/>
      <c r="Q439" s="45"/>
    </row>
    <row r="440" spans="3:17" x14ac:dyDescent="0.25">
      <c r="C440" s="38"/>
      <c r="D440" s="38"/>
      <c r="E440" s="39"/>
      <c r="F440" s="40"/>
      <c r="G440" s="37"/>
      <c r="H440" s="37"/>
      <c r="I440" s="37"/>
      <c r="J440" s="41"/>
      <c r="K440" s="41"/>
      <c r="L440" s="43"/>
      <c r="M440" s="43"/>
      <c r="N440" s="43"/>
      <c r="O440" s="43"/>
      <c r="P440" s="44"/>
      <c r="Q440" s="45"/>
    </row>
    <row r="441" spans="3:17" x14ac:dyDescent="0.25">
      <c r="C441" s="38"/>
      <c r="D441" s="38"/>
      <c r="E441" s="39"/>
      <c r="F441" s="40"/>
      <c r="G441" s="37"/>
      <c r="H441" s="37"/>
      <c r="I441" s="37"/>
      <c r="J441" s="41"/>
      <c r="K441" s="41"/>
      <c r="L441" s="43"/>
      <c r="M441" s="43"/>
      <c r="N441" s="43"/>
      <c r="O441" s="43"/>
      <c r="P441" s="44"/>
      <c r="Q441" s="45"/>
    </row>
    <row r="442" spans="3:17" x14ac:dyDescent="0.25">
      <c r="C442" s="38"/>
      <c r="D442" s="38"/>
      <c r="E442" s="39"/>
      <c r="F442" s="40"/>
      <c r="G442" s="37"/>
      <c r="H442" s="37"/>
      <c r="I442" s="37"/>
      <c r="J442" s="41"/>
      <c r="K442" s="41"/>
      <c r="L442" s="43"/>
      <c r="M442" s="43"/>
      <c r="N442" s="43"/>
      <c r="O442" s="43"/>
      <c r="P442" s="44"/>
      <c r="Q442" s="45"/>
    </row>
    <row r="443" spans="3:17" x14ac:dyDescent="0.25">
      <c r="C443" s="38"/>
      <c r="D443" s="38"/>
      <c r="E443" s="39"/>
      <c r="F443" s="40"/>
      <c r="G443" s="37"/>
      <c r="H443" s="37"/>
      <c r="I443" s="37"/>
      <c r="J443" s="41"/>
      <c r="K443" s="41"/>
      <c r="L443" s="43"/>
      <c r="M443" s="43"/>
      <c r="N443" s="43"/>
      <c r="O443" s="43"/>
      <c r="P443" s="44"/>
      <c r="Q443" s="45"/>
    </row>
    <row r="444" spans="3:17" x14ac:dyDescent="0.25">
      <c r="C444" s="38"/>
      <c r="D444" s="38"/>
      <c r="E444" s="39"/>
      <c r="F444" s="40"/>
      <c r="G444" s="37"/>
      <c r="H444" s="37"/>
      <c r="I444" s="37"/>
      <c r="J444" s="41"/>
      <c r="K444" s="41"/>
      <c r="L444" s="43"/>
      <c r="M444" s="43"/>
      <c r="N444" s="43"/>
      <c r="O444" s="43"/>
      <c r="P444" s="44"/>
      <c r="Q444" s="45"/>
    </row>
    <row r="445" spans="3:17" x14ac:dyDescent="0.25">
      <c r="C445" s="38"/>
      <c r="D445" s="38"/>
      <c r="E445" s="39"/>
      <c r="F445" s="40"/>
      <c r="G445" s="37"/>
      <c r="H445" s="37"/>
      <c r="I445" s="37"/>
      <c r="J445" s="41"/>
      <c r="K445" s="41"/>
      <c r="L445" s="43"/>
      <c r="M445" s="43"/>
      <c r="N445" s="43"/>
      <c r="O445" s="43"/>
      <c r="P445" s="44"/>
      <c r="Q445" s="45"/>
    </row>
    <row r="446" spans="3:17" x14ac:dyDescent="0.25">
      <c r="C446" s="38"/>
      <c r="D446" s="38"/>
      <c r="E446" s="39"/>
      <c r="F446" s="40"/>
      <c r="G446" s="37"/>
      <c r="H446" s="37"/>
      <c r="I446" s="37"/>
      <c r="J446" s="41"/>
      <c r="K446" s="41"/>
      <c r="L446" s="43"/>
      <c r="M446" s="43"/>
      <c r="N446" s="43"/>
      <c r="O446" s="43"/>
      <c r="P446" s="44"/>
      <c r="Q446" s="45"/>
    </row>
    <row r="447" spans="3:17" x14ac:dyDescent="0.25">
      <c r="C447" s="38"/>
      <c r="D447" s="38"/>
      <c r="E447" s="39"/>
      <c r="F447" s="40"/>
      <c r="G447" s="37"/>
      <c r="H447" s="37"/>
      <c r="I447" s="37"/>
      <c r="J447" s="41"/>
      <c r="K447" s="41"/>
      <c r="L447" s="43"/>
      <c r="M447" s="43"/>
      <c r="N447" s="43"/>
      <c r="O447" s="43"/>
      <c r="P447" s="44"/>
      <c r="Q447" s="45"/>
    </row>
    <row r="448" spans="3:17" x14ac:dyDescent="0.25">
      <c r="C448" s="38"/>
      <c r="D448" s="38"/>
      <c r="E448" s="39"/>
      <c r="F448" s="40"/>
      <c r="G448" s="37"/>
      <c r="H448" s="37"/>
      <c r="I448" s="37"/>
      <c r="J448" s="41"/>
      <c r="K448" s="41"/>
      <c r="L448" s="43"/>
      <c r="M448" s="43"/>
      <c r="N448" s="43"/>
      <c r="O448" s="43"/>
      <c r="P448" s="44"/>
      <c r="Q448" s="45"/>
    </row>
    <row r="449" spans="3:17" x14ac:dyDescent="0.25">
      <c r="C449" s="38"/>
      <c r="D449" s="38"/>
      <c r="E449" s="39"/>
      <c r="F449" s="40"/>
      <c r="G449" s="37"/>
      <c r="H449" s="37"/>
      <c r="I449" s="37"/>
      <c r="J449" s="41"/>
      <c r="K449" s="41"/>
      <c r="L449" s="43"/>
      <c r="M449" s="43"/>
      <c r="N449" s="43"/>
      <c r="O449" s="43"/>
      <c r="P449" s="44"/>
      <c r="Q449" s="45"/>
    </row>
    <row r="450" spans="3:17" x14ac:dyDescent="0.25">
      <c r="C450" s="38"/>
      <c r="D450" s="38"/>
      <c r="E450" s="39"/>
      <c r="F450" s="40"/>
      <c r="G450" s="37"/>
      <c r="H450" s="37"/>
      <c r="I450" s="37"/>
      <c r="J450" s="41"/>
      <c r="K450" s="41"/>
      <c r="L450" s="43"/>
      <c r="M450" s="43"/>
      <c r="N450" s="43"/>
      <c r="O450" s="43"/>
      <c r="P450" s="44"/>
      <c r="Q450" s="45"/>
    </row>
    <row r="451" spans="3:17" x14ac:dyDescent="0.25">
      <c r="C451" s="38"/>
      <c r="D451" s="38"/>
      <c r="E451" s="39"/>
      <c r="F451" s="40"/>
      <c r="G451" s="37"/>
      <c r="H451" s="37"/>
      <c r="I451" s="37"/>
      <c r="J451" s="41"/>
      <c r="K451" s="41"/>
      <c r="L451" s="43"/>
      <c r="M451" s="43"/>
      <c r="N451" s="43"/>
      <c r="O451" s="43"/>
      <c r="P451" s="44"/>
      <c r="Q451" s="45"/>
    </row>
    <row r="452" spans="3:17" x14ac:dyDescent="0.25">
      <c r="C452" s="38"/>
      <c r="D452" s="38"/>
      <c r="E452" s="39"/>
      <c r="F452" s="40"/>
      <c r="G452" s="37"/>
      <c r="H452" s="37"/>
      <c r="I452" s="37"/>
      <c r="J452" s="41"/>
      <c r="K452" s="41"/>
      <c r="L452" s="43"/>
      <c r="M452" s="43"/>
      <c r="N452" s="43"/>
      <c r="O452" s="43"/>
      <c r="P452" s="44"/>
      <c r="Q452" s="45"/>
    </row>
    <row r="453" spans="3:17" x14ac:dyDescent="0.25">
      <c r="C453" s="38"/>
      <c r="D453" s="38"/>
      <c r="E453" s="39"/>
      <c r="F453" s="40"/>
      <c r="G453" s="37"/>
      <c r="H453" s="37"/>
      <c r="I453" s="37"/>
      <c r="J453" s="41"/>
      <c r="K453" s="41"/>
      <c r="L453" s="43"/>
      <c r="M453" s="43"/>
      <c r="N453" s="43"/>
      <c r="O453" s="43"/>
      <c r="P453" s="44"/>
      <c r="Q453" s="45"/>
    </row>
    <row r="454" spans="3:17" x14ac:dyDescent="0.25">
      <c r="C454" s="38"/>
      <c r="D454" s="38"/>
      <c r="E454" s="39"/>
      <c r="F454" s="40"/>
      <c r="G454" s="37"/>
      <c r="H454" s="37"/>
      <c r="I454" s="37"/>
      <c r="J454" s="41"/>
      <c r="K454" s="41"/>
      <c r="L454" s="43"/>
      <c r="M454" s="43"/>
      <c r="N454" s="43"/>
      <c r="O454" s="43"/>
      <c r="P454" s="44"/>
      <c r="Q454" s="45"/>
    </row>
    <row r="455" spans="3:17" x14ac:dyDescent="0.25">
      <c r="C455" s="38"/>
      <c r="D455" s="38"/>
      <c r="E455" s="39"/>
      <c r="F455" s="40"/>
      <c r="G455" s="37"/>
      <c r="H455" s="37"/>
      <c r="I455" s="37"/>
      <c r="J455" s="41"/>
      <c r="K455" s="41"/>
      <c r="L455" s="43"/>
      <c r="M455" s="43"/>
      <c r="N455" s="43"/>
      <c r="O455" s="43"/>
      <c r="P455" s="44"/>
      <c r="Q455" s="45"/>
    </row>
    <row r="456" spans="3:17" x14ac:dyDescent="0.25">
      <c r="C456" s="38"/>
      <c r="D456" s="38"/>
      <c r="E456" s="39"/>
      <c r="F456" s="40"/>
      <c r="G456" s="37"/>
      <c r="H456" s="37"/>
      <c r="I456" s="37"/>
      <c r="J456" s="41"/>
      <c r="K456" s="41"/>
      <c r="L456" s="43"/>
      <c r="M456" s="43"/>
      <c r="N456" s="43"/>
      <c r="O456" s="43"/>
      <c r="P456" s="44"/>
      <c r="Q456" s="45"/>
    </row>
    <row r="457" spans="3:17" x14ac:dyDescent="0.25">
      <c r="C457" s="38"/>
      <c r="D457" s="38"/>
      <c r="E457" s="39"/>
      <c r="F457" s="40"/>
      <c r="G457" s="37"/>
      <c r="H457" s="37"/>
      <c r="I457" s="37"/>
      <c r="J457" s="41"/>
      <c r="K457" s="41"/>
      <c r="L457" s="43"/>
      <c r="M457" s="43"/>
      <c r="N457" s="43"/>
      <c r="O457" s="43"/>
      <c r="P457" s="44"/>
      <c r="Q457" s="45"/>
    </row>
    <row r="458" spans="3:17" x14ac:dyDescent="0.25">
      <c r="C458" s="38"/>
      <c r="D458" s="38"/>
      <c r="E458" s="39"/>
      <c r="F458" s="40"/>
      <c r="G458" s="37"/>
      <c r="H458" s="37"/>
      <c r="I458" s="37"/>
      <c r="J458" s="41"/>
      <c r="K458" s="41"/>
      <c r="L458" s="43"/>
      <c r="M458" s="43"/>
      <c r="N458" s="43"/>
      <c r="O458" s="43"/>
      <c r="P458" s="44"/>
      <c r="Q458" s="45"/>
    </row>
    <row r="459" spans="3:17" x14ac:dyDescent="0.25">
      <c r="C459" s="38"/>
      <c r="D459" s="38"/>
      <c r="E459" s="39"/>
      <c r="F459" s="40"/>
      <c r="G459" s="37"/>
      <c r="H459" s="37"/>
      <c r="I459" s="37"/>
      <c r="J459" s="41"/>
      <c r="K459" s="41"/>
      <c r="L459" s="43"/>
      <c r="M459" s="43"/>
      <c r="N459" s="43"/>
      <c r="O459" s="43"/>
      <c r="P459" s="44"/>
      <c r="Q459" s="45"/>
    </row>
    <row r="460" spans="3:17" x14ac:dyDescent="0.25">
      <c r="C460" s="38"/>
      <c r="D460" s="38"/>
      <c r="E460" s="39"/>
      <c r="F460" s="40"/>
      <c r="G460" s="37"/>
      <c r="H460" s="37"/>
      <c r="I460" s="37"/>
      <c r="J460" s="41"/>
      <c r="K460" s="41"/>
      <c r="L460" s="43"/>
      <c r="M460" s="43"/>
      <c r="N460" s="43"/>
      <c r="O460" s="43"/>
      <c r="P460" s="44"/>
      <c r="Q460" s="45"/>
    </row>
    <row r="461" spans="3:17" x14ac:dyDescent="0.25">
      <c r="C461" s="38"/>
      <c r="D461" s="38"/>
      <c r="E461" s="39"/>
      <c r="F461" s="40"/>
      <c r="G461" s="37"/>
      <c r="H461" s="37"/>
      <c r="I461" s="37"/>
      <c r="J461" s="41"/>
      <c r="K461" s="41"/>
      <c r="L461" s="43"/>
      <c r="M461" s="43"/>
      <c r="N461" s="43"/>
      <c r="O461" s="43"/>
      <c r="P461" s="44"/>
      <c r="Q461" s="45"/>
    </row>
    <row r="462" spans="3:17" x14ac:dyDescent="0.25">
      <c r="C462" s="38"/>
      <c r="D462" s="38"/>
      <c r="E462" s="39"/>
      <c r="F462" s="40"/>
      <c r="G462" s="37"/>
      <c r="H462" s="37"/>
      <c r="I462" s="37"/>
      <c r="J462" s="41"/>
      <c r="K462" s="41"/>
      <c r="L462" s="43"/>
      <c r="M462" s="43"/>
      <c r="N462" s="43"/>
      <c r="O462" s="43"/>
      <c r="P462" s="44"/>
      <c r="Q462" s="45"/>
    </row>
    <row r="463" spans="3:17" x14ac:dyDescent="0.25">
      <c r="C463" s="38"/>
      <c r="D463" s="38"/>
      <c r="E463" s="39"/>
      <c r="F463" s="40"/>
      <c r="G463" s="37"/>
      <c r="H463" s="37"/>
      <c r="I463" s="37"/>
      <c r="J463" s="41"/>
      <c r="K463" s="41"/>
      <c r="L463" s="43"/>
      <c r="M463" s="43"/>
      <c r="N463" s="43"/>
      <c r="O463" s="43"/>
      <c r="P463" s="44"/>
      <c r="Q463" s="45"/>
    </row>
    <row r="464" spans="3:17" x14ac:dyDescent="0.25">
      <c r="C464" s="38"/>
      <c r="D464" s="38"/>
      <c r="E464" s="39"/>
      <c r="F464" s="40"/>
      <c r="G464" s="37"/>
      <c r="H464" s="37"/>
      <c r="I464" s="37"/>
      <c r="J464" s="41"/>
      <c r="K464" s="41"/>
      <c r="L464" s="43"/>
      <c r="M464" s="43"/>
      <c r="N464" s="43"/>
      <c r="O464" s="43"/>
      <c r="P464" s="44"/>
      <c r="Q464" s="45"/>
    </row>
    <row r="465" spans="3:17" x14ac:dyDescent="0.25">
      <c r="C465" s="38"/>
      <c r="D465" s="38"/>
      <c r="E465" s="39"/>
      <c r="F465" s="40"/>
      <c r="G465" s="37"/>
      <c r="H465" s="37"/>
      <c r="I465" s="37"/>
      <c r="J465" s="41"/>
      <c r="K465" s="41"/>
      <c r="L465" s="43"/>
      <c r="M465" s="43"/>
      <c r="N465" s="43"/>
      <c r="O465" s="43"/>
      <c r="P465" s="44"/>
      <c r="Q465" s="45"/>
    </row>
    <row r="466" spans="3:17" x14ac:dyDescent="0.25">
      <c r="C466" s="38"/>
      <c r="D466" s="38"/>
      <c r="E466" s="39"/>
      <c r="F466" s="40"/>
      <c r="G466" s="37"/>
      <c r="H466" s="37"/>
      <c r="I466" s="37"/>
      <c r="J466" s="41"/>
      <c r="K466" s="41"/>
      <c r="L466" s="43"/>
      <c r="M466" s="43"/>
      <c r="N466" s="43"/>
      <c r="O466" s="43"/>
      <c r="P466" s="44"/>
      <c r="Q466" s="45"/>
    </row>
    <row r="467" spans="3:17" x14ac:dyDescent="0.25">
      <c r="C467" s="38"/>
      <c r="D467" s="38"/>
      <c r="E467" s="39"/>
      <c r="F467" s="40"/>
      <c r="G467" s="37"/>
      <c r="H467" s="37"/>
      <c r="I467" s="37"/>
      <c r="J467" s="41"/>
      <c r="K467" s="41"/>
      <c r="L467" s="43"/>
      <c r="M467" s="43"/>
      <c r="N467" s="43"/>
      <c r="O467" s="43"/>
      <c r="P467" s="44"/>
      <c r="Q467" s="45"/>
    </row>
    <row r="468" spans="3:17" x14ac:dyDescent="0.25">
      <c r="C468" s="38"/>
      <c r="D468" s="38"/>
      <c r="E468" s="39"/>
      <c r="F468" s="40"/>
      <c r="G468" s="37"/>
      <c r="H468" s="37"/>
      <c r="I468" s="37"/>
      <c r="J468" s="41"/>
      <c r="K468" s="41"/>
      <c r="L468" s="43"/>
      <c r="M468" s="43"/>
      <c r="N468" s="43"/>
      <c r="O468" s="43"/>
      <c r="P468" s="44"/>
      <c r="Q468" s="45"/>
    </row>
    <row r="469" spans="3:17" x14ac:dyDescent="0.25">
      <c r="C469" s="38"/>
      <c r="D469" s="38"/>
      <c r="E469" s="39"/>
      <c r="F469" s="40"/>
      <c r="G469" s="37"/>
      <c r="H469" s="37"/>
      <c r="I469" s="37"/>
      <c r="J469" s="41"/>
      <c r="K469" s="41"/>
      <c r="L469" s="43"/>
      <c r="M469" s="43"/>
      <c r="N469" s="43"/>
      <c r="O469" s="43"/>
      <c r="P469" s="44"/>
      <c r="Q469" s="45"/>
    </row>
    <row r="470" spans="3:17" x14ac:dyDescent="0.25">
      <c r="C470" s="38"/>
      <c r="D470" s="38"/>
      <c r="E470" s="39"/>
      <c r="F470" s="40"/>
      <c r="G470" s="37"/>
      <c r="H470" s="37"/>
      <c r="I470" s="37"/>
      <c r="J470" s="41"/>
      <c r="K470" s="41"/>
      <c r="L470" s="43"/>
      <c r="M470" s="43"/>
      <c r="N470" s="43"/>
      <c r="O470" s="43"/>
      <c r="P470" s="44"/>
      <c r="Q470" s="45"/>
    </row>
    <row r="471" spans="3:17" x14ac:dyDescent="0.25">
      <c r="C471" s="38"/>
      <c r="D471" s="38"/>
      <c r="E471" s="39"/>
      <c r="F471" s="40"/>
      <c r="G471" s="37"/>
      <c r="H471" s="37"/>
      <c r="I471" s="37"/>
      <c r="J471" s="41"/>
      <c r="K471" s="41"/>
      <c r="L471" s="43"/>
      <c r="M471" s="43"/>
      <c r="N471" s="43"/>
      <c r="O471" s="43"/>
      <c r="P471" s="44"/>
      <c r="Q471" s="45"/>
    </row>
    <row r="472" spans="3:17" x14ac:dyDescent="0.25">
      <c r="C472" s="38"/>
      <c r="D472" s="38"/>
      <c r="E472" s="39"/>
      <c r="F472" s="40"/>
      <c r="G472" s="37"/>
      <c r="H472" s="37"/>
      <c r="I472" s="37"/>
      <c r="J472" s="41"/>
      <c r="K472" s="41"/>
      <c r="L472" s="43"/>
      <c r="M472" s="43"/>
      <c r="N472" s="43"/>
      <c r="O472" s="43"/>
      <c r="P472" s="44"/>
      <c r="Q472" s="45"/>
    </row>
    <row r="473" spans="3:17" x14ac:dyDescent="0.25">
      <c r="C473" s="38"/>
      <c r="D473" s="38"/>
      <c r="E473" s="39"/>
      <c r="F473" s="40"/>
      <c r="G473" s="37"/>
      <c r="H473" s="37"/>
      <c r="I473" s="37"/>
      <c r="J473" s="41"/>
      <c r="K473" s="41"/>
      <c r="L473" s="43"/>
      <c r="M473" s="43"/>
      <c r="N473" s="43"/>
      <c r="O473" s="43"/>
      <c r="P473" s="44"/>
      <c r="Q473" s="45"/>
    </row>
    <row r="474" spans="3:17" x14ac:dyDescent="0.25">
      <c r="C474" s="38"/>
      <c r="D474" s="38"/>
      <c r="E474" s="39"/>
      <c r="F474" s="40"/>
      <c r="G474" s="37"/>
      <c r="H474" s="37"/>
      <c r="I474" s="37"/>
      <c r="J474" s="41"/>
      <c r="K474" s="41"/>
      <c r="L474" s="43"/>
      <c r="M474" s="43"/>
      <c r="N474" s="43"/>
      <c r="O474" s="43"/>
      <c r="P474" s="44"/>
      <c r="Q474" s="45"/>
    </row>
    <row r="475" spans="3:17" x14ac:dyDescent="0.25">
      <c r="C475" s="38"/>
      <c r="D475" s="38"/>
      <c r="E475" s="39"/>
      <c r="F475" s="40"/>
      <c r="G475" s="37"/>
      <c r="H475" s="37"/>
      <c r="I475" s="37"/>
      <c r="J475" s="41"/>
      <c r="K475" s="41"/>
      <c r="L475" s="43"/>
      <c r="M475" s="43"/>
      <c r="N475" s="43"/>
      <c r="O475" s="43"/>
      <c r="P475" s="44"/>
      <c r="Q475" s="45"/>
    </row>
    <row r="476" spans="3:17" x14ac:dyDescent="0.25">
      <c r="C476" s="38"/>
      <c r="D476" s="38"/>
      <c r="E476" s="39"/>
      <c r="F476" s="40"/>
      <c r="G476" s="37"/>
      <c r="H476" s="37"/>
      <c r="I476" s="37"/>
      <c r="J476" s="41"/>
      <c r="K476" s="41"/>
      <c r="L476" s="43"/>
      <c r="M476" s="43"/>
      <c r="N476" s="43"/>
      <c r="O476" s="43"/>
      <c r="P476" s="44"/>
      <c r="Q476" s="45"/>
    </row>
    <row r="477" spans="3:17" x14ac:dyDescent="0.25">
      <c r="C477" s="38"/>
      <c r="D477" s="38"/>
      <c r="E477" s="39"/>
      <c r="F477" s="40"/>
      <c r="G477" s="37"/>
      <c r="H477" s="37"/>
      <c r="I477" s="37"/>
      <c r="J477" s="41"/>
      <c r="K477" s="41"/>
      <c r="L477" s="43"/>
      <c r="M477" s="43"/>
      <c r="N477" s="43"/>
      <c r="O477" s="43"/>
      <c r="P477" s="44"/>
      <c r="Q477" s="45"/>
    </row>
    <row r="478" spans="3:17" x14ac:dyDescent="0.25">
      <c r="C478" s="38"/>
      <c r="D478" s="38"/>
      <c r="E478" s="39"/>
      <c r="F478" s="40"/>
      <c r="G478" s="37"/>
      <c r="H478" s="37"/>
      <c r="I478" s="37"/>
      <c r="J478" s="41"/>
      <c r="K478" s="41"/>
      <c r="L478" s="43"/>
      <c r="M478" s="43"/>
      <c r="N478" s="43"/>
      <c r="O478" s="43"/>
      <c r="P478" s="44"/>
      <c r="Q478" s="45"/>
    </row>
    <row r="479" spans="3:17" x14ac:dyDescent="0.25">
      <c r="C479" s="38"/>
      <c r="D479" s="38"/>
      <c r="E479" s="39"/>
      <c r="F479" s="40"/>
      <c r="G479" s="37"/>
      <c r="H479" s="37"/>
      <c r="I479" s="37"/>
      <c r="J479" s="41"/>
      <c r="K479" s="41"/>
      <c r="L479" s="43"/>
      <c r="M479" s="43"/>
      <c r="N479" s="43"/>
      <c r="O479" s="43"/>
      <c r="P479" s="44"/>
      <c r="Q479" s="45"/>
    </row>
    <row r="480" spans="3:17" x14ac:dyDescent="0.25">
      <c r="C480" s="38"/>
      <c r="D480" s="38"/>
      <c r="E480" s="39"/>
      <c r="F480" s="40"/>
      <c r="G480" s="37"/>
      <c r="H480" s="37"/>
      <c r="I480" s="37"/>
      <c r="J480" s="41"/>
      <c r="K480" s="41"/>
      <c r="L480" s="43"/>
      <c r="M480" s="43"/>
      <c r="N480" s="43"/>
      <c r="O480" s="43"/>
      <c r="P480" s="44"/>
      <c r="Q480" s="45"/>
    </row>
    <row r="481" spans="3:17" x14ac:dyDescent="0.25">
      <c r="C481" s="38"/>
      <c r="D481" s="38"/>
      <c r="E481" s="39"/>
      <c r="F481" s="40"/>
      <c r="G481" s="37"/>
      <c r="H481" s="37"/>
      <c r="I481" s="37"/>
      <c r="J481" s="41"/>
      <c r="K481" s="41"/>
      <c r="L481" s="43"/>
      <c r="M481" s="43"/>
      <c r="N481" s="43"/>
      <c r="O481" s="43"/>
      <c r="P481" s="44"/>
      <c r="Q481" s="45"/>
    </row>
    <row r="482" spans="3:17" x14ac:dyDescent="0.25">
      <c r="C482" s="38"/>
      <c r="D482" s="38"/>
      <c r="E482" s="39"/>
      <c r="F482" s="40"/>
      <c r="G482" s="37"/>
      <c r="H482" s="37"/>
      <c r="I482" s="37"/>
      <c r="J482" s="41"/>
      <c r="K482" s="41"/>
      <c r="L482" s="43"/>
      <c r="M482" s="43"/>
      <c r="N482" s="43"/>
      <c r="O482" s="43"/>
      <c r="P482" s="44"/>
      <c r="Q482" s="45"/>
    </row>
    <row r="483" spans="3:17" x14ac:dyDescent="0.25">
      <c r="C483" s="38"/>
      <c r="D483" s="38"/>
      <c r="E483" s="39"/>
      <c r="F483" s="40"/>
      <c r="G483" s="37"/>
      <c r="H483" s="37"/>
      <c r="I483" s="37"/>
      <c r="J483" s="41"/>
      <c r="K483" s="41"/>
      <c r="L483" s="43"/>
      <c r="M483" s="43"/>
      <c r="N483" s="43"/>
      <c r="O483" s="43"/>
      <c r="P483" s="44"/>
      <c r="Q483" s="45"/>
    </row>
    <row r="484" spans="3:17" x14ac:dyDescent="0.25">
      <c r="C484" s="38"/>
      <c r="D484" s="38"/>
      <c r="E484" s="39"/>
      <c r="F484" s="40"/>
      <c r="G484" s="37"/>
      <c r="H484" s="37"/>
      <c r="I484" s="37"/>
      <c r="J484" s="41"/>
      <c r="K484" s="41"/>
      <c r="L484" s="43"/>
      <c r="M484" s="43"/>
      <c r="N484" s="43"/>
      <c r="O484" s="43"/>
      <c r="P484" s="44"/>
      <c r="Q484" s="45"/>
    </row>
    <row r="485" spans="3:17" x14ac:dyDescent="0.25">
      <c r="C485" s="38"/>
      <c r="D485" s="38"/>
      <c r="E485" s="39"/>
      <c r="F485" s="40"/>
      <c r="G485" s="37"/>
      <c r="H485" s="37"/>
      <c r="I485" s="37"/>
      <c r="J485" s="41"/>
      <c r="K485" s="41"/>
      <c r="L485" s="43"/>
      <c r="M485" s="43"/>
      <c r="N485" s="43"/>
      <c r="O485" s="43"/>
      <c r="P485" s="44"/>
      <c r="Q485" s="45"/>
    </row>
    <row r="486" spans="3:17" x14ac:dyDescent="0.25">
      <c r="C486" s="38"/>
      <c r="D486" s="38"/>
      <c r="E486" s="39"/>
      <c r="F486" s="40"/>
      <c r="G486" s="37"/>
      <c r="H486" s="37"/>
      <c r="I486" s="37"/>
      <c r="J486" s="41"/>
      <c r="K486" s="41"/>
      <c r="L486" s="43"/>
      <c r="M486" s="43"/>
      <c r="N486" s="43"/>
      <c r="O486" s="43"/>
      <c r="P486" s="44"/>
      <c r="Q486" s="45"/>
    </row>
    <row r="487" spans="3:17" x14ac:dyDescent="0.25">
      <c r="C487" s="38"/>
      <c r="D487" s="38"/>
      <c r="E487" s="39"/>
      <c r="F487" s="40"/>
      <c r="G487" s="37"/>
      <c r="H487" s="37"/>
      <c r="I487" s="37"/>
      <c r="J487" s="41"/>
      <c r="K487" s="41"/>
      <c r="L487" s="43"/>
      <c r="M487" s="43"/>
      <c r="N487" s="43"/>
      <c r="O487" s="43"/>
      <c r="P487" s="44"/>
      <c r="Q487" s="45"/>
    </row>
    <row r="488" spans="3:17" x14ac:dyDescent="0.25">
      <c r="C488" s="38"/>
      <c r="D488" s="38"/>
      <c r="E488" s="39"/>
      <c r="F488" s="40"/>
      <c r="G488" s="37"/>
      <c r="H488" s="37"/>
      <c r="I488" s="37"/>
      <c r="J488" s="41"/>
      <c r="K488" s="41"/>
      <c r="L488" s="43"/>
      <c r="M488" s="43"/>
      <c r="N488" s="43"/>
      <c r="O488" s="43"/>
      <c r="P488" s="44"/>
      <c r="Q488" s="45"/>
    </row>
    <row r="489" spans="3:17" x14ac:dyDescent="0.25">
      <c r="C489" s="38"/>
      <c r="D489" s="38"/>
      <c r="E489" s="39"/>
      <c r="F489" s="40"/>
      <c r="G489" s="37"/>
      <c r="H489" s="37"/>
      <c r="I489" s="37"/>
      <c r="J489" s="41"/>
      <c r="K489" s="41"/>
      <c r="L489" s="43"/>
      <c r="M489" s="43"/>
      <c r="N489" s="43"/>
      <c r="O489" s="43"/>
      <c r="P489" s="44"/>
      <c r="Q489" s="45"/>
    </row>
    <row r="490" spans="3:17" x14ac:dyDescent="0.25">
      <c r="C490" s="38"/>
      <c r="D490" s="38"/>
      <c r="E490" s="39"/>
      <c r="F490" s="40"/>
      <c r="G490" s="37"/>
      <c r="H490" s="37"/>
      <c r="I490" s="37"/>
      <c r="J490" s="41"/>
      <c r="K490" s="41"/>
      <c r="L490" s="43"/>
      <c r="M490" s="43"/>
      <c r="N490" s="43"/>
      <c r="O490" s="43"/>
      <c r="P490" s="44"/>
      <c r="Q490" s="45"/>
    </row>
    <row r="491" spans="3:17" x14ac:dyDescent="0.25">
      <c r="C491" s="38"/>
      <c r="D491" s="38"/>
      <c r="E491" s="39"/>
      <c r="F491" s="40"/>
      <c r="G491" s="37"/>
      <c r="H491" s="37"/>
      <c r="I491" s="37"/>
      <c r="J491" s="41"/>
      <c r="K491" s="41"/>
      <c r="L491" s="43"/>
      <c r="M491" s="43"/>
      <c r="N491" s="43"/>
      <c r="O491" s="43"/>
      <c r="P491" s="44"/>
      <c r="Q491" s="45"/>
    </row>
    <row r="492" spans="3:17" x14ac:dyDescent="0.25">
      <c r="C492" s="38"/>
      <c r="D492" s="38"/>
      <c r="E492" s="39"/>
      <c r="F492" s="40"/>
      <c r="G492" s="37"/>
      <c r="H492" s="37"/>
      <c r="I492" s="37"/>
      <c r="J492" s="41"/>
      <c r="K492" s="41"/>
      <c r="L492" s="43"/>
      <c r="M492" s="43"/>
      <c r="N492" s="43"/>
      <c r="O492" s="43"/>
      <c r="P492" s="44"/>
      <c r="Q492" s="45"/>
    </row>
    <row r="493" spans="3:17" x14ac:dyDescent="0.25">
      <c r="C493" s="38"/>
      <c r="D493" s="38"/>
      <c r="E493" s="39"/>
      <c r="F493" s="40"/>
      <c r="G493" s="37"/>
      <c r="H493" s="37"/>
      <c r="I493" s="37"/>
      <c r="J493" s="41"/>
      <c r="K493" s="41"/>
      <c r="L493" s="43"/>
      <c r="M493" s="43"/>
      <c r="N493" s="43"/>
      <c r="O493" s="43"/>
      <c r="P493" s="44"/>
      <c r="Q493" s="45"/>
    </row>
    <row r="494" spans="3:17" x14ac:dyDescent="0.25">
      <c r="C494" s="38"/>
      <c r="D494" s="38"/>
      <c r="E494" s="39"/>
      <c r="F494" s="40"/>
      <c r="G494" s="37"/>
      <c r="H494" s="37"/>
      <c r="I494" s="37"/>
      <c r="J494" s="41"/>
      <c r="K494" s="41"/>
      <c r="L494" s="43"/>
      <c r="M494" s="43"/>
      <c r="N494" s="43"/>
      <c r="O494" s="43"/>
      <c r="P494" s="44"/>
      <c r="Q494" s="45"/>
    </row>
    <row r="495" spans="3:17" x14ac:dyDescent="0.25">
      <c r="C495" s="38"/>
      <c r="D495" s="38"/>
      <c r="E495" s="39"/>
      <c r="F495" s="40"/>
      <c r="G495" s="37"/>
      <c r="H495" s="37"/>
      <c r="I495" s="37"/>
      <c r="J495" s="41"/>
      <c r="K495" s="41"/>
      <c r="L495" s="43"/>
      <c r="M495" s="43"/>
      <c r="N495" s="43"/>
      <c r="O495" s="43"/>
      <c r="P495" s="44"/>
      <c r="Q495" s="45"/>
    </row>
    <row r="496" spans="3:17" x14ac:dyDescent="0.25">
      <c r="C496" s="38"/>
      <c r="D496" s="38"/>
      <c r="E496" s="39"/>
      <c r="F496" s="40"/>
      <c r="G496" s="37"/>
      <c r="H496" s="37"/>
      <c r="I496" s="37"/>
      <c r="J496" s="41"/>
      <c r="K496" s="41"/>
      <c r="L496" s="43"/>
      <c r="M496" s="43"/>
      <c r="N496" s="43"/>
      <c r="O496" s="43"/>
      <c r="P496" s="44"/>
      <c r="Q496" s="45"/>
    </row>
    <row r="497" spans="3:17" x14ac:dyDescent="0.25">
      <c r="C497" s="38"/>
      <c r="D497" s="38"/>
      <c r="E497" s="39"/>
      <c r="F497" s="40"/>
      <c r="G497" s="37"/>
      <c r="H497" s="37"/>
      <c r="I497" s="37"/>
      <c r="J497" s="41"/>
      <c r="K497" s="41"/>
      <c r="L497" s="43"/>
      <c r="M497" s="43"/>
      <c r="N497" s="43"/>
      <c r="O497" s="43"/>
      <c r="P497" s="44"/>
      <c r="Q497" s="45"/>
    </row>
    <row r="498" spans="3:17" x14ac:dyDescent="0.25">
      <c r="C498" s="38"/>
      <c r="D498" s="38"/>
      <c r="E498" s="39"/>
      <c r="F498" s="40"/>
      <c r="G498" s="37"/>
      <c r="H498" s="37"/>
      <c r="I498" s="37"/>
      <c r="J498" s="41"/>
      <c r="K498" s="41"/>
      <c r="L498" s="43"/>
      <c r="M498" s="43"/>
      <c r="N498" s="43"/>
      <c r="O498" s="43"/>
      <c r="P498" s="44"/>
      <c r="Q498" s="45"/>
    </row>
    <row r="499" spans="3:17" x14ac:dyDescent="0.25">
      <c r="C499" s="38"/>
      <c r="D499" s="38"/>
      <c r="E499" s="39"/>
      <c r="F499" s="40"/>
      <c r="G499" s="37"/>
      <c r="H499" s="37"/>
      <c r="I499" s="37"/>
      <c r="J499" s="41"/>
      <c r="K499" s="41"/>
      <c r="L499" s="43"/>
      <c r="M499" s="43"/>
      <c r="N499" s="43"/>
      <c r="O499" s="43"/>
      <c r="P499" s="44"/>
      <c r="Q499" s="45"/>
    </row>
    <row r="500" spans="3:17" x14ac:dyDescent="0.25">
      <c r="C500" s="38"/>
      <c r="D500" s="38"/>
      <c r="E500" s="39"/>
      <c r="F500" s="40"/>
      <c r="G500" s="37"/>
      <c r="H500" s="37"/>
      <c r="I500" s="37"/>
      <c r="J500" s="41"/>
      <c r="K500" s="41"/>
      <c r="L500" s="43"/>
      <c r="M500" s="43"/>
      <c r="N500" s="43"/>
      <c r="O500" s="43"/>
      <c r="P500" s="44"/>
      <c r="Q500" s="45"/>
    </row>
    <row r="501" spans="3:17" x14ac:dyDescent="0.25">
      <c r="C501" s="38"/>
      <c r="D501" s="38"/>
      <c r="E501" s="39"/>
      <c r="F501" s="40"/>
      <c r="G501" s="37"/>
      <c r="H501" s="37"/>
      <c r="I501" s="37"/>
      <c r="J501" s="41"/>
      <c r="K501" s="41"/>
      <c r="L501" s="43"/>
      <c r="M501" s="43"/>
      <c r="N501" s="43"/>
      <c r="O501" s="43"/>
      <c r="P501" s="44"/>
      <c r="Q501" s="45"/>
    </row>
    <row r="502" spans="3:17" x14ac:dyDescent="0.25">
      <c r="C502" s="38"/>
      <c r="D502" s="38"/>
      <c r="E502" s="39"/>
      <c r="F502" s="40"/>
      <c r="G502" s="37"/>
      <c r="H502" s="37"/>
      <c r="I502" s="37"/>
      <c r="J502" s="41"/>
      <c r="K502" s="41"/>
      <c r="L502" s="43"/>
      <c r="M502" s="43"/>
      <c r="N502" s="43"/>
      <c r="O502" s="43"/>
      <c r="P502" s="44"/>
      <c r="Q502" s="45"/>
    </row>
    <row r="503" spans="3:17" x14ac:dyDescent="0.25">
      <c r="C503" s="38"/>
      <c r="D503" s="38"/>
      <c r="E503" s="39"/>
      <c r="F503" s="40"/>
      <c r="G503" s="37"/>
      <c r="H503" s="37"/>
      <c r="I503" s="37"/>
      <c r="J503" s="41"/>
      <c r="K503" s="41"/>
      <c r="L503" s="43"/>
      <c r="M503" s="43"/>
      <c r="N503" s="43"/>
      <c r="O503" s="43"/>
      <c r="P503" s="44"/>
      <c r="Q503" s="45"/>
    </row>
    <row r="504" spans="3:17" x14ac:dyDescent="0.25">
      <c r="C504" s="38"/>
      <c r="D504" s="38"/>
      <c r="E504" s="39"/>
      <c r="F504" s="40"/>
      <c r="G504" s="37"/>
      <c r="H504" s="37"/>
      <c r="I504" s="37"/>
      <c r="J504" s="41"/>
      <c r="K504" s="41"/>
      <c r="L504" s="43"/>
      <c r="M504" s="43"/>
      <c r="N504" s="43"/>
      <c r="O504" s="43"/>
      <c r="P504" s="44"/>
      <c r="Q504" s="45"/>
    </row>
    <row r="505" spans="3:17" x14ac:dyDescent="0.25">
      <c r="C505" s="38"/>
      <c r="D505" s="38"/>
      <c r="E505" s="39"/>
      <c r="F505" s="40"/>
      <c r="G505" s="37"/>
      <c r="H505" s="37"/>
      <c r="I505" s="37"/>
      <c r="J505" s="41"/>
      <c r="K505" s="41"/>
      <c r="L505" s="43"/>
      <c r="M505" s="43"/>
      <c r="N505" s="43"/>
      <c r="O505" s="43"/>
      <c r="P505" s="44"/>
      <c r="Q505" s="45"/>
    </row>
    <row r="506" spans="3:17" x14ac:dyDescent="0.25">
      <c r="C506" s="38"/>
      <c r="D506" s="38"/>
      <c r="E506" s="39"/>
      <c r="F506" s="40"/>
      <c r="G506" s="37"/>
      <c r="H506" s="37"/>
      <c r="I506" s="37"/>
      <c r="J506" s="41"/>
      <c r="K506" s="41"/>
      <c r="L506" s="43"/>
      <c r="M506" s="43"/>
      <c r="N506" s="43"/>
      <c r="O506" s="43"/>
      <c r="P506" s="44"/>
      <c r="Q506" s="45"/>
    </row>
    <row r="507" spans="3:17" x14ac:dyDescent="0.25">
      <c r="C507" s="38"/>
      <c r="D507" s="38"/>
      <c r="E507" s="39"/>
      <c r="F507" s="40"/>
      <c r="G507" s="37"/>
      <c r="H507" s="37"/>
      <c r="I507" s="37"/>
      <c r="J507" s="41"/>
      <c r="K507" s="41"/>
      <c r="L507" s="43"/>
      <c r="M507" s="43"/>
      <c r="N507" s="43"/>
      <c r="O507" s="43"/>
      <c r="P507" s="44"/>
      <c r="Q507" s="45"/>
    </row>
    <row r="508" spans="3:17" x14ac:dyDescent="0.25">
      <c r="C508" s="38"/>
      <c r="D508" s="38"/>
      <c r="E508" s="39"/>
      <c r="F508" s="40"/>
      <c r="G508" s="37"/>
      <c r="H508" s="37"/>
      <c r="I508" s="37"/>
      <c r="J508" s="41"/>
      <c r="K508" s="41"/>
      <c r="L508" s="43"/>
      <c r="M508" s="43"/>
      <c r="N508" s="43"/>
      <c r="O508" s="43"/>
      <c r="P508" s="44"/>
      <c r="Q508" s="45"/>
    </row>
    <row r="509" spans="3:17" x14ac:dyDescent="0.25">
      <c r="C509" s="38"/>
      <c r="D509" s="38"/>
      <c r="E509" s="39"/>
      <c r="F509" s="40"/>
      <c r="G509" s="37"/>
      <c r="H509" s="37"/>
      <c r="I509" s="37"/>
      <c r="J509" s="41"/>
      <c r="K509" s="41"/>
      <c r="L509" s="43"/>
      <c r="M509" s="43"/>
      <c r="N509" s="43"/>
      <c r="O509" s="43"/>
      <c r="P509" s="44"/>
      <c r="Q509" s="45"/>
    </row>
    <row r="510" spans="3:17" x14ac:dyDescent="0.25">
      <c r="C510" s="38"/>
      <c r="D510" s="38"/>
      <c r="E510" s="39"/>
      <c r="F510" s="40"/>
      <c r="G510" s="37"/>
      <c r="H510" s="37"/>
      <c r="I510" s="37"/>
      <c r="J510" s="41"/>
      <c r="K510" s="41"/>
      <c r="L510" s="43"/>
      <c r="M510" s="43"/>
      <c r="N510" s="43"/>
      <c r="O510" s="43"/>
      <c r="P510" s="44"/>
      <c r="Q510" s="45"/>
    </row>
    <row r="511" spans="3:17" x14ac:dyDescent="0.25">
      <c r="C511" s="38"/>
      <c r="D511" s="38"/>
      <c r="E511" s="39"/>
      <c r="F511" s="40"/>
      <c r="G511" s="37"/>
      <c r="H511" s="37"/>
      <c r="I511" s="37"/>
      <c r="J511" s="41"/>
      <c r="K511" s="41"/>
      <c r="L511" s="43"/>
      <c r="M511" s="43"/>
      <c r="N511" s="43"/>
      <c r="O511" s="43"/>
      <c r="P511" s="44"/>
      <c r="Q511" s="45"/>
    </row>
    <row r="512" spans="3:17" x14ac:dyDescent="0.25">
      <c r="C512" s="38"/>
      <c r="D512" s="38"/>
      <c r="E512" s="39"/>
      <c r="F512" s="40"/>
      <c r="G512" s="37"/>
      <c r="H512" s="37"/>
      <c r="I512" s="37"/>
      <c r="J512" s="41"/>
      <c r="K512" s="41"/>
      <c r="L512" s="43"/>
      <c r="M512" s="43"/>
      <c r="N512" s="43"/>
      <c r="O512" s="43"/>
      <c r="P512" s="44"/>
      <c r="Q512" s="45"/>
    </row>
    <row r="513" spans="3:17" x14ac:dyDescent="0.25">
      <c r="C513" s="38"/>
      <c r="D513" s="38"/>
      <c r="E513" s="39"/>
      <c r="F513" s="40"/>
      <c r="G513" s="37"/>
      <c r="H513" s="37"/>
      <c r="I513" s="37"/>
      <c r="J513" s="41"/>
      <c r="K513" s="41"/>
      <c r="L513" s="43"/>
      <c r="M513" s="43"/>
      <c r="N513" s="43"/>
      <c r="O513" s="43"/>
      <c r="P513" s="44"/>
      <c r="Q513" s="45"/>
    </row>
    <row r="514" spans="3:17" x14ac:dyDescent="0.25">
      <c r="C514" s="38"/>
      <c r="D514" s="38"/>
      <c r="E514" s="39"/>
      <c r="F514" s="40"/>
      <c r="G514" s="37"/>
      <c r="H514" s="37"/>
      <c r="I514" s="37"/>
      <c r="J514" s="41"/>
      <c r="K514" s="41"/>
      <c r="L514" s="43"/>
      <c r="M514" s="43"/>
      <c r="N514" s="43"/>
      <c r="O514" s="43"/>
      <c r="P514" s="44"/>
      <c r="Q514" s="45"/>
    </row>
    <row r="515" spans="3:17" x14ac:dyDescent="0.25">
      <c r="C515" s="38"/>
      <c r="D515" s="38"/>
      <c r="E515" s="39"/>
      <c r="F515" s="40"/>
      <c r="G515" s="37"/>
      <c r="H515" s="37"/>
      <c r="I515" s="37"/>
      <c r="J515" s="41"/>
      <c r="K515" s="41"/>
      <c r="L515" s="43"/>
      <c r="M515" s="43"/>
      <c r="N515" s="43"/>
      <c r="O515" s="43"/>
      <c r="P515" s="44"/>
      <c r="Q515" s="45"/>
    </row>
    <row r="516" spans="3:17" x14ac:dyDescent="0.25">
      <c r="C516" s="38"/>
      <c r="D516" s="38"/>
      <c r="E516" s="39"/>
      <c r="F516" s="40"/>
      <c r="G516" s="37"/>
      <c r="H516" s="37"/>
      <c r="I516" s="37"/>
      <c r="J516" s="41"/>
      <c r="K516" s="41"/>
      <c r="L516" s="43"/>
      <c r="M516" s="43"/>
      <c r="N516" s="43"/>
      <c r="O516" s="43"/>
      <c r="P516" s="44"/>
      <c r="Q516" s="45"/>
    </row>
    <row r="517" spans="3:17" x14ac:dyDescent="0.25">
      <c r="C517" s="38"/>
      <c r="D517" s="38"/>
      <c r="E517" s="39"/>
      <c r="F517" s="40"/>
      <c r="G517" s="37"/>
      <c r="H517" s="37"/>
      <c r="I517" s="37"/>
      <c r="J517" s="41"/>
      <c r="K517" s="41"/>
      <c r="L517" s="43"/>
      <c r="M517" s="43"/>
      <c r="N517" s="43"/>
      <c r="O517" s="43"/>
      <c r="P517" s="44"/>
      <c r="Q517" s="45"/>
    </row>
    <row r="518" spans="3:17" x14ac:dyDescent="0.25">
      <c r="C518" s="38"/>
      <c r="D518" s="38"/>
      <c r="E518" s="39"/>
      <c r="F518" s="40"/>
      <c r="G518" s="37"/>
      <c r="H518" s="37"/>
      <c r="I518" s="37"/>
      <c r="J518" s="41"/>
      <c r="K518" s="41"/>
      <c r="L518" s="43"/>
      <c r="M518" s="43"/>
      <c r="N518" s="43"/>
      <c r="O518" s="43"/>
      <c r="P518" s="44"/>
      <c r="Q518" s="45"/>
    </row>
    <row r="519" spans="3:17" x14ac:dyDescent="0.25">
      <c r="C519" s="38"/>
      <c r="D519" s="38"/>
      <c r="E519" s="39"/>
      <c r="F519" s="40"/>
      <c r="G519" s="37"/>
      <c r="H519" s="37"/>
      <c r="I519" s="37"/>
      <c r="J519" s="41"/>
      <c r="K519" s="41"/>
      <c r="L519" s="43"/>
      <c r="M519" s="43"/>
      <c r="N519" s="43"/>
      <c r="O519" s="43"/>
      <c r="P519" s="44"/>
      <c r="Q519" s="45"/>
    </row>
    <row r="520" spans="3:17" x14ac:dyDescent="0.25">
      <c r="C520" s="38"/>
      <c r="D520" s="38"/>
      <c r="E520" s="39"/>
      <c r="F520" s="40"/>
      <c r="G520" s="37"/>
      <c r="H520" s="37"/>
      <c r="I520" s="37"/>
      <c r="J520" s="41"/>
      <c r="K520" s="41"/>
      <c r="L520" s="43"/>
      <c r="M520" s="43"/>
      <c r="N520" s="43"/>
      <c r="O520" s="43"/>
      <c r="P520" s="44"/>
      <c r="Q520" s="45"/>
    </row>
    <row r="521" spans="3:17" x14ac:dyDescent="0.25">
      <c r="C521" s="38"/>
      <c r="D521" s="38"/>
      <c r="E521" s="39"/>
      <c r="F521" s="40"/>
      <c r="G521" s="37"/>
      <c r="H521" s="37"/>
      <c r="I521" s="37"/>
      <c r="J521" s="41"/>
      <c r="K521" s="41"/>
      <c r="L521" s="43"/>
      <c r="M521" s="43"/>
      <c r="N521" s="43"/>
      <c r="O521" s="43"/>
      <c r="P521" s="44"/>
      <c r="Q521" s="45"/>
    </row>
    <row r="522" spans="3:17" x14ac:dyDescent="0.25">
      <c r="C522" s="38"/>
      <c r="D522" s="38"/>
      <c r="E522" s="39"/>
      <c r="F522" s="40"/>
      <c r="G522" s="37"/>
      <c r="H522" s="37"/>
      <c r="I522" s="37"/>
      <c r="J522" s="41"/>
      <c r="K522" s="41"/>
      <c r="L522" s="43"/>
      <c r="M522" s="43"/>
      <c r="N522" s="43"/>
      <c r="O522" s="43"/>
      <c r="P522" s="44"/>
      <c r="Q522" s="45"/>
    </row>
    <row r="523" spans="3:17" x14ac:dyDescent="0.25">
      <c r="C523" s="38"/>
      <c r="D523" s="38"/>
      <c r="E523" s="39"/>
      <c r="F523" s="40"/>
      <c r="G523" s="37"/>
      <c r="H523" s="37"/>
      <c r="I523" s="37"/>
      <c r="J523" s="41"/>
      <c r="K523" s="41"/>
      <c r="L523" s="43"/>
      <c r="M523" s="43"/>
      <c r="N523" s="43"/>
      <c r="O523" s="43"/>
      <c r="P523" s="44"/>
      <c r="Q523" s="45"/>
    </row>
    <row r="524" spans="3:17" x14ac:dyDescent="0.25">
      <c r="C524" s="38"/>
      <c r="D524" s="38"/>
      <c r="E524" s="39"/>
      <c r="F524" s="40"/>
      <c r="G524" s="37"/>
      <c r="H524" s="37"/>
      <c r="I524" s="37"/>
      <c r="J524" s="41"/>
      <c r="K524" s="41"/>
      <c r="L524" s="43"/>
      <c r="M524" s="43"/>
      <c r="N524" s="43"/>
      <c r="O524" s="43"/>
      <c r="P524" s="44"/>
      <c r="Q524" s="45"/>
    </row>
    <row r="525" spans="3:17" x14ac:dyDescent="0.25">
      <c r="C525" s="38"/>
      <c r="D525" s="38"/>
      <c r="E525" s="39"/>
      <c r="F525" s="40"/>
      <c r="G525" s="37"/>
      <c r="H525" s="37"/>
      <c r="I525" s="37"/>
      <c r="J525" s="41"/>
      <c r="K525" s="41"/>
      <c r="L525" s="43"/>
      <c r="M525" s="43"/>
      <c r="N525" s="43"/>
      <c r="O525" s="43"/>
      <c r="P525" s="44"/>
      <c r="Q525" s="45"/>
    </row>
    <row r="526" spans="3:17" x14ac:dyDescent="0.25">
      <c r="C526" s="38"/>
      <c r="D526" s="38"/>
      <c r="E526" s="39"/>
      <c r="F526" s="40"/>
      <c r="G526" s="37"/>
      <c r="H526" s="37"/>
      <c r="I526" s="37"/>
      <c r="J526" s="41"/>
      <c r="K526" s="41"/>
      <c r="L526" s="43"/>
      <c r="M526" s="43"/>
      <c r="N526" s="43"/>
      <c r="O526" s="43"/>
      <c r="P526" s="44"/>
      <c r="Q526" s="45"/>
    </row>
    <row r="527" spans="3:17" x14ac:dyDescent="0.25">
      <c r="C527" s="38"/>
      <c r="D527" s="38"/>
      <c r="E527" s="39"/>
      <c r="F527" s="40"/>
      <c r="G527" s="37"/>
      <c r="H527" s="37"/>
      <c r="I527" s="37"/>
      <c r="J527" s="41"/>
      <c r="K527" s="41"/>
      <c r="L527" s="43"/>
      <c r="M527" s="43"/>
      <c r="N527" s="43"/>
      <c r="O527" s="43"/>
      <c r="P527" s="44"/>
      <c r="Q527" s="45"/>
    </row>
    <row r="528" spans="3:17" x14ac:dyDescent="0.25">
      <c r="C528" s="38"/>
      <c r="D528" s="38"/>
      <c r="E528" s="39"/>
      <c r="F528" s="40"/>
      <c r="G528" s="37"/>
      <c r="H528" s="37"/>
      <c r="I528" s="37"/>
      <c r="J528" s="41"/>
      <c r="K528" s="41"/>
      <c r="L528" s="43"/>
      <c r="M528" s="43"/>
      <c r="N528" s="43"/>
      <c r="O528" s="43"/>
      <c r="P528" s="44"/>
      <c r="Q528" s="45"/>
    </row>
    <row r="529" spans="3:17" x14ac:dyDescent="0.25">
      <c r="C529" s="38"/>
      <c r="D529" s="38"/>
      <c r="E529" s="39"/>
      <c r="F529" s="40"/>
      <c r="G529" s="37"/>
      <c r="H529" s="37"/>
      <c r="I529" s="37"/>
      <c r="J529" s="41"/>
      <c r="K529" s="41"/>
      <c r="L529" s="43"/>
      <c r="M529" s="43"/>
      <c r="N529" s="43"/>
      <c r="O529" s="43"/>
      <c r="P529" s="44"/>
      <c r="Q529" s="45"/>
    </row>
    <row r="530" spans="3:17" x14ac:dyDescent="0.25">
      <c r="C530" s="38"/>
      <c r="D530" s="38"/>
      <c r="E530" s="39"/>
      <c r="F530" s="40"/>
      <c r="G530" s="37"/>
      <c r="H530" s="37"/>
      <c r="I530" s="37"/>
      <c r="J530" s="41"/>
      <c r="K530" s="41"/>
      <c r="L530" s="43"/>
      <c r="M530" s="43"/>
      <c r="N530" s="43"/>
      <c r="O530" s="43"/>
      <c r="P530" s="44"/>
      <c r="Q530" s="45"/>
    </row>
    <row r="531" spans="3:17" x14ac:dyDescent="0.25">
      <c r="C531" s="38"/>
      <c r="D531" s="38"/>
      <c r="E531" s="39"/>
      <c r="F531" s="40"/>
      <c r="G531" s="37"/>
      <c r="H531" s="37"/>
      <c r="I531" s="37"/>
      <c r="J531" s="41"/>
      <c r="K531" s="41"/>
      <c r="L531" s="43"/>
      <c r="M531" s="43"/>
      <c r="N531" s="43"/>
      <c r="O531" s="43"/>
      <c r="P531" s="44"/>
      <c r="Q531" s="45"/>
    </row>
    <row r="532" spans="3:17" x14ac:dyDescent="0.25">
      <c r="C532" s="38"/>
      <c r="D532" s="38"/>
      <c r="E532" s="39"/>
      <c r="F532" s="40"/>
      <c r="G532" s="37"/>
      <c r="H532" s="37"/>
      <c r="I532" s="37"/>
      <c r="J532" s="41"/>
      <c r="K532" s="41"/>
      <c r="L532" s="43"/>
      <c r="M532" s="43"/>
      <c r="N532" s="43"/>
      <c r="O532" s="43"/>
      <c r="P532" s="44"/>
      <c r="Q532" s="45"/>
    </row>
    <row r="533" spans="3:17" x14ac:dyDescent="0.25">
      <c r="C533" s="38"/>
      <c r="D533" s="38"/>
      <c r="E533" s="39"/>
      <c r="F533" s="40"/>
      <c r="G533" s="37"/>
      <c r="H533" s="37"/>
      <c r="I533" s="37"/>
      <c r="J533" s="41"/>
      <c r="K533" s="41"/>
      <c r="L533" s="43"/>
      <c r="M533" s="43"/>
      <c r="N533" s="43"/>
      <c r="O533" s="43"/>
      <c r="P533" s="44"/>
      <c r="Q533" s="45"/>
    </row>
    <row r="534" spans="3:17" x14ac:dyDescent="0.25">
      <c r="C534" s="38"/>
      <c r="D534" s="38"/>
      <c r="E534" s="39"/>
      <c r="F534" s="40"/>
      <c r="G534" s="37"/>
      <c r="H534" s="37"/>
      <c r="I534" s="37"/>
      <c r="J534" s="41"/>
      <c r="K534" s="41"/>
      <c r="L534" s="43"/>
      <c r="M534" s="43"/>
      <c r="N534" s="43"/>
      <c r="O534" s="43"/>
      <c r="P534" s="44"/>
      <c r="Q534" s="45"/>
    </row>
    <row r="535" spans="3:17" x14ac:dyDescent="0.25">
      <c r="C535" s="38"/>
      <c r="D535" s="38"/>
      <c r="E535" s="39"/>
      <c r="F535" s="40"/>
      <c r="G535" s="37"/>
      <c r="H535" s="37"/>
      <c r="I535" s="37"/>
      <c r="J535" s="41"/>
      <c r="K535" s="41"/>
      <c r="L535" s="43"/>
      <c r="M535" s="43"/>
      <c r="N535" s="43"/>
      <c r="O535" s="43"/>
      <c r="P535" s="44"/>
      <c r="Q535" s="45"/>
    </row>
    <row r="536" spans="3:17" x14ac:dyDescent="0.25">
      <c r="C536" s="38"/>
      <c r="D536" s="38"/>
      <c r="E536" s="39"/>
      <c r="F536" s="40"/>
      <c r="G536" s="37"/>
      <c r="H536" s="37"/>
      <c r="I536" s="37"/>
      <c r="J536" s="41"/>
      <c r="K536" s="41"/>
      <c r="L536" s="43"/>
      <c r="M536" s="43"/>
      <c r="N536" s="43"/>
      <c r="O536" s="43"/>
      <c r="P536" s="44"/>
      <c r="Q536" s="45"/>
    </row>
    <row r="537" spans="3:17" x14ac:dyDescent="0.25">
      <c r="C537" s="38"/>
      <c r="D537" s="38"/>
      <c r="E537" s="39"/>
      <c r="F537" s="40"/>
      <c r="G537" s="37"/>
      <c r="H537" s="37"/>
      <c r="I537" s="37"/>
      <c r="J537" s="41"/>
      <c r="K537" s="41"/>
      <c r="L537" s="43"/>
      <c r="M537" s="43"/>
      <c r="N537" s="43"/>
      <c r="O537" s="43"/>
      <c r="P537" s="44"/>
      <c r="Q537" s="45"/>
    </row>
    <row r="538" spans="3:17" x14ac:dyDescent="0.25">
      <c r="C538" s="38"/>
      <c r="D538" s="38"/>
      <c r="E538" s="39"/>
      <c r="F538" s="40"/>
      <c r="G538" s="37"/>
      <c r="H538" s="37"/>
      <c r="I538" s="37"/>
      <c r="J538" s="41"/>
      <c r="K538" s="41"/>
      <c r="L538" s="43"/>
      <c r="M538" s="43"/>
      <c r="N538" s="43"/>
      <c r="O538" s="43"/>
      <c r="P538" s="44"/>
      <c r="Q538" s="45"/>
    </row>
    <row r="539" spans="3:17" x14ac:dyDescent="0.25">
      <c r="C539" s="38"/>
      <c r="D539" s="38"/>
      <c r="E539" s="39"/>
      <c r="F539" s="40"/>
      <c r="G539" s="37"/>
      <c r="H539" s="37"/>
      <c r="I539" s="37"/>
      <c r="J539" s="41"/>
      <c r="K539" s="41"/>
      <c r="L539" s="43"/>
      <c r="M539" s="43"/>
      <c r="N539" s="43"/>
      <c r="O539" s="43"/>
      <c r="P539" s="44"/>
      <c r="Q539" s="45"/>
    </row>
    <row r="540" spans="3:17" x14ac:dyDescent="0.25">
      <c r="C540" s="38"/>
      <c r="D540" s="38"/>
      <c r="E540" s="39"/>
      <c r="F540" s="40"/>
      <c r="G540" s="37"/>
      <c r="H540" s="37"/>
      <c r="I540" s="37"/>
      <c r="J540" s="41"/>
      <c r="K540" s="41"/>
      <c r="L540" s="43"/>
      <c r="M540" s="43"/>
      <c r="N540" s="43"/>
      <c r="O540" s="43"/>
      <c r="P540" s="44"/>
      <c r="Q540" s="45"/>
    </row>
    <row r="541" spans="3:17" x14ac:dyDescent="0.25">
      <c r="C541" s="38"/>
      <c r="D541" s="38"/>
      <c r="E541" s="39"/>
      <c r="F541" s="40"/>
      <c r="G541" s="37"/>
      <c r="H541" s="37"/>
      <c r="I541" s="37"/>
      <c r="J541" s="41"/>
      <c r="K541" s="41"/>
      <c r="L541" s="43"/>
      <c r="M541" s="43"/>
      <c r="N541" s="43"/>
      <c r="O541" s="43"/>
      <c r="P541" s="44"/>
      <c r="Q541" s="45"/>
    </row>
    <row r="542" spans="3:17" x14ac:dyDescent="0.25">
      <c r="C542" s="38"/>
      <c r="D542" s="38"/>
      <c r="E542" s="39"/>
      <c r="F542" s="40"/>
      <c r="G542" s="37"/>
      <c r="H542" s="37"/>
      <c r="I542" s="37"/>
      <c r="J542" s="41"/>
      <c r="K542" s="41"/>
      <c r="L542" s="43"/>
      <c r="M542" s="43"/>
      <c r="N542" s="43"/>
      <c r="O542" s="43"/>
      <c r="P542" s="44"/>
      <c r="Q542" s="45"/>
    </row>
    <row r="543" spans="3:17" x14ac:dyDescent="0.25">
      <c r="C543" s="38"/>
      <c r="D543" s="38"/>
      <c r="E543" s="39"/>
      <c r="F543" s="40"/>
      <c r="G543" s="37"/>
      <c r="H543" s="37"/>
      <c r="I543" s="37"/>
      <c r="J543" s="41"/>
      <c r="K543" s="41"/>
      <c r="L543" s="43"/>
      <c r="M543" s="43"/>
      <c r="N543" s="43"/>
      <c r="O543" s="43"/>
      <c r="P543" s="44"/>
      <c r="Q543" s="45"/>
    </row>
    <row r="544" spans="3:17" x14ac:dyDescent="0.25">
      <c r="C544" s="38"/>
      <c r="D544" s="38"/>
      <c r="E544" s="39"/>
      <c r="F544" s="40"/>
      <c r="G544" s="37"/>
      <c r="H544" s="37"/>
      <c r="I544" s="37"/>
      <c r="J544" s="41"/>
      <c r="K544" s="41"/>
      <c r="L544" s="43"/>
      <c r="M544" s="43"/>
      <c r="N544" s="43"/>
      <c r="O544" s="43"/>
      <c r="P544" s="44"/>
      <c r="Q544" s="45"/>
    </row>
    <row r="545" spans="3:17" x14ac:dyDescent="0.25">
      <c r="C545" s="38"/>
      <c r="D545" s="38"/>
      <c r="E545" s="39"/>
      <c r="F545" s="40"/>
      <c r="G545" s="37"/>
      <c r="H545" s="37"/>
      <c r="I545" s="37"/>
      <c r="J545" s="41"/>
      <c r="K545" s="41"/>
      <c r="L545" s="43"/>
      <c r="M545" s="43"/>
      <c r="N545" s="43"/>
      <c r="O545" s="43"/>
      <c r="P545" s="44"/>
      <c r="Q545" s="45"/>
    </row>
    <row r="546" spans="3:17" x14ac:dyDescent="0.25">
      <c r="C546" s="38"/>
      <c r="D546" s="38"/>
      <c r="E546" s="39"/>
      <c r="F546" s="40"/>
      <c r="G546" s="37"/>
      <c r="H546" s="37"/>
      <c r="I546" s="37"/>
      <c r="J546" s="41"/>
      <c r="K546" s="41"/>
      <c r="L546" s="43"/>
      <c r="M546" s="43"/>
      <c r="N546" s="43"/>
      <c r="O546" s="43"/>
      <c r="P546" s="44"/>
      <c r="Q546" s="45"/>
    </row>
    <row r="547" spans="3:17" x14ac:dyDescent="0.25">
      <c r="C547" s="38"/>
      <c r="D547" s="38"/>
      <c r="E547" s="39"/>
      <c r="F547" s="40"/>
      <c r="G547" s="37"/>
      <c r="H547" s="37"/>
      <c r="I547" s="37"/>
      <c r="J547" s="41"/>
      <c r="K547" s="41"/>
      <c r="L547" s="43"/>
      <c r="M547" s="43"/>
      <c r="N547" s="43"/>
      <c r="O547" s="43"/>
      <c r="P547" s="44"/>
      <c r="Q547" s="45"/>
    </row>
    <row r="548" spans="3:17" x14ac:dyDescent="0.25">
      <c r="C548" s="38"/>
      <c r="D548" s="38"/>
      <c r="E548" s="39"/>
      <c r="F548" s="40"/>
      <c r="G548" s="37"/>
      <c r="H548" s="37"/>
      <c r="I548" s="37"/>
      <c r="J548" s="41"/>
      <c r="K548" s="41"/>
      <c r="L548" s="43"/>
      <c r="M548" s="43"/>
      <c r="N548" s="43"/>
      <c r="O548" s="43"/>
      <c r="P548" s="44"/>
      <c r="Q548" s="45"/>
    </row>
    <row r="549" spans="3:17" x14ac:dyDescent="0.25">
      <c r="C549" s="38"/>
      <c r="D549" s="38"/>
      <c r="E549" s="39"/>
      <c r="F549" s="40"/>
      <c r="G549" s="37"/>
      <c r="H549" s="37"/>
      <c r="I549" s="37"/>
      <c r="J549" s="41"/>
      <c r="K549" s="41"/>
      <c r="L549" s="43"/>
      <c r="M549" s="43"/>
      <c r="N549" s="43"/>
      <c r="O549" s="43"/>
      <c r="P549" s="44"/>
      <c r="Q549" s="45"/>
    </row>
    <row r="550" spans="3:17" x14ac:dyDescent="0.25">
      <c r="C550" s="38"/>
      <c r="D550" s="38"/>
      <c r="E550" s="39"/>
      <c r="F550" s="40"/>
      <c r="G550" s="37"/>
      <c r="H550" s="37"/>
      <c r="I550" s="37"/>
      <c r="J550" s="41"/>
      <c r="K550" s="41"/>
      <c r="L550" s="43"/>
      <c r="M550" s="43"/>
      <c r="N550" s="43"/>
      <c r="O550" s="43"/>
      <c r="P550" s="44"/>
      <c r="Q550" s="45"/>
    </row>
    <row r="551" spans="3:17" x14ac:dyDescent="0.25">
      <c r="C551" s="38"/>
      <c r="D551" s="38"/>
      <c r="E551" s="39"/>
      <c r="F551" s="40"/>
      <c r="G551" s="37"/>
      <c r="H551" s="37"/>
      <c r="I551" s="37"/>
      <c r="J551" s="41"/>
      <c r="K551" s="41"/>
      <c r="L551" s="43"/>
      <c r="M551" s="43"/>
      <c r="N551" s="43"/>
      <c r="O551" s="43"/>
      <c r="P551" s="44"/>
      <c r="Q551" s="45"/>
    </row>
    <row r="552" spans="3:17" x14ac:dyDescent="0.25">
      <c r="C552" s="38"/>
      <c r="D552" s="38"/>
      <c r="E552" s="39"/>
      <c r="F552" s="40"/>
      <c r="G552" s="37"/>
      <c r="H552" s="37"/>
      <c r="I552" s="37"/>
      <c r="J552" s="41"/>
      <c r="K552" s="41"/>
      <c r="L552" s="43"/>
      <c r="M552" s="43"/>
      <c r="N552" s="43"/>
      <c r="O552" s="43"/>
      <c r="P552" s="44"/>
      <c r="Q552" s="45"/>
    </row>
    <row r="553" spans="3:17" x14ac:dyDescent="0.25">
      <c r="C553" s="38"/>
      <c r="D553" s="38"/>
      <c r="E553" s="39"/>
      <c r="F553" s="40"/>
      <c r="G553" s="37"/>
      <c r="H553" s="37"/>
      <c r="I553" s="37"/>
      <c r="J553" s="41"/>
      <c r="K553" s="41"/>
      <c r="L553" s="43"/>
      <c r="M553" s="43"/>
      <c r="N553" s="43"/>
      <c r="O553" s="43"/>
      <c r="P553" s="44"/>
      <c r="Q553" s="45"/>
    </row>
    <row r="554" spans="3:17" x14ac:dyDescent="0.25">
      <c r="C554" s="38"/>
      <c r="D554" s="38"/>
      <c r="E554" s="39"/>
      <c r="F554" s="40"/>
      <c r="G554" s="37"/>
      <c r="H554" s="37"/>
      <c r="I554" s="37"/>
      <c r="J554" s="41"/>
      <c r="K554" s="41"/>
      <c r="L554" s="43"/>
      <c r="M554" s="43"/>
      <c r="N554" s="43"/>
      <c r="O554" s="43"/>
      <c r="P554" s="44"/>
      <c r="Q554" s="45"/>
    </row>
    <row r="555" spans="3:17" x14ac:dyDescent="0.25">
      <c r="C555" s="38"/>
      <c r="D555" s="38"/>
      <c r="E555" s="39"/>
      <c r="F555" s="40"/>
      <c r="G555" s="37"/>
      <c r="H555" s="37"/>
      <c r="I555" s="37"/>
      <c r="J555" s="41"/>
      <c r="K555" s="41"/>
      <c r="L555" s="43"/>
      <c r="M555" s="43"/>
      <c r="N555" s="43"/>
      <c r="O555" s="43"/>
      <c r="P555" s="44"/>
      <c r="Q555" s="45"/>
    </row>
    <row r="556" spans="3:17" x14ac:dyDescent="0.25">
      <c r="C556" s="38"/>
      <c r="D556" s="38"/>
      <c r="E556" s="39"/>
      <c r="F556" s="40"/>
      <c r="G556" s="37"/>
      <c r="H556" s="37"/>
      <c r="I556" s="37"/>
      <c r="J556" s="41"/>
      <c r="K556" s="41"/>
      <c r="L556" s="43"/>
      <c r="M556" s="43"/>
      <c r="N556" s="43"/>
      <c r="O556" s="43"/>
      <c r="P556" s="44"/>
      <c r="Q556" s="45"/>
    </row>
    <row r="557" spans="3:17" x14ac:dyDescent="0.25">
      <c r="C557" s="38"/>
      <c r="D557" s="38"/>
      <c r="E557" s="39"/>
      <c r="F557" s="40"/>
      <c r="G557" s="37"/>
      <c r="H557" s="37"/>
      <c r="I557" s="37"/>
      <c r="J557" s="41"/>
      <c r="K557" s="41"/>
      <c r="L557" s="43"/>
      <c r="M557" s="43"/>
      <c r="N557" s="43"/>
      <c r="O557" s="43"/>
      <c r="P557" s="44"/>
      <c r="Q557" s="45"/>
    </row>
    <row r="558" spans="3:17" x14ac:dyDescent="0.25">
      <c r="C558" s="38"/>
      <c r="D558" s="38"/>
      <c r="E558" s="39"/>
      <c r="F558" s="40"/>
      <c r="G558" s="37"/>
      <c r="H558" s="37"/>
      <c r="I558" s="37"/>
      <c r="J558" s="41"/>
      <c r="K558" s="41"/>
      <c r="L558" s="43"/>
      <c r="M558" s="43"/>
      <c r="N558" s="43"/>
      <c r="O558" s="43"/>
      <c r="P558" s="44"/>
      <c r="Q558" s="45"/>
    </row>
    <row r="559" spans="3:17" x14ac:dyDescent="0.25">
      <c r="C559" s="38"/>
      <c r="D559" s="38"/>
      <c r="E559" s="39"/>
      <c r="F559" s="40"/>
      <c r="G559" s="37"/>
      <c r="H559" s="37"/>
      <c r="I559" s="37"/>
      <c r="J559" s="41"/>
      <c r="K559" s="41"/>
      <c r="L559" s="43"/>
      <c r="M559" s="43"/>
      <c r="N559" s="43"/>
      <c r="O559" s="43"/>
      <c r="P559" s="44"/>
      <c r="Q559" s="45"/>
    </row>
    <row r="560" spans="3:17" x14ac:dyDescent="0.25">
      <c r="C560" s="38"/>
      <c r="D560" s="38"/>
      <c r="E560" s="39"/>
      <c r="F560" s="40"/>
      <c r="G560" s="37"/>
      <c r="H560" s="37"/>
      <c r="I560" s="37"/>
      <c r="J560" s="41"/>
      <c r="K560" s="41"/>
      <c r="L560" s="43"/>
      <c r="M560" s="43"/>
      <c r="N560" s="43"/>
      <c r="O560" s="43"/>
      <c r="P560" s="44"/>
      <c r="Q560" s="45"/>
    </row>
    <row r="561" spans="3:17" x14ac:dyDescent="0.25">
      <c r="C561" s="38"/>
      <c r="D561" s="38"/>
      <c r="E561" s="39"/>
      <c r="F561" s="40"/>
      <c r="G561" s="37"/>
      <c r="H561" s="37"/>
      <c r="I561" s="37"/>
      <c r="J561" s="41"/>
      <c r="K561" s="41"/>
      <c r="L561" s="43"/>
      <c r="M561" s="43"/>
      <c r="N561" s="43"/>
      <c r="O561" s="43"/>
      <c r="P561" s="44"/>
      <c r="Q561" s="45"/>
    </row>
    <row r="562" spans="3:17" x14ac:dyDescent="0.25">
      <c r="C562" s="38"/>
      <c r="D562" s="38"/>
      <c r="E562" s="39"/>
      <c r="F562" s="40"/>
      <c r="G562" s="37"/>
      <c r="H562" s="37"/>
      <c r="I562" s="37"/>
      <c r="J562" s="41"/>
      <c r="K562" s="41"/>
      <c r="L562" s="43"/>
      <c r="M562" s="43"/>
      <c r="N562" s="43"/>
      <c r="O562" s="43"/>
      <c r="P562" s="44"/>
      <c r="Q562" s="45"/>
    </row>
    <row r="563" spans="3:17" x14ac:dyDescent="0.25">
      <c r="C563" s="38"/>
      <c r="D563" s="38"/>
      <c r="E563" s="39"/>
      <c r="F563" s="40"/>
      <c r="G563" s="37"/>
      <c r="H563" s="37"/>
      <c r="I563" s="37"/>
      <c r="J563" s="41"/>
      <c r="K563" s="41"/>
      <c r="L563" s="43"/>
      <c r="M563" s="43"/>
      <c r="N563" s="43"/>
      <c r="O563" s="43"/>
      <c r="P563" s="44"/>
      <c r="Q563" s="45"/>
    </row>
    <row r="564" spans="3:17" x14ac:dyDescent="0.25">
      <c r="C564" s="38"/>
      <c r="D564" s="38"/>
      <c r="E564" s="39"/>
      <c r="F564" s="40"/>
      <c r="G564" s="37"/>
      <c r="H564" s="37"/>
      <c r="I564" s="37"/>
      <c r="J564" s="41"/>
      <c r="K564" s="41"/>
      <c r="L564" s="43"/>
      <c r="M564" s="43"/>
      <c r="N564" s="43"/>
      <c r="O564" s="43"/>
      <c r="P564" s="44"/>
      <c r="Q564" s="45"/>
    </row>
    <row r="565" spans="3:17" x14ac:dyDescent="0.25">
      <c r="C565" s="38"/>
      <c r="D565" s="38"/>
      <c r="E565" s="39"/>
      <c r="F565" s="40"/>
      <c r="G565" s="37"/>
      <c r="H565" s="37"/>
      <c r="I565" s="37"/>
      <c r="J565" s="41"/>
      <c r="K565" s="41"/>
      <c r="L565" s="43"/>
      <c r="M565" s="43"/>
      <c r="N565" s="43"/>
      <c r="O565" s="43"/>
      <c r="P565" s="44"/>
      <c r="Q565" s="45"/>
    </row>
    <row r="566" spans="3:17" x14ac:dyDescent="0.25">
      <c r="C566" s="38"/>
      <c r="D566" s="38"/>
      <c r="E566" s="39"/>
      <c r="F566" s="40"/>
      <c r="G566" s="37"/>
      <c r="H566" s="37"/>
      <c r="I566" s="37"/>
      <c r="J566" s="41"/>
      <c r="K566" s="41"/>
      <c r="L566" s="43"/>
      <c r="M566" s="43"/>
      <c r="N566" s="43"/>
      <c r="O566" s="43"/>
      <c r="P566" s="44"/>
      <c r="Q566" s="45"/>
    </row>
    <row r="567" spans="3:17" x14ac:dyDescent="0.25">
      <c r="C567" s="38"/>
      <c r="D567" s="38"/>
      <c r="E567" s="39"/>
      <c r="F567" s="40"/>
      <c r="G567" s="37"/>
      <c r="H567" s="37"/>
      <c r="I567" s="37"/>
      <c r="J567" s="41"/>
      <c r="K567" s="41"/>
      <c r="L567" s="43"/>
      <c r="M567" s="43"/>
      <c r="N567" s="43"/>
      <c r="O567" s="43"/>
      <c r="P567" s="44"/>
      <c r="Q567" s="45"/>
    </row>
    <row r="568" spans="3:17" x14ac:dyDescent="0.25">
      <c r="C568" s="38"/>
      <c r="D568" s="38"/>
      <c r="E568" s="39"/>
      <c r="F568" s="40"/>
      <c r="G568" s="37"/>
      <c r="H568" s="37"/>
      <c r="I568" s="37"/>
      <c r="J568" s="41"/>
      <c r="K568" s="41"/>
      <c r="L568" s="43"/>
      <c r="M568" s="43"/>
      <c r="N568" s="43"/>
      <c r="O568" s="43"/>
      <c r="P568" s="44"/>
      <c r="Q568" s="45"/>
    </row>
    <row r="569" spans="3:17" x14ac:dyDescent="0.25">
      <c r="C569" s="38"/>
      <c r="D569" s="38"/>
      <c r="E569" s="39"/>
      <c r="F569" s="40"/>
      <c r="G569" s="37"/>
      <c r="H569" s="37"/>
      <c r="I569" s="37"/>
      <c r="J569" s="41"/>
      <c r="K569" s="41"/>
      <c r="L569" s="43"/>
      <c r="M569" s="43"/>
      <c r="N569" s="43"/>
      <c r="O569" s="43"/>
      <c r="P569" s="44"/>
      <c r="Q569" s="45"/>
    </row>
    <row r="570" spans="3:17" x14ac:dyDescent="0.25">
      <c r="C570" s="38"/>
      <c r="D570" s="38"/>
      <c r="E570" s="39"/>
      <c r="F570" s="40"/>
      <c r="G570" s="37"/>
      <c r="H570" s="37"/>
      <c r="I570" s="37"/>
      <c r="J570" s="41"/>
      <c r="K570" s="41"/>
      <c r="L570" s="43"/>
      <c r="M570" s="43"/>
      <c r="N570" s="43"/>
      <c r="O570" s="43"/>
      <c r="P570" s="44"/>
      <c r="Q570" s="45"/>
    </row>
    <row r="571" spans="3:17" x14ac:dyDescent="0.25">
      <c r="C571" s="38"/>
      <c r="D571" s="38"/>
      <c r="E571" s="39"/>
      <c r="F571" s="40"/>
      <c r="G571" s="37"/>
      <c r="H571" s="37"/>
      <c r="I571" s="37"/>
      <c r="J571" s="41"/>
      <c r="K571" s="41"/>
      <c r="L571" s="43"/>
      <c r="M571" s="43"/>
      <c r="N571" s="43"/>
      <c r="O571" s="43"/>
      <c r="P571" s="44"/>
      <c r="Q571" s="45"/>
    </row>
    <row r="572" spans="3:17" x14ac:dyDescent="0.25">
      <c r="C572" s="38"/>
      <c r="D572" s="38"/>
      <c r="E572" s="39"/>
      <c r="F572" s="40"/>
      <c r="G572" s="37"/>
      <c r="H572" s="37"/>
      <c r="I572" s="37"/>
      <c r="J572" s="41"/>
      <c r="K572" s="41"/>
      <c r="L572" s="43"/>
      <c r="M572" s="43"/>
      <c r="N572" s="43"/>
      <c r="O572" s="43"/>
      <c r="P572" s="44"/>
      <c r="Q572" s="45"/>
    </row>
    <row r="573" spans="3:17" x14ac:dyDescent="0.25">
      <c r="C573" s="38"/>
      <c r="D573" s="38"/>
      <c r="E573" s="39"/>
      <c r="F573" s="40"/>
      <c r="G573" s="37"/>
      <c r="H573" s="37"/>
      <c r="I573" s="37"/>
      <c r="J573" s="41"/>
      <c r="K573" s="41"/>
      <c r="L573" s="43"/>
      <c r="M573" s="43"/>
      <c r="N573" s="43"/>
      <c r="O573" s="43"/>
      <c r="P573" s="44"/>
      <c r="Q573" s="45"/>
    </row>
    <row r="574" spans="3:17" x14ac:dyDescent="0.25">
      <c r="C574" s="38"/>
      <c r="D574" s="38"/>
      <c r="E574" s="39"/>
      <c r="F574" s="40"/>
      <c r="G574" s="37"/>
      <c r="H574" s="37"/>
      <c r="I574" s="37"/>
      <c r="J574" s="41"/>
      <c r="K574" s="41"/>
      <c r="L574" s="43"/>
      <c r="M574" s="43"/>
      <c r="N574" s="43"/>
      <c r="O574" s="43"/>
      <c r="P574" s="44"/>
      <c r="Q574" s="45"/>
    </row>
    <row r="575" spans="3:17" x14ac:dyDescent="0.25">
      <c r="C575" s="38"/>
      <c r="D575" s="38"/>
      <c r="E575" s="39"/>
      <c r="F575" s="40"/>
      <c r="G575" s="37"/>
      <c r="H575" s="37"/>
      <c r="I575" s="37"/>
      <c r="J575" s="41"/>
      <c r="K575" s="41"/>
      <c r="L575" s="43"/>
      <c r="M575" s="43"/>
      <c r="N575" s="43"/>
      <c r="O575" s="43"/>
      <c r="P575" s="44"/>
      <c r="Q575" s="45"/>
    </row>
    <row r="576" spans="3:17" x14ac:dyDescent="0.25">
      <c r="C576" s="38"/>
      <c r="D576" s="38"/>
      <c r="E576" s="39"/>
      <c r="F576" s="40"/>
      <c r="G576" s="37"/>
      <c r="H576" s="37"/>
      <c r="I576" s="37"/>
      <c r="J576" s="41"/>
      <c r="K576" s="41"/>
      <c r="L576" s="43"/>
      <c r="M576" s="43"/>
      <c r="N576" s="43"/>
      <c r="O576" s="43"/>
      <c r="P576" s="44"/>
      <c r="Q576" s="45"/>
    </row>
    <row r="577" spans="3:17" x14ac:dyDescent="0.25">
      <c r="C577" s="38"/>
      <c r="D577" s="38"/>
      <c r="E577" s="39"/>
      <c r="F577" s="40"/>
      <c r="G577" s="37"/>
      <c r="H577" s="37"/>
      <c r="I577" s="37"/>
      <c r="J577" s="41"/>
      <c r="K577" s="41"/>
      <c r="L577" s="43"/>
      <c r="M577" s="43"/>
      <c r="N577" s="43"/>
      <c r="O577" s="43"/>
      <c r="P577" s="44"/>
      <c r="Q577" s="45"/>
    </row>
    <row r="578" spans="3:17" x14ac:dyDescent="0.25">
      <c r="C578" s="38"/>
      <c r="D578" s="38"/>
      <c r="E578" s="39"/>
      <c r="F578" s="40"/>
      <c r="G578" s="37"/>
      <c r="H578" s="37"/>
      <c r="I578" s="37"/>
      <c r="J578" s="41"/>
      <c r="K578" s="41"/>
      <c r="L578" s="43"/>
      <c r="M578" s="43"/>
      <c r="N578" s="43"/>
      <c r="O578" s="43"/>
      <c r="P578" s="44"/>
      <c r="Q578" s="45"/>
    </row>
    <row r="579" spans="3:17" x14ac:dyDescent="0.25">
      <c r="C579" s="38"/>
      <c r="D579" s="38"/>
      <c r="E579" s="39"/>
      <c r="F579" s="40"/>
      <c r="G579" s="37"/>
      <c r="H579" s="37"/>
      <c r="I579" s="37"/>
      <c r="J579" s="41"/>
      <c r="K579" s="41"/>
      <c r="L579" s="43"/>
      <c r="M579" s="43"/>
      <c r="N579" s="43"/>
      <c r="O579" s="43"/>
      <c r="P579" s="44"/>
      <c r="Q579" s="45"/>
    </row>
    <row r="580" spans="3:17" x14ac:dyDescent="0.25">
      <c r="C580" s="38"/>
      <c r="D580" s="38"/>
      <c r="E580" s="39"/>
      <c r="F580" s="40"/>
      <c r="G580" s="37"/>
      <c r="H580" s="37"/>
      <c r="I580" s="37"/>
      <c r="J580" s="41"/>
      <c r="K580" s="41"/>
      <c r="L580" s="43"/>
      <c r="M580" s="43"/>
      <c r="N580" s="43"/>
      <c r="O580" s="43"/>
      <c r="P580" s="44"/>
      <c r="Q580" s="45"/>
    </row>
    <row r="581" spans="3:17" x14ac:dyDescent="0.25">
      <c r="C581" s="38"/>
      <c r="D581" s="38"/>
      <c r="E581" s="39"/>
      <c r="F581" s="40"/>
      <c r="G581" s="37"/>
      <c r="H581" s="37"/>
      <c r="I581" s="37"/>
      <c r="J581" s="41"/>
      <c r="K581" s="41"/>
      <c r="L581" s="43"/>
      <c r="M581" s="43"/>
      <c r="N581" s="43"/>
      <c r="O581" s="43"/>
      <c r="P581" s="44"/>
      <c r="Q581" s="45"/>
    </row>
    <row r="582" spans="3:17" x14ac:dyDescent="0.25">
      <c r="C582" s="38"/>
      <c r="D582" s="38"/>
      <c r="E582" s="39"/>
      <c r="F582" s="40"/>
      <c r="G582" s="37"/>
      <c r="H582" s="37"/>
      <c r="I582" s="37"/>
      <c r="J582" s="41"/>
      <c r="K582" s="41"/>
      <c r="L582" s="43"/>
      <c r="M582" s="43"/>
      <c r="N582" s="43"/>
      <c r="O582" s="43"/>
      <c r="P582" s="44"/>
      <c r="Q582" s="45"/>
    </row>
    <row r="583" spans="3:17" x14ac:dyDescent="0.25">
      <c r="C583" s="38"/>
      <c r="D583" s="38"/>
      <c r="E583" s="39"/>
      <c r="F583" s="40"/>
      <c r="G583" s="37"/>
      <c r="H583" s="37"/>
      <c r="I583" s="37"/>
      <c r="J583" s="41"/>
      <c r="K583" s="41"/>
      <c r="L583" s="43"/>
      <c r="M583" s="43"/>
      <c r="N583" s="43"/>
      <c r="O583" s="43"/>
      <c r="P583" s="44"/>
      <c r="Q583" s="45"/>
    </row>
    <row r="584" spans="3:17" x14ac:dyDescent="0.25">
      <c r="C584" s="38"/>
      <c r="D584" s="38"/>
      <c r="E584" s="39"/>
      <c r="F584" s="40"/>
      <c r="G584" s="37"/>
      <c r="H584" s="37"/>
      <c r="I584" s="37"/>
      <c r="J584" s="41"/>
      <c r="K584" s="41"/>
      <c r="L584" s="43"/>
      <c r="M584" s="43"/>
      <c r="N584" s="43"/>
      <c r="O584" s="43"/>
      <c r="P584" s="44"/>
      <c r="Q584" s="45"/>
    </row>
    <row r="585" spans="3:17" x14ac:dyDescent="0.25">
      <c r="C585" s="38"/>
      <c r="D585" s="38"/>
      <c r="E585" s="39"/>
      <c r="F585" s="40"/>
      <c r="G585" s="37"/>
      <c r="H585" s="37"/>
      <c r="I585" s="37"/>
      <c r="J585" s="41"/>
      <c r="K585" s="41"/>
      <c r="L585" s="43"/>
      <c r="M585" s="43"/>
      <c r="N585" s="43"/>
      <c r="O585" s="43"/>
      <c r="P585" s="44"/>
      <c r="Q585" s="45"/>
    </row>
    <row r="586" spans="3:17" x14ac:dyDescent="0.25">
      <c r="C586" s="38"/>
      <c r="D586" s="38"/>
      <c r="E586" s="39"/>
      <c r="F586" s="40"/>
      <c r="G586" s="37"/>
      <c r="H586" s="37"/>
      <c r="I586" s="37"/>
      <c r="J586" s="41"/>
      <c r="K586" s="41"/>
      <c r="L586" s="43"/>
      <c r="M586" s="43"/>
      <c r="N586" s="43"/>
      <c r="O586" s="43"/>
      <c r="P586" s="44"/>
      <c r="Q586" s="45"/>
    </row>
    <row r="587" spans="3:17" x14ac:dyDescent="0.25">
      <c r="C587" s="38"/>
      <c r="D587" s="38"/>
      <c r="E587" s="39"/>
      <c r="F587" s="40"/>
      <c r="G587" s="37"/>
      <c r="H587" s="37"/>
      <c r="I587" s="37"/>
      <c r="J587" s="41"/>
      <c r="K587" s="41"/>
      <c r="L587" s="43"/>
      <c r="M587" s="43"/>
      <c r="N587" s="43"/>
      <c r="O587" s="43"/>
      <c r="P587" s="44"/>
      <c r="Q587" s="45"/>
    </row>
    <row r="588" spans="3:17" x14ac:dyDescent="0.25">
      <c r="C588" s="38"/>
      <c r="D588" s="38"/>
      <c r="E588" s="39"/>
      <c r="F588" s="40"/>
      <c r="G588" s="37"/>
      <c r="H588" s="37"/>
      <c r="I588" s="37"/>
      <c r="J588" s="41"/>
      <c r="K588" s="41"/>
      <c r="L588" s="43"/>
      <c r="M588" s="43"/>
      <c r="N588" s="43"/>
      <c r="O588" s="43"/>
      <c r="P588" s="44"/>
      <c r="Q588" s="45"/>
    </row>
    <row r="589" spans="3:17" x14ac:dyDescent="0.25">
      <c r="C589" s="38"/>
      <c r="D589" s="38"/>
      <c r="E589" s="39"/>
      <c r="F589" s="40"/>
      <c r="G589" s="37"/>
      <c r="H589" s="37"/>
      <c r="I589" s="37"/>
      <c r="J589" s="41"/>
      <c r="K589" s="41"/>
      <c r="L589" s="43"/>
      <c r="M589" s="43"/>
      <c r="N589" s="43"/>
      <c r="O589" s="43"/>
      <c r="P589" s="44"/>
      <c r="Q589" s="45"/>
    </row>
    <row r="590" spans="3:17" x14ac:dyDescent="0.25">
      <c r="C590" s="38"/>
      <c r="D590" s="38"/>
      <c r="E590" s="39"/>
      <c r="F590" s="40"/>
      <c r="G590" s="37"/>
      <c r="H590" s="37"/>
      <c r="I590" s="37"/>
      <c r="J590" s="41"/>
      <c r="K590" s="41"/>
      <c r="L590" s="43"/>
      <c r="M590" s="43"/>
      <c r="N590" s="43"/>
      <c r="O590" s="43"/>
      <c r="P590" s="44"/>
      <c r="Q590" s="45"/>
    </row>
    <row r="591" spans="3:17" x14ac:dyDescent="0.25">
      <c r="C591" s="38"/>
      <c r="D591" s="38"/>
      <c r="E591" s="39"/>
      <c r="F591" s="40"/>
      <c r="G591" s="37"/>
      <c r="H591" s="37"/>
      <c r="I591" s="37"/>
      <c r="J591" s="41"/>
      <c r="K591" s="41"/>
      <c r="L591" s="43"/>
      <c r="M591" s="43"/>
      <c r="N591" s="43"/>
      <c r="O591" s="43"/>
      <c r="P591" s="44"/>
      <c r="Q591" s="45"/>
    </row>
    <row r="592" spans="3:17" x14ac:dyDescent="0.25">
      <c r="C592" s="38"/>
      <c r="D592" s="38"/>
      <c r="E592" s="39"/>
      <c r="F592" s="40"/>
      <c r="G592" s="37"/>
      <c r="H592" s="37"/>
      <c r="I592" s="37"/>
      <c r="J592" s="41"/>
      <c r="K592" s="41"/>
      <c r="L592" s="43"/>
      <c r="M592" s="43"/>
      <c r="N592" s="43"/>
      <c r="O592" s="43"/>
      <c r="P592" s="44"/>
      <c r="Q592" s="45"/>
    </row>
    <row r="593" spans="3:17" x14ac:dyDescent="0.25">
      <c r="C593" s="38"/>
      <c r="D593" s="38"/>
      <c r="E593" s="39"/>
      <c r="F593" s="40"/>
      <c r="G593" s="37"/>
      <c r="H593" s="37"/>
      <c r="I593" s="37"/>
      <c r="J593" s="41"/>
      <c r="K593" s="41"/>
      <c r="L593" s="43"/>
      <c r="M593" s="43"/>
      <c r="N593" s="43"/>
      <c r="O593" s="43"/>
      <c r="P593" s="44"/>
      <c r="Q593" s="45"/>
    </row>
    <row r="594" spans="3:17" x14ac:dyDescent="0.25">
      <c r="C594" s="38"/>
      <c r="D594" s="38"/>
      <c r="E594" s="39"/>
      <c r="F594" s="40"/>
      <c r="G594" s="37"/>
      <c r="H594" s="37"/>
      <c r="I594" s="37"/>
      <c r="J594" s="41"/>
      <c r="K594" s="41"/>
      <c r="L594" s="43"/>
      <c r="M594" s="43"/>
      <c r="N594" s="43"/>
      <c r="O594" s="43"/>
      <c r="P594" s="44"/>
      <c r="Q594" s="45"/>
    </row>
    <row r="595" spans="3:17" x14ac:dyDescent="0.25">
      <c r="C595" s="38"/>
      <c r="D595" s="38"/>
      <c r="E595" s="39"/>
      <c r="F595" s="40"/>
      <c r="G595" s="37"/>
      <c r="H595" s="37"/>
      <c r="I595" s="37"/>
      <c r="J595" s="41"/>
      <c r="K595" s="41"/>
      <c r="L595" s="43"/>
      <c r="M595" s="43"/>
      <c r="N595" s="43"/>
      <c r="O595" s="43"/>
      <c r="P595" s="44"/>
      <c r="Q595" s="45"/>
    </row>
    <row r="596" spans="3:17" x14ac:dyDescent="0.25">
      <c r="C596" s="38"/>
      <c r="D596" s="38"/>
      <c r="E596" s="39"/>
      <c r="F596" s="40"/>
      <c r="G596" s="37"/>
      <c r="H596" s="37"/>
      <c r="I596" s="37"/>
      <c r="J596" s="41"/>
      <c r="K596" s="41"/>
      <c r="L596" s="43"/>
      <c r="M596" s="43"/>
      <c r="N596" s="43"/>
      <c r="O596" s="43"/>
      <c r="P596" s="44"/>
      <c r="Q596" s="45"/>
    </row>
    <row r="597" spans="3:17" x14ac:dyDescent="0.25">
      <c r="C597" s="38"/>
      <c r="D597" s="38"/>
      <c r="E597" s="39"/>
      <c r="F597" s="40"/>
      <c r="G597" s="37"/>
      <c r="H597" s="37"/>
      <c r="I597" s="37"/>
      <c r="J597" s="41"/>
      <c r="K597" s="41"/>
      <c r="L597" s="43"/>
      <c r="M597" s="43"/>
      <c r="N597" s="43"/>
      <c r="O597" s="43"/>
      <c r="P597" s="44"/>
      <c r="Q597" s="45"/>
    </row>
    <row r="598" spans="3:17" x14ac:dyDescent="0.25">
      <c r="C598" s="38"/>
      <c r="D598" s="38"/>
      <c r="E598" s="39"/>
      <c r="F598" s="40"/>
      <c r="G598" s="37"/>
      <c r="H598" s="37"/>
      <c r="I598" s="37"/>
      <c r="J598" s="41"/>
      <c r="K598" s="41"/>
      <c r="L598" s="43"/>
      <c r="M598" s="43"/>
      <c r="N598" s="43"/>
      <c r="O598" s="43"/>
      <c r="P598" s="44"/>
      <c r="Q598" s="45"/>
    </row>
    <row r="599" spans="3:17" x14ac:dyDescent="0.25">
      <c r="C599" s="38"/>
      <c r="D599" s="38"/>
      <c r="E599" s="39"/>
      <c r="F599" s="40"/>
      <c r="G599" s="37"/>
      <c r="H599" s="37"/>
      <c r="I599" s="37"/>
      <c r="J599" s="41"/>
      <c r="K599" s="41"/>
      <c r="L599" s="43"/>
      <c r="M599" s="43"/>
      <c r="N599" s="43"/>
      <c r="O599" s="43"/>
      <c r="P599" s="44"/>
      <c r="Q599" s="45"/>
    </row>
    <row r="600" spans="3:17" x14ac:dyDescent="0.25">
      <c r="C600" s="38"/>
      <c r="D600" s="38"/>
      <c r="E600" s="39"/>
      <c r="F600" s="40"/>
      <c r="G600" s="37"/>
      <c r="H600" s="37"/>
      <c r="I600" s="37"/>
      <c r="J600" s="41"/>
      <c r="K600" s="41"/>
      <c r="L600" s="43"/>
      <c r="M600" s="43"/>
      <c r="N600" s="43"/>
      <c r="O600" s="43"/>
      <c r="P600" s="44"/>
      <c r="Q600" s="45"/>
    </row>
    <row r="601" spans="3:17" x14ac:dyDescent="0.25">
      <c r="C601" s="38"/>
      <c r="D601" s="38"/>
      <c r="E601" s="39"/>
      <c r="F601" s="40"/>
      <c r="G601" s="37"/>
      <c r="H601" s="37"/>
      <c r="I601" s="37"/>
      <c r="J601" s="41"/>
      <c r="K601" s="41"/>
      <c r="L601" s="43"/>
      <c r="M601" s="43"/>
      <c r="N601" s="43"/>
      <c r="O601" s="43"/>
      <c r="P601" s="44"/>
      <c r="Q601" s="45"/>
    </row>
    <row r="602" spans="3:17" x14ac:dyDescent="0.25">
      <c r="C602" s="38"/>
      <c r="D602" s="38"/>
      <c r="E602" s="39"/>
      <c r="F602" s="40"/>
      <c r="G602" s="37"/>
      <c r="H602" s="37"/>
      <c r="I602" s="37"/>
      <c r="J602" s="41"/>
      <c r="K602" s="41"/>
      <c r="L602" s="43"/>
      <c r="M602" s="43"/>
      <c r="N602" s="43"/>
      <c r="O602" s="43"/>
      <c r="P602" s="44"/>
      <c r="Q602" s="45"/>
    </row>
    <row r="603" spans="3:17" x14ac:dyDescent="0.25">
      <c r="C603" s="38"/>
      <c r="D603" s="38"/>
      <c r="E603" s="39"/>
      <c r="F603" s="40"/>
      <c r="G603" s="37"/>
      <c r="H603" s="37"/>
      <c r="I603" s="37"/>
      <c r="J603" s="41"/>
      <c r="K603" s="41"/>
      <c r="L603" s="43"/>
      <c r="M603" s="43"/>
      <c r="N603" s="43"/>
      <c r="O603" s="43"/>
      <c r="P603" s="44"/>
      <c r="Q603" s="45"/>
    </row>
    <row r="604" spans="3:17" x14ac:dyDescent="0.25">
      <c r="C604" s="38"/>
      <c r="D604" s="38"/>
      <c r="E604" s="39"/>
      <c r="F604" s="40"/>
      <c r="G604" s="37"/>
      <c r="H604" s="37"/>
      <c r="I604" s="37"/>
      <c r="J604" s="41"/>
      <c r="K604" s="41"/>
      <c r="L604" s="43"/>
      <c r="M604" s="43"/>
      <c r="N604" s="43"/>
      <c r="O604" s="43"/>
      <c r="P604" s="44"/>
      <c r="Q604" s="45"/>
    </row>
    <row r="605" spans="3:17" x14ac:dyDescent="0.25">
      <c r="C605" s="38"/>
      <c r="D605" s="38"/>
      <c r="E605" s="39"/>
      <c r="F605" s="40"/>
      <c r="G605" s="37"/>
      <c r="H605" s="37"/>
      <c r="I605" s="37"/>
      <c r="J605" s="41"/>
      <c r="K605" s="41"/>
      <c r="L605" s="43"/>
      <c r="M605" s="43"/>
      <c r="N605" s="43"/>
      <c r="O605" s="43"/>
      <c r="P605" s="44"/>
      <c r="Q605" s="45"/>
    </row>
    <row r="606" spans="3:17" x14ac:dyDescent="0.25">
      <c r="C606" s="38"/>
      <c r="D606" s="38"/>
      <c r="E606" s="39"/>
      <c r="F606" s="40"/>
      <c r="G606" s="37"/>
      <c r="H606" s="37"/>
      <c r="I606" s="37"/>
      <c r="J606" s="41"/>
      <c r="K606" s="41"/>
      <c r="L606" s="43"/>
      <c r="M606" s="43"/>
      <c r="N606" s="43"/>
      <c r="O606" s="43"/>
      <c r="P606" s="44"/>
      <c r="Q606" s="45"/>
    </row>
    <row r="607" spans="3:17" x14ac:dyDescent="0.25">
      <c r="C607" s="38"/>
      <c r="D607" s="38"/>
      <c r="E607" s="39"/>
      <c r="F607" s="40"/>
      <c r="G607" s="37"/>
      <c r="H607" s="37"/>
      <c r="I607" s="37"/>
      <c r="J607" s="41"/>
      <c r="K607" s="41"/>
      <c r="L607" s="43"/>
      <c r="M607" s="43"/>
      <c r="N607" s="43"/>
      <c r="O607" s="43"/>
      <c r="P607" s="44"/>
      <c r="Q607" s="45"/>
    </row>
    <row r="608" spans="3:17" x14ac:dyDescent="0.25">
      <c r="C608" s="38"/>
      <c r="D608" s="38"/>
      <c r="E608" s="39"/>
      <c r="F608" s="40"/>
      <c r="G608" s="37"/>
      <c r="H608" s="37"/>
      <c r="I608" s="37"/>
      <c r="J608" s="41"/>
      <c r="K608" s="41"/>
      <c r="L608" s="43"/>
      <c r="M608" s="43"/>
      <c r="N608" s="43"/>
      <c r="O608" s="43"/>
      <c r="P608" s="44"/>
      <c r="Q608" s="45"/>
    </row>
    <row r="609" spans="3:17" x14ac:dyDescent="0.25">
      <c r="C609" s="38"/>
      <c r="D609" s="38"/>
      <c r="E609" s="39"/>
      <c r="F609" s="40"/>
      <c r="G609" s="37"/>
      <c r="H609" s="37"/>
      <c r="I609" s="37"/>
      <c r="J609" s="41"/>
      <c r="K609" s="41"/>
      <c r="L609" s="43"/>
      <c r="M609" s="43"/>
      <c r="N609" s="43"/>
      <c r="O609" s="43"/>
      <c r="P609" s="44"/>
      <c r="Q609" s="45"/>
    </row>
    <row r="610" spans="3:17" x14ac:dyDescent="0.25">
      <c r="C610" s="38"/>
      <c r="D610" s="38"/>
      <c r="E610" s="39"/>
      <c r="F610" s="40"/>
      <c r="G610" s="37"/>
      <c r="H610" s="37"/>
      <c r="I610" s="37"/>
      <c r="J610" s="41"/>
      <c r="K610" s="41"/>
      <c r="L610" s="43"/>
      <c r="M610" s="43"/>
      <c r="N610" s="43"/>
      <c r="O610" s="43"/>
      <c r="P610" s="44"/>
      <c r="Q610" s="45"/>
    </row>
    <row r="611" spans="3:17" x14ac:dyDescent="0.25">
      <c r="C611" s="38"/>
      <c r="D611" s="38"/>
      <c r="E611" s="39"/>
      <c r="F611" s="40"/>
      <c r="G611" s="37"/>
      <c r="H611" s="37"/>
      <c r="I611" s="37"/>
      <c r="J611" s="41"/>
      <c r="K611" s="41"/>
      <c r="L611" s="43"/>
      <c r="M611" s="43"/>
      <c r="N611" s="43"/>
      <c r="O611" s="43"/>
      <c r="P611" s="44"/>
      <c r="Q611" s="45"/>
    </row>
    <row r="612" spans="3:17" x14ac:dyDescent="0.25">
      <c r="C612" s="38"/>
      <c r="D612" s="38"/>
      <c r="E612" s="39"/>
      <c r="F612" s="40"/>
      <c r="G612" s="37"/>
      <c r="H612" s="37"/>
      <c r="I612" s="37"/>
      <c r="J612" s="41"/>
      <c r="K612" s="41"/>
      <c r="L612" s="43"/>
      <c r="M612" s="43"/>
      <c r="N612" s="43"/>
      <c r="O612" s="43"/>
      <c r="P612" s="44"/>
      <c r="Q612" s="45"/>
    </row>
    <row r="613" spans="3:17" x14ac:dyDescent="0.25">
      <c r="C613" s="38"/>
      <c r="D613" s="38"/>
      <c r="E613" s="39"/>
      <c r="F613" s="40"/>
      <c r="G613" s="37"/>
      <c r="H613" s="37"/>
      <c r="I613" s="37"/>
      <c r="J613" s="41"/>
      <c r="K613" s="41"/>
      <c r="L613" s="43"/>
      <c r="M613" s="43"/>
      <c r="N613" s="43"/>
      <c r="O613" s="43"/>
      <c r="P613" s="44"/>
      <c r="Q613" s="45"/>
    </row>
    <row r="614" spans="3:17" x14ac:dyDescent="0.25">
      <c r="C614" s="38"/>
      <c r="D614" s="38"/>
      <c r="E614" s="39"/>
      <c r="F614" s="40"/>
      <c r="G614" s="37"/>
      <c r="H614" s="37"/>
      <c r="I614" s="37"/>
      <c r="J614" s="41"/>
      <c r="K614" s="41"/>
      <c r="L614" s="43"/>
      <c r="M614" s="43"/>
      <c r="N614" s="43"/>
      <c r="O614" s="43"/>
      <c r="P614" s="44"/>
      <c r="Q614" s="45"/>
    </row>
    <row r="615" spans="3:17" x14ac:dyDescent="0.25">
      <c r="C615" s="38"/>
      <c r="D615" s="38"/>
      <c r="E615" s="39"/>
      <c r="F615" s="40"/>
      <c r="G615" s="37"/>
      <c r="H615" s="37"/>
      <c r="I615" s="37"/>
      <c r="J615" s="41"/>
      <c r="K615" s="41"/>
      <c r="L615" s="43"/>
      <c r="M615" s="43"/>
      <c r="N615" s="43"/>
      <c r="O615" s="43"/>
      <c r="P615" s="44"/>
      <c r="Q615" s="45"/>
    </row>
    <row r="616" spans="3:17" x14ac:dyDescent="0.25">
      <c r="C616" s="38"/>
      <c r="D616" s="38"/>
      <c r="E616" s="39"/>
      <c r="F616" s="40"/>
      <c r="G616" s="37"/>
      <c r="H616" s="37"/>
      <c r="I616" s="37"/>
      <c r="J616" s="41"/>
      <c r="K616" s="41"/>
      <c r="L616" s="43"/>
      <c r="M616" s="43"/>
      <c r="N616" s="43"/>
      <c r="O616" s="43"/>
      <c r="P616" s="44"/>
      <c r="Q616" s="45"/>
    </row>
    <row r="617" spans="3:17" x14ac:dyDescent="0.25">
      <c r="C617" s="38"/>
      <c r="D617" s="38"/>
      <c r="E617" s="39"/>
      <c r="F617" s="40"/>
      <c r="G617" s="37"/>
      <c r="H617" s="37"/>
      <c r="I617" s="37"/>
      <c r="J617" s="41"/>
      <c r="K617" s="41"/>
      <c r="L617" s="43"/>
      <c r="M617" s="43"/>
      <c r="N617" s="43"/>
      <c r="O617" s="43"/>
      <c r="P617" s="44"/>
      <c r="Q617" s="45"/>
    </row>
    <row r="618" spans="3:17" x14ac:dyDescent="0.25">
      <c r="C618" s="38"/>
      <c r="D618" s="38"/>
      <c r="E618" s="39"/>
      <c r="F618" s="40"/>
      <c r="G618" s="37"/>
      <c r="H618" s="37"/>
      <c r="I618" s="37"/>
      <c r="J618" s="41"/>
      <c r="K618" s="41"/>
      <c r="L618" s="43"/>
      <c r="M618" s="43"/>
      <c r="N618" s="43"/>
      <c r="O618" s="43"/>
      <c r="P618" s="44"/>
      <c r="Q618" s="45"/>
    </row>
    <row r="619" spans="3:17" x14ac:dyDescent="0.25">
      <c r="C619" s="38"/>
      <c r="D619" s="38"/>
      <c r="E619" s="39"/>
      <c r="F619" s="40"/>
      <c r="G619" s="37"/>
      <c r="H619" s="37"/>
      <c r="I619" s="37"/>
      <c r="J619" s="41"/>
      <c r="K619" s="41"/>
      <c r="L619" s="43"/>
      <c r="M619" s="43"/>
      <c r="N619" s="43"/>
      <c r="O619" s="43"/>
      <c r="P619" s="44"/>
      <c r="Q619" s="45"/>
    </row>
    <row r="620" spans="3:17" x14ac:dyDescent="0.25">
      <c r="C620" s="38"/>
      <c r="D620" s="38"/>
      <c r="E620" s="39"/>
      <c r="F620" s="40"/>
      <c r="G620" s="37"/>
      <c r="H620" s="37"/>
      <c r="I620" s="37"/>
      <c r="J620" s="41"/>
      <c r="K620" s="41"/>
      <c r="L620" s="43"/>
      <c r="M620" s="43"/>
      <c r="N620" s="43"/>
      <c r="O620" s="43"/>
      <c r="P620" s="44"/>
      <c r="Q620" s="45"/>
    </row>
    <row r="621" spans="3:17" x14ac:dyDescent="0.25">
      <c r="C621" s="38"/>
      <c r="D621" s="38"/>
      <c r="E621" s="39"/>
      <c r="F621" s="40"/>
      <c r="G621" s="37"/>
      <c r="H621" s="37"/>
      <c r="I621" s="37"/>
      <c r="J621" s="41"/>
      <c r="K621" s="41"/>
      <c r="L621" s="43"/>
      <c r="M621" s="43"/>
      <c r="N621" s="43"/>
      <c r="O621" s="43"/>
      <c r="P621" s="44"/>
      <c r="Q621" s="45"/>
    </row>
    <row r="622" spans="3:17" x14ac:dyDescent="0.25">
      <c r="C622" s="38"/>
      <c r="D622" s="38"/>
      <c r="E622" s="39"/>
      <c r="F622" s="40"/>
      <c r="G622" s="37"/>
      <c r="H622" s="37"/>
      <c r="I622" s="37"/>
      <c r="J622" s="41"/>
      <c r="K622" s="41"/>
      <c r="L622" s="43"/>
      <c r="M622" s="43"/>
      <c r="N622" s="43"/>
      <c r="O622" s="43"/>
      <c r="P622" s="44"/>
      <c r="Q622" s="45"/>
    </row>
    <row r="623" spans="3:17" x14ac:dyDescent="0.25">
      <c r="C623" s="38"/>
      <c r="D623" s="38"/>
      <c r="E623" s="39"/>
      <c r="F623" s="40"/>
      <c r="G623" s="37"/>
      <c r="H623" s="37"/>
      <c r="I623" s="37"/>
      <c r="J623" s="41"/>
      <c r="K623" s="41"/>
      <c r="L623" s="43"/>
      <c r="M623" s="43"/>
      <c r="N623" s="43"/>
      <c r="O623" s="43"/>
      <c r="P623" s="44"/>
      <c r="Q623" s="45"/>
    </row>
    <row r="624" spans="3:17" x14ac:dyDescent="0.25">
      <c r="C624" s="38"/>
      <c r="D624" s="38"/>
      <c r="E624" s="39"/>
      <c r="F624" s="40"/>
      <c r="G624" s="37"/>
      <c r="H624" s="37"/>
      <c r="I624" s="37"/>
      <c r="J624" s="41"/>
      <c r="K624" s="41"/>
      <c r="L624" s="43"/>
      <c r="M624" s="43"/>
      <c r="N624" s="43"/>
      <c r="O624" s="43"/>
      <c r="P624" s="44"/>
      <c r="Q624" s="45"/>
    </row>
    <row r="625" spans="3:17" x14ac:dyDescent="0.25">
      <c r="C625" s="38"/>
      <c r="D625" s="38"/>
      <c r="E625" s="39"/>
      <c r="F625" s="40"/>
      <c r="G625" s="37"/>
      <c r="H625" s="37"/>
      <c r="I625" s="37"/>
      <c r="J625" s="41"/>
      <c r="K625" s="41"/>
      <c r="L625" s="43"/>
      <c r="M625" s="43"/>
      <c r="N625" s="43"/>
      <c r="O625" s="43"/>
      <c r="P625" s="44"/>
      <c r="Q625" s="45"/>
    </row>
    <row r="626" spans="3:17" x14ac:dyDescent="0.25">
      <c r="C626" s="38"/>
      <c r="D626" s="38"/>
      <c r="E626" s="39"/>
      <c r="F626" s="40"/>
      <c r="G626" s="37"/>
      <c r="H626" s="37"/>
      <c r="I626" s="37"/>
      <c r="J626" s="41"/>
      <c r="K626" s="41"/>
      <c r="L626" s="43"/>
      <c r="M626" s="43"/>
      <c r="N626" s="43"/>
      <c r="O626" s="43"/>
      <c r="P626" s="44"/>
      <c r="Q626" s="45"/>
    </row>
    <row r="627" spans="3:17" x14ac:dyDescent="0.25">
      <c r="C627" s="38"/>
      <c r="D627" s="38"/>
      <c r="E627" s="39"/>
      <c r="F627" s="40"/>
      <c r="G627" s="37"/>
      <c r="H627" s="37"/>
      <c r="I627" s="37"/>
      <c r="J627" s="41"/>
      <c r="K627" s="41"/>
      <c r="L627" s="43"/>
      <c r="M627" s="43"/>
      <c r="N627" s="43"/>
      <c r="O627" s="43"/>
      <c r="P627" s="44"/>
      <c r="Q627" s="45"/>
    </row>
    <row r="628" spans="3:17" x14ac:dyDescent="0.25">
      <c r="C628" s="38"/>
      <c r="D628" s="38"/>
      <c r="E628" s="39"/>
      <c r="F628" s="40"/>
      <c r="G628" s="37"/>
      <c r="H628" s="37"/>
      <c r="I628" s="37"/>
      <c r="J628" s="41"/>
      <c r="K628" s="41"/>
      <c r="L628" s="43"/>
      <c r="M628" s="43"/>
      <c r="N628" s="43"/>
      <c r="O628" s="43"/>
      <c r="P628" s="44"/>
      <c r="Q628" s="45"/>
    </row>
    <row r="629" spans="3:17" x14ac:dyDescent="0.25">
      <c r="C629" s="38"/>
      <c r="D629" s="38"/>
      <c r="E629" s="39"/>
      <c r="F629" s="40"/>
      <c r="G629" s="37"/>
      <c r="H629" s="37"/>
      <c r="I629" s="37"/>
      <c r="J629" s="41"/>
      <c r="K629" s="41"/>
      <c r="L629" s="43"/>
      <c r="M629" s="43"/>
      <c r="N629" s="43"/>
      <c r="O629" s="43"/>
      <c r="P629" s="44"/>
      <c r="Q629" s="45"/>
    </row>
    <row r="630" spans="3:17" x14ac:dyDescent="0.25">
      <c r="C630" s="38"/>
      <c r="D630" s="38"/>
      <c r="E630" s="39"/>
      <c r="F630" s="40"/>
      <c r="G630" s="37"/>
      <c r="H630" s="37"/>
      <c r="I630" s="37"/>
      <c r="J630" s="41"/>
      <c r="K630" s="41"/>
      <c r="L630" s="43"/>
      <c r="M630" s="43"/>
      <c r="N630" s="43"/>
      <c r="O630" s="43"/>
      <c r="P630" s="44"/>
      <c r="Q630" s="45"/>
    </row>
    <row r="631" spans="3:17" x14ac:dyDescent="0.25">
      <c r="C631" s="38"/>
      <c r="D631" s="38"/>
      <c r="E631" s="39"/>
      <c r="F631" s="40"/>
      <c r="G631" s="37"/>
      <c r="H631" s="37"/>
      <c r="I631" s="37"/>
      <c r="J631" s="41"/>
      <c r="K631" s="41"/>
      <c r="L631" s="43"/>
      <c r="M631" s="43"/>
      <c r="N631" s="43"/>
      <c r="O631" s="43"/>
      <c r="P631" s="44"/>
      <c r="Q631" s="45"/>
    </row>
    <row r="632" spans="3:17" x14ac:dyDescent="0.25">
      <c r="C632" s="38"/>
      <c r="D632" s="38"/>
      <c r="E632" s="39"/>
      <c r="F632" s="40"/>
      <c r="G632" s="37"/>
      <c r="H632" s="37"/>
      <c r="I632" s="37"/>
      <c r="J632" s="41"/>
      <c r="K632" s="41"/>
      <c r="L632" s="43"/>
      <c r="M632" s="43"/>
      <c r="N632" s="43"/>
      <c r="O632" s="43"/>
      <c r="P632" s="44"/>
      <c r="Q632" s="45"/>
    </row>
    <row r="633" spans="3:17" x14ac:dyDescent="0.25">
      <c r="C633" s="38"/>
      <c r="D633" s="38"/>
      <c r="E633" s="39"/>
      <c r="F633" s="40"/>
      <c r="G633" s="37"/>
      <c r="H633" s="37"/>
      <c r="I633" s="37"/>
      <c r="J633" s="41"/>
      <c r="K633" s="41"/>
      <c r="L633" s="43"/>
      <c r="M633" s="43"/>
      <c r="N633" s="43"/>
      <c r="O633" s="43"/>
      <c r="P633" s="44"/>
      <c r="Q633" s="45"/>
    </row>
    <row r="634" spans="3:17" x14ac:dyDescent="0.25">
      <c r="C634" s="38"/>
      <c r="D634" s="38"/>
      <c r="E634" s="39"/>
      <c r="F634" s="40"/>
      <c r="G634" s="37"/>
      <c r="H634" s="37"/>
      <c r="I634" s="37"/>
      <c r="J634" s="41"/>
      <c r="K634" s="41"/>
      <c r="L634" s="43"/>
      <c r="M634" s="43"/>
      <c r="N634" s="43"/>
      <c r="O634" s="43"/>
      <c r="P634" s="44"/>
      <c r="Q634" s="45"/>
    </row>
    <row r="635" spans="3:17" x14ac:dyDescent="0.25">
      <c r="C635" s="38"/>
      <c r="D635" s="38"/>
      <c r="E635" s="39"/>
      <c r="F635" s="40"/>
      <c r="G635" s="37"/>
      <c r="H635" s="37"/>
      <c r="I635" s="37"/>
      <c r="J635" s="41"/>
      <c r="K635" s="41"/>
      <c r="L635" s="43"/>
      <c r="M635" s="43"/>
      <c r="N635" s="43"/>
      <c r="O635" s="43"/>
      <c r="P635" s="44"/>
      <c r="Q635" s="45"/>
    </row>
    <row r="636" spans="3:17" x14ac:dyDescent="0.25">
      <c r="C636" s="38"/>
      <c r="D636" s="38"/>
      <c r="E636" s="39"/>
      <c r="F636" s="40"/>
      <c r="G636" s="37"/>
      <c r="H636" s="37"/>
      <c r="I636" s="37"/>
      <c r="J636" s="41"/>
      <c r="K636" s="41"/>
      <c r="L636" s="43"/>
      <c r="M636" s="43"/>
      <c r="N636" s="43"/>
      <c r="O636" s="43"/>
      <c r="P636" s="44"/>
      <c r="Q636" s="45"/>
    </row>
    <row r="637" spans="3:17" x14ac:dyDescent="0.25">
      <c r="C637" s="38"/>
      <c r="D637" s="38"/>
      <c r="E637" s="39"/>
      <c r="F637" s="40"/>
      <c r="G637" s="37"/>
      <c r="H637" s="37"/>
      <c r="I637" s="37"/>
      <c r="J637" s="41"/>
      <c r="K637" s="41"/>
      <c r="L637" s="43"/>
      <c r="M637" s="43"/>
      <c r="N637" s="43"/>
      <c r="O637" s="43"/>
      <c r="P637" s="44"/>
      <c r="Q637" s="45"/>
    </row>
    <row r="638" spans="3:17" x14ac:dyDescent="0.25">
      <c r="C638" s="38"/>
      <c r="D638" s="38"/>
      <c r="E638" s="39"/>
      <c r="F638" s="40"/>
      <c r="G638" s="37"/>
      <c r="H638" s="37"/>
      <c r="I638" s="37"/>
      <c r="J638" s="41"/>
      <c r="K638" s="41"/>
      <c r="L638" s="43"/>
      <c r="M638" s="43"/>
      <c r="N638" s="43"/>
      <c r="O638" s="43"/>
      <c r="P638" s="44"/>
      <c r="Q638" s="45"/>
    </row>
    <row r="639" spans="3:17" x14ac:dyDescent="0.25">
      <c r="C639" s="38"/>
      <c r="D639" s="38"/>
      <c r="E639" s="39"/>
      <c r="F639" s="40"/>
      <c r="G639" s="37"/>
      <c r="H639" s="37"/>
      <c r="I639" s="37"/>
      <c r="J639" s="41"/>
      <c r="K639" s="41"/>
      <c r="L639" s="43"/>
      <c r="M639" s="43"/>
      <c r="N639" s="43"/>
      <c r="O639" s="43"/>
      <c r="P639" s="44"/>
      <c r="Q639" s="45"/>
    </row>
    <row r="640" spans="3:17" x14ac:dyDescent="0.25">
      <c r="C640" s="38"/>
      <c r="D640" s="38"/>
      <c r="E640" s="39"/>
      <c r="F640" s="40"/>
      <c r="G640" s="37"/>
      <c r="H640" s="37"/>
      <c r="I640" s="37"/>
      <c r="J640" s="41"/>
      <c r="K640" s="41"/>
      <c r="L640" s="43"/>
      <c r="M640" s="43"/>
      <c r="N640" s="43"/>
      <c r="O640" s="43"/>
      <c r="P640" s="44"/>
      <c r="Q640" s="45"/>
    </row>
    <row r="641" spans="3:17" x14ac:dyDescent="0.25">
      <c r="C641" s="38"/>
      <c r="D641" s="38"/>
      <c r="E641" s="39"/>
      <c r="F641" s="40"/>
      <c r="G641" s="37"/>
      <c r="H641" s="37"/>
      <c r="I641" s="37"/>
      <c r="J641" s="41"/>
      <c r="K641" s="41"/>
      <c r="L641" s="43"/>
      <c r="M641" s="43"/>
      <c r="N641" s="43"/>
      <c r="O641" s="43"/>
      <c r="P641" s="44"/>
      <c r="Q641" s="45"/>
    </row>
    <row r="642" spans="3:17" x14ac:dyDescent="0.25">
      <c r="C642" s="38"/>
      <c r="D642" s="38"/>
      <c r="E642" s="39"/>
      <c r="F642" s="40"/>
      <c r="G642" s="37"/>
      <c r="H642" s="37"/>
      <c r="I642" s="37"/>
      <c r="J642" s="41"/>
      <c r="K642" s="41"/>
      <c r="L642" s="43"/>
      <c r="M642" s="43"/>
      <c r="N642" s="43"/>
      <c r="O642" s="43"/>
      <c r="P642" s="44"/>
      <c r="Q642" s="45"/>
    </row>
    <row r="643" spans="3:17" x14ac:dyDescent="0.25">
      <c r="C643" s="38"/>
      <c r="D643" s="38"/>
      <c r="E643" s="39"/>
      <c r="F643" s="40"/>
      <c r="G643" s="37"/>
      <c r="H643" s="37"/>
      <c r="I643" s="37"/>
      <c r="J643" s="41"/>
      <c r="K643" s="41"/>
      <c r="L643" s="43"/>
      <c r="M643" s="43"/>
      <c r="N643" s="43"/>
      <c r="O643" s="43"/>
      <c r="P643" s="44"/>
      <c r="Q643" s="45"/>
    </row>
    <row r="644" spans="3:17" x14ac:dyDescent="0.25">
      <c r="C644" s="38"/>
      <c r="D644" s="38"/>
      <c r="E644" s="39"/>
      <c r="F644" s="40"/>
      <c r="G644" s="37"/>
      <c r="H644" s="37"/>
      <c r="I644" s="37"/>
      <c r="J644" s="41"/>
      <c r="K644" s="41"/>
      <c r="L644" s="43"/>
      <c r="M644" s="43"/>
      <c r="N644" s="43"/>
      <c r="O644" s="43"/>
      <c r="P644" s="44"/>
      <c r="Q644" s="45"/>
    </row>
    <row r="645" spans="3:17" x14ac:dyDescent="0.25">
      <c r="C645" s="38"/>
      <c r="D645" s="38"/>
      <c r="E645" s="39"/>
      <c r="F645" s="40"/>
      <c r="G645" s="37"/>
      <c r="H645" s="37"/>
      <c r="I645" s="37"/>
      <c r="J645" s="41"/>
      <c r="K645" s="41"/>
      <c r="L645" s="43"/>
      <c r="M645" s="43"/>
      <c r="N645" s="43"/>
      <c r="O645" s="43"/>
      <c r="P645" s="44"/>
      <c r="Q645" s="45"/>
    </row>
    <row r="646" spans="3:17" x14ac:dyDescent="0.25">
      <c r="C646" s="38"/>
      <c r="D646" s="38"/>
      <c r="E646" s="39"/>
      <c r="F646" s="40"/>
      <c r="G646" s="37"/>
      <c r="H646" s="37"/>
      <c r="I646" s="37"/>
      <c r="J646" s="41"/>
      <c r="K646" s="41"/>
      <c r="L646" s="43"/>
      <c r="M646" s="43"/>
      <c r="N646" s="43"/>
      <c r="O646" s="43"/>
      <c r="P646" s="44"/>
      <c r="Q646" s="45"/>
    </row>
    <row r="647" spans="3:17" x14ac:dyDescent="0.25">
      <c r="C647" s="38"/>
      <c r="D647" s="38"/>
      <c r="E647" s="39"/>
      <c r="F647" s="40"/>
      <c r="G647" s="37"/>
      <c r="H647" s="37"/>
      <c r="I647" s="37"/>
      <c r="J647" s="41"/>
      <c r="K647" s="41"/>
      <c r="L647" s="43"/>
      <c r="M647" s="43"/>
      <c r="N647" s="43"/>
      <c r="O647" s="43"/>
      <c r="P647" s="44"/>
      <c r="Q647" s="45"/>
    </row>
    <row r="648" spans="3:17" x14ac:dyDescent="0.25">
      <c r="C648" s="38"/>
      <c r="D648" s="38"/>
      <c r="E648" s="39"/>
      <c r="F648" s="40"/>
      <c r="G648" s="37"/>
      <c r="H648" s="37"/>
      <c r="I648" s="37"/>
      <c r="J648" s="41"/>
      <c r="K648" s="41"/>
      <c r="L648" s="43"/>
      <c r="M648" s="43"/>
      <c r="N648" s="43"/>
      <c r="O648" s="43"/>
      <c r="P648" s="44"/>
      <c r="Q648" s="45"/>
    </row>
    <row r="649" spans="3:17" x14ac:dyDescent="0.25">
      <c r="C649" s="38"/>
      <c r="D649" s="38"/>
      <c r="E649" s="39"/>
      <c r="F649" s="40"/>
      <c r="G649" s="37"/>
      <c r="H649" s="37"/>
      <c r="I649" s="37"/>
      <c r="J649" s="41"/>
      <c r="K649" s="41"/>
      <c r="L649" s="43"/>
      <c r="M649" s="43"/>
      <c r="N649" s="43"/>
      <c r="O649" s="43"/>
      <c r="P649" s="44"/>
      <c r="Q649" s="45"/>
    </row>
    <row r="650" spans="3:17" x14ac:dyDescent="0.25">
      <c r="C650" s="38"/>
      <c r="D650" s="38"/>
      <c r="E650" s="39"/>
      <c r="F650" s="40"/>
      <c r="G650" s="37"/>
      <c r="H650" s="37"/>
      <c r="I650" s="37"/>
      <c r="J650" s="41"/>
      <c r="K650" s="41"/>
      <c r="L650" s="43"/>
      <c r="M650" s="43"/>
      <c r="N650" s="43"/>
      <c r="O650" s="43"/>
      <c r="P650" s="44"/>
      <c r="Q650" s="45"/>
    </row>
    <row r="651" spans="3:17" x14ac:dyDescent="0.25">
      <c r="C651" s="38"/>
      <c r="D651" s="38"/>
      <c r="E651" s="39"/>
      <c r="F651" s="40"/>
      <c r="G651" s="37"/>
      <c r="H651" s="37"/>
      <c r="I651" s="37"/>
      <c r="J651" s="41"/>
      <c r="K651" s="41"/>
      <c r="L651" s="43"/>
      <c r="M651" s="43"/>
      <c r="N651" s="43"/>
      <c r="O651" s="43"/>
      <c r="P651" s="44"/>
      <c r="Q651" s="45"/>
    </row>
    <row r="652" spans="3:17" x14ac:dyDescent="0.25">
      <c r="C652" s="38"/>
      <c r="D652" s="38"/>
      <c r="E652" s="39"/>
      <c r="F652" s="40"/>
      <c r="G652" s="37"/>
      <c r="H652" s="37"/>
      <c r="I652" s="37"/>
      <c r="J652" s="41"/>
      <c r="K652" s="41"/>
      <c r="L652" s="43"/>
      <c r="M652" s="43"/>
      <c r="N652" s="43"/>
      <c r="O652" s="43"/>
      <c r="P652" s="44"/>
      <c r="Q652" s="45"/>
    </row>
    <row r="653" spans="3:17" x14ac:dyDescent="0.25">
      <c r="C653" s="38"/>
      <c r="D653" s="38"/>
      <c r="E653" s="39"/>
      <c r="F653" s="40"/>
      <c r="G653" s="37"/>
      <c r="H653" s="37"/>
      <c r="I653" s="37"/>
      <c r="J653" s="41"/>
      <c r="K653" s="41"/>
      <c r="L653" s="43"/>
      <c r="M653" s="43"/>
      <c r="N653" s="43"/>
      <c r="O653" s="43"/>
      <c r="P653" s="44"/>
      <c r="Q653" s="45"/>
    </row>
    <row r="654" spans="3:17" x14ac:dyDescent="0.25">
      <c r="C654" s="38"/>
      <c r="D654" s="38"/>
      <c r="E654" s="39"/>
      <c r="F654" s="40"/>
      <c r="G654" s="37"/>
      <c r="H654" s="37"/>
      <c r="I654" s="37"/>
      <c r="J654" s="41"/>
      <c r="K654" s="41"/>
      <c r="L654" s="43"/>
      <c r="M654" s="43"/>
      <c r="N654" s="43"/>
      <c r="O654" s="43"/>
      <c r="P654" s="44"/>
      <c r="Q654" s="45"/>
    </row>
    <row r="655" spans="3:17" x14ac:dyDescent="0.25">
      <c r="C655" s="38"/>
      <c r="D655" s="38"/>
      <c r="E655" s="39"/>
      <c r="F655" s="40"/>
      <c r="G655" s="37"/>
      <c r="H655" s="37"/>
      <c r="I655" s="37"/>
      <c r="J655" s="41"/>
      <c r="K655" s="41"/>
      <c r="L655" s="43"/>
      <c r="M655" s="43"/>
      <c r="N655" s="43"/>
      <c r="O655" s="43"/>
      <c r="P655" s="44"/>
      <c r="Q655" s="45"/>
    </row>
    <row r="656" spans="3:17" x14ac:dyDescent="0.25">
      <c r="C656" s="38"/>
      <c r="D656" s="38"/>
      <c r="E656" s="39"/>
      <c r="F656" s="40"/>
      <c r="G656" s="37"/>
      <c r="H656" s="37"/>
      <c r="I656" s="37"/>
      <c r="J656" s="41"/>
      <c r="K656" s="41"/>
      <c r="L656" s="43"/>
      <c r="M656" s="43"/>
      <c r="N656" s="43"/>
      <c r="O656" s="43"/>
      <c r="P656" s="44"/>
      <c r="Q656" s="45"/>
    </row>
    <row r="657" spans="3:17" x14ac:dyDescent="0.25">
      <c r="C657" s="38"/>
      <c r="D657" s="38"/>
      <c r="E657" s="39"/>
      <c r="F657" s="40"/>
      <c r="G657" s="37"/>
      <c r="H657" s="37"/>
      <c r="I657" s="37"/>
      <c r="J657" s="41"/>
      <c r="K657" s="41"/>
      <c r="L657" s="43"/>
      <c r="M657" s="43"/>
      <c r="N657" s="43"/>
      <c r="O657" s="43"/>
      <c r="P657" s="44"/>
      <c r="Q657" s="45"/>
    </row>
    <row r="658" spans="3:17" x14ac:dyDescent="0.25">
      <c r="C658" s="38"/>
      <c r="D658" s="38"/>
      <c r="E658" s="39"/>
      <c r="F658" s="40"/>
      <c r="G658" s="37"/>
      <c r="H658" s="37"/>
      <c r="I658" s="37"/>
      <c r="J658" s="41"/>
      <c r="K658" s="41"/>
      <c r="L658" s="43"/>
      <c r="M658" s="43"/>
      <c r="N658" s="43"/>
      <c r="O658" s="43"/>
      <c r="P658" s="44"/>
      <c r="Q658" s="45"/>
    </row>
    <row r="659" spans="3:17" x14ac:dyDescent="0.25">
      <c r="C659" s="38"/>
      <c r="D659" s="38"/>
      <c r="E659" s="39"/>
      <c r="F659" s="40"/>
      <c r="G659" s="37"/>
      <c r="H659" s="37"/>
      <c r="I659" s="37"/>
      <c r="J659" s="41"/>
      <c r="K659" s="41"/>
      <c r="L659" s="43"/>
      <c r="M659" s="43"/>
      <c r="N659" s="43"/>
      <c r="O659" s="43"/>
      <c r="P659" s="44"/>
      <c r="Q659" s="45"/>
    </row>
    <row r="660" spans="3:17" x14ac:dyDescent="0.25">
      <c r="C660" s="38"/>
      <c r="D660" s="38"/>
      <c r="E660" s="39"/>
      <c r="F660" s="40"/>
      <c r="G660" s="37"/>
      <c r="H660" s="37"/>
      <c r="I660" s="37"/>
      <c r="J660" s="41"/>
      <c r="K660" s="41"/>
      <c r="L660" s="43"/>
      <c r="M660" s="43"/>
      <c r="N660" s="43"/>
      <c r="O660" s="43"/>
      <c r="P660" s="44"/>
      <c r="Q660" s="45"/>
    </row>
    <row r="661" spans="3:17" x14ac:dyDescent="0.25">
      <c r="C661" s="38"/>
      <c r="D661" s="38"/>
      <c r="E661" s="39"/>
      <c r="F661" s="40"/>
      <c r="G661" s="37"/>
      <c r="H661" s="37"/>
      <c r="I661" s="37"/>
      <c r="J661" s="41"/>
      <c r="K661" s="41"/>
      <c r="L661" s="43"/>
      <c r="M661" s="43"/>
      <c r="N661" s="43"/>
      <c r="O661" s="43"/>
      <c r="P661" s="44"/>
      <c r="Q661" s="45"/>
    </row>
    <row r="662" spans="3:17" x14ac:dyDescent="0.25">
      <c r="C662" s="38"/>
      <c r="D662" s="38"/>
      <c r="E662" s="39"/>
      <c r="F662" s="40"/>
      <c r="G662" s="37"/>
      <c r="H662" s="37"/>
      <c r="I662" s="37"/>
      <c r="J662" s="41"/>
      <c r="K662" s="41"/>
      <c r="L662" s="43"/>
      <c r="M662" s="43"/>
      <c r="N662" s="43"/>
      <c r="O662" s="43"/>
      <c r="P662" s="44"/>
      <c r="Q662" s="45"/>
    </row>
    <row r="663" spans="3:17" x14ac:dyDescent="0.25">
      <c r="C663" s="38"/>
      <c r="D663" s="38"/>
      <c r="E663" s="39"/>
      <c r="F663" s="40"/>
      <c r="G663" s="37"/>
      <c r="H663" s="37"/>
      <c r="I663" s="37"/>
      <c r="J663" s="41"/>
      <c r="K663" s="41"/>
      <c r="L663" s="43"/>
      <c r="M663" s="43"/>
      <c r="N663" s="43"/>
      <c r="O663" s="43"/>
      <c r="P663" s="44"/>
      <c r="Q663" s="45"/>
    </row>
    <row r="664" spans="3:17" x14ac:dyDescent="0.25">
      <c r="C664" s="38"/>
      <c r="D664" s="38"/>
      <c r="E664" s="39"/>
      <c r="F664" s="40"/>
      <c r="G664" s="37"/>
      <c r="H664" s="37"/>
      <c r="I664" s="37"/>
      <c r="J664" s="41"/>
      <c r="K664" s="41"/>
      <c r="L664" s="43"/>
      <c r="M664" s="43"/>
      <c r="N664" s="43"/>
      <c r="O664" s="43"/>
      <c r="P664" s="44"/>
      <c r="Q664" s="45"/>
    </row>
    <row r="665" spans="3:17" x14ac:dyDescent="0.25">
      <c r="C665" s="38"/>
      <c r="D665" s="38"/>
      <c r="E665" s="39"/>
      <c r="F665" s="40"/>
      <c r="G665" s="37"/>
      <c r="H665" s="37"/>
      <c r="I665" s="37"/>
      <c r="J665" s="41"/>
      <c r="K665" s="41"/>
      <c r="L665" s="43"/>
      <c r="M665" s="43"/>
      <c r="N665" s="43"/>
      <c r="O665" s="43"/>
      <c r="P665" s="44"/>
      <c r="Q665" s="45"/>
    </row>
    <row r="666" spans="3:17" x14ac:dyDescent="0.25">
      <c r="C666" s="38"/>
      <c r="D666" s="38"/>
      <c r="E666" s="39"/>
      <c r="F666" s="40"/>
      <c r="G666" s="37"/>
      <c r="H666" s="37"/>
      <c r="I666" s="37"/>
      <c r="J666" s="41"/>
      <c r="K666" s="41"/>
      <c r="L666" s="43"/>
      <c r="M666" s="43"/>
      <c r="N666" s="43"/>
      <c r="O666" s="43"/>
      <c r="P666" s="44"/>
      <c r="Q666" s="45"/>
    </row>
    <row r="667" spans="3:17" x14ac:dyDescent="0.25">
      <c r="C667" s="38"/>
      <c r="D667" s="38"/>
      <c r="E667" s="39"/>
      <c r="F667" s="40"/>
      <c r="G667" s="37"/>
      <c r="H667" s="37"/>
      <c r="I667" s="37"/>
      <c r="J667" s="41"/>
      <c r="K667" s="41"/>
      <c r="L667" s="43"/>
      <c r="M667" s="43"/>
      <c r="N667" s="43"/>
      <c r="O667" s="43"/>
      <c r="P667" s="44"/>
      <c r="Q667" s="45"/>
    </row>
    <row r="668" spans="3:17" x14ac:dyDescent="0.25">
      <c r="C668" s="38"/>
      <c r="D668" s="38"/>
      <c r="E668" s="39"/>
      <c r="F668" s="40"/>
      <c r="G668" s="37"/>
      <c r="H668" s="37"/>
      <c r="I668" s="37"/>
      <c r="J668" s="41"/>
      <c r="K668" s="41"/>
      <c r="L668" s="43"/>
      <c r="M668" s="43"/>
      <c r="N668" s="43"/>
      <c r="O668" s="43"/>
      <c r="P668" s="44"/>
      <c r="Q668" s="45"/>
    </row>
    <row r="669" spans="3:17" x14ac:dyDescent="0.25">
      <c r="C669" s="38"/>
      <c r="D669" s="38"/>
      <c r="E669" s="39"/>
      <c r="F669" s="40"/>
      <c r="G669" s="37"/>
      <c r="H669" s="37"/>
      <c r="I669" s="37"/>
      <c r="J669" s="41"/>
      <c r="K669" s="41"/>
      <c r="L669" s="43"/>
      <c r="M669" s="43"/>
      <c r="N669" s="43"/>
      <c r="O669" s="43"/>
      <c r="P669" s="44"/>
      <c r="Q669" s="45"/>
    </row>
    <row r="670" spans="3:17" x14ac:dyDescent="0.25">
      <c r="C670" s="38"/>
      <c r="D670" s="38"/>
      <c r="E670" s="39"/>
      <c r="F670" s="40"/>
      <c r="G670" s="37"/>
      <c r="H670" s="37"/>
      <c r="I670" s="37"/>
      <c r="J670" s="41"/>
      <c r="K670" s="41"/>
      <c r="L670" s="43"/>
      <c r="M670" s="43"/>
      <c r="N670" s="43"/>
      <c r="O670" s="43"/>
      <c r="P670" s="44"/>
      <c r="Q670" s="45"/>
    </row>
    <row r="671" spans="3:17" x14ac:dyDescent="0.25">
      <c r="C671" s="38"/>
      <c r="D671" s="38"/>
      <c r="E671" s="39"/>
      <c r="F671" s="40"/>
      <c r="G671" s="37"/>
      <c r="H671" s="37"/>
      <c r="I671" s="37"/>
      <c r="J671" s="41"/>
      <c r="K671" s="41"/>
      <c r="L671" s="43"/>
      <c r="M671" s="43"/>
      <c r="N671" s="43"/>
      <c r="O671" s="43"/>
      <c r="P671" s="44"/>
      <c r="Q671" s="45"/>
    </row>
    <row r="672" spans="3:17" x14ac:dyDescent="0.25">
      <c r="C672" s="38"/>
      <c r="D672" s="38"/>
      <c r="E672" s="39"/>
      <c r="F672" s="40"/>
      <c r="G672" s="37"/>
      <c r="H672" s="37"/>
      <c r="I672" s="37"/>
      <c r="J672" s="41"/>
      <c r="K672" s="41"/>
      <c r="L672" s="43"/>
      <c r="M672" s="43"/>
      <c r="N672" s="43"/>
      <c r="O672" s="43"/>
      <c r="P672" s="44"/>
      <c r="Q672" s="45"/>
    </row>
    <row r="673" spans="3:17" x14ac:dyDescent="0.25">
      <c r="C673" s="38"/>
      <c r="D673" s="38"/>
      <c r="E673" s="39"/>
      <c r="F673" s="40"/>
      <c r="G673" s="37"/>
      <c r="H673" s="37"/>
      <c r="I673" s="37"/>
      <c r="J673" s="41"/>
      <c r="K673" s="41"/>
      <c r="L673" s="43"/>
      <c r="M673" s="43"/>
      <c r="N673" s="43"/>
      <c r="O673" s="43"/>
      <c r="P673" s="44"/>
      <c r="Q673" s="45"/>
    </row>
    <row r="674" spans="3:17" x14ac:dyDescent="0.25">
      <c r="C674" s="38"/>
      <c r="D674" s="38"/>
      <c r="E674" s="39"/>
      <c r="F674" s="40"/>
      <c r="G674" s="37"/>
      <c r="H674" s="37"/>
      <c r="I674" s="37"/>
      <c r="J674" s="41"/>
      <c r="K674" s="41"/>
      <c r="L674" s="43"/>
      <c r="M674" s="43"/>
      <c r="N674" s="43"/>
      <c r="O674" s="43"/>
      <c r="P674" s="44"/>
      <c r="Q674" s="45"/>
    </row>
    <row r="675" spans="3:17" x14ac:dyDescent="0.25">
      <c r="C675" s="38"/>
      <c r="D675" s="38"/>
      <c r="E675" s="39"/>
      <c r="F675" s="40"/>
      <c r="G675" s="37"/>
      <c r="H675" s="37"/>
      <c r="I675" s="37"/>
      <c r="J675" s="41"/>
      <c r="K675" s="41"/>
      <c r="L675" s="43"/>
      <c r="M675" s="43"/>
      <c r="N675" s="43"/>
      <c r="O675" s="43"/>
      <c r="P675" s="44"/>
      <c r="Q675" s="45"/>
    </row>
    <row r="676" spans="3:17" x14ac:dyDescent="0.25">
      <c r="C676" s="38"/>
      <c r="D676" s="38"/>
      <c r="E676" s="39"/>
      <c r="F676" s="40"/>
      <c r="G676" s="37"/>
      <c r="H676" s="37"/>
      <c r="I676" s="37"/>
      <c r="J676" s="41"/>
      <c r="K676" s="41"/>
      <c r="L676" s="43"/>
      <c r="M676" s="43"/>
      <c r="N676" s="43"/>
      <c r="O676" s="43"/>
      <c r="P676" s="44"/>
      <c r="Q676" s="45"/>
    </row>
    <row r="677" spans="3:17" x14ac:dyDescent="0.25">
      <c r="C677" s="38"/>
      <c r="D677" s="38"/>
      <c r="E677" s="39"/>
      <c r="F677" s="40"/>
      <c r="G677" s="37"/>
      <c r="H677" s="37"/>
      <c r="I677" s="37"/>
      <c r="J677" s="41"/>
      <c r="K677" s="41"/>
      <c r="L677" s="43"/>
      <c r="M677" s="43"/>
      <c r="N677" s="43"/>
      <c r="O677" s="43"/>
      <c r="P677" s="44"/>
      <c r="Q677" s="45"/>
    </row>
    <row r="678" spans="3:17" x14ac:dyDescent="0.25">
      <c r="C678" s="38"/>
      <c r="D678" s="38"/>
      <c r="E678" s="39"/>
      <c r="F678" s="40"/>
      <c r="G678" s="37"/>
      <c r="H678" s="37"/>
      <c r="I678" s="37"/>
      <c r="J678" s="41"/>
      <c r="K678" s="41"/>
      <c r="L678" s="43"/>
      <c r="M678" s="43"/>
      <c r="N678" s="43"/>
      <c r="O678" s="43"/>
      <c r="P678" s="44"/>
      <c r="Q678" s="45"/>
    </row>
    <row r="679" spans="3:17" x14ac:dyDescent="0.25">
      <c r="C679" s="38"/>
      <c r="D679" s="38"/>
      <c r="E679" s="39"/>
      <c r="F679" s="40"/>
      <c r="G679" s="37"/>
      <c r="H679" s="37"/>
      <c r="I679" s="37"/>
      <c r="J679" s="41"/>
      <c r="K679" s="41"/>
      <c r="L679" s="43"/>
      <c r="M679" s="43"/>
      <c r="N679" s="43"/>
      <c r="O679" s="43"/>
      <c r="P679" s="44"/>
      <c r="Q679" s="45"/>
    </row>
    <row r="680" spans="3:17" x14ac:dyDescent="0.25">
      <c r="C680" s="38"/>
      <c r="D680" s="38"/>
      <c r="E680" s="39"/>
      <c r="F680" s="40"/>
      <c r="G680" s="37"/>
      <c r="H680" s="37"/>
      <c r="I680" s="37"/>
      <c r="J680" s="41"/>
      <c r="K680" s="41"/>
      <c r="L680" s="43"/>
      <c r="M680" s="43"/>
      <c r="N680" s="43"/>
      <c r="O680" s="43"/>
      <c r="P680" s="44"/>
      <c r="Q680" s="45"/>
    </row>
    <row r="681" spans="3:17" x14ac:dyDescent="0.25">
      <c r="C681" s="38"/>
      <c r="D681" s="38"/>
      <c r="E681" s="39"/>
      <c r="F681" s="40"/>
      <c r="G681" s="37"/>
      <c r="H681" s="37"/>
      <c r="I681" s="37"/>
      <c r="J681" s="41"/>
      <c r="K681" s="41"/>
      <c r="L681" s="43"/>
      <c r="M681" s="43"/>
      <c r="N681" s="43"/>
      <c r="O681" s="43"/>
      <c r="P681" s="44"/>
      <c r="Q681" s="45"/>
    </row>
    <row r="682" spans="3:17" x14ac:dyDescent="0.25">
      <c r="C682" s="38"/>
      <c r="D682" s="38"/>
      <c r="E682" s="39"/>
      <c r="F682" s="40"/>
      <c r="G682" s="37"/>
      <c r="H682" s="37"/>
      <c r="I682" s="37"/>
      <c r="J682" s="41"/>
      <c r="K682" s="41"/>
      <c r="L682" s="43"/>
      <c r="M682" s="43"/>
      <c r="N682" s="43"/>
      <c r="O682" s="43"/>
      <c r="P682" s="44"/>
      <c r="Q682" s="45"/>
    </row>
    <row r="683" spans="3:17" x14ac:dyDescent="0.25">
      <c r="C683" s="38"/>
      <c r="D683" s="38"/>
      <c r="E683" s="39"/>
      <c r="F683" s="40"/>
      <c r="G683" s="37"/>
      <c r="H683" s="37"/>
      <c r="I683" s="37"/>
      <c r="J683" s="41"/>
      <c r="K683" s="41"/>
      <c r="L683" s="43"/>
      <c r="M683" s="43"/>
      <c r="N683" s="43"/>
      <c r="O683" s="43"/>
      <c r="P683" s="44"/>
      <c r="Q683" s="45"/>
    </row>
    <row r="684" spans="3:17" x14ac:dyDescent="0.25">
      <c r="C684" s="38"/>
      <c r="D684" s="38"/>
      <c r="E684" s="39"/>
      <c r="F684" s="40"/>
      <c r="G684" s="37"/>
      <c r="H684" s="37"/>
      <c r="I684" s="37"/>
      <c r="J684" s="41"/>
      <c r="K684" s="41"/>
      <c r="L684" s="43"/>
      <c r="M684" s="43"/>
      <c r="N684" s="43"/>
      <c r="O684" s="43"/>
      <c r="P684" s="44"/>
      <c r="Q684" s="45"/>
    </row>
    <row r="685" spans="3:17" x14ac:dyDescent="0.25">
      <c r="C685" s="38"/>
      <c r="D685" s="38"/>
      <c r="E685" s="39"/>
      <c r="F685" s="40"/>
      <c r="G685" s="37"/>
      <c r="H685" s="37"/>
      <c r="I685" s="37"/>
      <c r="J685" s="41"/>
      <c r="K685" s="41"/>
      <c r="L685" s="43"/>
      <c r="M685" s="43"/>
      <c r="N685" s="43"/>
      <c r="O685" s="43"/>
      <c r="P685" s="44"/>
      <c r="Q685" s="45"/>
    </row>
    <row r="686" spans="3:17" x14ac:dyDescent="0.25">
      <c r="C686" s="38"/>
      <c r="D686" s="38"/>
      <c r="E686" s="39"/>
      <c r="F686" s="40"/>
      <c r="G686" s="37"/>
      <c r="H686" s="37"/>
      <c r="I686" s="37"/>
      <c r="J686" s="41"/>
      <c r="K686" s="41"/>
      <c r="L686" s="43"/>
      <c r="M686" s="43"/>
      <c r="N686" s="43"/>
      <c r="O686" s="43"/>
      <c r="P686" s="44"/>
      <c r="Q686" s="45"/>
    </row>
    <row r="687" spans="3:17" x14ac:dyDescent="0.25">
      <c r="C687" s="38"/>
      <c r="D687" s="38"/>
      <c r="E687" s="39"/>
      <c r="F687" s="40"/>
      <c r="G687" s="37"/>
      <c r="H687" s="37"/>
      <c r="I687" s="37"/>
      <c r="J687" s="41"/>
      <c r="K687" s="41"/>
      <c r="L687" s="43"/>
      <c r="M687" s="43"/>
      <c r="N687" s="43"/>
      <c r="O687" s="43"/>
      <c r="P687" s="44"/>
      <c r="Q687" s="45"/>
    </row>
    <row r="688" spans="3:17" x14ac:dyDescent="0.25">
      <c r="C688" s="38"/>
      <c r="D688" s="38"/>
      <c r="E688" s="39"/>
      <c r="F688" s="40"/>
      <c r="G688" s="37"/>
      <c r="H688" s="37"/>
      <c r="I688" s="37"/>
      <c r="J688" s="41"/>
      <c r="K688" s="41"/>
      <c r="L688" s="43"/>
      <c r="M688" s="43"/>
      <c r="N688" s="43"/>
      <c r="O688" s="43"/>
      <c r="P688" s="44"/>
      <c r="Q688" s="45"/>
    </row>
    <row r="689" spans="3:17" x14ac:dyDescent="0.25">
      <c r="C689" s="38"/>
      <c r="D689" s="38"/>
      <c r="E689" s="39"/>
      <c r="F689" s="40"/>
      <c r="G689" s="37"/>
      <c r="H689" s="37"/>
      <c r="I689" s="37"/>
      <c r="J689" s="41"/>
      <c r="K689" s="41"/>
      <c r="L689" s="43"/>
      <c r="M689" s="43"/>
      <c r="N689" s="43"/>
      <c r="O689" s="43"/>
      <c r="P689" s="44"/>
      <c r="Q689" s="45"/>
    </row>
    <row r="690" spans="3:17" x14ac:dyDescent="0.25">
      <c r="C690" s="38"/>
      <c r="D690" s="38"/>
      <c r="E690" s="39"/>
      <c r="F690" s="40"/>
      <c r="G690" s="37"/>
      <c r="H690" s="37"/>
      <c r="I690" s="37"/>
      <c r="J690" s="41"/>
      <c r="K690" s="41"/>
      <c r="L690" s="43"/>
      <c r="M690" s="43"/>
      <c r="N690" s="43"/>
      <c r="O690" s="43"/>
      <c r="P690" s="44"/>
      <c r="Q690" s="45"/>
    </row>
    <row r="691" spans="3:17" x14ac:dyDescent="0.25">
      <c r="C691" s="38"/>
      <c r="D691" s="38"/>
      <c r="E691" s="39"/>
      <c r="F691" s="40"/>
      <c r="G691" s="37"/>
      <c r="H691" s="37"/>
      <c r="I691" s="37"/>
      <c r="J691" s="41"/>
      <c r="K691" s="41"/>
      <c r="L691" s="43"/>
      <c r="M691" s="43"/>
      <c r="N691" s="43"/>
      <c r="O691" s="43"/>
      <c r="P691" s="44"/>
      <c r="Q691" s="45"/>
    </row>
    <row r="692" spans="3:17" x14ac:dyDescent="0.25">
      <c r="C692" s="38"/>
      <c r="D692" s="38"/>
      <c r="E692" s="39"/>
      <c r="F692" s="40"/>
      <c r="G692" s="37"/>
      <c r="H692" s="37"/>
      <c r="I692" s="37"/>
      <c r="J692" s="41"/>
      <c r="K692" s="41"/>
      <c r="L692" s="43"/>
      <c r="M692" s="43"/>
      <c r="N692" s="43"/>
      <c r="O692" s="43"/>
      <c r="P692" s="44"/>
      <c r="Q692" s="45"/>
    </row>
    <row r="693" spans="3:17" x14ac:dyDescent="0.25">
      <c r="C693" s="38"/>
      <c r="D693" s="38"/>
      <c r="E693" s="39"/>
      <c r="F693" s="40"/>
      <c r="G693" s="37"/>
      <c r="H693" s="37"/>
      <c r="I693" s="37"/>
      <c r="J693" s="41"/>
      <c r="K693" s="41"/>
      <c r="L693" s="43"/>
      <c r="M693" s="43"/>
      <c r="N693" s="43"/>
      <c r="O693" s="43"/>
      <c r="P693" s="44"/>
      <c r="Q693" s="45"/>
    </row>
    <row r="694" spans="3:17" x14ac:dyDescent="0.25">
      <c r="C694" s="38"/>
      <c r="D694" s="38"/>
      <c r="E694" s="39"/>
      <c r="F694" s="40"/>
      <c r="G694" s="37"/>
      <c r="H694" s="37"/>
      <c r="I694" s="37"/>
      <c r="J694" s="41"/>
      <c r="K694" s="41"/>
      <c r="L694" s="43"/>
      <c r="M694" s="43"/>
      <c r="N694" s="43"/>
      <c r="O694" s="43"/>
      <c r="P694" s="44"/>
      <c r="Q694" s="45"/>
    </row>
    <row r="695" spans="3:17" x14ac:dyDescent="0.25">
      <c r="C695" s="38"/>
      <c r="D695" s="38"/>
      <c r="E695" s="39"/>
      <c r="F695" s="40"/>
      <c r="G695" s="37"/>
      <c r="H695" s="37"/>
      <c r="I695" s="37"/>
      <c r="J695" s="41"/>
      <c r="K695" s="41"/>
      <c r="L695" s="43"/>
      <c r="M695" s="43"/>
      <c r="N695" s="43"/>
      <c r="O695" s="43"/>
      <c r="P695" s="44"/>
      <c r="Q695" s="45"/>
    </row>
    <row r="696" spans="3:17" x14ac:dyDescent="0.25">
      <c r="C696" s="38"/>
      <c r="D696" s="38"/>
      <c r="E696" s="39"/>
      <c r="F696" s="40"/>
      <c r="G696" s="37"/>
      <c r="H696" s="37"/>
      <c r="I696" s="37"/>
      <c r="J696" s="41"/>
      <c r="K696" s="41"/>
      <c r="L696" s="43"/>
      <c r="M696" s="43"/>
      <c r="N696" s="43"/>
      <c r="O696" s="43"/>
      <c r="P696" s="44"/>
      <c r="Q696" s="45"/>
    </row>
    <row r="697" spans="3:17" x14ac:dyDescent="0.25">
      <c r="C697" s="38"/>
      <c r="D697" s="38"/>
      <c r="E697" s="39"/>
      <c r="F697" s="40"/>
      <c r="G697" s="37"/>
      <c r="H697" s="37"/>
      <c r="I697" s="37"/>
      <c r="J697" s="41"/>
      <c r="K697" s="41"/>
      <c r="L697" s="43"/>
      <c r="M697" s="43"/>
      <c r="N697" s="43"/>
      <c r="O697" s="43"/>
      <c r="P697" s="44"/>
      <c r="Q697" s="45"/>
    </row>
    <row r="698" spans="3:17" x14ac:dyDescent="0.25">
      <c r="C698" s="38"/>
      <c r="D698" s="38"/>
      <c r="E698" s="39"/>
      <c r="F698" s="40"/>
      <c r="G698" s="37"/>
      <c r="H698" s="37"/>
      <c r="I698" s="37"/>
      <c r="J698" s="41"/>
      <c r="K698" s="41"/>
      <c r="L698" s="43"/>
      <c r="M698" s="43"/>
      <c r="N698" s="43"/>
      <c r="O698" s="43"/>
      <c r="P698" s="44"/>
      <c r="Q698" s="45"/>
    </row>
    <row r="699" spans="3:17" x14ac:dyDescent="0.25">
      <c r="C699" s="38"/>
      <c r="D699" s="38"/>
      <c r="E699" s="39"/>
      <c r="F699" s="40"/>
      <c r="G699" s="37"/>
      <c r="H699" s="37"/>
      <c r="I699" s="37"/>
      <c r="J699" s="41"/>
      <c r="K699" s="41"/>
      <c r="L699" s="43"/>
      <c r="M699" s="43"/>
      <c r="N699" s="43"/>
      <c r="O699" s="43"/>
      <c r="P699" s="44"/>
      <c r="Q699" s="45"/>
    </row>
    <row r="700" spans="3:17" x14ac:dyDescent="0.25">
      <c r="C700" s="38"/>
      <c r="D700" s="38"/>
      <c r="E700" s="39"/>
      <c r="F700" s="40"/>
      <c r="G700" s="37"/>
      <c r="H700" s="37"/>
      <c r="I700" s="37"/>
      <c r="J700" s="41"/>
      <c r="K700" s="41"/>
      <c r="L700" s="43"/>
      <c r="M700" s="43"/>
      <c r="N700" s="43"/>
      <c r="O700" s="43"/>
      <c r="P700" s="44"/>
      <c r="Q700" s="45"/>
    </row>
    <row r="701" spans="3:17" x14ac:dyDescent="0.25">
      <c r="C701" s="38"/>
      <c r="D701" s="38"/>
      <c r="E701" s="39"/>
      <c r="F701" s="40"/>
      <c r="G701" s="37"/>
      <c r="H701" s="37"/>
      <c r="I701" s="37"/>
      <c r="J701" s="41"/>
      <c r="K701" s="41"/>
      <c r="L701" s="43"/>
      <c r="M701" s="43"/>
      <c r="N701" s="43"/>
      <c r="O701" s="43"/>
      <c r="P701" s="44"/>
      <c r="Q701" s="45"/>
    </row>
    <row r="702" spans="3:17" x14ac:dyDescent="0.25">
      <c r="C702" s="38"/>
      <c r="D702" s="38"/>
      <c r="E702" s="39"/>
      <c r="F702" s="40"/>
      <c r="G702" s="37"/>
      <c r="H702" s="37"/>
      <c r="I702" s="37"/>
      <c r="J702" s="41"/>
      <c r="K702" s="41"/>
      <c r="L702" s="43"/>
      <c r="M702" s="43"/>
      <c r="N702" s="43"/>
      <c r="O702" s="43"/>
      <c r="P702" s="44"/>
      <c r="Q702" s="45"/>
    </row>
    <row r="703" spans="3:17" x14ac:dyDescent="0.25">
      <c r="C703" s="38"/>
      <c r="D703" s="38"/>
      <c r="E703" s="39"/>
      <c r="F703" s="40"/>
      <c r="G703" s="37"/>
      <c r="H703" s="37"/>
      <c r="I703" s="37"/>
      <c r="J703" s="41"/>
      <c r="K703" s="41"/>
      <c r="L703" s="43"/>
      <c r="M703" s="43"/>
      <c r="N703" s="43"/>
      <c r="O703" s="43"/>
      <c r="P703" s="44"/>
      <c r="Q703" s="45"/>
    </row>
    <row r="704" spans="3:17" x14ac:dyDescent="0.25">
      <c r="C704" s="38"/>
      <c r="D704" s="38"/>
      <c r="E704" s="39"/>
      <c r="F704" s="40"/>
      <c r="G704" s="37"/>
      <c r="H704" s="37"/>
      <c r="I704" s="37"/>
      <c r="J704" s="41"/>
      <c r="K704" s="41"/>
      <c r="L704" s="43"/>
      <c r="M704" s="43"/>
      <c r="N704" s="43"/>
      <c r="O704" s="43"/>
      <c r="P704" s="44"/>
      <c r="Q704" s="45"/>
    </row>
    <row r="705" spans="3:17" x14ac:dyDescent="0.25">
      <c r="C705" s="38"/>
      <c r="D705" s="38"/>
      <c r="E705" s="39"/>
      <c r="F705" s="40"/>
      <c r="G705" s="37"/>
      <c r="H705" s="37"/>
      <c r="I705" s="37"/>
      <c r="J705" s="41"/>
      <c r="K705" s="41"/>
      <c r="L705" s="43"/>
      <c r="M705" s="43"/>
      <c r="N705" s="43"/>
      <c r="O705" s="43"/>
      <c r="P705" s="44"/>
      <c r="Q705" s="45"/>
    </row>
    <row r="706" spans="3:17" x14ac:dyDescent="0.25">
      <c r="C706" s="38"/>
      <c r="D706" s="38"/>
      <c r="E706" s="39"/>
      <c r="F706" s="40"/>
      <c r="G706" s="37"/>
      <c r="H706" s="37"/>
      <c r="I706" s="37"/>
      <c r="J706" s="41"/>
      <c r="K706" s="41"/>
      <c r="L706" s="43"/>
      <c r="M706" s="43"/>
      <c r="N706" s="43"/>
      <c r="O706" s="43"/>
      <c r="P706" s="44"/>
      <c r="Q706" s="45"/>
    </row>
    <row r="707" spans="3:17" x14ac:dyDescent="0.25">
      <c r="C707" s="38"/>
      <c r="D707" s="38"/>
      <c r="E707" s="39"/>
      <c r="F707" s="40"/>
      <c r="G707" s="37"/>
      <c r="H707" s="37"/>
      <c r="I707" s="37"/>
      <c r="J707" s="41"/>
      <c r="K707" s="41"/>
      <c r="L707" s="43"/>
      <c r="M707" s="43"/>
      <c r="N707" s="43"/>
      <c r="O707" s="43"/>
      <c r="P707" s="44"/>
      <c r="Q707" s="45"/>
    </row>
    <row r="708" spans="3:17" x14ac:dyDescent="0.25">
      <c r="C708" s="38"/>
      <c r="D708" s="38"/>
      <c r="E708" s="39"/>
      <c r="F708" s="40"/>
      <c r="G708" s="37"/>
      <c r="H708" s="37"/>
      <c r="I708" s="37"/>
      <c r="J708" s="41"/>
      <c r="K708" s="41"/>
      <c r="L708" s="43"/>
      <c r="M708" s="43"/>
      <c r="N708" s="43"/>
      <c r="O708" s="43"/>
      <c r="P708" s="44"/>
      <c r="Q708" s="45"/>
    </row>
    <row r="709" spans="3:17" x14ac:dyDescent="0.25">
      <c r="C709" s="38"/>
      <c r="D709" s="38"/>
      <c r="E709" s="39"/>
      <c r="F709" s="40"/>
      <c r="G709" s="37"/>
      <c r="H709" s="37"/>
      <c r="I709" s="37"/>
      <c r="J709" s="41"/>
      <c r="K709" s="41"/>
      <c r="L709" s="43"/>
      <c r="M709" s="43"/>
      <c r="N709" s="43"/>
      <c r="O709" s="43"/>
      <c r="P709" s="44"/>
      <c r="Q709" s="45"/>
    </row>
    <row r="710" spans="3:17" x14ac:dyDescent="0.25">
      <c r="C710" s="38"/>
      <c r="D710" s="38"/>
      <c r="E710" s="39"/>
      <c r="F710" s="40"/>
      <c r="G710" s="37"/>
      <c r="H710" s="37"/>
      <c r="I710" s="37"/>
      <c r="J710" s="41"/>
      <c r="K710" s="41"/>
      <c r="L710" s="43"/>
      <c r="M710" s="43"/>
      <c r="N710" s="43"/>
      <c r="O710" s="43"/>
      <c r="P710" s="44"/>
      <c r="Q710" s="45"/>
    </row>
    <row r="711" spans="3:17" x14ac:dyDescent="0.25">
      <c r="C711" s="38"/>
      <c r="D711" s="38"/>
      <c r="E711" s="39"/>
      <c r="F711" s="40"/>
      <c r="G711" s="37"/>
      <c r="H711" s="37"/>
      <c r="I711" s="37"/>
      <c r="J711" s="41"/>
      <c r="K711" s="41"/>
      <c r="L711" s="43"/>
      <c r="M711" s="43"/>
      <c r="N711" s="43"/>
      <c r="O711" s="43"/>
      <c r="P711" s="44"/>
      <c r="Q711" s="45"/>
    </row>
    <row r="712" spans="3:17" x14ac:dyDescent="0.25">
      <c r="C712" s="38"/>
      <c r="D712" s="38"/>
      <c r="E712" s="39"/>
      <c r="F712" s="40"/>
      <c r="G712" s="37"/>
      <c r="H712" s="37"/>
      <c r="I712" s="37"/>
      <c r="J712" s="41"/>
      <c r="K712" s="41"/>
      <c r="L712" s="43"/>
      <c r="M712" s="43"/>
      <c r="N712" s="43"/>
      <c r="O712" s="43"/>
      <c r="P712" s="44"/>
      <c r="Q712" s="45"/>
    </row>
    <row r="713" spans="3:17" x14ac:dyDescent="0.25">
      <c r="C713" s="38"/>
      <c r="D713" s="38"/>
      <c r="E713" s="39"/>
      <c r="F713" s="40"/>
      <c r="G713" s="37"/>
      <c r="H713" s="37"/>
      <c r="I713" s="37"/>
      <c r="J713" s="41"/>
      <c r="K713" s="41"/>
      <c r="L713" s="43"/>
      <c r="M713" s="43"/>
      <c r="N713" s="43"/>
      <c r="O713" s="43"/>
      <c r="P713" s="44"/>
      <c r="Q713" s="45"/>
    </row>
    <row r="714" spans="3:17" x14ac:dyDescent="0.25">
      <c r="C714" s="38"/>
      <c r="D714" s="38"/>
      <c r="E714" s="39"/>
      <c r="F714" s="40"/>
      <c r="G714" s="37"/>
      <c r="H714" s="37"/>
      <c r="I714" s="37"/>
      <c r="J714" s="41"/>
      <c r="K714" s="41"/>
      <c r="L714" s="43"/>
      <c r="M714" s="43"/>
      <c r="N714" s="43"/>
      <c r="O714" s="43"/>
      <c r="P714" s="44"/>
      <c r="Q714" s="45"/>
    </row>
    <row r="715" spans="3:17" x14ac:dyDescent="0.25">
      <c r="C715" s="38"/>
      <c r="D715" s="38"/>
      <c r="E715" s="39"/>
      <c r="F715" s="40"/>
      <c r="G715" s="37"/>
      <c r="H715" s="37"/>
      <c r="I715" s="37"/>
      <c r="J715" s="41"/>
      <c r="K715" s="41"/>
      <c r="L715" s="43"/>
      <c r="M715" s="43"/>
      <c r="N715" s="43"/>
      <c r="O715" s="43"/>
      <c r="P715" s="44"/>
      <c r="Q715" s="45"/>
    </row>
    <row r="716" spans="3:17" x14ac:dyDescent="0.25">
      <c r="C716" s="38"/>
      <c r="D716" s="38"/>
      <c r="E716" s="39"/>
      <c r="F716" s="40"/>
      <c r="G716" s="37"/>
      <c r="H716" s="37"/>
      <c r="I716" s="37"/>
      <c r="J716" s="41"/>
      <c r="K716" s="41"/>
      <c r="L716" s="43"/>
      <c r="M716" s="43"/>
      <c r="N716" s="43"/>
      <c r="O716" s="43"/>
      <c r="P716" s="44"/>
      <c r="Q716" s="45"/>
    </row>
    <row r="717" spans="3:17" x14ac:dyDescent="0.25">
      <c r="C717" s="38"/>
      <c r="D717" s="38"/>
      <c r="E717" s="39"/>
      <c r="F717" s="40"/>
      <c r="G717" s="37"/>
      <c r="H717" s="37"/>
      <c r="I717" s="37"/>
      <c r="J717" s="41"/>
      <c r="K717" s="41"/>
      <c r="L717" s="43"/>
      <c r="M717" s="43"/>
      <c r="N717" s="43"/>
      <c r="O717" s="43"/>
      <c r="P717" s="44"/>
      <c r="Q717" s="45"/>
    </row>
    <row r="718" spans="3:17" x14ac:dyDescent="0.25">
      <c r="C718" s="38"/>
      <c r="D718" s="38"/>
      <c r="E718" s="39"/>
      <c r="F718" s="40"/>
      <c r="G718" s="37"/>
      <c r="H718" s="37"/>
      <c r="I718" s="37"/>
      <c r="J718" s="41"/>
      <c r="K718" s="41"/>
      <c r="L718" s="43"/>
      <c r="M718" s="43"/>
      <c r="N718" s="43"/>
      <c r="O718" s="43"/>
      <c r="P718" s="44"/>
      <c r="Q718" s="45"/>
    </row>
    <row r="719" spans="3:17" x14ac:dyDescent="0.25">
      <c r="C719" s="38"/>
      <c r="D719" s="38"/>
      <c r="E719" s="39"/>
      <c r="F719" s="40"/>
      <c r="G719" s="37"/>
      <c r="H719" s="37"/>
      <c r="I719" s="37"/>
      <c r="J719" s="41"/>
      <c r="K719" s="41"/>
      <c r="L719" s="43"/>
      <c r="M719" s="43"/>
      <c r="N719" s="43"/>
      <c r="O719" s="43"/>
      <c r="P719" s="44"/>
      <c r="Q719" s="45"/>
    </row>
    <row r="720" spans="3:17" x14ac:dyDescent="0.25">
      <c r="C720" s="38"/>
      <c r="D720" s="38"/>
      <c r="E720" s="39"/>
      <c r="F720" s="40"/>
      <c r="G720" s="37"/>
      <c r="H720" s="37"/>
      <c r="I720" s="37"/>
      <c r="J720" s="41"/>
      <c r="K720" s="41"/>
      <c r="L720" s="43"/>
      <c r="M720" s="43"/>
      <c r="N720" s="43"/>
      <c r="O720" s="43"/>
      <c r="P720" s="44"/>
      <c r="Q720" s="45"/>
    </row>
    <row r="721" spans="3:17" x14ac:dyDescent="0.25">
      <c r="C721" s="38"/>
      <c r="D721" s="38"/>
      <c r="E721" s="39"/>
      <c r="F721" s="40"/>
      <c r="G721" s="37"/>
      <c r="H721" s="37"/>
      <c r="I721" s="37"/>
      <c r="J721" s="41"/>
      <c r="K721" s="41"/>
      <c r="L721" s="43"/>
      <c r="M721" s="43"/>
      <c r="N721" s="43"/>
      <c r="O721" s="43"/>
      <c r="P721" s="44"/>
      <c r="Q721" s="45"/>
    </row>
    <row r="722" spans="3:17" x14ac:dyDescent="0.25">
      <c r="C722" s="38"/>
      <c r="D722" s="38"/>
      <c r="E722" s="39"/>
      <c r="F722" s="40"/>
      <c r="G722" s="37"/>
      <c r="H722" s="37"/>
      <c r="I722" s="37"/>
      <c r="J722" s="41"/>
      <c r="K722" s="41"/>
      <c r="L722" s="43"/>
      <c r="M722" s="43"/>
      <c r="N722" s="43"/>
      <c r="O722" s="43"/>
      <c r="P722" s="44"/>
      <c r="Q722" s="45"/>
    </row>
    <row r="723" spans="3:17" x14ac:dyDescent="0.25">
      <c r="C723" s="38"/>
      <c r="D723" s="38"/>
      <c r="E723" s="39"/>
      <c r="F723" s="40"/>
      <c r="G723" s="37"/>
      <c r="H723" s="37"/>
      <c r="I723" s="37"/>
      <c r="J723" s="41"/>
      <c r="K723" s="41"/>
      <c r="L723" s="43"/>
      <c r="M723" s="43"/>
      <c r="N723" s="43"/>
      <c r="O723" s="43"/>
      <c r="P723" s="44"/>
      <c r="Q723" s="45"/>
    </row>
    <row r="724" spans="3:17" x14ac:dyDescent="0.25">
      <c r="C724" s="38"/>
      <c r="D724" s="38"/>
      <c r="E724" s="39"/>
      <c r="F724" s="40"/>
      <c r="G724" s="37"/>
      <c r="H724" s="37"/>
      <c r="I724" s="37"/>
      <c r="J724" s="41"/>
      <c r="K724" s="41"/>
      <c r="L724" s="43"/>
      <c r="M724" s="43"/>
      <c r="N724" s="43"/>
      <c r="O724" s="43"/>
      <c r="P724" s="44"/>
      <c r="Q724" s="45"/>
    </row>
    <row r="725" spans="3:17" x14ac:dyDescent="0.25">
      <c r="C725" s="38"/>
      <c r="D725" s="38"/>
      <c r="E725" s="39"/>
      <c r="F725" s="40"/>
      <c r="G725" s="37"/>
      <c r="H725" s="37"/>
      <c r="I725" s="37"/>
      <c r="J725" s="41"/>
      <c r="K725" s="41"/>
      <c r="L725" s="43"/>
      <c r="M725" s="43"/>
      <c r="N725" s="43"/>
      <c r="O725" s="43"/>
      <c r="P725" s="44"/>
      <c r="Q725" s="45"/>
    </row>
    <row r="726" spans="3:17" x14ac:dyDescent="0.25">
      <c r="C726" s="38"/>
      <c r="D726" s="38"/>
      <c r="E726" s="39"/>
      <c r="F726" s="40"/>
      <c r="G726" s="37"/>
      <c r="H726" s="37"/>
      <c r="I726" s="37"/>
      <c r="J726" s="41"/>
      <c r="K726" s="41"/>
      <c r="L726" s="43"/>
      <c r="M726" s="43"/>
      <c r="N726" s="43"/>
      <c r="O726" s="43"/>
      <c r="P726" s="44"/>
      <c r="Q726" s="45"/>
    </row>
    <row r="727" spans="3:17" x14ac:dyDescent="0.25">
      <c r="C727" s="38"/>
      <c r="D727" s="38"/>
      <c r="E727" s="39"/>
      <c r="F727" s="40"/>
      <c r="G727" s="37"/>
      <c r="H727" s="37"/>
      <c r="I727" s="37"/>
      <c r="J727" s="41"/>
      <c r="K727" s="41"/>
      <c r="L727" s="43"/>
      <c r="M727" s="43"/>
      <c r="N727" s="43"/>
      <c r="O727" s="43"/>
      <c r="P727" s="44"/>
      <c r="Q727" s="45"/>
    </row>
    <row r="728" spans="3:17" x14ac:dyDescent="0.25">
      <c r="C728" s="38"/>
      <c r="D728" s="38"/>
      <c r="E728" s="39"/>
      <c r="F728" s="40"/>
      <c r="G728" s="37"/>
      <c r="H728" s="37"/>
      <c r="I728" s="37"/>
      <c r="J728" s="41"/>
      <c r="K728" s="41"/>
      <c r="L728" s="43"/>
      <c r="M728" s="43"/>
      <c r="N728" s="43"/>
      <c r="O728" s="43"/>
      <c r="P728" s="44"/>
      <c r="Q728" s="45"/>
    </row>
    <row r="729" spans="3:17" x14ac:dyDescent="0.25">
      <c r="C729" s="38"/>
      <c r="D729" s="38"/>
      <c r="E729" s="39"/>
      <c r="F729" s="40"/>
      <c r="G729" s="37"/>
      <c r="H729" s="37"/>
      <c r="I729" s="37"/>
      <c r="J729" s="41"/>
      <c r="K729" s="41"/>
      <c r="L729" s="43"/>
      <c r="M729" s="43"/>
      <c r="N729" s="43"/>
      <c r="O729" s="43"/>
      <c r="P729" s="44"/>
      <c r="Q729" s="45"/>
    </row>
    <row r="730" spans="3:17" x14ac:dyDescent="0.25">
      <c r="C730" s="38"/>
      <c r="D730" s="38"/>
      <c r="E730" s="39"/>
      <c r="F730" s="40"/>
      <c r="G730" s="37"/>
      <c r="H730" s="37"/>
      <c r="I730" s="37"/>
      <c r="J730" s="41"/>
      <c r="K730" s="41"/>
      <c r="L730" s="43"/>
      <c r="M730" s="43"/>
      <c r="N730" s="43"/>
      <c r="O730" s="43"/>
      <c r="P730" s="44"/>
      <c r="Q730" s="45"/>
    </row>
    <row r="731" spans="3:17" x14ac:dyDescent="0.25">
      <c r="C731" s="38"/>
      <c r="D731" s="38"/>
      <c r="E731" s="39"/>
      <c r="F731" s="40"/>
      <c r="G731" s="37"/>
      <c r="H731" s="37"/>
      <c r="I731" s="37"/>
      <c r="J731" s="41"/>
      <c r="K731" s="41"/>
      <c r="L731" s="43"/>
      <c r="M731" s="43"/>
      <c r="N731" s="43"/>
      <c r="O731" s="43"/>
      <c r="P731" s="44"/>
      <c r="Q731" s="45"/>
    </row>
    <row r="732" spans="3:17" x14ac:dyDescent="0.25">
      <c r="C732" s="38"/>
      <c r="D732" s="38"/>
      <c r="E732" s="39"/>
      <c r="F732" s="40"/>
      <c r="G732" s="37"/>
      <c r="H732" s="37"/>
      <c r="I732" s="37"/>
      <c r="J732" s="41"/>
      <c r="K732" s="41"/>
      <c r="L732" s="43"/>
      <c r="M732" s="43"/>
      <c r="N732" s="43"/>
      <c r="O732" s="43"/>
      <c r="P732" s="44"/>
      <c r="Q732" s="45"/>
    </row>
    <row r="733" spans="3:17" x14ac:dyDescent="0.25">
      <c r="C733" s="38"/>
      <c r="D733" s="38"/>
      <c r="E733" s="39"/>
      <c r="F733" s="40"/>
      <c r="G733" s="37"/>
      <c r="H733" s="37"/>
      <c r="I733" s="37"/>
      <c r="J733" s="41"/>
      <c r="K733" s="41"/>
      <c r="L733" s="43"/>
      <c r="M733" s="43"/>
      <c r="N733" s="43"/>
      <c r="O733" s="43"/>
      <c r="P733" s="44"/>
      <c r="Q733" s="45"/>
    </row>
    <row r="734" spans="3:17" x14ac:dyDescent="0.25">
      <c r="C734" s="38"/>
      <c r="D734" s="38"/>
      <c r="E734" s="39"/>
      <c r="F734" s="40"/>
      <c r="G734" s="37"/>
      <c r="H734" s="37"/>
      <c r="I734" s="37"/>
      <c r="J734" s="41"/>
      <c r="K734" s="41"/>
      <c r="L734" s="43"/>
      <c r="M734" s="43"/>
      <c r="N734" s="43"/>
      <c r="O734" s="43"/>
      <c r="P734" s="44"/>
      <c r="Q734" s="45"/>
    </row>
    <row r="735" spans="3:17" x14ac:dyDescent="0.25">
      <c r="C735" s="38"/>
      <c r="D735" s="38"/>
      <c r="E735" s="39"/>
      <c r="F735" s="40"/>
      <c r="G735" s="37"/>
      <c r="H735" s="37"/>
      <c r="I735" s="37"/>
      <c r="J735" s="41"/>
      <c r="K735" s="41"/>
      <c r="L735" s="43"/>
      <c r="M735" s="43"/>
      <c r="N735" s="43"/>
      <c r="O735" s="43"/>
      <c r="P735" s="44"/>
      <c r="Q735" s="45"/>
    </row>
    <row r="736" spans="3:17" x14ac:dyDescent="0.25">
      <c r="C736" s="38"/>
      <c r="D736" s="38"/>
      <c r="E736" s="39"/>
      <c r="F736" s="40"/>
      <c r="G736" s="37"/>
      <c r="H736" s="37"/>
      <c r="I736" s="37"/>
      <c r="J736" s="41"/>
      <c r="K736" s="41"/>
      <c r="L736" s="43"/>
      <c r="M736" s="43"/>
      <c r="N736" s="43"/>
      <c r="O736" s="43"/>
      <c r="P736" s="44"/>
      <c r="Q736" s="45"/>
    </row>
    <row r="737" spans="3:17" x14ac:dyDescent="0.25">
      <c r="C737" s="38"/>
      <c r="D737" s="38"/>
      <c r="E737" s="39"/>
      <c r="F737" s="40"/>
      <c r="G737" s="37"/>
      <c r="H737" s="37"/>
      <c r="I737" s="37"/>
      <c r="J737" s="41"/>
      <c r="K737" s="41"/>
      <c r="L737" s="43"/>
      <c r="M737" s="43"/>
      <c r="N737" s="43"/>
      <c r="O737" s="43"/>
      <c r="P737" s="44"/>
      <c r="Q737" s="45"/>
    </row>
    <row r="738" spans="3:17" x14ac:dyDescent="0.25">
      <c r="C738" s="38"/>
      <c r="D738" s="38"/>
      <c r="E738" s="39"/>
      <c r="F738" s="40"/>
      <c r="G738" s="37"/>
      <c r="H738" s="37"/>
      <c r="I738" s="37"/>
      <c r="J738" s="41"/>
      <c r="K738" s="41"/>
      <c r="L738" s="43"/>
      <c r="M738" s="43"/>
      <c r="N738" s="43"/>
      <c r="O738" s="43"/>
      <c r="P738" s="44"/>
      <c r="Q738" s="45"/>
    </row>
    <row r="739" spans="3:17" x14ac:dyDescent="0.25">
      <c r="C739" s="38"/>
      <c r="D739" s="38"/>
      <c r="E739" s="39"/>
      <c r="F739" s="40"/>
      <c r="G739" s="37"/>
      <c r="H739" s="37"/>
      <c r="I739" s="37"/>
      <c r="J739" s="41"/>
      <c r="K739" s="41"/>
      <c r="L739" s="43"/>
      <c r="M739" s="43"/>
      <c r="N739" s="43"/>
      <c r="O739" s="43"/>
      <c r="P739" s="44"/>
      <c r="Q739" s="45"/>
    </row>
    <row r="740" spans="3:17" x14ac:dyDescent="0.25">
      <c r="C740" s="38"/>
      <c r="D740" s="38"/>
      <c r="E740" s="39"/>
      <c r="F740" s="40"/>
      <c r="G740" s="37"/>
      <c r="H740" s="37"/>
      <c r="I740" s="37"/>
      <c r="J740" s="41"/>
      <c r="K740" s="41"/>
      <c r="L740" s="43"/>
      <c r="M740" s="43"/>
      <c r="N740" s="43"/>
      <c r="O740" s="43"/>
      <c r="P740" s="44"/>
      <c r="Q740" s="45"/>
    </row>
    <row r="741" spans="3:17" x14ac:dyDescent="0.25">
      <c r="C741" s="38"/>
      <c r="D741" s="38"/>
      <c r="E741" s="39"/>
      <c r="F741" s="40"/>
      <c r="G741" s="37"/>
      <c r="H741" s="37"/>
      <c r="I741" s="37"/>
      <c r="J741" s="41"/>
      <c r="K741" s="41"/>
      <c r="L741" s="43"/>
      <c r="M741" s="43"/>
      <c r="N741" s="43"/>
      <c r="O741" s="43"/>
      <c r="P741" s="44"/>
      <c r="Q741" s="45"/>
    </row>
    <row r="742" spans="3:17" x14ac:dyDescent="0.25">
      <c r="C742" s="38"/>
      <c r="D742" s="38"/>
      <c r="E742" s="39"/>
      <c r="F742" s="40"/>
      <c r="G742" s="37"/>
      <c r="H742" s="37"/>
      <c r="I742" s="37"/>
      <c r="J742" s="41"/>
      <c r="K742" s="41"/>
      <c r="L742" s="43"/>
      <c r="M742" s="43"/>
      <c r="N742" s="43"/>
      <c r="O742" s="43"/>
      <c r="P742" s="44"/>
      <c r="Q742" s="45"/>
    </row>
    <row r="743" spans="3:17" x14ac:dyDescent="0.25">
      <c r="C743" s="38"/>
      <c r="D743" s="38"/>
      <c r="E743" s="39"/>
      <c r="F743" s="40"/>
      <c r="G743" s="37"/>
      <c r="H743" s="37"/>
      <c r="I743" s="37"/>
      <c r="J743" s="41"/>
      <c r="K743" s="41"/>
      <c r="L743" s="43"/>
      <c r="M743" s="43"/>
      <c r="N743" s="43"/>
      <c r="O743" s="43"/>
      <c r="P743" s="44"/>
      <c r="Q743" s="45"/>
    </row>
    <row r="744" spans="3:17" x14ac:dyDescent="0.25">
      <c r="C744" s="38"/>
      <c r="D744" s="38"/>
      <c r="E744" s="39"/>
      <c r="F744" s="40"/>
      <c r="G744" s="37"/>
      <c r="H744" s="37"/>
      <c r="I744" s="37"/>
      <c r="J744" s="41"/>
      <c r="K744" s="41"/>
      <c r="L744" s="43"/>
      <c r="M744" s="43"/>
      <c r="N744" s="43"/>
      <c r="O744" s="43"/>
      <c r="P744" s="44"/>
      <c r="Q744" s="45"/>
    </row>
    <row r="745" spans="3:17" x14ac:dyDescent="0.25">
      <c r="C745" s="38"/>
      <c r="D745" s="38"/>
      <c r="E745" s="39"/>
      <c r="F745" s="40"/>
      <c r="G745" s="37"/>
      <c r="H745" s="37"/>
      <c r="I745" s="37"/>
      <c r="J745" s="41"/>
      <c r="K745" s="41"/>
      <c r="L745" s="43"/>
      <c r="M745" s="43"/>
      <c r="N745" s="43"/>
      <c r="O745" s="43"/>
      <c r="P745" s="44"/>
      <c r="Q745" s="45"/>
    </row>
    <row r="746" spans="3:17" x14ac:dyDescent="0.25">
      <c r="C746" s="38"/>
      <c r="D746" s="38"/>
      <c r="E746" s="39"/>
      <c r="F746" s="40"/>
      <c r="G746" s="37"/>
      <c r="H746" s="37"/>
      <c r="I746" s="37"/>
      <c r="J746" s="41"/>
      <c r="K746" s="41"/>
      <c r="L746" s="43"/>
      <c r="M746" s="43"/>
      <c r="N746" s="43"/>
      <c r="O746" s="43"/>
      <c r="P746" s="44"/>
      <c r="Q746" s="45"/>
    </row>
    <row r="747" spans="3:17" x14ac:dyDescent="0.25">
      <c r="C747" s="38"/>
      <c r="D747" s="38"/>
      <c r="E747" s="39"/>
      <c r="F747" s="40"/>
      <c r="G747" s="37"/>
      <c r="H747" s="37"/>
      <c r="I747" s="37"/>
      <c r="J747" s="41"/>
      <c r="K747" s="41"/>
      <c r="L747" s="43"/>
      <c r="M747" s="43"/>
      <c r="N747" s="43"/>
      <c r="O747" s="43"/>
      <c r="P747" s="44"/>
      <c r="Q747" s="45"/>
    </row>
    <row r="748" spans="3:17" x14ac:dyDescent="0.25">
      <c r="C748" s="38"/>
      <c r="D748" s="38"/>
      <c r="E748" s="39"/>
      <c r="F748" s="40"/>
      <c r="G748" s="37"/>
      <c r="H748" s="37"/>
      <c r="I748" s="37"/>
      <c r="J748" s="41"/>
      <c r="K748" s="41"/>
      <c r="L748" s="43"/>
      <c r="M748" s="43"/>
      <c r="N748" s="43"/>
      <c r="O748" s="43"/>
      <c r="P748" s="44"/>
      <c r="Q748" s="45"/>
    </row>
    <row r="749" spans="3:17" x14ac:dyDescent="0.25">
      <c r="C749" s="38"/>
      <c r="D749" s="38"/>
      <c r="E749" s="39"/>
      <c r="F749" s="40"/>
      <c r="G749" s="37"/>
      <c r="H749" s="37"/>
      <c r="I749" s="37"/>
      <c r="J749" s="41"/>
      <c r="K749" s="41"/>
      <c r="L749" s="43"/>
      <c r="M749" s="43"/>
      <c r="N749" s="43"/>
      <c r="O749" s="43"/>
      <c r="P749" s="44"/>
      <c r="Q749" s="45"/>
    </row>
    <row r="750" spans="3:17" x14ac:dyDescent="0.25">
      <c r="C750" s="38"/>
      <c r="D750" s="38"/>
      <c r="E750" s="39"/>
      <c r="F750" s="40"/>
      <c r="G750" s="37"/>
      <c r="H750" s="37"/>
      <c r="I750" s="37"/>
      <c r="J750" s="41"/>
      <c r="K750" s="41"/>
      <c r="L750" s="43"/>
      <c r="M750" s="43"/>
      <c r="N750" s="43"/>
      <c r="O750" s="43"/>
      <c r="P750" s="44"/>
      <c r="Q750" s="45"/>
    </row>
    <row r="751" spans="3:17" x14ac:dyDescent="0.25">
      <c r="C751" s="38"/>
      <c r="D751" s="38"/>
      <c r="E751" s="39"/>
      <c r="F751" s="40"/>
      <c r="G751" s="37"/>
      <c r="H751" s="37"/>
      <c r="I751" s="37"/>
      <c r="J751" s="41"/>
      <c r="K751" s="41"/>
      <c r="L751" s="43"/>
      <c r="M751" s="43"/>
      <c r="N751" s="43"/>
      <c r="O751" s="43"/>
      <c r="P751" s="44"/>
      <c r="Q751" s="45"/>
    </row>
    <row r="752" spans="3:17" x14ac:dyDescent="0.25">
      <c r="C752" s="38"/>
      <c r="D752" s="38"/>
      <c r="E752" s="39"/>
      <c r="F752" s="40"/>
      <c r="G752" s="37"/>
      <c r="H752" s="37"/>
      <c r="I752" s="37"/>
      <c r="J752" s="41"/>
      <c r="K752" s="41"/>
      <c r="L752" s="43"/>
      <c r="M752" s="43"/>
      <c r="N752" s="43"/>
      <c r="O752" s="43"/>
      <c r="P752" s="44"/>
      <c r="Q752" s="45"/>
    </row>
    <row r="753" spans="3:17" x14ac:dyDescent="0.25">
      <c r="C753" s="38"/>
      <c r="D753" s="38"/>
      <c r="E753" s="39"/>
      <c r="F753" s="40"/>
      <c r="G753" s="37"/>
      <c r="H753" s="37"/>
      <c r="I753" s="37"/>
      <c r="J753" s="41"/>
      <c r="K753" s="41"/>
      <c r="L753" s="43"/>
      <c r="M753" s="43"/>
      <c r="N753" s="43"/>
      <c r="O753" s="43"/>
      <c r="P753" s="44"/>
      <c r="Q753" s="45"/>
    </row>
    <row r="754" spans="3:17" x14ac:dyDescent="0.25">
      <c r="C754" s="38"/>
      <c r="D754" s="38"/>
      <c r="E754" s="39"/>
      <c r="F754" s="40"/>
      <c r="G754" s="37"/>
      <c r="H754" s="37"/>
      <c r="I754" s="37"/>
      <c r="J754" s="41"/>
      <c r="K754" s="41"/>
      <c r="L754" s="43"/>
      <c r="M754" s="43"/>
      <c r="N754" s="43"/>
      <c r="O754" s="43"/>
      <c r="P754" s="44"/>
      <c r="Q754" s="45"/>
    </row>
    <row r="755" spans="3:17" x14ac:dyDescent="0.25">
      <c r="C755" s="38"/>
      <c r="D755" s="38"/>
      <c r="E755" s="39"/>
      <c r="F755" s="40"/>
      <c r="G755" s="37"/>
      <c r="H755" s="37"/>
      <c r="I755" s="37"/>
      <c r="J755" s="41"/>
      <c r="K755" s="41"/>
      <c r="L755" s="43"/>
      <c r="M755" s="43"/>
      <c r="N755" s="43"/>
      <c r="O755" s="43"/>
      <c r="P755" s="44"/>
      <c r="Q755" s="45"/>
    </row>
    <row r="756" spans="3:17" x14ac:dyDescent="0.25">
      <c r="C756" s="38"/>
      <c r="D756" s="38"/>
      <c r="E756" s="39"/>
      <c r="F756" s="40"/>
      <c r="G756" s="37"/>
      <c r="H756" s="37"/>
      <c r="I756" s="37"/>
      <c r="J756" s="41"/>
      <c r="K756" s="41"/>
      <c r="L756" s="43"/>
      <c r="M756" s="43"/>
      <c r="N756" s="43"/>
      <c r="O756" s="43"/>
      <c r="P756" s="44"/>
      <c r="Q756" s="45"/>
    </row>
    <row r="757" spans="3:17" x14ac:dyDescent="0.25">
      <c r="C757" s="38"/>
      <c r="D757" s="38"/>
      <c r="E757" s="39"/>
      <c r="F757" s="40"/>
      <c r="G757" s="37"/>
      <c r="H757" s="37"/>
      <c r="I757" s="37"/>
      <c r="J757" s="41"/>
      <c r="K757" s="41"/>
      <c r="L757" s="43"/>
      <c r="M757" s="43"/>
      <c r="N757" s="43"/>
      <c r="O757" s="43"/>
      <c r="P757" s="44"/>
      <c r="Q757" s="45"/>
    </row>
    <row r="758" spans="3:17" x14ac:dyDescent="0.25">
      <c r="C758" s="38"/>
      <c r="D758" s="38"/>
      <c r="E758" s="39"/>
      <c r="F758" s="40"/>
      <c r="G758" s="37"/>
      <c r="H758" s="37"/>
      <c r="I758" s="37"/>
      <c r="J758" s="41"/>
      <c r="K758" s="41"/>
      <c r="L758" s="43"/>
      <c r="M758" s="43"/>
      <c r="N758" s="43"/>
      <c r="O758" s="43"/>
      <c r="P758" s="44"/>
      <c r="Q758" s="45"/>
    </row>
    <row r="759" spans="3:17" x14ac:dyDescent="0.25">
      <c r="C759" s="38"/>
      <c r="D759" s="38"/>
      <c r="E759" s="39"/>
      <c r="F759" s="40"/>
      <c r="G759" s="37"/>
      <c r="H759" s="37"/>
      <c r="I759" s="37"/>
      <c r="J759" s="41"/>
      <c r="K759" s="41"/>
      <c r="L759" s="43"/>
      <c r="M759" s="43"/>
      <c r="N759" s="43"/>
      <c r="O759" s="43"/>
      <c r="P759" s="44"/>
      <c r="Q759" s="45"/>
    </row>
    <row r="760" spans="3:17" x14ac:dyDescent="0.25">
      <c r="C760" s="38"/>
      <c r="D760" s="38"/>
      <c r="E760" s="39"/>
      <c r="F760" s="40"/>
      <c r="G760" s="37"/>
      <c r="H760" s="37"/>
      <c r="I760" s="37"/>
      <c r="J760" s="41"/>
      <c r="K760" s="41"/>
      <c r="L760" s="43"/>
      <c r="M760" s="43"/>
      <c r="N760" s="43"/>
      <c r="O760" s="43"/>
      <c r="P760" s="44"/>
      <c r="Q760" s="45"/>
    </row>
    <row r="761" spans="3:17" x14ac:dyDescent="0.25">
      <c r="C761" s="38"/>
      <c r="D761" s="38"/>
      <c r="E761" s="39"/>
      <c r="F761" s="40"/>
      <c r="G761" s="37"/>
      <c r="H761" s="37"/>
      <c r="I761" s="37"/>
      <c r="J761" s="41"/>
      <c r="K761" s="41"/>
      <c r="L761" s="43"/>
      <c r="M761" s="43"/>
      <c r="N761" s="43"/>
      <c r="O761" s="43"/>
      <c r="P761" s="44"/>
      <c r="Q761" s="45"/>
    </row>
    <row r="762" spans="3:17" x14ac:dyDescent="0.25">
      <c r="C762" s="38"/>
      <c r="D762" s="38"/>
      <c r="E762" s="39"/>
      <c r="F762" s="40"/>
      <c r="G762" s="37"/>
      <c r="H762" s="37"/>
      <c r="I762" s="37"/>
      <c r="J762" s="41"/>
      <c r="K762" s="41"/>
      <c r="L762" s="43"/>
      <c r="M762" s="43"/>
      <c r="N762" s="43"/>
      <c r="O762" s="43"/>
      <c r="P762" s="44"/>
      <c r="Q762" s="45"/>
    </row>
    <row r="763" spans="3:17" x14ac:dyDescent="0.25">
      <c r="C763" s="38"/>
      <c r="D763" s="38"/>
      <c r="E763" s="39"/>
      <c r="F763" s="40"/>
      <c r="G763" s="37"/>
      <c r="H763" s="37"/>
      <c r="I763" s="37"/>
      <c r="J763" s="41"/>
      <c r="K763" s="41"/>
      <c r="L763" s="43"/>
      <c r="M763" s="43"/>
      <c r="N763" s="43"/>
      <c r="O763" s="43"/>
      <c r="P763" s="44"/>
      <c r="Q763" s="45"/>
    </row>
    <row r="764" spans="3:17" x14ac:dyDescent="0.25">
      <c r="C764" s="38"/>
      <c r="D764" s="38"/>
      <c r="E764" s="39"/>
      <c r="F764" s="40"/>
      <c r="G764" s="37"/>
      <c r="H764" s="37"/>
      <c r="I764" s="37"/>
      <c r="J764" s="41"/>
      <c r="K764" s="41"/>
      <c r="L764" s="43"/>
      <c r="M764" s="43"/>
      <c r="N764" s="43"/>
      <c r="O764" s="43"/>
      <c r="P764" s="44"/>
      <c r="Q764" s="45"/>
    </row>
    <row r="765" spans="3:17" x14ac:dyDescent="0.25">
      <c r="C765" s="38"/>
      <c r="D765" s="38"/>
      <c r="E765" s="39"/>
      <c r="F765" s="40"/>
      <c r="G765" s="37"/>
      <c r="H765" s="37"/>
      <c r="I765" s="37"/>
      <c r="J765" s="41"/>
      <c r="K765" s="41"/>
      <c r="L765" s="43"/>
      <c r="M765" s="43"/>
      <c r="N765" s="43"/>
      <c r="O765" s="43"/>
      <c r="P765" s="44"/>
      <c r="Q765" s="45"/>
    </row>
    <row r="766" spans="3:17" x14ac:dyDescent="0.25">
      <c r="C766" s="38"/>
      <c r="D766" s="38"/>
      <c r="E766" s="39"/>
      <c r="F766" s="40"/>
      <c r="G766" s="37"/>
      <c r="H766" s="37"/>
      <c r="I766" s="37"/>
      <c r="J766" s="41"/>
      <c r="K766" s="41"/>
      <c r="L766" s="43"/>
      <c r="M766" s="43"/>
      <c r="N766" s="43"/>
      <c r="O766" s="43"/>
      <c r="P766" s="44"/>
      <c r="Q766" s="45"/>
    </row>
    <row r="767" spans="3:17" x14ac:dyDescent="0.25">
      <c r="C767" s="38"/>
      <c r="D767" s="38"/>
      <c r="E767" s="39"/>
      <c r="F767" s="40"/>
      <c r="G767" s="37"/>
      <c r="H767" s="37"/>
      <c r="I767" s="37"/>
      <c r="J767" s="41"/>
      <c r="K767" s="41"/>
      <c r="L767" s="43"/>
      <c r="M767" s="43"/>
      <c r="N767" s="43"/>
      <c r="O767" s="43"/>
      <c r="P767" s="44"/>
      <c r="Q767" s="45"/>
    </row>
    <row r="768" spans="3:17" x14ac:dyDescent="0.25">
      <c r="C768" s="38"/>
      <c r="D768" s="38"/>
      <c r="E768" s="39"/>
      <c r="F768" s="40"/>
      <c r="G768" s="37"/>
      <c r="H768" s="37"/>
      <c r="I768" s="37"/>
      <c r="J768" s="41"/>
      <c r="K768" s="41"/>
      <c r="L768" s="43"/>
      <c r="M768" s="43"/>
      <c r="N768" s="43"/>
      <c r="O768" s="43"/>
      <c r="P768" s="44"/>
      <c r="Q768" s="45"/>
    </row>
    <row r="769" spans="3:17" x14ac:dyDescent="0.25">
      <c r="C769" s="38"/>
      <c r="D769" s="38"/>
      <c r="E769" s="39"/>
      <c r="F769" s="40"/>
      <c r="G769" s="37"/>
      <c r="H769" s="37"/>
      <c r="I769" s="37"/>
      <c r="J769" s="41"/>
      <c r="K769" s="41"/>
      <c r="L769" s="43"/>
      <c r="M769" s="43"/>
      <c r="N769" s="43"/>
      <c r="O769" s="43"/>
      <c r="P769" s="44"/>
      <c r="Q769" s="45"/>
    </row>
    <row r="770" spans="3:17" x14ac:dyDescent="0.25">
      <c r="C770" s="38"/>
      <c r="D770" s="38"/>
      <c r="E770" s="39"/>
      <c r="F770" s="40"/>
      <c r="G770" s="37"/>
      <c r="H770" s="37"/>
      <c r="I770" s="37"/>
      <c r="J770" s="41"/>
      <c r="K770" s="41"/>
      <c r="L770" s="43"/>
      <c r="M770" s="43"/>
      <c r="N770" s="43"/>
      <c r="O770" s="43"/>
      <c r="P770" s="44"/>
      <c r="Q770" s="45"/>
    </row>
    <row r="771" spans="3:17" x14ac:dyDescent="0.25">
      <c r="C771" s="38"/>
      <c r="D771" s="38"/>
      <c r="E771" s="39"/>
      <c r="F771" s="40"/>
      <c r="G771" s="37"/>
      <c r="H771" s="37"/>
      <c r="I771" s="37"/>
      <c r="J771" s="41"/>
      <c r="K771" s="41"/>
      <c r="L771" s="43"/>
      <c r="M771" s="43"/>
      <c r="N771" s="43"/>
      <c r="O771" s="43"/>
      <c r="P771" s="44"/>
      <c r="Q771" s="45"/>
    </row>
    <row r="772" spans="3:17" x14ac:dyDescent="0.25">
      <c r="C772" s="38"/>
      <c r="D772" s="38"/>
      <c r="E772" s="39"/>
      <c r="F772" s="40"/>
      <c r="G772" s="37"/>
      <c r="H772" s="37"/>
      <c r="I772" s="37"/>
      <c r="J772" s="41"/>
      <c r="K772" s="41"/>
      <c r="L772" s="43"/>
      <c r="M772" s="43"/>
      <c r="N772" s="43"/>
      <c r="O772" s="43"/>
      <c r="P772" s="44"/>
      <c r="Q772" s="45"/>
    </row>
    <row r="773" spans="3:17" x14ac:dyDescent="0.25">
      <c r="C773" s="38"/>
      <c r="D773" s="38"/>
      <c r="E773" s="39"/>
      <c r="F773" s="40"/>
      <c r="G773" s="37"/>
      <c r="H773" s="37"/>
      <c r="I773" s="37"/>
      <c r="J773" s="41"/>
      <c r="K773" s="41"/>
      <c r="L773" s="43"/>
      <c r="M773" s="43"/>
      <c r="N773" s="43"/>
      <c r="O773" s="43"/>
      <c r="P773" s="44"/>
      <c r="Q773" s="45"/>
    </row>
    <row r="774" spans="3:17" x14ac:dyDescent="0.25">
      <c r="C774" s="38"/>
      <c r="D774" s="38"/>
      <c r="E774" s="39"/>
      <c r="F774" s="40"/>
      <c r="G774" s="37"/>
      <c r="H774" s="37"/>
      <c r="I774" s="37"/>
      <c r="J774" s="41"/>
      <c r="K774" s="41"/>
      <c r="L774" s="43"/>
      <c r="M774" s="43"/>
      <c r="N774" s="43"/>
      <c r="O774" s="43"/>
      <c r="P774" s="44"/>
      <c r="Q774" s="45"/>
    </row>
    <row r="775" spans="3:17" x14ac:dyDescent="0.25">
      <c r="C775" s="38"/>
      <c r="D775" s="38"/>
      <c r="E775" s="39"/>
      <c r="F775" s="40"/>
      <c r="G775" s="37"/>
      <c r="H775" s="37"/>
      <c r="I775" s="37"/>
      <c r="J775" s="41"/>
      <c r="K775" s="41"/>
      <c r="L775" s="43"/>
      <c r="M775" s="43"/>
      <c r="N775" s="43"/>
      <c r="O775" s="43"/>
      <c r="P775" s="44"/>
      <c r="Q775" s="45"/>
    </row>
    <row r="776" spans="3:17" x14ac:dyDescent="0.25">
      <c r="C776" s="38"/>
      <c r="D776" s="38"/>
      <c r="E776" s="39"/>
      <c r="F776" s="40"/>
      <c r="G776" s="37"/>
      <c r="H776" s="37"/>
      <c r="I776" s="37"/>
      <c r="J776" s="41"/>
      <c r="K776" s="41"/>
      <c r="L776" s="43"/>
      <c r="M776" s="43"/>
      <c r="N776" s="43"/>
      <c r="O776" s="43"/>
      <c r="P776" s="44"/>
      <c r="Q776" s="45"/>
    </row>
    <row r="777" spans="3:17" x14ac:dyDescent="0.25">
      <c r="C777" s="38"/>
      <c r="D777" s="38"/>
      <c r="E777" s="39"/>
      <c r="F777" s="40"/>
      <c r="G777" s="37"/>
      <c r="H777" s="37"/>
      <c r="I777" s="37"/>
      <c r="J777" s="41"/>
      <c r="K777" s="41"/>
      <c r="L777" s="43"/>
      <c r="M777" s="43"/>
      <c r="N777" s="43"/>
      <c r="O777" s="43"/>
      <c r="P777" s="44"/>
      <c r="Q777" s="45"/>
    </row>
    <row r="778" spans="3:17" x14ac:dyDescent="0.25">
      <c r="C778" s="38"/>
      <c r="D778" s="38"/>
      <c r="E778" s="39"/>
      <c r="F778" s="40"/>
      <c r="G778" s="37"/>
      <c r="H778" s="37"/>
      <c r="I778" s="37"/>
      <c r="J778" s="41"/>
      <c r="K778" s="41"/>
      <c r="L778" s="43"/>
      <c r="M778" s="43"/>
      <c r="N778" s="43"/>
      <c r="O778" s="43"/>
      <c r="P778" s="44"/>
      <c r="Q778" s="45"/>
    </row>
    <row r="779" spans="3:17" x14ac:dyDescent="0.25">
      <c r="C779" s="38"/>
      <c r="D779" s="38"/>
      <c r="E779" s="39"/>
      <c r="F779" s="40"/>
      <c r="G779" s="37"/>
      <c r="H779" s="37"/>
      <c r="I779" s="37"/>
      <c r="J779" s="41"/>
      <c r="K779" s="41"/>
      <c r="L779" s="43"/>
      <c r="M779" s="43"/>
      <c r="N779" s="43"/>
      <c r="O779" s="43"/>
      <c r="P779" s="44"/>
      <c r="Q779" s="45"/>
    </row>
    <row r="780" spans="3:17" x14ac:dyDescent="0.25">
      <c r="C780" s="38"/>
      <c r="D780" s="38"/>
      <c r="E780" s="39"/>
      <c r="F780" s="40"/>
      <c r="G780" s="37"/>
      <c r="H780" s="37"/>
      <c r="I780" s="37"/>
      <c r="J780" s="41"/>
      <c r="K780" s="41"/>
      <c r="L780" s="43"/>
      <c r="M780" s="43"/>
      <c r="N780" s="43"/>
      <c r="O780" s="43"/>
      <c r="P780" s="44"/>
      <c r="Q780" s="45"/>
    </row>
    <row r="781" spans="3:17" x14ac:dyDescent="0.25">
      <c r="C781" s="38"/>
      <c r="D781" s="38"/>
      <c r="E781" s="39"/>
      <c r="F781" s="40"/>
      <c r="G781" s="37"/>
      <c r="H781" s="37"/>
      <c r="I781" s="37"/>
      <c r="J781" s="41"/>
      <c r="K781" s="41"/>
      <c r="L781" s="43"/>
      <c r="M781" s="43"/>
      <c r="N781" s="43"/>
      <c r="O781" s="43"/>
      <c r="P781" s="44"/>
      <c r="Q781" s="45"/>
    </row>
    <row r="782" spans="3:17" x14ac:dyDescent="0.25">
      <c r="C782" s="38"/>
      <c r="D782" s="38"/>
      <c r="E782" s="39"/>
      <c r="F782" s="40"/>
      <c r="G782" s="37"/>
      <c r="H782" s="37"/>
      <c r="I782" s="37"/>
      <c r="J782" s="41"/>
      <c r="K782" s="41"/>
      <c r="L782" s="43"/>
      <c r="M782" s="43"/>
      <c r="N782" s="43"/>
      <c r="O782" s="43"/>
      <c r="P782" s="44"/>
      <c r="Q782" s="45"/>
    </row>
    <row r="783" spans="3:17" x14ac:dyDescent="0.25">
      <c r="C783" s="38"/>
      <c r="D783" s="38"/>
      <c r="E783" s="39"/>
      <c r="F783" s="40"/>
      <c r="G783" s="37"/>
      <c r="H783" s="37"/>
      <c r="I783" s="37"/>
      <c r="J783" s="41"/>
      <c r="K783" s="41"/>
      <c r="L783" s="43"/>
      <c r="M783" s="43"/>
      <c r="N783" s="43"/>
      <c r="O783" s="43"/>
      <c r="P783" s="44"/>
      <c r="Q783" s="45"/>
    </row>
    <row r="784" spans="3:17" x14ac:dyDescent="0.25">
      <c r="C784" s="38"/>
      <c r="D784" s="38"/>
      <c r="E784" s="39"/>
      <c r="F784" s="40"/>
      <c r="G784" s="37"/>
      <c r="H784" s="37"/>
      <c r="I784" s="37"/>
      <c r="J784" s="41"/>
      <c r="K784" s="41"/>
      <c r="L784" s="43"/>
      <c r="M784" s="43"/>
      <c r="N784" s="43"/>
      <c r="O784" s="43"/>
      <c r="P784" s="44"/>
      <c r="Q784" s="45"/>
    </row>
    <row r="785" spans="3:17" x14ac:dyDescent="0.25">
      <c r="C785" s="38"/>
      <c r="D785" s="38"/>
      <c r="E785" s="39"/>
      <c r="F785" s="40"/>
      <c r="G785" s="37"/>
      <c r="H785" s="37"/>
      <c r="I785" s="37"/>
      <c r="J785" s="41"/>
      <c r="K785" s="41"/>
      <c r="L785" s="43"/>
      <c r="M785" s="43"/>
      <c r="N785" s="43"/>
      <c r="O785" s="43"/>
      <c r="P785" s="44"/>
      <c r="Q785" s="45"/>
    </row>
    <row r="786" spans="3:17" x14ac:dyDescent="0.25">
      <c r="C786" s="38"/>
      <c r="D786" s="38"/>
      <c r="E786" s="39"/>
      <c r="F786" s="40"/>
      <c r="G786" s="37"/>
      <c r="H786" s="37"/>
      <c r="I786" s="37"/>
      <c r="J786" s="41"/>
      <c r="K786" s="41"/>
      <c r="L786" s="43"/>
      <c r="M786" s="43"/>
      <c r="N786" s="43"/>
      <c r="O786" s="43"/>
      <c r="P786" s="44"/>
      <c r="Q786" s="45"/>
    </row>
    <row r="787" spans="3:17" x14ac:dyDescent="0.25">
      <c r="C787" s="38"/>
      <c r="D787" s="38"/>
      <c r="E787" s="39"/>
      <c r="F787" s="40"/>
      <c r="G787" s="37"/>
      <c r="H787" s="37"/>
      <c r="I787" s="37"/>
      <c r="J787" s="41"/>
      <c r="K787" s="41"/>
      <c r="L787" s="43"/>
      <c r="M787" s="43"/>
      <c r="N787" s="43"/>
      <c r="O787" s="43"/>
      <c r="P787" s="44"/>
      <c r="Q787" s="45"/>
    </row>
    <row r="788" spans="3:17" x14ac:dyDescent="0.25">
      <c r="C788" s="38"/>
      <c r="D788" s="38"/>
      <c r="E788" s="39"/>
      <c r="F788" s="40"/>
      <c r="G788" s="37"/>
      <c r="H788" s="37"/>
      <c r="I788" s="37"/>
      <c r="J788" s="41"/>
      <c r="K788" s="41"/>
      <c r="L788" s="43"/>
      <c r="M788" s="43"/>
      <c r="N788" s="43"/>
      <c r="O788" s="43"/>
      <c r="P788" s="44"/>
      <c r="Q788" s="45"/>
    </row>
    <row r="789" spans="3:17" x14ac:dyDescent="0.25">
      <c r="C789" s="38"/>
      <c r="D789" s="38"/>
      <c r="E789" s="39"/>
      <c r="F789" s="40"/>
      <c r="G789" s="37"/>
      <c r="H789" s="37"/>
      <c r="I789" s="37"/>
      <c r="J789" s="41"/>
      <c r="K789" s="41"/>
      <c r="L789" s="43"/>
      <c r="M789" s="43"/>
      <c r="N789" s="43"/>
      <c r="O789" s="43"/>
      <c r="P789" s="44"/>
      <c r="Q789" s="45"/>
    </row>
    <row r="790" spans="3:17" x14ac:dyDescent="0.25">
      <c r="C790" s="38"/>
      <c r="D790" s="38"/>
      <c r="E790" s="39"/>
      <c r="F790" s="40"/>
      <c r="G790" s="37"/>
      <c r="H790" s="37"/>
      <c r="I790" s="37"/>
      <c r="J790" s="41"/>
      <c r="K790" s="41"/>
      <c r="L790" s="43"/>
      <c r="M790" s="43"/>
      <c r="N790" s="43"/>
      <c r="O790" s="43"/>
      <c r="P790" s="44"/>
      <c r="Q790" s="45"/>
    </row>
    <row r="791" spans="3:17" x14ac:dyDescent="0.25">
      <c r="C791" s="38"/>
      <c r="D791" s="38"/>
      <c r="E791" s="39"/>
      <c r="F791" s="40"/>
      <c r="G791" s="37"/>
      <c r="H791" s="37"/>
      <c r="I791" s="37"/>
      <c r="J791" s="41"/>
      <c r="K791" s="41"/>
      <c r="L791" s="43"/>
      <c r="M791" s="43"/>
      <c r="N791" s="43"/>
      <c r="O791" s="43"/>
      <c r="P791" s="44"/>
      <c r="Q791" s="45"/>
    </row>
    <row r="792" spans="3:17" x14ac:dyDescent="0.25">
      <c r="C792" s="38"/>
      <c r="D792" s="38"/>
      <c r="E792" s="39"/>
      <c r="F792" s="40"/>
      <c r="G792" s="37"/>
      <c r="H792" s="37"/>
      <c r="I792" s="37"/>
      <c r="J792" s="41"/>
      <c r="K792" s="41"/>
      <c r="L792" s="43"/>
      <c r="M792" s="43"/>
      <c r="N792" s="43"/>
      <c r="O792" s="43"/>
      <c r="P792" s="44"/>
      <c r="Q792" s="45"/>
    </row>
    <row r="793" spans="3:17" x14ac:dyDescent="0.25">
      <c r="C793" s="38"/>
      <c r="D793" s="38"/>
      <c r="E793" s="39"/>
      <c r="F793" s="40"/>
      <c r="G793" s="37"/>
      <c r="H793" s="37"/>
      <c r="I793" s="37"/>
      <c r="J793" s="41"/>
      <c r="K793" s="41"/>
      <c r="L793" s="43"/>
      <c r="M793" s="43"/>
      <c r="N793" s="43"/>
      <c r="O793" s="43"/>
      <c r="P793" s="44"/>
      <c r="Q793" s="45"/>
    </row>
    <row r="794" spans="3:17" x14ac:dyDescent="0.25">
      <c r="C794" s="38"/>
      <c r="D794" s="38"/>
      <c r="E794" s="39"/>
      <c r="F794" s="40"/>
      <c r="G794" s="37"/>
      <c r="H794" s="37"/>
      <c r="I794" s="37"/>
      <c r="J794" s="41"/>
      <c r="K794" s="41"/>
      <c r="L794" s="43"/>
      <c r="M794" s="43"/>
      <c r="N794" s="43"/>
      <c r="O794" s="43"/>
      <c r="P794" s="44"/>
      <c r="Q794" s="45"/>
    </row>
    <row r="795" spans="3:17" x14ac:dyDescent="0.25">
      <c r="C795" s="38"/>
      <c r="D795" s="38"/>
      <c r="E795" s="39"/>
      <c r="F795" s="40"/>
      <c r="G795" s="37"/>
      <c r="H795" s="37"/>
      <c r="I795" s="37"/>
      <c r="J795" s="41"/>
      <c r="K795" s="41"/>
      <c r="L795" s="43"/>
      <c r="M795" s="43"/>
      <c r="N795" s="43"/>
      <c r="O795" s="43"/>
      <c r="P795" s="44"/>
      <c r="Q795" s="45"/>
    </row>
    <row r="796" spans="3:17" x14ac:dyDescent="0.25">
      <c r="C796" s="38"/>
      <c r="D796" s="38"/>
      <c r="E796" s="39"/>
      <c r="F796" s="40"/>
      <c r="G796" s="37"/>
      <c r="H796" s="37"/>
      <c r="I796" s="37"/>
      <c r="J796" s="41"/>
      <c r="K796" s="41"/>
      <c r="L796" s="43"/>
      <c r="M796" s="43"/>
      <c r="N796" s="43"/>
      <c r="O796" s="43"/>
      <c r="P796" s="44"/>
      <c r="Q796" s="45"/>
    </row>
    <row r="797" spans="3:17" x14ac:dyDescent="0.25">
      <c r="C797" s="38"/>
      <c r="D797" s="38"/>
      <c r="E797" s="39"/>
      <c r="F797" s="40"/>
      <c r="G797" s="37"/>
      <c r="H797" s="37"/>
      <c r="I797" s="37"/>
      <c r="J797" s="41"/>
      <c r="K797" s="41"/>
      <c r="L797" s="43"/>
      <c r="M797" s="43"/>
      <c r="N797" s="43"/>
      <c r="O797" s="43"/>
      <c r="P797" s="44"/>
      <c r="Q797" s="45"/>
    </row>
    <row r="798" spans="3:17" x14ac:dyDescent="0.25">
      <c r="C798" s="38"/>
      <c r="D798" s="38"/>
      <c r="E798" s="39"/>
      <c r="F798" s="40"/>
      <c r="G798" s="37"/>
      <c r="H798" s="37"/>
      <c r="I798" s="37"/>
      <c r="J798" s="41"/>
      <c r="K798" s="41"/>
      <c r="L798" s="43"/>
      <c r="M798" s="43"/>
      <c r="N798" s="43"/>
      <c r="O798" s="43"/>
      <c r="P798" s="44"/>
      <c r="Q798" s="45"/>
    </row>
    <row r="799" spans="3:17" x14ac:dyDescent="0.25">
      <c r="C799" s="38"/>
      <c r="D799" s="38"/>
      <c r="E799" s="39"/>
      <c r="F799" s="40"/>
      <c r="G799" s="37"/>
      <c r="H799" s="37"/>
      <c r="I799" s="37"/>
      <c r="J799" s="41"/>
      <c r="K799" s="41"/>
      <c r="L799" s="43"/>
      <c r="M799" s="43"/>
      <c r="N799" s="43"/>
      <c r="O799" s="43"/>
      <c r="P799" s="44"/>
      <c r="Q799" s="45"/>
    </row>
    <row r="800" spans="3:17" x14ac:dyDescent="0.25">
      <c r="C800" s="38"/>
      <c r="D800" s="38"/>
      <c r="E800" s="39"/>
      <c r="F800" s="40"/>
      <c r="G800" s="37"/>
      <c r="H800" s="37"/>
      <c r="I800" s="37"/>
      <c r="J800" s="41"/>
      <c r="K800" s="41"/>
      <c r="L800" s="43"/>
      <c r="M800" s="43"/>
      <c r="N800" s="43"/>
      <c r="O800" s="43"/>
      <c r="P800" s="44"/>
      <c r="Q800" s="45"/>
    </row>
    <row r="801" spans="3:17" x14ac:dyDescent="0.25">
      <c r="C801" s="38"/>
      <c r="D801" s="38"/>
      <c r="E801" s="39"/>
      <c r="F801" s="40"/>
      <c r="G801" s="37"/>
      <c r="H801" s="37"/>
      <c r="I801" s="37"/>
      <c r="J801" s="41"/>
      <c r="K801" s="41"/>
      <c r="L801" s="43"/>
      <c r="M801" s="43"/>
      <c r="N801" s="43"/>
      <c r="O801" s="43"/>
      <c r="P801" s="44"/>
      <c r="Q801" s="45"/>
    </row>
    <row r="802" spans="3:17" x14ac:dyDescent="0.25">
      <c r="C802" s="38"/>
      <c r="D802" s="38"/>
      <c r="E802" s="39"/>
      <c r="F802" s="40"/>
      <c r="G802" s="37"/>
      <c r="H802" s="37"/>
      <c r="I802" s="37"/>
      <c r="J802" s="41"/>
      <c r="K802" s="41"/>
      <c r="L802" s="43"/>
      <c r="M802" s="43"/>
      <c r="N802" s="43"/>
      <c r="O802" s="43"/>
      <c r="P802" s="44"/>
      <c r="Q802" s="45"/>
    </row>
    <row r="803" spans="3:17" x14ac:dyDescent="0.25">
      <c r="C803" s="38"/>
      <c r="D803" s="38"/>
      <c r="E803" s="39"/>
      <c r="F803" s="40"/>
      <c r="G803" s="37"/>
      <c r="H803" s="37"/>
      <c r="I803" s="37"/>
      <c r="J803" s="41"/>
      <c r="K803" s="41"/>
      <c r="L803" s="43"/>
      <c r="M803" s="43"/>
      <c r="N803" s="43"/>
      <c r="O803" s="43"/>
      <c r="P803" s="44"/>
      <c r="Q803" s="45"/>
    </row>
    <row r="804" spans="3:17" x14ac:dyDescent="0.25">
      <c r="C804" s="38"/>
      <c r="D804" s="38"/>
      <c r="E804" s="39"/>
      <c r="F804" s="40"/>
      <c r="G804" s="37"/>
      <c r="H804" s="37"/>
      <c r="I804" s="37"/>
      <c r="J804" s="41"/>
      <c r="K804" s="41"/>
      <c r="L804" s="43"/>
      <c r="M804" s="43"/>
      <c r="N804" s="43"/>
      <c r="O804" s="43"/>
      <c r="P804" s="44"/>
      <c r="Q804" s="45"/>
    </row>
    <row r="805" spans="3:17" x14ac:dyDescent="0.25">
      <c r="C805" s="38"/>
      <c r="D805" s="38"/>
      <c r="E805" s="39"/>
      <c r="F805" s="40"/>
      <c r="G805" s="37"/>
      <c r="H805" s="37"/>
      <c r="I805" s="37"/>
      <c r="J805" s="41"/>
      <c r="K805" s="41"/>
      <c r="L805" s="43"/>
      <c r="M805" s="43"/>
      <c r="N805" s="43"/>
      <c r="O805" s="43"/>
      <c r="P805" s="44"/>
      <c r="Q805" s="45"/>
    </row>
    <row r="806" spans="3:17" x14ac:dyDescent="0.25">
      <c r="C806" s="38"/>
      <c r="D806" s="38"/>
      <c r="E806" s="39"/>
      <c r="F806" s="40"/>
      <c r="G806" s="37"/>
      <c r="H806" s="37"/>
      <c r="I806" s="37"/>
      <c r="J806" s="41"/>
      <c r="K806" s="41"/>
      <c r="L806" s="43"/>
      <c r="M806" s="43"/>
      <c r="N806" s="43"/>
      <c r="O806" s="43"/>
      <c r="P806" s="44"/>
      <c r="Q806" s="45"/>
    </row>
    <row r="807" spans="3:17" x14ac:dyDescent="0.25">
      <c r="C807" s="38"/>
      <c r="D807" s="38"/>
      <c r="E807" s="39"/>
      <c r="F807" s="40"/>
      <c r="G807" s="37"/>
      <c r="H807" s="37"/>
      <c r="I807" s="37"/>
      <c r="J807" s="41"/>
      <c r="K807" s="41"/>
      <c r="L807" s="43"/>
      <c r="M807" s="43"/>
      <c r="N807" s="43"/>
      <c r="O807" s="43"/>
      <c r="P807" s="44"/>
      <c r="Q807" s="45"/>
    </row>
    <row r="808" spans="3:17" x14ac:dyDescent="0.25">
      <c r="C808" s="38"/>
      <c r="D808" s="38"/>
      <c r="E808" s="39"/>
      <c r="F808" s="40"/>
      <c r="G808" s="37"/>
      <c r="H808" s="37"/>
      <c r="I808" s="37"/>
      <c r="J808" s="41"/>
      <c r="K808" s="41"/>
      <c r="L808" s="43"/>
      <c r="M808" s="43"/>
      <c r="N808" s="43"/>
      <c r="O808" s="43"/>
      <c r="P808" s="44"/>
      <c r="Q808" s="45"/>
    </row>
    <row r="809" spans="3:17" x14ac:dyDescent="0.25">
      <c r="C809" s="38"/>
      <c r="D809" s="38"/>
      <c r="E809" s="39"/>
      <c r="F809" s="40"/>
      <c r="G809" s="37"/>
      <c r="H809" s="37"/>
      <c r="I809" s="37"/>
      <c r="J809" s="41"/>
      <c r="K809" s="41"/>
      <c r="L809" s="43"/>
      <c r="M809" s="43"/>
      <c r="N809" s="43"/>
      <c r="O809" s="43"/>
      <c r="P809" s="44"/>
      <c r="Q809" s="45"/>
    </row>
    <row r="810" spans="3:17" x14ac:dyDescent="0.25">
      <c r="C810" s="38"/>
      <c r="D810" s="38"/>
      <c r="E810" s="39"/>
      <c r="F810" s="40"/>
      <c r="G810" s="37"/>
      <c r="H810" s="37"/>
      <c r="I810" s="37"/>
      <c r="J810" s="41"/>
      <c r="K810" s="41"/>
      <c r="L810" s="43"/>
      <c r="M810" s="43"/>
      <c r="N810" s="43"/>
      <c r="O810" s="43"/>
      <c r="P810" s="44"/>
      <c r="Q810" s="45"/>
    </row>
    <row r="811" spans="3:17" x14ac:dyDescent="0.25">
      <c r="C811" s="38"/>
      <c r="D811" s="38"/>
      <c r="E811" s="39"/>
      <c r="F811" s="40"/>
      <c r="G811" s="37"/>
      <c r="H811" s="37"/>
      <c r="I811" s="37"/>
      <c r="J811" s="41"/>
      <c r="K811" s="41"/>
      <c r="L811" s="43"/>
      <c r="M811" s="43"/>
      <c r="N811" s="43"/>
      <c r="O811" s="43"/>
      <c r="P811" s="44"/>
      <c r="Q811" s="45"/>
    </row>
    <row r="812" spans="3:17" x14ac:dyDescent="0.25">
      <c r="C812" s="38"/>
      <c r="D812" s="38"/>
      <c r="E812" s="39"/>
      <c r="F812" s="40"/>
      <c r="G812" s="37"/>
      <c r="H812" s="37"/>
      <c r="I812" s="37"/>
      <c r="J812" s="41"/>
      <c r="K812" s="41"/>
      <c r="L812" s="43"/>
      <c r="M812" s="43"/>
      <c r="N812" s="43"/>
      <c r="O812" s="43"/>
      <c r="P812" s="44"/>
      <c r="Q812" s="45"/>
    </row>
    <row r="813" spans="3:17" x14ac:dyDescent="0.25">
      <c r="C813" s="38"/>
      <c r="D813" s="38"/>
      <c r="E813" s="39"/>
      <c r="F813" s="40"/>
      <c r="G813" s="37"/>
      <c r="H813" s="37"/>
      <c r="I813" s="37"/>
      <c r="J813" s="41"/>
      <c r="K813" s="41"/>
      <c r="L813" s="43"/>
      <c r="M813" s="43"/>
      <c r="N813" s="43"/>
      <c r="O813" s="43"/>
      <c r="P813" s="44"/>
      <c r="Q813" s="45"/>
    </row>
    <row r="814" spans="3:17" x14ac:dyDescent="0.25">
      <c r="C814" s="38"/>
      <c r="D814" s="38"/>
      <c r="E814" s="39"/>
      <c r="F814" s="40"/>
      <c r="G814" s="37"/>
      <c r="H814" s="37"/>
      <c r="I814" s="37"/>
      <c r="J814" s="41"/>
      <c r="K814" s="41"/>
      <c r="L814" s="43"/>
      <c r="M814" s="43"/>
      <c r="N814" s="43"/>
      <c r="O814" s="43"/>
      <c r="P814" s="44"/>
      <c r="Q814" s="45"/>
    </row>
    <row r="815" spans="3:17" x14ac:dyDescent="0.25">
      <c r="C815" s="38"/>
      <c r="D815" s="38"/>
      <c r="E815" s="39"/>
      <c r="F815" s="40"/>
      <c r="G815" s="37"/>
      <c r="H815" s="37"/>
      <c r="I815" s="37"/>
      <c r="J815" s="41"/>
      <c r="K815" s="41"/>
      <c r="L815" s="43"/>
      <c r="M815" s="43"/>
      <c r="N815" s="43"/>
      <c r="O815" s="43"/>
      <c r="P815" s="44"/>
      <c r="Q815" s="45"/>
    </row>
    <row r="816" spans="3:17" x14ac:dyDescent="0.25">
      <c r="C816" s="38"/>
      <c r="D816" s="38"/>
      <c r="E816" s="39"/>
      <c r="F816" s="40"/>
      <c r="G816" s="37"/>
      <c r="H816" s="37"/>
      <c r="I816" s="37"/>
      <c r="J816" s="41"/>
      <c r="K816" s="41"/>
      <c r="L816" s="43"/>
      <c r="M816" s="43"/>
      <c r="N816" s="43"/>
      <c r="O816" s="43"/>
      <c r="P816" s="44"/>
      <c r="Q816" s="45"/>
    </row>
    <row r="817" spans="3:17" x14ac:dyDescent="0.25">
      <c r="C817" s="38"/>
      <c r="D817" s="38"/>
      <c r="E817" s="39"/>
      <c r="F817" s="40"/>
      <c r="G817" s="37"/>
      <c r="H817" s="37"/>
      <c r="I817" s="37"/>
      <c r="J817" s="41"/>
      <c r="K817" s="41"/>
      <c r="L817" s="43"/>
      <c r="M817" s="43"/>
      <c r="N817" s="43"/>
      <c r="O817" s="43"/>
      <c r="P817" s="44"/>
      <c r="Q817" s="45"/>
    </row>
    <row r="818" spans="3:17" x14ac:dyDescent="0.25">
      <c r="C818" s="38"/>
      <c r="D818" s="38"/>
      <c r="E818" s="39"/>
      <c r="F818" s="40"/>
      <c r="G818" s="37"/>
      <c r="H818" s="37"/>
      <c r="I818" s="37"/>
      <c r="J818" s="41"/>
      <c r="K818" s="41"/>
      <c r="L818" s="43"/>
      <c r="M818" s="43"/>
      <c r="N818" s="43"/>
      <c r="O818" s="43"/>
      <c r="P818" s="44"/>
      <c r="Q818" s="45"/>
    </row>
    <row r="819" spans="3:17" x14ac:dyDescent="0.25">
      <c r="C819" s="38"/>
      <c r="D819" s="38"/>
      <c r="E819" s="39"/>
      <c r="F819" s="40"/>
      <c r="G819" s="37"/>
      <c r="H819" s="37"/>
      <c r="I819" s="37"/>
      <c r="J819" s="41"/>
      <c r="K819" s="41"/>
      <c r="L819" s="43"/>
      <c r="M819" s="43"/>
      <c r="N819" s="43"/>
      <c r="O819" s="43"/>
      <c r="P819" s="44"/>
      <c r="Q819" s="45"/>
    </row>
    <row r="820" spans="3:17" x14ac:dyDescent="0.25">
      <c r="C820" s="38"/>
      <c r="D820" s="38"/>
      <c r="E820" s="39"/>
      <c r="F820" s="40"/>
      <c r="G820" s="37"/>
      <c r="H820" s="37"/>
      <c r="I820" s="37"/>
      <c r="J820" s="41"/>
      <c r="K820" s="41"/>
      <c r="L820" s="43"/>
      <c r="M820" s="43"/>
      <c r="N820" s="43"/>
      <c r="O820" s="43"/>
      <c r="P820" s="44"/>
      <c r="Q820" s="45"/>
    </row>
    <row r="821" spans="3:17" x14ac:dyDescent="0.25">
      <c r="C821" s="38"/>
      <c r="D821" s="38"/>
      <c r="E821" s="39"/>
      <c r="F821" s="40"/>
      <c r="G821" s="37"/>
      <c r="H821" s="37"/>
      <c r="I821" s="37"/>
      <c r="J821" s="41"/>
      <c r="K821" s="41"/>
      <c r="L821" s="43"/>
      <c r="M821" s="43"/>
      <c r="N821" s="43"/>
      <c r="O821" s="43"/>
      <c r="P821" s="44"/>
      <c r="Q821" s="45"/>
    </row>
    <row r="822" spans="3:17" x14ac:dyDescent="0.25">
      <c r="C822" s="38"/>
      <c r="D822" s="38"/>
      <c r="E822" s="39"/>
      <c r="F822" s="40"/>
      <c r="G822" s="37"/>
      <c r="H822" s="37"/>
      <c r="I822" s="37"/>
      <c r="J822" s="41"/>
      <c r="K822" s="41"/>
      <c r="L822" s="43"/>
      <c r="M822" s="43"/>
      <c r="N822" s="43"/>
      <c r="O822" s="43"/>
      <c r="P822" s="44"/>
      <c r="Q822" s="45"/>
    </row>
    <row r="823" spans="3:17" x14ac:dyDescent="0.25">
      <c r="C823" s="38"/>
      <c r="D823" s="38"/>
      <c r="E823" s="39"/>
      <c r="F823" s="40"/>
      <c r="G823" s="37"/>
      <c r="H823" s="37"/>
      <c r="I823" s="37"/>
      <c r="J823" s="41"/>
      <c r="K823" s="41"/>
      <c r="L823" s="43"/>
      <c r="M823" s="43"/>
      <c r="N823" s="43"/>
      <c r="O823" s="43"/>
      <c r="P823" s="44"/>
      <c r="Q823" s="45"/>
    </row>
    <row r="824" spans="3:17" x14ac:dyDescent="0.25">
      <c r="C824" s="38"/>
      <c r="D824" s="38"/>
      <c r="E824" s="39"/>
      <c r="F824" s="40"/>
      <c r="G824" s="37"/>
      <c r="H824" s="37"/>
      <c r="I824" s="37"/>
      <c r="J824" s="41"/>
      <c r="K824" s="41"/>
      <c r="L824" s="43"/>
      <c r="M824" s="43"/>
      <c r="N824" s="43"/>
      <c r="O824" s="43"/>
      <c r="P824" s="44"/>
      <c r="Q824" s="45"/>
    </row>
    <row r="825" spans="3:17" x14ac:dyDescent="0.25">
      <c r="C825" s="38"/>
      <c r="D825" s="38"/>
      <c r="E825" s="39"/>
      <c r="F825" s="40"/>
      <c r="G825" s="37"/>
      <c r="H825" s="37"/>
      <c r="I825" s="37"/>
      <c r="J825" s="41"/>
      <c r="K825" s="41"/>
      <c r="L825" s="43"/>
      <c r="M825" s="43"/>
      <c r="N825" s="43"/>
      <c r="O825" s="43"/>
      <c r="P825" s="44"/>
      <c r="Q825" s="45"/>
    </row>
    <row r="826" spans="3:17" x14ac:dyDescent="0.25">
      <c r="C826" s="38"/>
      <c r="D826" s="38"/>
      <c r="E826" s="39"/>
      <c r="F826" s="40"/>
      <c r="G826" s="37"/>
      <c r="H826" s="37"/>
      <c r="I826" s="37"/>
      <c r="J826" s="41"/>
      <c r="K826" s="41"/>
      <c r="L826" s="43"/>
      <c r="M826" s="43"/>
      <c r="N826" s="43"/>
      <c r="O826" s="43"/>
      <c r="P826" s="44"/>
      <c r="Q826" s="45"/>
    </row>
    <row r="827" spans="3:17" x14ac:dyDescent="0.25">
      <c r="C827" s="38"/>
      <c r="D827" s="38"/>
      <c r="E827" s="39"/>
      <c r="F827" s="40"/>
      <c r="G827" s="37"/>
      <c r="H827" s="37"/>
      <c r="I827" s="37"/>
      <c r="J827" s="41"/>
      <c r="K827" s="41"/>
      <c r="L827" s="43"/>
      <c r="M827" s="43"/>
      <c r="N827" s="43"/>
      <c r="O827" s="43"/>
      <c r="P827" s="44"/>
      <c r="Q827" s="45"/>
    </row>
    <row r="828" spans="3:17" x14ac:dyDescent="0.25">
      <c r="C828" s="38"/>
      <c r="D828" s="38"/>
      <c r="E828" s="39"/>
      <c r="F828" s="40"/>
      <c r="G828" s="37"/>
      <c r="H828" s="37"/>
      <c r="I828" s="37"/>
      <c r="J828" s="41"/>
      <c r="K828" s="41"/>
      <c r="L828" s="43"/>
      <c r="M828" s="43"/>
      <c r="N828" s="43"/>
      <c r="O828" s="43"/>
      <c r="P828" s="44"/>
      <c r="Q828" s="45"/>
    </row>
    <row r="829" spans="3:17" x14ac:dyDescent="0.25">
      <c r="C829" s="38"/>
      <c r="D829" s="38"/>
      <c r="E829" s="39"/>
      <c r="F829" s="40"/>
      <c r="G829" s="37"/>
      <c r="H829" s="37"/>
      <c r="I829" s="37"/>
      <c r="J829" s="41"/>
      <c r="K829" s="41"/>
      <c r="L829" s="43"/>
      <c r="M829" s="43"/>
      <c r="N829" s="43"/>
      <c r="O829" s="43"/>
      <c r="P829" s="44"/>
      <c r="Q829" s="45"/>
    </row>
    <row r="830" spans="3:17" x14ac:dyDescent="0.25">
      <c r="C830" s="38"/>
      <c r="D830" s="38"/>
      <c r="E830" s="39"/>
      <c r="F830" s="40"/>
      <c r="G830" s="37"/>
      <c r="H830" s="37"/>
      <c r="I830" s="37"/>
      <c r="J830" s="41"/>
      <c r="K830" s="41"/>
      <c r="L830" s="43"/>
      <c r="M830" s="43"/>
      <c r="N830" s="43"/>
      <c r="O830" s="43"/>
      <c r="P830" s="44"/>
      <c r="Q830" s="45"/>
    </row>
    <row r="831" spans="3:17" x14ac:dyDescent="0.25">
      <c r="C831" s="38"/>
      <c r="D831" s="38"/>
      <c r="E831" s="39"/>
      <c r="F831" s="40"/>
      <c r="G831" s="37"/>
      <c r="H831" s="37"/>
      <c r="I831" s="37"/>
      <c r="J831" s="41"/>
      <c r="K831" s="41"/>
      <c r="L831" s="43"/>
      <c r="M831" s="43"/>
      <c r="N831" s="43"/>
      <c r="O831" s="43"/>
      <c r="P831" s="44"/>
      <c r="Q831" s="45"/>
    </row>
    <row r="832" spans="3:17" x14ac:dyDescent="0.25">
      <c r="C832" s="38"/>
      <c r="D832" s="38"/>
      <c r="E832" s="39"/>
      <c r="F832" s="40"/>
      <c r="G832" s="37"/>
      <c r="H832" s="37"/>
      <c r="I832" s="37"/>
      <c r="J832" s="41"/>
      <c r="K832" s="41"/>
      <c r="L832" s="43"/>
      <c r="M832" s="43"/>
      <c r="N832" s="43"/>
      <c r="O832" s="43"/>
      <c r="P832" s="44"/>
      <c r="Q832" s="45"/>
    </row>
    <row r="833" spans="3:17" x14ac:dyDescent="0.25">
      <c r="C833" s="38"/>
      <c r="D833" s="38"/>
      <c r="E833" s="39"/>
      <c r="F833" s="40"/>
      <c r="G833" s="37"/>
      <c r="H833" s="37"/>
      <c r="I833" s="37"/>
      <c r="J833" s="41"/>
      <c r="K833" s="41"/>
      <c r="L833" s="43"/>
      <c r="M833" s="43"/>
      <c r="N833" s="43"/>
      <c r="O833" s="43"/>
      <c r="P833" s="44"/>
      <c r="Q833" s="45"/>
    </row>
    <row r="834" spans="3:17" x14ac:dyDescent="0.25">
      <c r="C834" s="38"/>
      <c r="D834" s="38"/>
      <c r="E834" s="39"/>
      <c r="F834" s="40"/>
      <c r="G834" s="37"/>
      <c r="H834" s="37"/>
      <c r="I834" s="37"/>
      <c r="J834" s="41"/>
      <c r="K834" s="41"/>
      <c r="L834" s="43"/>
      <c r="M834" s="43"/>
      <c r="N834" s="43"/>
      <c r="O834" s="43"/>
      <c r="P834" s="44"/>
      <c r="Q834" s="45"/>
    </row>
    <row r="835" spans="3:17" x14ac:dyDescent="0.25">
      <c r="C835" s="38"/>
      <c r="D835" s="38"/>
      <c r="E835" s="39"/>
      <c r="F835" s="40"/>
      <c r="G835" s="37"/>
      <c r="H835" s="37"/>
      <c r="I835" s="37"/>
      <c r="J835" s="41"/>
      <c r="K835" s="41"/>
      <c r="L835" s="43"/>
      <c r="M835" s="43"/>
      <c r="N835" s="43"/>
      <c r="O835" s="43"/>
      <c r="P835" s="44"/>
      <c r="Q835" s="45"/>
    </row>
    <row r="836" spans="3:17" x14ac:dyDescent="0.25">
      <c r="C836" s="38"/>
      <c r="D836" s="38"/>
      <c r="E836" s="39"/>
      <c r="F836" s="40"/>
      <c r="G836" s="37"/>
      <c r="H836" s="37"/>
      <c r="I836" s="37"/>
      <c r="J836" s="41"/>
      <c r="K836" s="41"/>
      <c r="L836" s="43"/>
      <c r="M836" s="43"/>
      <c r="N836" s="43"/>
      <c r="O836" s="43"/>
      <c r="P836" s="44"/>
      <c r="Q836" s="45"/>
    </row>
    <row r="837" spans="3:17" x14ac:dyDescent="0.25">
      <c r="C837" s="38"/>
      <c r="D837" s="38"/>
      <c r="E837" s="39"/>
      <c r="F837" s="40"/>
      <c r="G837" s="37"/>
      <c r="H837" s="37"/>
      <c r="I837" s="37"/>
      <c r="J837" s="41"/>
      <c r="K837" s="41"/>
      <c r="L837" s="43"/>
      <c r="M837" s="43"/>
      <c r="N837" s="43"/>
      <c r="O837" s="43"/>
      <c r="P837" s="44"/>
      <c r="Q837" s="45"/>
    </row>
    <row r="838" spans="3:17" x14ac:dyDescent="0.25">
      <c r="C838" s="38"/>
      <c r="D838" s="38"/>
      <c r="E838" s="39"/>
      <c r="F838" s="40"/>
      <c r="G838" s="37"/>
      <c r="H838" s="37"/>
      <c r="I838" s="37"/>
      <c r="J838" s="41"/>
      <c r="K838" s="41"/>
      <c r="L838" s="43"/>
      <c r="M838" s="43"/>
      <c r="N838" s="43"/>
      <c r="O838" s="43"/>
      <c r="P838" s="44"/>
      <c r="Q838" s="45"/>
    </row>
    <row r="839" spans="3:17" x14ac:dyDescent="0.25">
      <c r="C839" s="38"/>
      <c r="D839" s="38"/>
      <c r="E839" s="39"/>
      <c r="F839" s="40"/>
      <c r="G839" s="37"/>
      <c r="H839" s="37"/>
      <c r="I839" s="37"/>
      <c r="J839" s="41"/>
      <c r="K839" s="41"/>
      <c r="L839" s="43"/>
      <c r="M839" s="43"/>
      <c r="N839" s="43"/>
      <c r="O839" s="43"/>
      <c r="P839" s="44"/>
      <c r="Q839" s="45"/>
    </row>
    <row r="840" spans="3:17" x14ac:dyDescent="0.25">
      <c r="C840" s="38"/>
      <c r="D840" s="38"/>
      <c r="E840" s="39"/>
      <c r="F840" s="40"/>
      <c r="G840" s="37"/>
      <c r="H840" s="37"/>
      <c r="I840" s="37"/>
      <c r="J840" s="41"/>
      <c r="K840" s="41"/>
      <c r="L840" s="43"/>
      <c r="M840" s="43"/>
      <c r="N840" s="43"/>
      <c r="O840" s="43"/>
      <c r="P840" s="44"/>
      <c r="Q840" s="45"/>
    </row>
    <row r="841" spans="3:17" x14ac:dyDescent="0.25">
      <c r="C841" s="38"/>
      <c r="D841" s="38"/>
      <c r="E841" s="39"/>
      <c r="F841" s="40"/>
      <c r="G841" s="37"/>
      <c r="H841" s="37"/>
      <c r="I841" s="37"/>
      <c r="J841" s="41"/>
      <c r="K841" s="41"/>
      <c r="L841" s="43"/>
      <c r="M841" s="43"/>
      <c r="N841" s="43"/>
      <c r="O841" s="43"/>
      <c r="P841" s="44"/>
      <c r="Q841" s="45"/>
    </row>
    <row r="842" spans="3:17" x14ac:dyDescent="0.25">
      <c r="C842" s="38"/>
      <c r="D842" s="38"/>
      <c r="E842" s="39"/>
      <c r="F842" s="40"/>
      <c r="G842" s="37"/>
      <c r="H842" s="37"/>
      <c r="I842" s="37"/>
      <c r="J842" s="41"/>
      <c r="K842" s="41"/>
      <c r="L842" s="43"/>
      <c r="M842" s="43"/>
      <c r="N842" s="43"/>
      <c r="O842" s="43"/>
      <c r="P842" s="44"/>
      <c r="Q842" s="45"/>
    </row>
    <row r="843" spans="3:17" x14ac:dyDescent="0.25">
      <c r="C843" s="38"/>
      <c r="D843" s="38"/>
      <c r="E843" s="39"/>
      <c r="F843" s="40"/>
      <c r="G843" s="37"/>
      <c r="H843" s="37"/>
      <c r="I843" s="37"/>
      <c r="J843" s="41"/>
      <c r="K843" s="41"/>
      <c r="L843" s="43"/>
      <c r="M843" s="43"/>
      <c r="N843" s="43"/>
      <c r="O843" s="43"/>
      <c r="P843" s="44"/>
      <c r="Q843" s="45"/>
    </row>
    <row r="844" spans="3:17" x14ac:dyDescent="0.25">
      <c r="C844" s="38"/>
      <c r="D844" s="38"/>
      <c r="E844" s="39"/>
      <c r="F844" s="40"/>
      <c r="G844" s="37"/>
      <c r="H844" s="37"/>
      <c r="I844" s="37"/>
      <c r="J844" s="41"/>
      <c r="K844" s="41"/>
      <c r="L844" s="43"/>
      <c r="M844" s="43"/>
      <c r="N844" s="43"/>
      <c r="O844" s="43"/>
      <c r="P844" s="44"/>
      <c r="Q844" s="45"/>
    </row>
    <row r="845" spans="3:17" x14ac:dyDescent="0.25">
      <c r="C845" s="38"/>
      <c r="D845" s="38"/>
      <c r="E845" s="39"/>
      <c r="F845" s="40"/>
      <c r="G845" s="37"/>
      <c r="H845" s="37"/>
      <c r="I845" s="37"/>
      <c r="J845" s="41"/>
      <c r="K845" s="41"/>
      <c r="L845" s="43"/>
      <c r="M845" s="43"/>
      <c r="N845" s="43"/>
      <c r="O845" s="43"/>
      <c r="P845" s="44"/>
      <c r="Q845" s="45"/>
    </row>
    <row r="846" spans="3:17" x14ac:dyDescent="0.25">
      <c r="C846" s="38"/>
      <c r="D846" s="38"/>
      <c r="E846" s="39"/>
      <c r="F846" s="40"/>
      <c r="G846" s="37"/>
      <c r="H846" s="37"/>
      <c r="I846" s="37"/>
      <c r="J846" s="41"/>
      <c r="K846" s="41"/>
      <c r="L846" s="43"/>
      <c r="M846" s="43"/>
      <c r="N846" s="43"/>
      <c r="O846" s="43"/>
      <c r="P846" s="44"/>
      <c r="Q846" s="45"/>
    </row>
    <row r="847" spans="3:17" x14ac:dyDescent="0.25">
      <c r="C847" s="38"/>
      <c r="D847" s="38"/>
      <c r="E847" s="39"/>
      <c r="F847" s="40"/>
      <c r="G847" s="37"/>
      <c r="H847" s="37"/>
      <c r="I847" s="37"/>
      <c r="J847" s="41"/>
      <c r="K847" s="41"/>
      <c r="L847" s="43"/>
      <c r="M847" s="43"/>
      <c r="N847" s="43"/>
      <c r="O847" s="43"/>
      <c r="P847" s="44"/>
      <c r="Q847" s="45"/>
    </row>
    <row r="848" spans="3:17" x14ac:dyDescent="0.25">
      <c r="C848" s="38"/>
      <c r="D848" s="38"/>
      <c r="E848" s="39"/>
      <c r="F848" s="40"/>
      <c r="G848" s="37"/>
      <c r="H848" s="37"/>
      <c r="I848" s="37"/>
      <c r="J848" s="41"/>
      <c r="K848" s="41"/>
      <c r="L848" s="43"/>
      <c r="M848" s="43"/>
      <c r="N848" s="43"/>
      <c r="O848" s="43"/>
      <c r="P848" s="44"/>
      <c r="Q848" s="45"/>
    </row>
    <row r="849" spans="3:17" x14ac:dyDescent="0.25">
      <c r="C849" s="38"/>
      <c r="D849" s="38"/>
      <c r="E849" s="39"/>
      <c r="F849" s="40"/>
      <c r="G849" s="37"/>
      <c r="H849" s="37"/>
      <c r="I849" s="37"/>
      <c r="J849" s="41"/>
      <c r="K849" s="41"/>
      <c r="L849" s="43"/>
      <c r="M849" s="43"/>
      <c r="N849" s="43"/>
      <c r="O849" s="43"/>
      <c r="P849" s="44"/>
      <c r="Q849" s="45"/>
    </row>
    <row r="850" spans="3:17" x14ac:dyDescent="0.25">
      <c r="C850" s="38"/>
      <c r="D850" s="38"/>
      <c r="E850" s="39"/>
      <c r="F850" s="40"/>
      <c r="G850" s="37"/>
      <c r="H850" s="37"/>
      <c r="I850" s="37"/>
      <c r="J850" s="41"/>
      <c r="K850" s="41"/>
      <c r="L850" s="43"/>
      <c r="M850" s="43"/>
      <c r="N850" s="43"/>
      <c r="O850" s="43"/>
      <c r="P850" s="44"/>
      <c r="Q850" s="45"/>
    </row>
    <row r="851" spans="3:17" x14ac:dyDescent="0.25">
      <c r="C851" s="38"/>
      <c r="D851" s="38"/>
      <c r="E851" s="39"/>
      <c r="F851" s="40"/>
      <c r="G851" s="37"/>
      <c r="H851" s="37"/>
      <c r="I851" s="37"/>
      <c r="J851" s="41"/>
      <c r="K851" s="41"/>
      <c r="L851" s="43"/>
      <c r="M851" s="43"/>
      <c r="N851" s="43"/>
      <c r="O851" s="43"/>
      <c r="P851" s="44"/>
      <c r="Q851" s="45"/>
    </row>
    <row r="852" spans="3:17" x14ac:dyDescent="0.25">
      <c r="C852" s="38"/>
      <c r="D852" s="38"/>
      <c r="E852" s="39"/>
      <c r="F852" s="40"/>
      <c r="G852" s="37"/>
      <c r="H852" s="37"/>
      <c r="I852" s="37"/>
      <c r="J852" s="41"/>
      <c r="K852" s="41"/>
      <c r="L852" s="43"/>
      <c r="M852" s="43"/>
      <c r="N852" s="43"/>
      <c r="O852" s="43"/>
      <c r="P852" s="44"/>
      <c r="Q852" s="45"/>
    </row>
    <row r="853" spans="3:17" x14ac:dyDescent="0.25">
      <c r="C853" s="38"/>
      <c r="D853" s="38"/>
      <c r="E853" s="39"/>
      <c r="F853" s="40"/>
      <c r="G853" s="37"/>
      <c r="H853" s="37"/>
      <c r="I853" s="37"/>
      <c r="J853" s="41"/>
      <c r="K853" s="41"/>
      <c r="L853" s="43"/>
      <c r="M853" s="43"/>
      <c r="N853" s="43"/>
      <c r="O853" s="43"/>
      <c r="P853" s="44"/>
      <c r="Q853" s="45"/>
    </row>
    <row r="854" spans="3:17" x14ac:dyDescent="0.25">
      <c r="C854" s="38"/>
      <c r="D854" s="38"/>
      <c r="E854" s="39"/>
      <c r="F854" s="40"/>
      <c r="G854" s="37"/>
      <c r="H854" s="37"/>
      <c r="I854" s="37"/>
      <c r="J854" s="41"/>
      <c r="K854" s="41"/>
      <c r="L854" s="43"/>
      <c r="M854" s="43"/>
      <c r="N854" s="43"/>
      <c r="O854" s="43"/>
      <c r="P854" s="44"/>
      <c r="Q854" s="45"/>
    </row>
    <row r="855" spans="3:17" x14ac:dyDescent="0.25">
      <c r="C855" s="38"/>
      <c r="D855" s="38"/>
      <c r="E855" s="39"/>
      <c r="F855" s="40"/>
      <c r="G855" s="37"/>
      <c r="H855" s="37"/>
      <c r="I855" s="37"/>
      <c r="J855" s="41"/>
      <c r="K855" s="41"/>
      <c r="L855" s="43"/>
      <c r="M855" s="43"/>
      <c r="N855" s="43"/>
      <c r="O855" s="43"/>
      <c r="P855" s="44"/>
      <c r="Q855" s="45"/>
    </row>
    <row r="856" spans="3:17" x14ac:dyDescent="0.25">
      <c r="C856" s="38"/>
      <c r="D856" s="38"/>
      <c r="E856" s="39"/>
      <c r="F856" s="40"/>
      <c r="G856" s="37"/>
      <c r="H856" s="37"/>
      <c r="I856" s="37"/>
      <c r="J856" s="41"/>
      <c r="K856" s="41"/>
      <c r="L856" s="43"/>
      <c r="M856" s="43"/>
      <c r="N856" s="43"/>
      <c r="O856" s="43"/>
      <c r="P856" s="44"/>
      <c r="Q856" s="45"/>
    </row>
    <row r="857" spans="3:17" x14ac:dyDescent="0.25">
      <c r="C857" s="38"/>
      <c r="D857" s="38"/>
      <c r="E857" s="39"/>
      <c r="F857" s="40"/>
      <c r="G857" s="37"/>
      <c r="H857" s="37"/>
      <c r="I857" s="37"/>
      <c r="J857" s="41"/>
      <c r="K857" s="41"/>
      <c r="L857" s="43"/>
      <c r="M857" s="43"/>
      <c r="N857" s="43"/>
      <c r="O857" s="43"/>
      <c r="P857" s="44"/>
      <c r="Q857" s="45"/>
    </row>
    <row r="858" spans="3:17" x14ac:dyDescent="0.25">
      <c r="C858" s="38"/>
      <c r="D858" s="38"/>
      <c r="E858" s="39"/>
      <c r="F858" s="40"/>
      <c r="G858" s="37"/>
      <c r="H858" s="37"/>
      <c r="I858" s="37"/>
      <c r="J858" s="41"/>
      <c r="K858" s="41"/>
      <c r="L858" s="43"/>
      <c r="M858" s="43"/>
      <c r="N858" s="43"/>
      <c r="O858" s="43"/>
      <c r="P858" s="44"/>
      <c r="Q858" s="45"/>
    </row>
    <row r="859" spans="3:17" x14ac:dyDescent="0.25">
      <c r="C859" s="38"/>
      <c r="D859" s="38"/>
      <c r="E859" s="39"/>
      <c r="F859" s="40"/>
      <c r="G859" s="37"/>
      <c r="H859" s="37"/>
      <c r="I859" s="37"/>
      <c r="J859" s="41"/>
      <c r="K859" s="41"/>
      <c r="L859" s="43"/>
      <c r="M859" s="43"/>
      <c r="N859" s="43"/>
      <c r="O859" s="43"/>
      <c r="P859" s="44"/>
      <c r="Q859" s="45"/>
    </row>
    <row r="860" spans="3:17" x14ac:dyDescent="0.25">
      <c r="C860" s="38"/>
      <c r="D860" s="38"/>
      <c r="E860" s="39"/>
      <c r="F860" s="40"/>
      <c r="G860" s="37"/>
      <c r="H860" s="37"/>
      <c r="I860" s="37"/>
      <c r="J860" s="41"/>
      <c r="K860" s="41"/>
      <c r="L860" s="43"/>
      <c r="M860" s="43"/>
      <c r="N860" s="43"/>
      <c r="O860" s="43"/>
      <c r="P860" s="44"/>
      <c r="Q860" s="45"/>
    </row>
    <row r="861" spans="3:17" x14ac:dyDescent="0.25">
      <c r="C861" s="38"/>
      <c r="D861" s="38"/>
      <c r="E861" s="39"/>
      <c r="F861" s="40"/>
      <c r="G861" s="37"/>
      <c r="H861" s="37"/>
      <c r="I861" s="37"/>
      <c r="J861" s="41"/>
      <c r="K861" s="41"/>
      <c r="L861" s="43"/>
      <c r="M861" s="43"/>
      <c r="N861" s="43"/>
      <c r="O861" s="43"/>
      <c r="P861" s="44"/>
      <c r="Q861" s="45"/>
    </row>
    <row r="862" spans="3:17" x14ac:dyDescent="0.25">
      <c r="C862" s="38"/>
      <c r="D862" s="38"/>
      <c r="E862" s="39"/>
      <c r="F862" s="40"/>
      <c r="G862" s="37"/>
      <c r="H862" s="37"/>
      <c r="I862" s="37"/>
      <c r="J862" s="41"/>
      <c r="K862" s="41"/>
      <c r="L862" s="43"/>
      <c r="M862" s="43"/>
      <c r="N862" s="43"/>
      <c r="O862" s="43"/>
      <c r="P862" s="44"/>
      <c r="Q862" s="45"/>
    </row>
    <row r="863" spans="3:17" x14ac:dyDescent="0.25">
      <c r="C863" s="38"/>
      <c r="D863" s="38"/>
      <c r="E863" s="39"/>
      <c r="F863" s="40"/>
      <c r="G863" s="37"/>
      <c r="H863" s="37"/>
      <c r="I863" s="37"/>
      <c r="J863" s="41"/>
      <c r="K863" s="41"/>
      <c r="L863" s="43"/>
      <c r="M863" s="43"/>
      <c r="N863" s="43"/>
      <c r="O863" s="43"/>
      <c r="P863" s="44"/>
      <c r="Q863" s="45"/>
    </row>
    <row r="864" spans="3:17" x14ac:dyDescent="0.25">
      <c r="C864" s="38"/>
      <c r="D864" s="38"/>
      <c r="E864" s="39"/>
      <c r="F864" s="40"/>
      <c r="G864" s="37"/>
      <c r="H864" s="37"/>
      <c r="I864" s="37"/>
      <c r="J864" s="41"/>
      <c r="K864" s="41"/>
      <c r="L864" s="43"/>
      <c r="M864" s="43"/>
      <c r="N864" s="43"/>
      <c r="O864" s="43"/>
      <c r="P864" s="44"/>
      <c r="Q864" s="45"/>
    </row>
    <row r="865" spans="3:17" x14ac:dyDescent="0.25">
      <c r="C865" s="38"/>
      <c r="D865" s="38"/>
      <c r="E865" s="39"/>
      <c r="F865" s="40"/>
      <c r="G865" s="37"/>
      <c r="H865" s="37"/>
      <c r="I865" s="37"/>
      <c r="J865" s="41"/>
      <c r="K865" s="41"/>
      <c r="L865" s="43"/>
      <c r="M865" s="43"/>
      <c r="N865" s="43"/>
      <c r="O865" s="43"/>
      <c r="P865" s="44"/>
      <c r="Q865" s="45"/>
    </row>
    <row r="866" spans="3:17" x14ac:dyDescent="0.25">
      <c r="C866" s="38"/>
      <c r="D866" s="38"/>
      <c r="E866" s="39"/>
      <c r="F866" s="40"/>
      <c r="G866" s="37"/>
      <c r="H866" s="37"/>
      <c r="I866" s="37"/>
      <c r="J866" s="41"/>
      <c r="K866" s="41"/>
      <c r="L866" s="43"/>
      <c r="M866" s="43"/>
      <c r="N866" s="43"/>
      <c r="O866" s="43"/>
      <c r="P866" s="44"/>
      <c r="Q866" s="45"/>
    </row>
    <row r="867" spans="3:17" x14ac:dyDescent="0.25">
      <c r="C867" s="38"/>
      <c r="D867" s="38"/>
      <c r="E867" s="39"/>
      <c r="F867" s="40"/>
      <c r="G867" s="37"/>
      <c r="H867" s="37"/>
      <c r="I867" s="37"/>
      <c r="J867" s="41"/>
      <c r="K867" s="41"/>
      <c r="L867" s="43"/>
      <c r="M867" s="43"/>
      <c r="N867" s="43"/>
      <c r="O867" s="43"/>
      <c r="P867" s="44"/>
      <c r="Q867" s="45"/>
    </row>
    <row r="868" spans="3:17" x14ac:dyDescent="0.25">
      <c r="C868" s="38"/>
      <c r="D868" s="38"/>
      <c r="E868" s="39"/>
      <c r="F868" s="40"/>
      <c r="G868" s="37"/>
      <c r="H868" s="37"/>
      <c r="I868" s="37"/>
      <c r="J868" s="41"/>
      <c r="K868" s="41"/>
      <c r="L868" s="43"/>
      <c r="M868" s="43"/>
      <c r="N868" s="43"/>
      <c r="O868" s="43"/>
      <c r="P868" s="44"/>
      <c r="Q868" s="45"/>
    </row>
    <row r="869" spans="3:17" x14ac:dyDescent="0.25">
      <c r="C869" s="38"/>
      <c r="D869" s="38"/>
      <c r="E869" s="39"/>
      <c r="F869" s="40"/>
      <c r="G869" s="37"/>
      <c r="H869" s="37"/>
      <c r="I869" s="37"/>
      <c r="J869" s="41"/>
      <c r="K869" s="41"/>
      <c r="L869" s="43"/>
      <c r="M869" s="43"/>
      <c r="N869" s="43"/>
      <c r="O869" s="43"/>
      <c r="P869" s="44"/>
      <c r="Q869" s="45"/>
    </row>
    <row r="870" spans="3:17" x14ac:dyDescent="0.25">
      <c r="C870" s="38"/>
      <c r="D870" s="38"/>
      <c r="E870" s="39"/>
      <c r="F870" s="40"/>
      <c r="G870" s="37"/>
      <c r="H870" s="37"/>
      <c r="I870" s="37"/>
      <c r="J870" s="41"/>
      <c r="K870" s="41"/>
      <c r="L870" s="43"/>
      <c r="M870" s="43"/>
      <c r="N870" s="43"/>
      <c r="O870" s="43"/>
      <c r="P870" s="44"/>
      <c r="Q870" s="45"/>
    </row>
    <row r="871" spans="3:17" x14ac:dyDescent="0.25">
      <c r="C871" s="38"/>
      <c r="D871" s="38"/>
      <c r="E871" s="39"/>
      <c r="F871" s="40"/>
      <c r="G871" s="37"/>
      <c r="H871" s="37"/>
      <c r="I871" s="37"/>
      <c r="J871" s="41"/>
      <c r="K871" s="41"/>
      <c r="L871" s="43"/>
      <c r="M871" s="43"/>
      <c r="N871" s="43"/>
      <c r="O871" s="43"/>
      <c r="P871" s="44"/>
      <c r="Q871" s="45"/>
    </row>
    <row r="872" spans="3:17" x14ac:dyDescent="0.25">
      <c r="C872" s="38"/>
      <c r="D872" s="38"/>
      <c r="E872" s="39"/>
      <c r="F872" s="40"/>
      <c r="G872" s="37"/>
      <c r="H872" s="37"/>
      <c r="I872" s="37"/>
      <c r="J872" s="41"/>
      <c r="K872" s="41"/>
      <c r="L872" s="43"/>
      <c r="M872" s="43"/>
      <c r="N872" s="43"/>
      <c r="O872" s="43"/>
      <c r="P872" s="44"/>
      <c r="Q872" s="45"/>
    </row>
    <row r="873" spans="3:17" x14ac:dyDescent="0.25">
      <c r="C873" s="38"/>
      <c r="D873" s="38"/>
      <c r="E873" s="39"/>
      <c r="F873" s="40"/>
      <c r="G873" s="37"/>
      <c r="H873" s="37"/>
      <c r="I873" s="37"/>
      <c r="J873" s="41"/>
      <c r="K873" s="41"/>
      <c r="L873" s="43"/>
      <c r="M873" s="43"/>
      <c r="N873" s="43"/>
      <c r="O873" s="43"/>
      <c r="P873" s="44"/>
      <c r="Q873" s="45"/>
    </row>
    <row r="874" spans="3:17" x14ac:dyDescent="0.25">
      <c r="C874" s="38"/>
      <c r="D874" s="38"/>
      <c r="E874" s="39"/>
      <c r="F874" s="40"/>
      <c r="G874" s="37"/>
      <c r="H874" s="37"/>
      <c r="I874" s="37"/>
      <c r="J874" s="41"/>
      <c r="K874" s="41"/>
      <c r="L874" s="43"/>
      <c r="M874" s="43"/>
      <c r="N874" s="43"/>
      <c r="O874" s="43"/>
      <c r="P874" s="44"/>
      <c r="Q874" s="45"/>
    </row>
    <row r="875" spans="3:17" x14ac:dyDescent="0.25">
      <c r="C875" s="38"/>
      <c r="D875" s="38"/>
      <c r="E875" s="39"/>
      <c r="F875" s="40"/>
      <c r="G875" s="37"/>
      <c r="H875" s="37"/>
      <c r="I875" s="37"/>
      <c r="J875" s="41"/>
      <c r="K875" s="41"/>
      <c r="L875" s="43"/>
      <c r="M875" s="43"/>
      <c r="N875" s="43"/>
      <c r="O875" s="43"/>
      <c r="P875" s="44"/>
      <c r="Q875" s="45"/>
    </row>
    <row r="876" spans="3:17" x14ac:dyDescent="0.25">
      <c r="C876" s="38"/>
      <c r="D876" s="38"/>
      <c r="E876" s="39"/>
      <c r="F876" s="40"/>
      <c r="G876" s="37"/>
      <c r="H876" s="37"/>
      <c r="I876" s="37"/>
      <c r="J876" s="41"/>
      <c r="K876" s="41"/>
      <c r="L876" s="43"/>
      <c r="M876" s="43"/>
      <c r="N876" s="43"/>
      <c r="O876" s="43"/>
      <c r="P876" s="44"/>
      <c r="Q876" s="45"/>
    </row>
    <row r="877" spans="3:17" x14ac:dyDescent="0.25">
      <c r="C877" s="38"/>
      <c r="D877" s="38"/>
      <c r="E877" s="39"/>
      <c r="F877" s="40"/>
      <c r="G877" s="37"/>
      <c r="H877" s="37"/>
      <c r="I877" s="37"/>
      <c r="J877" s="41"/>
      <c r="K877" s="41"/>
      <c r="L877" s="43"/>
      <c r="M877" s="43"/>
      <c r="N877" s="43"/>
      <c r="O877" s="43"/>
      <c r="P877" s="44"/>
      <c r="Q877" s="45"/>
    </row>
    <row r="878" spans="3:17" x14ac:dyDescent="0.25">
      <c r="C878" s="38"/>
      <c r="D878" s="38"/>
      <c r="E878" s="39"/>
      <c r="F878" s="40"/>
      <c r="G878" s="37"/>
      <c r="H878" s="37"/>
      <c r="I878" s="37"/>
      <c r="J878" s="41"/>
      <c r="K878" s="41"/>
      <c r="L878" s="43"/>
      <c r="M878" s="43"/>
      <c r="N878" s="43"/>
      <c r="O878" s="43"/>
      <c r="P878" s="44"/>
      <c r="Q878" s="45"/>
    </row>
    <row r="879" spans="3:17" x14ac:dyDescent="0.25">
      <c r="C879" s="38"/>
      <c r="D879" s="38"/>
      <c r="E879" s="39"/>
      <c r="F879" s="40"/>
      <c r="G879" s="37"/>
      <c r="H879" s="37"/>
      <c r="I879" s="37"/>
      <c r="J879" s="41"/>
      <c r="K879" s="41"/>
      <c r="L879" s="43"/>
      <c r="M879" s="43"/>
      <c r="N879" s="43"/>
      <c r="O879" s="43"/>
      <c r="P879" s="44"/>
      <c r="Q879" s="45"/>
    </row>
    <row r="880" spans="3:17" x14ac:dyDescent="0.25">
      <c r="C880" s="38"/>
      <c r="D880" s="38"/>
      <c r="E880" s="39"/>
      <c r="F880" s="40"/>
      <c r="G880" s="37"/>
      <c r="H880" s="37"/>
      <c r="I880" s="37"/>
      <c r="J880" s="41"/>
      <c r="K880" s="41"/>
      <c r="L880" s="43"/>
      <c r="M880" s="43"/>
      <c r="N880" s="43"/>
      <c r="O880" s="43"/>
      <c r="P880" s="44"/>
      <c r="Q880" s="45"/>
    </row>
    <row r="881" spans="3:17" x14ac:dyDescent="0.25">
      <c r="C881" s="38"/>
      <c r="D881" s="38"/>
      <c r="E881" s="39"/>
      <c r="F881" s="40"/>
      <c r="G881" s="37"/>
      <c r="H881" s="37"/>
      <c r="I881" s="37"/>
      <c r="J881" s="41"/>
      <c r="K881" s="41"/>
      <c r="L881" s="43"/>
      <c r="M881" s="43"/>
      <c r="N881" s="43"/>
      <c r="O881" s="43"/>
      <c r="P881" s="44"/>
      <c r="Q881" s="45"/>
    </row>
    <row r="882" spans="3:17" x14ac:dyDescent="0.25">
      <c r="C882" s="38"/>
      <c r="D882" s="38"/>
      <c r="E882" s="39"/>
      <c r="F882" s="40"/>
      <c r="G882" s="37"/>
      <c r="H882" s="37"/>
      <c r="I882" s="37"/>
      <c r="J882" s="41"/>
      <c r="K882" s="41"/>
      <c r="L882" s="43"/>
      <c r="M882" s="43"/>
      <c r="N882" s="43"/>
      <c r="O882" s="43"/>
      <c r="P882" s="44"/>
      <c r="Q882" s="45"/>
    </row>
    <row r="883" spans="3:17" x14ac:dyDescent="0.25">
      <c r="C883" s="38"/>
      <c r="D883" s="38"/>
      <c r="E883" s="39"/>
      <c r="F883" s="40"/>
      <c r="G883" s="37"/>
      <c r="H883" s="37"/>
      <c r="I883" s="37"/>
      <c r="J883" s="41"/>
      <c r="K883" s="41"/>
      <c r="L883" s="43"/>
      <c r="M883" s="43"/>
      <c r="N883" s="43"/>
      <c r="O883" s="43"/>
      <c r="P883" s="44"/>
      <c r="Q883" s="45"/>
    </row>
    <row r="884" spans="3:17" x14ac:dyDescent="0.25">
      <c r="C884" s="38"/>
      <c r="D884" s="38"/>
      <c r="E884" s="39"/>
      <c r="F884" s="40"/>
      <c r="G884" s="37"/>
      <c r="H884" s="37"/>
      <c r="I884" s="37"/>
      <c r="J884" s="41"/>
      <c r="K884" s="41"/>
      <c r="L884" s="43"/>
      <c r="M884" s="43"/>
      <c r="N884" s="43"/>
      <c r="O884" s="43"/>
      <c r="P884" s="44"/>
      <c r="Q884" s="45"/>
    </row>
    <row r="885" spans="3:17" x14ac:dyDescent="0.25">
      <c r="C885" s="38"/>
      <c r="D885" s="38"/>
      <c r="E885" s="39"/>
      <c r="F885" s="40"/>
      <c r="G885" s="37"/>
      <c r="H885" s="37"/>
      <c r="I885" s="37"/>
      <c r="J885" s="41"/>
      <c r="K885" s="41"/>
      <c r="L885" s="43"/>
      <c r="M885" s="43"/>
      <c r="N885" s="43"/>
      <c r="O885" s="43"/>
      <c r="P885" s="44"/>
      <c r="Q885" s="45"/>
    </row>
    <row r="886" spans="3:17" x14ac:dyDescent="0.25">
      <c r="C886" s="38"/>
      <c r="D886" s="38"/>
      <c r="E886" s="39"/>
      <c r="F886" s="40"/>
      <c r="G886" s="37"/>
      <c r="H886" s="37"/>
      <c r="I886" s="37"/>
      <c r="J886" s="41"/>
      <c r="K886" s="41"/>
      <c r="L886" s="43"/>
      <c r="M886" s="43"/>
      <c r="N886" s="43"/>
      <c r="O886" s="43"/>
      <c r="P886" s="44"/>
      <c r="Q886" s="45"/>
    </row>
    <row r="887" spans="3:17" x14ac:dyDescent="0.25">
      <c r="C887" s="38"/>
      <c r="D887" s="38"/>
      <c r="E887" s="39"/>
      <c r="F887" s="40"/>
      <c r="G887" s="37"/>
      <c r="H887" s="37"/>
      <c r="I887" s="37"/>
      <c r="J887" s="41"/>
      <c r="K887" s="41"/>
      <c r="L887" s="43"/>
      <c r="M887" s="43"/>
      <c r="N887" s="43"/>
      <c r="O887" s="43"/>
      <c r="P887" s="44"/>
      <c r="Q887" s="45"/>
    </row>
    <row r="888" spans="3:17" x14ac:dyDescent="0.25">
      <c r="C888" s="38"/>
      <c r="D888" s="38"/>
      <c r="E888" s="39"/>
      <c r="F888" s="40"/>
      <c r="G888" s="37"/>
      <c r="H888" s="37"/>
      <c r="I888" s="37"/>
      <c r="J888" s="41"/>
      <c r="K888" s="41"/>
      <c r="L888" s="43"/>
      <c r="M888" s="43"/>
      <c r="N888" s="43"/>
      <c r="O888" s="43"/>
      <c r="P888" s="44"/>
      <c r="Q888" s="45"/>
    </row>
    <row r="889" spans="3:17" x14ac:dyDescent="0.25">
      <c r="C889" s="38"/>
      <c r="D889" s="38"/>
      <c r="E889" s="39"/>
      <c r="F889" s="40"/>
      <c r="G889" s="37"/>
      <c r="H889" s="37"/>
      <c r="I889" s="37"/>
      <c r="J889" s="41"/>
      <c r="K889" s="41"/>
      <c r="L889" s="43"/>
      <c r="M889" s="43"/>
      <c r="N889" s="43"/>
      <c r="O889" s="43"/>
      <c r="P889" s="44"/>
      <c r="Q889" s="45"/>
    </row>
    <row r="890" spans="3:17" x14ac:dyDescent="0.25">
      <c r="C890" s="38"/>
      <c r="D890" s="38"/>
      <c r="E890" s="39"/>
      <c r="F890" s="40"/>
      <c r="G890" s="37"/>
      <c r="H890" s="37"/>
      <c r="I890" s="37"/>
      <c r="J890" s="41"/>
      <c r="K890" s="41"/>
      <c r="L890" s="43"/>
      <c r="M890" s="43"/>
      <c r="N890" s="43"/>
      <c r="O890" s="43"/>
      <c r="P890" s="44"/>
      <c r="Q890" s="45"/>
    </row>
    <row r="891" spans="3:17" x14ac:dyDescent="0.25">
      <c r="C891" s="38"/>
      <c r="D891" s="38"/>
      <c r="E891" s="39"/>
      <c r="F891" s="40"/>
      <c r="G891" s="37"/>
      <c r="H891" s="37"/>
      <c r="I891" s="37"/>
      <c r="J891" s="41"/>
      <c r="K891" s="41"/>
      <c r="L891" s="43"/>
      <c r="M891" s="43"/>
      <c r="N891" s="43"/>
      <c r="O891" s="43"/>
      <c r="P891" s="44"/>
      <c r="Q891" s="45"/>
    </row>
    <row r="892" spans="3:17" x14ac:dyDescent="0.25">
      <c r="C892" s="38"/>
      <c r="D892" s="38"/>
      <c r="E892" s="39"/>
      <c r="F892" s="40"/>
      <c r="G892" s="37"/>
      <c r="H892" s="37"/>
      <c r="I892" s="37"/>
      <c r="J892" s="41"/>
      <c r="K892" s="41"/>
      <c r="L892" s="43"/>
      <c r="M892" s="43"/>
      <c r="N892" s="43"/>
      <c r="O892" s="43"/>
      <c r="P892" s="44"/>
      <c r="Q892" s="45"/>
    </row>
    <row r="893" spans="3:17" x14ac:dyDescent="0.25">
      <c r="C893" s="38"/>
      <c r="D893" s="38"/>
      <c r="E893" s="39"/>
      <c r="F893" s="40"/>
      <c r="G893" s="37"/>
      <c r="H893" s="37"/>
      <c r="I893" s="37"/>
      <c r="J893" s="41"/>
      <c r="K893" s="41"/>
      <c r="L893" s="43"/>
      <c r="M893" s="43"/>
      <c r="N893" s="43"/>
      <c r="O893" s="43"/>
      <c r="P893" s="44"/>
      <c r="Q893" s="45"/>
    </row>
    <row r="894" spans="3:17" x14ac:dyDescent="0.25">
      <c r="C894" s="38"/>
      <c r="D894" s="38"/>
      <c r="E894" s="39"/>
      <c r="F894" s="40"/>
      <c r="G894" s="37"/>
      <c r="H894" s="37"/>
      <c r="I894" s="37"/>
      <c r="J894" s="41"/>
      <c r="K894" s="41"/>
      <c r="L894" s="43"/>
      <c r="M894" s="43"/>
      <c r="N894" s="43"/>
      <c r="O894" s="43"/>
      <c r="P894" s="44"/>
      <c r="Q894" s="45"/>
    </row>
    <row r="895" spans="3:17" x14ac:dyDescent="0.25">
      <c r="C895" s="38"/>
      <c r="D895" s="38"/>
      <c r="E895" s="39"/>
      <c r="F895" s="40"/>
      <c r="G895" s="37"/>
      <c r="H895" s="37"/>
      <c r="I895" s="37"/>
      <c r="J895" s="41"/>
      <c r="K895" s="41"/>
      <c r="L895" s="43"/>
      <c r="M895" s="43"/>
      <c r="N895" s="43"/>
      <c r="O895" s="43"/>
      <c r="P895" s="44"/>
      <c r="Q895" s="45"/>
    </row>
    <row r="896" spans="3:17" x14ac:dyDescent="0.25">
      <c r="C896" s="38"/>
      <c r="D896" s="38"/>
      <c r="E896" s="39"/>
      <c r="F896" s="40"/>
      <c r="G896" s="37"/>
      <c r="H896" s="37"/>
      <c r="I896" s="37"/>
      <c r="J896" s="41"/>
      <c r="K896" s="41"/>
      <c r="L896" s="43"/>
      <c r="M896" s="43"/>
      <c r="N896" s="43"/>
      <c r="O896" s="43"/>
      <c r="P896" s="44"/>
      <c r="Q896" s="45"/>
    </row>
    <row r="897" spans="3:17" x14ac:dyDescent="0.25">
      <c r="C897" s="38"/>
      <c r="D897" s="38"/>
      <c r="E897" s="39"/>
      <c r="F897" s="40"/>
      <c r="G897" s="37"/>
      <c r="H897" s="37"/>
      <c r="I897" s="37"/>
      <c r="J897" s="41"/>
      <c r="K897" s="41"/>
      <c r="L897" s="43"/>
      <c r="M897" s="43"/>
      <c r="N897" s="43"/>
      <c r="O897" s="43"/>
      <c r="P897" s="44"/>
      <c r="Q897" s="45"/>
    </row>
    <row r="898" spans="3:17" x14ac:dyDescent="0.25">
      <c r="C898" s="38"/>
      <c r="D898" s="38"/>
      <c r="E898" s="39"/>
      <c r="F898" s="40"/>
      <c r="G898" s="37"/>
      <c r="H898" s="37"/>
      <c r="I898" s="37"/>
      <c r="J898" s="41"/>
      <c r="K898" s="41"/>
      <c r="L898" s="43"/>
      <c r="M898" s="43"/>
      <c r="N898" s="43"/>
      <c r="O898" s="43"/>
      <c r="P898" s="44"/>
      <c r="Q898" s="45"/>
    </row>
    <row r="899" spans="3:17" x14ac:dyDescent="0.25">
      <c r="C899" s="38"/>
      <c r="D899" s="38"/>
      <c r="E899" s="39"/>
      <c r="F899" s="40"/>
      <c r="G899" s="37"/>
      <c r="H899" s="37"/>
      <c r="I899" s="37"/>
      <c r="J899" s="41"/>
      <c r="K899" s="41"/>
      <c r="L899" s="43"/>
      <c r="M899" s="43"/>
      <c r="N899" s="43"/>
      <c r="O899" s="43"/>
      <c r="P899" s="44"/>
      <c r="Q899" s="45"/>
    </row>
    <row r="900" spans="3:17" x14ac:dyDescent="0.25">
      <c r="C900" s="38"/>
      <c r="D900" s="38"/>
      <c r="E900" s="39"/>
      <c r="F900" s="40"/>
      <c r="G900" s="37"/>
      <c r="H900" s="37"/>
      <c r="I900" s="37"/>
      <c r="J900" s="41"/>
      <c r="K900" s="41"/>
      <c r="L900" s="43"/>
      <c r="M900" s="43"/>
      <c r="N900" s="43"/>
      <c r="O900" s="43"/>
      <c r="P900" s="44"/>
      <c r="Q900" s="45"/>
    </row>
    <row r="901" spans="3:17" x14ac:dyDescent="0.25">
      <c r="C901" s="38"/>
      <c r="D901" s="38"/>
      <c r="E901" s="39"/>
      <c r="F901" s="40"/>
      <c r="G901" s="37"/>
      <c r="H901" s="37"/>
      <c r="I901" s="37"/>
      <c r="J901" s="41"/>
      <c r="K901" s="41"/>
      <c r="L901" s="43"/>
      <c r="M901" s="43"/>
      <c r="N901" s="43"/>
      <c r="O901" s="43"/>
      <c r="P901" s="44"/>
      <c r="Q901" s="45"/>
    </row>
    <row r="902" spans="3:17" x14ac:dyDescent="0.25">
      <c r="C902" s="38"/>
      <c r="D902" s="38"/>
      <c r="E902" s="39"/>
      <c r="F902" s="40"/>
      <c r="G902" s="37"/>
      <c r="H902" s="37"/>
      <c r="I902" s="37"/>
      <c r="J902" s="41"/>
      <c r="K902" s="41"/>
      <c r="L902" s="43"/>
      <c r="M902" s="43"/>
      <c r="N902" s="43"/>
      <c r="O902" s="43"/>
      <c r="P902" s="44"/>
      <c r="Q902" s="45"/>
    </row>
    <row r="903" spans="3:17" x14ac:dyDescent="0.25">
      <c r="C903" s="38"/>
      <c r="D903" s="38"/>
      <c r="E903" s="39"/>
      <c r="F903" s="40"/>
      <c r="G903" s="37"/>
      <c r="H903" s="37"/>
      <c r="I903" s="37"/>
      <c r="J903" s="41"/>
      <c r="K903" s="41"/>
      <c r="L903" s="43"/>
      <c r="M903" s="43"/>
      <c r="N903" s="43"/>
      <c r="O903" s="43"/>
      <c r="P903" s="44"/>
      <c r="Q903" s="45"/>
    </row>
    <row r="904" spans="3:17" x14ac:dyDescent="0.25">
      <c r="C904" s="38"/>
      <c r="D904" s="38"/>
      <c r="E904" s="39"/>
      <c r="F904" s="40"/>
      <c r="G904" s="37"/>
      <c r="H904" s="37"/>
      <c r="I904" s="37"/>
      <c r="J904" s="41"/>
      <c r="K904" s="41"/>
      <c r="L904" s="43"/>
      <c r="M904" s="43"/>
      <c r="N904" s="43"/>
      <c r="O904" s="43"/>
      <c r="P904" s="44"/>
      <c r="Q904" s="45"/>
    </row>
    <row r="905" spans="3:17" x14ac:dyDescent="0.25">
      <c r="C905" s="38"/>
      <c r="D905" s="38"/>
      <c r="E905" s="39"/>
      <c r="F905" s="40"/>
      <c r="G905" s="37"/>
      <c r="H905" s="37"/>
      <c r="I905" s="37"/>
      <c r="J905" s="41"/>
      <c r="K905" s="41"/>
      <c r="L905" s="43"/>
      <c r="M905" s="43"/>
      <c r="N905" s="43"/>
      <c r="O905" s="43"/>
      <c r="P905" s="44"/>
      <c r="Q905" s="45"/>
    </row>
    <row r="906" spans="3:17" x14ac:dyDescent="0.25">
      <c r="C906" s="38"/>
      <c r="D906" s="38"/>
      <c r="E906" s="39"/>
      <c r="F906" s="40"/>
      <c r="G906" s="37"/>
      <c r="H906" s="37"/>
      <c r="I906" s="37"/>
      <c r="J906" s="41"/>
      <c r="K906" s="41"/>
      <c r="L906" s="43"/>
      <c r="M906" s="43"/>
      <c r="N906" s="43"/>
      <c r="O906" s="43"/>
      <c r="P906" s="44"/>
      <c r="Q906" s="45"/>
    </row>
    <row r="907" spans="3:17" x14ac:dyDescent="0.25">
      <c r="C907" s="38"/>
      <c r="D907" s="38"/>
      <c r="E907" s="39"/>
      <c r="F907" s="40"/>
      <c r="G907" s="37"/>
      <c r="H907" s="37"/>
      <c r="I907" s="37"/>
      <c r="J907" s="41"/>
      <c r="K907" s="41"/>
      <c r="L907" s="43"/>
      <c r="M907" s="43"/>
      <c r="N907" s="43"/>
      <c r="O907" s="43"/>
      <c r="P907" s="44"/>
      <c r="Q907" s="45"/>
    </row>
    <row r="908" spans="3:17" x14ac:dyDescent="0.25">
      <c r="C908" s="38"/>
      <c r="D908" s="38"/>
      <c r="E908" s="39"/>
      <c r="F908" s="40"/>
      <c r="G908" s="37"/>
      <c r="H908" s="37"/>
      <c r="I908" s="37"/>
      <c r="J908" s="41"/>
      <c r="K908" s="41"/>
      <c r="L908" s="43"/>
      <c r="M908" s="43"/>
      <c r="N908" s="43"/>
      <c r="O908" s="43"/>
      <c r="P908" s="44"/>
      <c r="Q908" s="45"/>
    </row>
    <row r="909" spans="3:17" x14ac:dyDescent="0.25">
      <c r="C909" s="38"/>
      <c r="D909" s="38"/>
      <c r="E909" s="39"/>
      <c r="F909" s="40"/>
      <c r="G909" s="37"/>
      <c r="H909" s="37"/>
      <c r="I909" s="37"/>
      <c r="J909" s="41"/>
      <c r="K909" s="41"/>
      <c r="L909" s="43"/>
      <c r="M909" s="43"/>
      <c r="N909" s="43"/>
      <c r="O909" s="43"/>
      <c r="P909" s="44"/>
      <c r="Q909" s="45"/>
    </row>
    <row r="910" spans="3:17" x14ac:dyDescent="0.25">
      <c r="C910" s="38"/>
      <c r="D910" s="38"/>
      <c r="E910" s="39"/>
      <c r="F910" s="40"/>
      <c r="G910" s="37"/>
      <c r="H910" s="37"/>
      <c r="I910" s="37"/>
      <c r="J910" s="41"/>
      <c r="K910" s="41"/>
      <c r="L910" s="43"/>
      <c r="M910" s="43"/>
      <c r="N910" s="43"/>
      <c r="O910" s="43"/>
      <c r="P910" s="44"/>
      <c r="Q910" s="45"/>
    </row>
    <row r="911" spans="3:17" x14ac:dyDescent="0.25">
      <c r="C911" s="38"/>
      <c r="D911" s="38"/>
      <c r="E911" s="39"/>
      <c r="F911" s="40"/>
      <c r="G911" s="37"/>
      <c r="H911" s="37"/>
      <c r="I911" s="37"/>
      <c r="J911" s="41"/>
      <c r="K911" s="41"/>
      <c r="L911" s="43"/>
      <c r="M911" s="43"/>
      <c r="N911" s="43"/>
      <c r="O911" s="43"/>
      <c r="P911" s="44"/>
      <c r="Q911" s="45"/>
    </row>
    <row r="912" spans="3:17" x14ac:dyDescent="0.25">
      <c r="C912" s="38"/>
      <c r="D912" s="38"/>
      <c r="E912" s="39"/>
      <c r="F912" s="40"/>
      <c r="G912" s="37"/>
      <c r="H912" s="37"/>
      <c r="I912" s="37"/>
      <c r="J912" s="41"/>
      <c r="K912" s="41"/>
      <c r="L912" s="43"/>
      <c r="M912" s="43"/>
      <c r="N912" s="43"/>
      <c r="O912" s="43"/>
      <c r="P912" s="44"/>
      <c r="Q912" s="45"/>
    </row>
    <row r="913" spans="3:17" x14ac:dyDescent="0.25">
      <c r="C913" s="38"/>
      <c r="D913" s="38"/>
      <c r="E913" s="39"/>
      <c r="F913" s="40"/>
      <c r="G913" s="37"/>
      <c r="H913" s="37"/>
      <c r="I913" s="37"/>
      <c r="J913" s="41"/>
      <c r="K913" s="41"/>
      <c r="L913" s="43"/>
      <c r="M913" s="43"/>
      <c r="N913" s="43"/>
      <c r="O913" s="43"/>
      <c r="P913" s="44"/>
      <c r="Q913" s="45"/>
    </row>
    <row r="914" spans="3:17" x14ac:dyDescent="0.25">
      <c r="C914" s="38"/>
      <c r="D914" s="38"/>
      <c r="E914" s="39"/>
      <c r="F914" s="40"/>
      <c r="G914" s="37"/>
      <c r="H914" s="37"/>
      <c r="I914" s="37"/>
      <c r="J914" s="41"/>
      <c r="K914" s="41"/>
      <c r="L914" s="43"/>
      <c r="M914" s="43"/>
      <c r="N914" s="43"/>
      <c r="O914" s="43"/>
      <c r="P914" s="44"/>
      <c r="Q914" s="45"/>
    </row>
    <row r="915" spans="3:17" x14ac:dyDescent="0.25">
      <c r="C915" s="38"/>
      <c r="D915" s="38"/>
      <c r="E915" s="39"/>
      <c r="F915" s="40"/>
      <c r="G915" s="37"/>
      <c r="H915" s="37"/>
      <c r="I915" s="37"/>
      <c r="J915" s="41"/>
      <c r="K915" s="41"/>
      <c r="L915" s="43"/>
      <c r="M915" s="43"/>
      <c r="N915" s="43"/>
      <c r="O915" s="43"/>
      <c r="P915" s="44"/>
      <c r="Q915" s="45"/>
    </row>
    <row r="916" spans="3:17" x14ac:dyDescent="0.25">
      <c r="C916" s="38"/>
      <c r="D916" s="38"/>
      <c r="E916" s="39"/>
      <c r="F916" s="40"/>
      <c r="G916" s="37"/>
      <c r="H916" s="37"/>
      <c r="I916" s="37"/>
      <c r="J916" s="41"/>
      <c r="K916" s="41"/>
      <c r="L916" s="43"/>
      <c r="M916" s="43"/>
      <c r="N916" s="43"/>
      <c r="O916" s="43"/>
      <c r="P916" s="44"/>
      <c r="Q916" s="45"/>
    </row>
    <row r="917" spans="3:17" x14ac:dyDescent="0.25">
      <c r="C917" s="38"/>
      <c r="D917" s="38"/>
      <c r="E917" s="39"/>
      <c r="F917" s="40"/>
      <c r="G917" s="37"/>
      <c r="H917" s="37"/>
      <c r="I917" s="37"/>
      <c r="J917" s="41"/>
      <c r="K917" s="41"/>
      <c r="L917" s="43"/>
      <c r="M917" s="43"/>
      <c r="N917" s="43"/>
      <c r="O917" s="43"/>
      <c r="P917" s="44"/>
      <c r="Q917" s="45"/>
    </row>
    <row r="918" spans="3:17" x14ac:dyDescent="0.25">
      <c r="C918" s="38"/>
      <c r="D918" s="38"/>
      <c r="E918" s="39"/>
      <c r="F918" s="40"/>
      <c r="G918" s="37"/>
      <c r="H918" s="37"/>
      <c r="I918" s="37"/>
      <c r="J918" s="41"/>
      <c r="K918" s="41"/>
      <c r="L918" s="43"/>
      <c r="M918" s="43"/>
      <c r="N918" s="43"/>
      <c r="O918" s="43"/>
      <c r="P918" s="44"/>
      <c r="Q918" s="45"/>
    </row>
    <row r="919" spans="3:17" x14ac:dyDescent="0.25">
      <c r="C919" s="38"/>
      <c r="D919" s="38"/>
      <c r="E919" s="39"/>
      <c r="F919" s="40"/>
      <c r="G919" s="37"/>
      <c r="H919" s="37"/>
      <c r="I919" s="37"/>
      <c r="J919" s="41"/>
      <c r="K919" s="41"/>
      <c r="L919" s="43"/>
      <c r="M919" s="43"/>
      <c r="N919" s="43"/>
      <c r="O919" s="43"/>
      <c r="P919" s="44"/>
      <c r="Q919" s="45"/>
    </row>
    <row r="920" spans="3:17" x14ac:dyDescent="0.25">
      <c r="C920" s="38"/>
      <c r="D920" s="38"/>
      <c r="E920" s="39"/>
      <c r="F920" s="40"/>
      <c r="G920" s="37"/>
      <c r="H920" s="37"/>
      <c r="I920" s="37"/>
      <c r="J920" s="41"/>
      <c r="K920" s="41"/>
      <c r="L920" s="43"/>
      <c r="M920" s="43"/>
      <c r="N920" s="43"/>
      <c r="O920" s="43"/>
      <c r="P920" s="44"/>
      <c r="Q920" s="45"/>
    </row>
    <row r="921" spans="3:17" x14ac:dyDescent="0.25">
      <c r="C921" s="38"/>
      <c r="D921" s="38"/>
      <c r="E921" s="39"/>
      <c r="F921" s="40"/>
      <c r="G921" s="37"/>
      <c r="H921" s="37"/>
      <c r="I921" s="37"/>
      <c r="J921" s="41"/>
      <c r="K921" s="41"/>
      <c r="L921" s="43"/>
      <c r="M921" s="43"/>
      <c r="N921" s="43"/>
      <c r="O921" s="43"/>
      <c r="P921" s="44"/>
      <c r="Q921" s="45"/>
    </row>
    <row r="922" spans="3:17" x14ac:dyDescent="0.25">
      <c r="C922" s="38"/>
      <c r="D922" s="38"/>
      <c r="E922" s="39"/>
      <c r="F922" s="40"/>
      <c r="G922" s="37"/>
      <c r="H922" s="37"/>
      <c r="I922" s="37"/>
      <c r="J922" s="41"/>
      <c r="K922" s="41"/>
      <c r="L922" s="43"/>
      <c r="M922" s="43"/>
      <c r="N922" s="43"/>
      <c r="O922" s="43"/>
      <c r="P922" s="44"/>
      <c r="Q922" s="45"/>
    </row>
    <row r="923" spans="3:17" x14ac:dyDescent="0.25">
      <c r="C923" s="38"/>
      <c r="D923" s="38"/>
      <c r="E923" s="39"/>
      <c r="F923" s="40"/>
      <c r="G923" s="37"/>
      <c r="H923" s="37"/>
      <c r="I923" s="37"/>
      <c r="J923" s="41"/>
      <c r="K923" s="41"/>
      <c r="L923" s="43"/>
      <c r="M923" s="43"/>
      <c r="N923" s="43"/>
      <c r="O923" s="43"/>
      <c r="P923" s="44"/>
      <c r="Q923" s="45"/>
    </row>
    <row r="924" spans="3:17" x14ac:dyDescent="0.25">
      <c r="C924" s="38"/>
      <c r="D924" s="38"/>
      <c r="E924" s="39"/>
      <c r="F924" s="40"/>
      <c r="G924" s="37"/>
      <c r="H924" s="37"/>
      <c r="I924" s="37"/>
      <c r="J924" s="41"/>
      <c r="K924" s="41"/>
      <c r="L924" s="43"/>
      <c r="M924" s="43"/>
      <c r="N924" s="43"/>
      <c r="O924" s="43"/>
      <c r="P924" s="44"/>
      <c r="Q924" s="45"/>
    </row>
    <row r="925" spans="3:17" x14ac:dyDescent="0.25">
      <c r="C925" s="38"/>
      <c r="D925" s="38"/>
      <c r="E925" s="39"/>
      <c r="F925" s="40"/>
      <c r="G925" s="37"/>
      <c r="H925" s="37"/>
      <c r="I925" s="37"/>
      <c r="J925" s="41"/>
      <c r="K925" s="41"/>
      <c r="L925" s="43"/>
      <c r="M925" s="43"/>
      <c r="N925" s="43"/>
      <c r="O925" s="43"/>
      <c r="P925" s="44"/>
      <c r="Q925" s="45"/>
    </row>
    <row r="926" spans="3:17" x14ac:dyDescent="0.25">
      <c r="C926" s="38"/>
      <c r="D926" s="38"/>
      <c r="E926" s="39"/>
      <c r="F926" s="40"/>
      <c r="G926" s="37"/>
      <c r="H926" s="37"/>
      <c r="I926" s="37"/>
      <c r="J926" s="41"/>
      <c r="K926" s="41"/>
      <c r="L926" s="43"/>
      <c r="M926" s="43"/>
      <c r="N926" s="43"/>
      <c r="O926" s="43"/>
      <c r="P926" s="44"/>
      <c r="Q926" s="45"/>
    </row>
    <row r="927" spans="3:17" x14ac:dyDescent="0.25">
      <c r="C927" s="38"/>
      <c r="D927" s="38"/>
      <c r="E927" s="39"/>
      <c r="F927" s="40"/>
      <c r="G927" s="37"/>
      <c r="H927" s="37"/>
      <c r="I927" s="37"/>
      <c r="J927" s="41"/>
      <c r="K927" s="41"/>
      <c r="L927" s="43"/>
      <c r="M927" s="43"/>
      <c r="N927" s="43"/>
      <c r="O927" s="43"/>
      <c r="P927" s="44"/>
      <c r="Q927" s="45"/>
    </row>
    <row r="928" spans="3:17" x14ac:dyDescent="0.25">
      <c r="C928" s="38"/>
      <c r="D928" s="38"/>
      <c r="E928" s="39"/>
      <c r="F928" s="40"/>
      <c r="G928" s="37"/>
      <c r="H928" s="37"/>
      <c r="I928" s="37"/>
      <c r="J928" s="41"/>
      <c r="K928" s="41"/>
      <c r="L928" s="43"/>
      <c r="M928" s="43"/>
      <c r="N928" s="43"/>
      <c r="O928" s="43"/>
      <c r="P928" s="44"/>
      <c r="Q928" s="45"/>
    </row>
    <row r="929" spans="3:17" x14ac:dyDescent="0.25">
      <c r="C929" s="38"/>
      <c r="D929" s="38"/>
      <c r="E929" s="39"/>
      <c r="F929" s="40"/>
      <c r="G929" s="37"/>
      <c r="H929" s="37"/>
      <c r="I929" s="37"/>
      <c r="J929" s="41"/>
      <c r="K929" s="41"/>
      <c r="L929" s="43"/>
      <c r="M929" s="43"/>
      <c r="N929" s="43"/>
      <c r="O929" s="43"/>
      <c r="P929" s="44"/>
      <c r="Q929" s="45"/>
    </row>
    <row r="930" spans="3:17" x14ac:dyDescent="0.25">
      <c r="C930" s="38"/>
      <c r="D930" s="38"/>
      <c r="E930" s="39"/>
      <c r="F930" s="40"/>
      <c r="G930" s="37"/>
      <c r="H930" s="37"/>
      <c r="I930" s="37"/>
      <c r="J930" s="41"/>
      <c r="K930" s="41"/>
      <c r="L930" s="43"/>
      <c r="M930" s="43"/>
      <c r="N930" s="43"/>
      <c r="O930" s="43"/>
      <c r="P930" s="44"/>
      <c r="Q930" s="45"/>
    </row>
    <row r="931" spans="3:17" x14ac:dyDescent="0.25">
      <c r="C931" s="38"/>
      <c r="D931" s="38"/>
      <c r="E931" s="39"/>
      <c r="F931" s="40"/>
      <c r="G931" s="37"/>
      <c r="H931" s="37"/>
      <c r="I931" s="37"/>
      <c r="J931" s="41"/>
      <c r="K931" s="41"/>
      <c r="L931" s="43"/>
      <c r="M931" s="43"/>
      <c r="N931" s="43"/>
      <c r="O931" s="43"/>
      <c r="P931" s="44"/>
      <c r="Q931" s="45"/>
    </row>
    <row r="932" spans="3:17" x14ac:dyDescent="0.25">
      <c r="C932" s="38"/>
      <c r="D932" s="38"/>
      <c r="E932" s="39"/>
      <c r="F932" s="40"/>
      <c r="G932" s="37"/>
      <c r="H932" s="37"/>
      <c r="I932" s="37"/>
      <c r="J932" s="41"/>
      <c r="K932" s="41"/>
      <c r="L932" s="43"/>
      <c r="M932" s="43"/>
      <c r="N932" s="43"/>
      <c r="O932" s="43"/>
      <c r="P932" s="44"/>
      <c r="Q932" s="45"/>
    </row>
    <row r="933" spans="3:17" x14ac:dyDescent="0.25">
      <c r="C933" s="38"/>
      <c r="D933" s="38"/>
      <c r="E933" s="39"/>
      <c r="F933" s="40"/>
      <c r="G933" s="37"/>
      <c r="H933" s="37"/>
      <c r="I933" s="37"/>
      <c r="J933" s="41"/>
      <c r="K933" s="41"/>
      <c r="L933" s="43"/>
      <c r="M933" s="43"/>
      <c r="N933" s="43"/>
      <c r="O933" s="43"/>
      <c r="P933" s="44"/>
      <c r="Q933" s="45"/>
    </row>
    <row r="934" spans="3:17" x14ac:dyDescent="0.25">
      <c r="C934" s="38"/>
      <c r="D934" s="38"/>
      <c r="E934" s="39"/>
      <c r="F934" s="40"/>
      <c r="G934" s="37"/>
      <c r="H934" s="37"/>
      <c r="I934" s="37"/>
      <c r="J934" s="41"/>
      <c r="K934" s="41"/>
      <c r="L934" s="43"/>
      <c r="M934" s="43"/>
      <c r="N934" s="43"/>
      <c r="O934" s="43"/>
      <c r="P934" s="44"/>
      <c r="Q934" s="45"/>
    </row>
    <row r="935" spans="3:17" x14ac:dyDescent="0.25">
      <c r="C935" s="38"/>
      <c r="D935" s="38"/>
      <c r="E935" s="39"/>
      <c r="F935" s="40"/>
      <c r="G935" s="37"/>
      <c r="H935" s="37"/>
      <c r="I935" s="37"/>
      <c r="J935" s="41"/>
      <c r="K935" s="41"/>
      <c r="L935" s="43"/>
      <c r="M935" s="43"/>
      <c r="N935" s="43"/>
      <c r="O935" s="43"/>
      <c r="P935" s="44"/>
      <c r="Q935" s="45"/>
    </row>
    <row r="936" spans="3:17" x14ac:dyDescent="0.25">
      <c r="C936" s="38"/>
      <c r="D936" s="38"/>
      <c r="E936" s="39"/>
      <c r="F936" s="40"/>
      <c r="G936" s="37"/>
      <c r="H936" s="37"/>
      <c r="I936" s="37"/>
      <c r="J936" s="41"/>
      <c r="K936" s="41"/>
      <c r="L936" s="43"/>
      <c r="M936" s="43"/>
      <c r="N936" s="43"/>
      <c r="O936" s="43"/>
      <c r="P936" s="44"/>
      <c r="Q936" s="45"/>
    </row>
    <row r="937" spans="3:17" x14ac:dyDescent="0.25">
      <c r="C937" s="38"/>
      <c r="D937" s="38"/>
      <c r="E937" s="39"/>
      <c r="F937" s="40"/>
      <c r="G937" s="37"/>
      <c r="H937" s="37"/>
      <c r="I937" s="37"/>
      <c r="J937" s="41"/>
      <c r="K937" s="41"/>
      <c r="L937" s="43"/>
      <c r="M937" s="43"/>
      <c r="N937" s="43"/>
      <c r="O937" s="43"/>
      <c r="P937" s="44"/>
      <c r="Q937" s="45"/>
    </row>
    <row r="938" spans="3:17" x14ac:dyDescent="0.25">
      <c r="C938" s="38"/>
      <c r="D938" s="38"/>
      <c r="E938" s="39"/>
      <c r="F938" s="40"/>
      <c r="G938" s="37"/>
      <c r="H938" s="37"/>
      <c r="I938" s="37"/>
      <c r="J938" s="41"/>
      <c r="K938" s="41"/>
      <c r="L938" s="43"/>
      <c r="M938" s="43"/>
      <c r="N938" s="43"/>
      <c r="O938" s="43"/>
      <c r="P938" s="44"/>
      <c r="Q938" s="45"/>
    </row>
    <row r="939" spans="3:17" x14ac:dyDescent="0.25">
      <c r="C939" s="38"/>
      <c r="D939" s="38"/>
      <c r="E939" s="39"/>
      <c r="F939" s="40"/>
      <c r="G939" s="37"/>
      <c r="H939" s="37"/>
      <c r="I939" s="37"/>
      <c r="J939" s="41"/>
      <c r="K939" s="41"/>
      <c r="L939" s="43"/>
      <c r="M939" s="43"/>
      <c r="N939" s="43"/>
      <c r="O939" s="43"/>
      <c r="P939" s="44"/>
      <c r="Q939" s="45"/>
    </row>
    <row r="940" spans="3:17" x14ac:dyDescent="0.25">
      <c r="C940" s="38"/>
      <c r="D940" s="38"/>
      <c r="E940" s="39"/>
      <c r="F940" s="40"/>
      <c r="G940" s="37"/>
      <c r="H940" s="37"/>
      <c r="I940" s="37"/>
      <c r="J940" s="41"/>
      <c r="K940" s="41"/>
      <c r="L940" s="43"/>
      <c r="M940" s="43"/>
      <c r="N940" s="43"/>
      <c r="O940" s="43"/>
      <c r="P940" s="44"/>
      <c r="Q940" s="45"/>
    </row>
    <row r="941" spans="3:17" x14ac:dyDescent="0.25">
      <c r="C941" s="38"/>
      <c r="D941" s="38"/>
      <c r="E941" s="39"/>
      <c r="F941" s="40"/>
      <c r="G941" s="37"/>
      <c r="H941" s="37"/>
      <c r="I941" s="37"/>
      <c r="J941" s="41"/>
      <c r="K941" s="41"/>
      <c r="L941" s="43"/>
      <c r="M941" s="43"/>
      <c r="N941" s="43"/>
      <c r="O941" s="43"/>
      <c r="P941" s="44"/>
      <c r="Q941" s="45"/>
    </row>
    <row r="942" spans="3:17" x14ac:dyDescent="0.25">
      <c r="C942" s="38"/>
      <c r="D942" s="38"/>
      <c r="E942" s="39"/>
      <c r="F942" s="40"/>
      <c r="G942" s="37"/>
      <c r="H942" s="37"/>
      <c r="I942" s="37"/>
      <c r="J942" s="41"/>
      <c r="K942" s="41"/>
      <c r="L942" s="43"/>
      <c r="M942" s="43"/>
      <c r="N942" s="43"/>
      <c r="O942" s="43"/>
      <c r="P942" s="44"/>
      <c r="Q942" s="45"/>
    </row>
    <row r="943" spans="3:17" x14ac:dyDescent="0.25">
      <c r="C943" s="38"/>
      <c r="D943" s="38"/>
      <c r="E943" s="39"/>
      <c r="F943" s="40"/>
      <c r="G943" s="37"/>
      <c r="H943" s="37"/>
      <c r="I943" s="37"/>
      <c r="J943" s="41"/>
      <c r="K943" s="41"/>
      <c r="L943" s="43"/>
      <c r="M943" s="43"/>
      <c r="N943" s="43"/>
      <c r="O943" s="43"/>
      <c r="P943" s="44"/>
      <c r="Q943" s="45"/>
    </row>
    <row r="944" spans="3:17" x14ac:dyDescent="0.25">
      <c r="C944" s="38"/>
      <c r="D944" s="38"/>
      <c r="E944" s="39"/>
      <c r="F944" s="40"/>
      <c r="G944" s="37"/>
      <c r="H944" s="37"/>
      <c r="I944" s="37"/>
      <c r="J944" s="41"/>
      <c r="K944" s="41"/>
      <c r="L944" s="43"/>
      <c r="M944" s="43"/>
      <c r="N944" s="43"/>
      <c r="O944" s="43"/>
      <c r="P944" s="44"/>
      <c r="Q944" s="45"/>
    </row>
    <row r="945" spans="3:17" x14ac:dyDescent="0.25">
      <c r="C945" s="38"/>
      <c r="D945" s="38"/>
      <c r="E945" s="39"/>
      <c r="F945" s="40"/>
      <c r="G945" s="37"/>
      <c r="H945" s="37"/>
      <c r="I945" s="37"/>
      <c r="J945" s="41"/>
      <c r="K945" s="41"/>
      <c r="L945" s="43"/>
      <c r="M945" s="43"/>
      <c r="N945" s="43"/>
      <c r="O945" s="43"/>
      <c r="P945" s="44"/>
      <c r="Q945" s="45"/>
    </row>
    <row r="946" spans="3:17" x14ac:dyDescent="0.25">
      <c r="C946" s="38"/>
      <c r="D946" s="38"/>
      <c r="E946" s="39"/>
      <c r="F946" s="40"/>
      <c r="G946" s="37"/>
      <c r="H946" s="37"/>
      <c r="I946" s="37"/>
      <c r="J946" s="41"/>
      <c r="K946" s="41"/>
      <c r="L946" s="43"/>
      <c r="M946" s="43"/>
      <c r="N946" s="43"/>
      <c r="O946" s="43"/>
      <c r="P946" s="44"/>
      <c r="Q946" s="45"/>
    </row>
    <row r="947" spans="3:17" x14ac:dyDescent="0.25">
      <c r="C947" s="38"/>
      <c r="D947" s="38"/>
      <c r="E947" s="39"/>
      <c r="F947" s="40"/>
      <c r="G947" s="37"/>
      <c r="H947" s="37"/>
      <c r="I947" s="37"/>
      <c r="J947" s="41"/>
      <c r="K947" s="41"/>
      <c r="L947" s="43"/>
      <c r="M947" s="43"/>
      <c r="N947" s="43"/>
      <c r="O947" s="43"/>
      <c r="P947" s="44"/>
      <c r="Q947" s="45"/>
    </row>
    <row r="948" spans="3:17" x14ac:dyDescent="0.25">
      <c r="C948" s="38"/>
      <c r="D948" s="38"/>
      <c r="E948" s="39"/>
      <c r="F948" s="40"/>
      <c r="G948" s="37"/>
      <c r="H948" s="37"/>
      <c r="I948" s="37"/>
      <c r="J948" s="41"/>
      <c r="K948" s="41"/>
      <c r="L948" s="43"/>
      <c r="M948" s="43"/>
      <c r="N948" s="43"/>
      <c r="O948" s="43"/>
      <c r="P948" s="44"/>
      <c r="Q948" s="45"/>
    </row>
    <row r="949" spans="3:17" x14ac:dyDescent="0.25">
      <c r="C949" s="38"/>
      <c r="D949" s="38"/>
      <c r="E949" s="39"/>
      <c r="F949" s="40"/>
      <c r="G949" s="37"/>
      <c r="H949" s="37"/>
      <c r="I949" s="37"/>
      <c r="J949" s="41"/>
      <c r="K949" s="41"/>
      <c r="L949" s="43"/>
      <c r="M949" s="43"/>
      <c r="N949" s="43"/>
      <c r="O949" s="43"/>
      <c r="P949" s="44"/>
      <c r="Q949" s="45"/>
    </row>
    <row r="950" spans="3:17" x14ac:dyDescent="0.25">
      <c r="C950" s="38"/>
      <c r="D950" s="38"/>
      <c r="E950" s="39"/>
      <c r="F950" s="40"/>
      <c r="G950" s="37"/>
      <c r="H950" s="37"/>
      <c r="I950" s="37"/>
      <c r="J950" s="41"/>
      <c r="K950" s="41"/>
      <c r="L950" s="43"/>
      <c r="M950" s="43"/>
      <c r="N950" s="43"/>
      <c r="O950" s="43"/>
      <c r="P950" s="44"/>
      <c r="Q950" s="45"/>
    </row>
    <row r="951" spans="3:17" x14ac:dyDescent="0.25">
      <c r="C951" s="38"/>
      <c r="D951" s="38"/>
      <c r="E951" s="39"/>
      <c r="F951" s="40"/>
      <c r="G951" s="37"/>
      <c r="H951" s="37"/>
      <c r="I951" s="37"/>
      <c r="J951" s="41"/>
      <c r="K951" s="41"/>
      <c r="L951" s="43"/>
      <c r="M951" s="43"/>
      <c r="N951" s="43"/>
      <c r="O951" s="43"/>
      <c r="P951" s="44"/>
      <c r="Q951" s="45"/>
    </row>
    <row r="952" spans="3:17" x14ac:dyDescent="0.25">
      <c r="C952" s="38"/>
      <c r="D952" s="38"/>
      <c r="E952" s="39"/>
      <c r="F952" s="40"/>
      <c r="G952" s="37"/>
      <c r="H952" s="37"/>
      <c r="I952" s="37"/>
      <c r="J952" s="41"/>
      <c r="K952" s="41"/>
      <c r="L952" s="43"/>
      <c r="M952" s="43"/>
      <c r="N952" s="43"/>
      <c r="O952" s="43"/>
      <c r="P952" s="44"/>
      <c r="Q952" s="45"/>
    </row>
    <row r="953" spans="3:17" x14ac:dyDescent="0.25">
      <c r="C953" s="38"/>
      <c r="D953" s="38"/>
      <c r="E953" s="39"/>
      <c r="F953" s="40"/>
      <c r="G953" s="37"/>
      <c r="H953" s="37"/>
      <c r="I953" s="37"/>
      <c r="J953" s="41"/>
      <c r="K953" s="41"/>
      <c r="L953" s="43"/>
      <c r="M953" s="43"/>
      <c r="N953" s="43"/>
      <c r="O953" s="43"/>
      <c r="P953" s="44"/>
      <c r="Q953" s="45"/>
    </row>
    <row r="954" spans="3:17" x14ac:dyDescent="0.25">
      <c r="C954" s="38"/>
      <c r="D954" s="38"/>
      <c r="E954" s="39"/>
      <c r="F954" s="40"/>
      <c r="G954" s="37"/>
      <c r="H954" s="37"/>
      <c r="I954" s="37"/>
      <c r="J954" s="41"/>
      <c r="K954" s="41"/>
      <c r="L954" s="43"/>
      <c r="M954" s="43"/>
      <c r="N954" s="43"/>
      <c r="O954" s="43"/>
      <c r="P954" s="44"/>
      <c r="Q954" s="45"/>
    </row>
    <row r="955" spans="3:17" x14ac:dyDescent="0.25">
      <c r="C955" s="38"/>
      <c r="D955" s="38"/>
      <c r="E955" s="39"/>
      <c r="F955" s="40"/>
      <c r="G955" s="37"/>
      <c r="H955" s="37"/>
      <c r="I955" s="37"/>
      <c r="J955" s="41"/>
      <c r="K955" s="41"/>
      <c r="L955" s="43"/>
      <c r="M955" s="43"/>
      <c r="N955" s="43"/>
      <c r="O955" s="43"/>
      <c r="P955" s="44"/>
      <c r="Q955" s="45"/>
    </row>
    <row r="956" spans="3:17" x14ac:dyDescent="0.25">
      <c r="C956" s="38"/>
      <c r="D956" s="38"/>
      <c r="E956" s="39"/>
      <c r="F956" s="40"/>
      <c r="G956" s="37"/>
      <c r="H956" s="37"/>
      <c r="I956" s="37"/>
      <c r="J956" s="41"/>
      <c r="K956" s="41"/>
      <c r="L956" s="43"/>
      <c r="M956" s="43"/>
      <c r="N956" s="43"/>
      <c r="O956" s="43"/>
      <c r="P956" s="44"/>
      <c r="Q956" s="45"/>
    </row>
    <row r="957" spans="3:17" x14ac:dyDescent="0.25">
      <c r="C957" s="38"/>
      <c r="D957" s="38"/>
      <c r="E957" s="39"/>
      <c r="F957" s="40"/>
      <c r="G957" s="37"/>
      <c r="H957" s="37"/>
      <c r="I957" s="37"/>
      <c r="J957" s="41"/>
      <c r="K957" s="41"/>
      <c r="L957" s="43"/>
      <c r="M957" s="43"/>
      <c r="N957" s="43"/>
      <c r="O957" s="43"/>
      <c r="P957" s="44"/>
      <c r="Q957" s="45"/>
    </row>
    <row r="958" spans="3:17" x14ac:dyDescent="0.25">
      <c r="C958" s="38"/>
      <c r="D958" s="38"/>
      <c r="E958" s="39"/>
      <c r="F958" s="40"/>
      <c r="G958" s="37"/>
      <c r="H958" s="37"/>
      <c r="I958" s="37"/>
      <c r="J958" s="41"/>
      <c r="K958" s="41"/>
      <c r="L958" s="43"/>
      <c r="M958" s="43"/>
      <c r="N958" s="43"/>
      <c r="O958" s="43"/>
      <c r="P958" s="44"/>
      <c r="Q958" s="45"/>
    </row>
    <row r="959" spans="3:17" x14ac:dyDescent="0.25">
      <c r="C959" s="38"/>
      <c r="D959" s="38"/>
      <c r="E959" s="39"/>
      <c r="F959" s="40"/>
      <c r="G959" s="37"/>
      <c r="H959" s="37"/>
      <c r="I959" s="37"/>
      <c r="J959" s="41"/>
      <c r="K959" s="41"/>
      <c r="L959" s="43"/>
      <c r="M959" s="43"/>
      <c r="N959" s="43"/>
      <c r="O959" s="43"/>
      <c r="P959" s="44"/>
      <c r="Q959" s="45"/>
    </row>
    <row r="960" spans="3:17" x14ac:dyDescent="0.25">
      <c r="C960" s="38"/>
      <c r="D960" s="38"/>
      <c r="E960" s="39"/>
      <c r="F960" s="40"/>
      <c r="G960" s="37"/>
      <c r="H960" s="37"/>
      <c r="I960" s="37"/>
      <c r="J960" s="41"/>
      <c r="K960" s="41"/>
      <c r="L960" s="43"/>
      <c r="M960" s="43"/>
      <c r="N960" s="43"/>
      <c r="O960" s="43"/>
      <c r="P960" s="44"/>
      <c r="Q960" s="45"/>
    </row>
    <row r="961" spans="3:17" x14ac:dyDescent="0.25">
      <c r="C961" s="38"/>
      <c r="D961" s="38"/>
      <c r="E961" s="39"/>
      <c r="F961" s="40"/>
      <c r="G961" s="37"/>
      <c r="H961" s="37"/>
      <c r="I961" s="37"/>
      <c r="J961" s="41"/>
      <c r="K961" s="41"/>
      <c r="L961" s="43"/>
      <c r="M961" s="43"/>
      <c r="N961" s="43"/>
      <c r="O961" s="43"/>
      <c r="P961" s="44"/>
      <c r="Q961" s="45"/>
    </row>
    <row r="962" spans="3:17" x14ac:dyDescent="0.25">
      <c r="C962" s="38"/>
      <c r="D962" s="38"/>
      <c r="E962" s="39"/>
      <c r="F962" s="40"/>
      <c r="G962" s="37"/>
      <c r="H962" s="37"/>
      <c r="I962" s="37"/>
      <c r="J962" s="41"/>
      <c r="K962" s="41"/>
      <c r="L962" s="43"/>
      <c r="M962" s="43"/>
      <c r="N962" s="43"/>
      <c r="O962" s="43"/>
      <c r="P962" s="44"/>
      <c r="Q962" s="45"/>
    </row>
    <row r="963" spans="3:17" x14ac:dyDescent="0.25">
      <c r="C963" s="38"/>
      <c r="D963" s="38"/>
      <c r="E963" s="39"/>
      <c r="F963" s="40"/>
      <c r="G963" s="37"/>
      <c r="H963" s="37"/>
      <c r="I963" s="37"/>
      <c r="J963" s="41"/>
      <c r="K963" s="41"/>
      <c r="L963" s="43"/>
      <c r="M963" s="43"/>
      <c r="N963" s="43"/>
      <c r="O963" s="43"/>
      <c r="P963" s="44"/>
      <c r="Q963" s="45"/>
    </row>
    <row r="964" spans="3:17" x14ac:dyDescent="0.25">
      <c r="C964" s="38"/>
      <c r="D964" s="38"/>
      <c r="E964" s="39"/>
      <c r="F964" s="40"/>
      <c r="G964" s="37"/>
      <c r="H964" s="37"/>
      <c r="I964" s="37"/>
      <c r="J964" s="41"/>
      <c r="K964" s="41"/>
      <c r="L964" s="43"/>
      <c r="M964" s="43"/>
      <c r="N964" s="43"/>
      <c r="O964" s="43"/>
      <c r="P964" s="44"/>
      <c r="Q964" s="45"/>
    </row>
    <row r="965" spans="3:17" x14ac:dyDescent="0.25">
      <c r="C965" s="38"/>
      <c r="D965" s="38"/>
      <c r="E965" s="39"/>
      <c r="F965" s="40"/>
      <c r="G965" s="37"/>
      <c r="H965" s="37"/>
      <c r="I965" s="37"/>
      <c r="J965" s="41"/>
      <c r="K965" s="41"/>
      <c r="L965" s="43"/>
      <c r="M965" s="43"/>
      <c r="N965" s="43"/>
      <c r="O965" s="43"/>
      <c r="P965" s="44"/>
      <c r="Q965" s="45"/>
    </row>
    <row r="966" spans="3:17" x14ac:dyDescent="0.25">
      <c r="C966" s="38"/>
      <c r="D966" s="38"/>
      <c r="E966" s="39"/>
      <c r="F966" s="40"/>
      <c r="G966" s="37"/>
      <c r="H966" s="37"/>
      <c r="I966" s="37"/>
      <c r="J966" s="41"/>
      <c r="K966" s="41"/>
      <c r="L966" s="43"/>
      <c r="M966" s="43"/>
      <c r="N966" s="43"/>
      <c r="O966" s="43"/>
      <c r="P966" s="44"/>
      <c r="Q966" s="45"/>
    </row>
    <row r="967" spans="3:17" x14ac:dyDescent="0.25">
      <c r="C967" s="38"/>
      <c r="D967" s="38"/>
      <c r="E967" s="39"/>
      <c r="F967" s="40"/>
      <c r="G967" s="37"/>
      <c r="H967" s="37"/>
      <c r="I967" s="37"/>
      <c r="J967" s="41"/>
      <c r="K967" s="41"/>
      <c r="L967" s="43"/>
      <c r="M967" s="43"/>
      <c r="N967" s="43"/>
      <c r="O967" s="43"/>
      <c r="P967" s="44"/>
      <c r="Q967" s="45"/>
    </row>
    <row r="968" spans="3:17" x14ac:dyDescent="0.25">
      <c r="C968" s="38"/>
      <c r="D968" s="38"/>
      <c r="E968" s="39"/>
      <c r="F968" s="40"/>
      <c r="G968" s="37"/>
      <c r="H968" s="37"/>
      <c r="I968" s="37"/>
      <c r="J968" s="41"/>
      <c r="K968" s="41"/>
      <c r="L968" s="43"/>
      <c r="M968" s="43"/>
      <c r="N968" s="43"/>
      <c r="O968" s="43"/>
      <c r="P968" s="44"/>
      <c r="Q968" s="45"/>
    </row>
    <row r="969" spans="3:17" x14ac:dyDescent="0.25">
      <c r="C969" s="38"/>
      <c r="D969" s="38"/>
      <c r="E969" s="39"/>
      <c r="F969" s="40"/>
      <c r="G969" s="37"/>
      <c r="H969" s="37"/>
      <c r="I969" s="37"/>
      <c r="J969" s="41"/>
      <c r="K969" s="41"/>
      <c r="L969" s="43"/>
      <c r="M969" s="43"/>
      <c r="N969" s="43"/>
      <c r="O969" s="43"/>
      <c r="P969" s="44"/>
      <c r="Q969" s="45"/>
    </row>
    <row r="970" spans="3:17" x14ac:dyDescent="0.25">
      <c r="C970" s="38"/>
      <c r="D970" s="38"/>
      <c r="E970" s="39"/>
      <c r="F970" s="40"/>
      <c r="G970" s="37"/>
      <c r="H970" s="37"/>
      <c r="I970" s="37"/>
      <c r="J970" s="41"/>
      <c r="K970" s="41"/>
      <c r="L970" s="43"/>
      <c r="M970" s="43"/>
      <c r="N970" s="43"/>
      <c r="O970" s="43"/>
      <c r="P970" s="44"/>
      <c r="Q970" s="45"/>
    </row>
    <row r="971" spans="3:17" x14ac:dyDescent="0.25">
      <c r="C971" s="38"/>
      <c r="D971" s="38"/>
      <c r="E971" s="39"/>
      <c r="F971" s="40"/>
      <c r="G971" s="37"/>
      <c r="H971" s="37"/>
      <c r="I971" s="37"/>
      <c r="J971" s="41"/>
      <c r="K971" s="41"/>
      <c r="L971" s="43"/>
      <c r="M971" s="43"/>
      <c r="N971" s="43"/>
      <c r="O971" s="43"/>
      <c r="P971" s="44"/>
      <c r="Q971" s="45"/>
    </row>
    <row r="972" spans="3:17" x14ac:dyDescent="0.25">
      <c r="C972" s="38"/>
      <c r="D972" s="38"/>
      <c r="E972" s="39"/>
      <c r="F972" s="40"/>
      <c r="G972" s="37"/>
      <c r="H972" s="37"/>
      <c r="I972" s="37"/>
      <c r="J972" s="41"/>
      <c r="K972" s="41"/>
      <c r="L972" s="43"/>
      <c r="M972" s="43"/>
      <c r="N972" s="43"/>
      <c r="O972" s="43"/>
      <c r="P972" s="44"/>
      <c r="Q972" s="45"/>
    </row>
    <row r="973" spans="3:17" x14ac:dyDescent="0.25">
      <c r="C973" s="38"/>
      <c r="D973" s="38"/>
      <c r="E973" s="39"/>
      <c r="F973" s="40"/>
      <c r="G973" s="37"/>
      <c r="H973" s="37"/>
      <c r="I973" s="37"/>
      <c r="J973" s="41"/>
      <c r="K973" s="41"/>
      <c r="L973" s="43"/>
      <c r="M973" s="43"/>
      <c r="N973" s="43"/>
      <c r="O973" s="43"/>
      <c r="P973" s="44"/>
      <c r="Q973" s="45"/>
    </row>
    <row r="974" spans="3:17" x14ac:dyDescent="0.25">
      <c r="C974" s="38"/>
      <c r="D974" s="38"/>
      <c r="E974" s="39"/>
      <c r="F974" s="40"/>
      <c r="G974" s="37"/>
      <c r="H974" s="37"/>
      <c r="I974" s="37"/>
      <c r="J974" s="41"/>
      <c r="K974" s="41"/>
      <c r="L974" s="43"/>
      <c r="M974" s="43"/>
      <c r="N974" s="43"/>
      <c r="O974" s="43"/>
      <c r="P974" s="44"/>
      <c r="Q974" s="45"/>
    </row>
    <row r="975" spans="3:17" x14ac:dyDescent="0.25">
      <c r="C975" s="38"/>
      <c r="D975" s="38"/>
      <c r="E975" s="39"/>
      <c r="F975" s="40"/>
      <c r="G975" s="37"/>
      <c r="H975" s="37"/>
      <c r="I975" s="37"/>
      <c r="J975" s="41"/>
      <c r="K975" s="41"/>
      <c r="L975" s="43"/>
      <c r="M975" s="43"/>
      <c r="N975" s="43"/>
      <c r="O975" s="43"/>
      <c r="P975" s="44"/>
      <c r="Q975" s="45"/>
    </row>
    <row r="976" spans="3:17" x14ac:dyDescent="0.25">
      <c r="C976" s="38"/>
      <c r="D976" s="38"/>
      <c r="E976" s="39"/>
      <c r="F976" s="40"/>
      <c r="G976" s="37"/>
      <c r="H976" s="37"/>
      <c r="I976" s="37"/>
      <c r="J976" s="41"/>
      <c r="K976" s="41"/>
      <c r="L976" s="43"/>
      <c r="M976" s="43"/>
      <c r="N976" s="43"/>
      <c r="O976" s="43"/>
      <c r="P976" s="44"/>
      <c r="Q976" s="45"/>
    </row>
    <row r="977" spans="3:17" x14ac:dyDescent="0.25">
      <c r="C977" s="38"/>
      <c r="D977" s="38"/>
      <c r="E977" s="39"/>
      <c r="F977" s="40"/>
      <c r="G977" s="37"/>
      <c r="H977" s="37"/>
      <c r="I977" s="37"/>
      <c r="J977" s="41"/>
      <c r="K977" s="41"/>
      <c r="L977" s="43"/>
      <c r="M977" s="43"/>
      <c r="N977" s="43"/>
      <c r="O977" s="43"/>
      <c r="P977" s="44"/>
      <c r="Q977" s="45"/>
    </row>
    <row r="978" spans="3:17" x14ac:dyDescent="0.25">
      <c r="C978" s="38"/>
      <c r="D978" s="38"/>
      <c r="E978" s="39"/>
      <c r="F978" s="40"/>
      <c r="G978" s="37"/>
      <c r="H978" s="37"/>
      <c r="I978" s="37"/>
      <c r="J978" s="41"/>
      <c r="K978" s="41"/>
      <c r="L978" s="43"/>
      <c r="M978" s="43"/>
      <c r="N978" s="43"/>
      <c r="O978" s="43"/>
      <c r="P978" s="44"/>
      <c r="Q978" s="45"/>
    </row>
    <row r="979" spans="3:17" x14ac:dyDescent="0.25">
      <c r="C979" s="38"/>
      <c r="D979" s="38"/>
      <c r="E979" s="39"/>
      <c r="F979" s="40"/>
      <c r="G979" s="37"/>
      <c r="H979" s="37"/>
      <c r="I979" s="37"/>
      <c r="J979" s="41"/>
      <c r="K979" s="41"/>
      <c r="L979" s="43"/>
      <c r="M979" s="43"/>
      <c r="N979" s="43"/>
      <c r="O979" s="43"/>
      <c r="P979" s="44"/>
      <c r="Q979" s="45"/>
    </row>
    <row r="980" spans="3:17" x14ac:dyDescent="0.25">
      <c r="C980" s="38"/>
      <c r="D980" s="38"/>
      <c r="E980" s="39"/>
      <c r="F980" s="40"/>
      <c r="G980" s="37"/>
      <c r="H980" s="37"/>
      <c r="I980" s="37"/>
      <c r="J980" s="41"/>
      <c r="K980" s="41"/>
      <c r="L980" s="43"/>
      <c r="M980" s="43"/>
      <c r="N980" s="43"/>
      <c r="O980" s="43"/>
      <c r="P980" s="44"/>
      <c r="Q980" s="45"/>
    </row>
    <row r="981" spans="3:17" x14ac:dyDescent="0.25">
      <c r="C981" s="38"/>
      <c r="D981" s="38"/>
      <c r="E981" s="39"/>
      <c r="F981" s="40"/>
      <c r="G981" s="37"/>
      <c r="H981" s="37"/>
      <c r="I981" s="37"/>
      <c r="J981" s="41"/>
      <c r="K981" s="41"/>
      <c r="L981" s="43"/>
      <c r="M981" s="43"/>
      <c r="N981" s="43"/>
      <c r="O981" s="43"/>
      <c r="P981" s="44"/>
      <c r="Q981" s="45"/>
    </row>
    <row r="982" spans="3:17" x14ac:dyDescent="0.25">
      <c r="C982" s="38"/>
      <c r="D982" s="38"/>
      <c r="E982" s="39"/>
      <c r="F982" s="40"/>
      <c r="G982" s="37"/>
      <c r="H982" s="37"/>
      <c r="I982" s="37"/>
      <c r="J982" s="41"/>
      <c r="K982" s="41"/>
      <c r="L982" s="43"/>
      <c r="M982" s="43"/>
      <c r="N982" s="43"/>
      <c r="O982" s="43"/>
      <c r="P982" s="44"/>
      <c r="Q982" s="45"/>
    </row>
    <row r="983" spans="3:17" x14ac:dyDescent="0.25">
      <c r="C983" s="38"/>
      <c r="D983" s="38"/>
      <c r="E983" s="39"/>
      <c r="F983" s="40"/>
      <c r="G983" s="37"/>
      <c r="H983" s="37"/>
      <c r="I983" s="37"/>
      <c r="J983" s="41"/>
      <c r="K983" s="41"/>
      <c r="L983" s="43"/>
      <c r="M983" s="43"/>
      <c r="N983" s="43"/>
      <c r="O983" s="43"/>
      <c r="P983" s="44"/>
      <c r="Q983" s="45"/>
    </row>
    <row r="984" spans="3:17" x14ac:dyDescent="0.25">
      <c r="C984" s="38"/>
      <c r="D984" s="38"/>
      <c r="E984" s="39"/>
      <c r="F984" s="40"/>
      <c r="G984" s="37"/>
      <c r="H984" s="37"/>
      <c r="I984" s="37"/>
      <c r="J984" s="41"/>
      <c r="K984" s="41"/>
      <c r="L984" s="43"/>
      <c r="M984" s="43"/>
      <c r="N984" s="43"/>
      <c r="O984" s="43"/>
      <c r="P984" s="44"/>
      <c r="Q984" s="45"/>
    </row>
    <row r="985" spans="3:17" x14ac:dyDescent="0.25">
      <c r="C985" s="38"/>
      <c r="D985" s="38"/>
      <c r="E985" s="39"/>
      <c r="F985" s="40"/>
      <c r="G985" s="37"/>
      <c r="H985" s="37"/>
      <c r="I985" s="37"/>
      <c r="J985" s="41"/>
      <c r="K985" s="41"/>
      <c r="L985" s="43"/>
      <c r="M985" s="43"/>
      <c r="N985" s="43"/>
      <c r="O985" s="43"/>
      <c r="P985" s="44"/>
      <c r="Q985" s="45"/>
    </row>
    <row r="986" spans="3:17" x14ac:dyDescent="0.25">
      <c r="C986" s="38"/>
      <c r="D986" s="38"/>
      <c r="E986" s="39"/>
      <c r="F986" s="40"/>
      <c r="G986" s="37"/>
      <c r="H986" s="37"/>
      <c r="I986" s="37"/>
      <c r="J986" s="41"/>
      <c r="K986" s="41"/>
      <c r="L986" s="43"/>
      <c r="M986" s="43"/>
      <c r="N986" s="43"/>
      <c r="O986" s="43"/>
      <c r="P986" s="44"/>
      <c r="Q986" s="45"/>
    </row>
    <row r="987" spans="3:17" x14ac:dyDescent="0.25">
      <c r="C987" s="38"/>
      <c r="D987" s="38"/>
      <c r="E987" s="39"/>
      <c r="F987" s="40"/>
      <c r="G987" s="37"/>
      <c r="H987" s="37"/>
      <c r="I987" s="37"/>
      <c r="J987" s="41"/>
      <c r="K987" s="41"/>
      <c r="L987" s="43"/>
      <c r="M987" s="43"/>
      <c r="N987" s="43"/>
      <c r="O987" s="43"/>
      <c r="P987" s="44"/>
      <c r="Q987" s="45"/>
    </row>
    <row r="988" spans="3:17" x14ac:dyDescent="0.25">
      <c r="C988" s="38"/>
      <c r="D988" s="38"/>
      <c r="E988" s="39"/>
      <c r="F988" s="40"/>
      <c r="G988" s="37"/>
      <c r="H988" s="37"/>
      <c r="I988" s="37"/>
      <c r="J988" s="41"/>
      <c r="K988" s="41"/>
      <c r="L988" s="43"/>
      <c r="M988" s="43"/>
      <c r="N988" s="43"/>
      <c r="O988" s="43"/>
      <c r="P988" s="44"/>
      <c r="Q988" s="45"/>
    </row>
    <row r="989" spans="3:17" x14ac:dyDescent="0.25">
      <c r="C989" s="38"/>
      <c r="D989" s="38"/>
      <c r="E989" s="39"/>
      <c r="F989" s="40"/>
      <c r="G989" s="37"/>
      <c r="H989" s="37"/>
      <c r="I989" s="37"/>
      <c r="J989" s="41"/>
      <c r="K989" s="41"/>
      <c r="L989" s="43"/>
      <c r="M989" s="43"/>
      <c r="N989" s="43"/>
      <c r="O989" s="43"/>
      <c r="P989" s="44"/>
      <c r="Q989" s="45"/>
    </row>
    <row r="990" spans="3:17" x14ac:dyDescent="0.25">
      <c r="C990" s="38"/>
      <c r="D990" s="38"/>
      <c r="E990" s="39"/>
      <c r="F990" s="40"/>
      <c r="G990" s="37"/>
      <c r="H990" s="37"/>
      <c r="I990" s="37"/>
      <c r="J990" s="41"/>
      <c r="K990" s="41"/>
      <c r="L990" s="43"/>
      <c r="M990" s="43"/>
      <c r="N990" s="43"/>
      <c r="O990" s="43"/>
      <c r="P990" s="44"/>
      <c r="Q990" s="45"/>
    </row>
    <row r="991" spans="3:17" x14ac:dyDescent="0.25">
      <c r="C991" s="38"/>
      <c r="D991" s="38"/>
      <c r="E991" s="39"/>
      <c r="F991" s="40"/>
      <c r="G991" s="37"/>
      <c r="H991" s="37"/>
      <c r="I991" s="37"/>
      <c r="J991" s="41"/>
      <c r="K991" s="41"/>
      <c r="L991" s="43"/>
      <c r="M991" s="43"/>
      <c r="N991" s="43"/>
      <c r="O991" s="43"/>
      <c r="P991" s="44"/>
      <c r="Q991" s="45"/>
    </row>
    <row r="992" spans="3:17" x14ac:dyDescent="0.25">
      <c r="C992" s="38"/>
      <c r="D992" s="38"/>
      <c r="E992" s="39"/>
      <c r="F992" s="40"/>
      <c r="G992" s="37"/>
      <c r="H992" s="37"/>
      <c r="I992" s="37"/>
      <c r="J992" s="41"/>
      <c r="K992" s="41"/>
      <c r="L992" s="43"/>
      <c r="M992" s="43"/>
      <c r="N992" s="43"/>
      <c r="O992" s="43"/>
      <c r="P992" s="44"/>
      <c r="Q992" s="45"/>
    </row>
    <row r="993" spans="3:17" x14ac:dyDescent="0.25">
      <c r="C993" s="38"/>
      <c r="D993" s="38"/>
      <c r="E993" s="39"/>
      <c r="F993" s="40"/>
      <c r="G993" s="37"/>
      <c r="H993" s="37"/>
      <c r="I993" s="37"/>
      <c r="J993" s="41"/>
      <c r="K993" s="41"/>
      <c r="L993" s="43"/>
      <c r="M993" s="43"/>
      <c r="N993" s="43"/>
      <c r="O993" s="43"/>
      <c r="P993" s="44"/>
      <c r="Q993" s="45"/>
    </row>
    <row r="994" spans="3:17" x14ac:dyDescent="0.25">
      <c r="C994" s="38"/>
      <c r="D994" s="38"/>
      <c r="E994" s="39"/>
      <c r="F994" s="40"/>
      <c r="G994" s="37"/>
      <c r="H994" s="37"/>
      <c r="I994" s="37"/>
      <c r="J994" s="41"/>
      <c r="K994" s="41"/>
      <c r="L994" s="43"/>
      <c r="M994" s="43"/>
      <c r="N994" s="43"/>
      <c r="O994" s="43"/>
      <c r="P994" s="44"/>
      <c r="Q994" s="45"/>
    </row>
    <row r="995" spans="3:17" x14ac:dyDescent="0.25">
      <c r="C995" s="38"/>
      <c r="D995" s="38"/>
      <c r="E995" s="39"/>
      <c r="F995" s="40"/>
      <c r="G995" s="37"/>
      <c r="H995" s="37"/>
      <c r="I995" s="37"/>
      <c r="J995" s="41"/>
      <c r="K995" s="41"/>
      <c r="L995" s="43"/>
      <c r="M995" s="43"/>
      <c r="N995" s="43"/>
      <c r="O995" s="43"/>
      <c r="P995" s="44"/>
      <c r="Q995" s="45"/>
    </row>
    <row r="996" spans="3:17" x14ac:dyDescent="0.25">
      <c r="C996" s="38"/>
      <c r="D996" s="38"/>
      <c r="E996" s="39"/>
      <c r="F996" s="40"/>
      <c r="G996" s="37"/>
      <c r="H996" s="37"/>
      <c r="I996" s="37"/>
      <c r="J996" s="41"/>
      <c r="K996" s="41"/>
      <c r="L996" s="43"/>
      <c r="M996" s="43"/>
      <c r="N996" s="43"/>
      <c r="O996" s="43"/>
      <c r="P996" s="44"/>
      <c r="Q996" s="45"/>
    </row>
    <row r="997" spans="3:17" x14ac:dyDescent="0.25">
      <c r="C997" s="38"/>
      <c r="D997" s="38"/>
      <c r="E997" s="39"/>
      <c r="F997" s="40"/>
      <c r="G997" s="37"/>
      <c r="H997" s="37"/>
      <c r="I997" s="37"/>
      <c r="J997" s="41"/>
      <c r="K997" s="41"/>
      <c r="L997" s="43"/>
      <c r="M997" s="43"/>
      <c r="N997" s="43"/>
      <c r="O997" s="43"/>
      <c r="P997" s="44"/>
      <c r="Q997" s="45"/>
    </row>
    <row r="998" spans="3:17" x14ac:dyDescent="0.25">
      <c r="C998" s="38"/>
      <c r="D998" s="38"/>
      <c r="E998" s="39"/>
      <c r="F998" s="40"/>
      <c r="G998" s="37"/>
      <c r="H998" s="37"/>
      <c r="I998" s="37"/>
      <c r="J998" s="41"/>
      <c r="K998" s="41"/>
      <c r="L998" s="43"/>
      <c r="M998" s="43"/>
      <c r="N998" s="43"/>
      <c r="O998" s="43"/>
      <c r="P998" s="44"/>
      <c r="Q998" s="45"/>
    </row>
    <row r="999" spans="3:17" x14ac:dyDescent="0.25">
      <c r="C999" s="38"/>
      <c r="D999" s="38"/>
      <c r="E999" s="39"/>
      <c r="F999" s="40"/>
      <c r="G999" s="37"/>
      <c r="H999" s="37"/>
      <c r="I999" s="37"/>
      <c r="J999" s="41"/>
      <c r="K999" s="41"/>
      <c r="L999" s="43"/>
      <c r="M999" s="43"/>
      <c r="N999" s="43"/>
      <c r="O999" s="43"/>
      <c r="P999" s="44"/>
      <c r="Q999" s="45"/>
    </row>
    <row r="1000" spans="3:17" x14ac:dyDescent="0.25">
      <c r="C1000" s="38"/>
      <c r="D1000" s="38"/>
      <c r="E1000" s="39"/>
      <c r="F1000" s="40"/>
      <c r="G1000" s="37"/>
      <c r="H1000" s="37"/>
      <c r="I1000" s="37"/>
      <c r="J1000" s="41"/>
      <c r="K1000" s="41"/>
      <c r="L1000" s="43"/>
      <c r="M1000" s="43"/>
      <c r="N1000" s="43"/>
      <c r="O1000" s="43"/>
      <c r="P1000" s="44"/>
      <c r="Q1000" s="45"/>
    </row>
    <row r="1001" spans="3:17" x14ac:dyDescent="0.25">
      <c r="C1001" s="38"/>
      <c r="D1001" s="38"/>
      <c r="E1001" s="39"/>
      <c r="F1001" s="40"/>
      <c r="G1001" s="37"/>
      <c r="H1001" s="37"/>
      <c r="I1001" s="37"/>
      <c r="J1001" s="41"/>
      <c r="K1001" s="41"/>
      <c r="L1001" s="43"/>
      <c r="M1001" s="43"/>
      <c r="N1001" s="43"/>
      <c r="O1001" s="43"/>
      <c r="P1001" s="44"/>
      <c r="Q1001" s="45"/>
    </row>
    <row r="1002" spans="3:17" x14ac:dyDescent="0.25">
      <c r="C1002" s="38"/>
      <c r="D1002" s="38"/>
      <c r="E1002" s="39"/>
      <c r="F1002" s="40"/>
      <c r="G1002" s="37"/>
      <c r="H1002" s="37"/>
      <c r="I1002" s="37"/>
      <c r="J1002" s="41"/>
      <c r="K1002" s="41"/>
      <c r="L1002" s="43"/>
      <c r="M1002" s="43"/>
      <c r="N1002" s="43"/>
      <c r="O1002" s="43"/>
      <c r="P1002" s="44"/>
      <c r="Q1002" s="45"/>
    </row>
    <row r="1003" spans="3:17" x14ac:dyDescent="0.25">
      <c r="C1003" s="38"/>
      <c r="D1003" s="38"/>
      <c r="E1003" s="39"/>
      <c r="F1003" s="40"/>
      <c r="G1003" s="37"/>
      <c r="H1003" s="37"/>
      <c r="I1003" s="37"/>
      <c r="J1003" s="41"/>
      <c r="K1003" s="41"/>
      <c r="L1003" s="43"/>
      <c r="M1003" s="43"/>
      <c r="N1003" s="43"/>
      <c r="O1003" s="43"/>
      <c r="P1003" s="44"/>
      <c r="Q1003" s="45"/>
    </row>
    <row r="1004" spans="3:17" x14ac:dyDescent="0.25">
      <c r="C1004" s="38"/>
      <c r="D1004" s="38"/>
      <c r="E1004" s="39"/>
      <c r="F1004" s="40"/>
      <c r="G1004" s="37"/>
      <c r="H1004" s="37"/>
      <c r="I1004" s="37"/>
      <c r="J1004" s="41"/>
      <c r="K1004" s="41"/>
      <c r="L1004" s="43"/>
      <c r="M1004" s="43"/>
      <c r="N1004" s="43"/>
      <c r="O1004" s="43"/>
      <c r="P1004" s="44"/>
      <c r="Q1004" s="45"/>
    </row>
    <row r="1005" spans="3:17" x14ac:dyDescent="0.25">
      <c r="C1005" s="38"/>
      <c r="D1005" s="38"/>
      <c r="E1005" s="39"/>
      <c r="F1005" s="40"/>
      <c r="G1005" s="37"/>
      <c r="H1005" s="37"/>
      <c r="I1005" s="37"/>
      <c r="J1005" s="41"/>
      <c r="K1005" s="41"/>
      <c r="L1005" s="43"/>
      <c r="M1005" s="43"/>
      <c r="N1005" s="43"/>
      <c r="O1005" s="43"/>
      <c r="P1005" s="44"/>
      <c r="Q1005" s="45"/>
    </row>
    <row r="1006" spans="3:17" x14ac:dyDescent="0.25">
      <c r="C1006" s="38"/>
      <c r="D1006" s="38"/>
      <c r="E1006" s="39"/>
      <c r="F1006" s="40"/>
      <c r="G1006" s="37"/>
      <c r="H1006" s="37"/>
      <c r="I1006" s="37"/>
      <c r="J1006" s="41"/>
      <c r="K1006" s="41"/>
      <c r="L1006" s="43"/>
      <c r="M1006" s="43"/>
      <c r="N1006" s="43"/>
      <c r="O1006" s="43"/>
      <c r="P1006" s="44"/>
      <c r="Q1006" s="45"/>
    </row>
    <row r="1007" spans="3:17" x14ac:dyDescent="0.25">
      <c r="C1007" s="38"/>
      <c r="D1007" s="38"/>
      <c r="E1007" s="39"/>
      <c r="F1007" s="40"/>
      <c r="G1007" s="37"/>
      <c r="H1007" s="37"/>
      <c r="I1007" s="37"/>
      <c r="J1007" s="41"/>
      <c r="K1007" s="41"/>
      <c r="L1007" s="43"/>
      <c r="M1007" s="43"/>
      <c r="N1007" s="43"/>
      <c r="O1007" s="43"/>
      <c r="P1007" s="44"/>
      <c r="Q1007" s="45"/>
    </row>
    <row r="1008" spans="3:17" x14ac:dyDescent="0.25">
      <c r="C1008" s="38"/>
      <c r="D1008" s="38"/>
      <c r="E1008" s="39"/>
      <c r="F1008" s="40"/>
      <c r="G1008" s="37"/>
      <c r="H1008" s="37"/>
      <c r="I1008" s="37"/>
      <c r="J1008" s="41"/>
      <c r="K1008" s="41"/>
      <c r="L1008" s="43"/>
      <c r="M1008" s="43"/>
      <c r="N1008" s="43"/>
      <c r="O1008" s="43"/>
      <c r="P1008" s="44"/>
      <c r="Q1008" s="45"/>
    </row>
    <row r="1009" spans="3:17" x14ac:dyDescent="0.25">
      <c r="C1009" s="38"/>
      <c r="D1009" s="38"/>
      <c r="E1009" s="39"/>
      <c r="F1009" s="40"/>
      <c r="G1009" s="37"/>
      <c r="H1009" s="37"/>
      <c r="I1009" s="37"/>
      <c r="J1009" s="41"/>
      <c r="K1009" s="41"/>
      <c r="L1009" s="43"/>
      <c r="M1009" s="43"/>
      <c r="N1009" s="43"/>
      <c r="O1009" s="43"/>
      <c r="P1009" s="44"/>
      <c r="Q1009" s="45"/>
    </row>
    <row r="1010" spans="3:17" x14ac:dyDescent="0.25">
      <c r="C1010" s="38"/>
      <c r="D1010" s="38"/>
      <c r="E1010" s="39"/>
      <c r="F1010" s="40"/>
      <c r="G1010" s="37"/>
      <c r="H1010" s="37"/>
      <c r="I1010" s="37"/>
      <c r="J1010" s="41"/>
      <c r="K1010" s="41"/>
      <c r="L1010" s="43"/>
      <c r="M1010" s="43"/>
      <c r="N1010" s="43"/>
      <c r="O1010" s="43"/>
      <c r="P1010" s="44"/>
      <c r="Q1010" s="45"/>
    </row>
    <row r="1011" spans="3:17" x14ac:dyDescent="0.25">
      <c r="C1011" s="38"/>
      <c r="D1011" s="38"/>
      <c r="E1011" s="39"/>
      <c r="F1011" s="40"/>
      <c r="G1011" s="37"/>
      <c r="H1011" s="37"/>
      <c r="I1011" s="37"/>
      <c r="J1011" s="41"/>
      <c r="K1011" s="41"/>
      <c r="L1011" s="43"/>
      <c r="M1011" s="43"/>
      <c r="N1011" s="43"/>
      <c r="O1011" s="43"/>
      <c r="P1011" s="44"/>
      <c r="Q1011" s="45"/>
    </row>
    <row r="1012" spans="3:17" x14ac:dyDescent="0.25">
      <c r="C1012" s="38"/>
      <c r="D1012" s="38"/>
      <c r="E1012" s="39"/>
      <c r="F1012" s="40"/>
      <c r="G1012" s="37"/>
      <c r="H1012" s="37"/>
      <c r="I1012" s="37"/>
      <c r="J1012" s="41"/>
      <c r="K1012" s="41"/>
      <c r="L1012" s="43"/>
      <c r="M1012" s="43"/>
      <c r="N1012" s="43"/>
      <c r="O1012" s="43"/>
      <c r="P1012" s="44"/>
      <c r="Q1012" s="45"/>
    </row>
    <row r="1013" spans="3:17" x14ac:dyDescent="0.25">
      <c r="C1013" s="38"/>
      <c r="D1013" s="38"/>
      <c r="E1013" s="39"/>
      <c r="F1013" s="40"/>
      <c r="G1013" s="37"/>
      <c r="H1013" s="37"/>
      <c r="I1013" s="37"/>
      <c r="J1013" s="41"/>
      <c r="K1013" s="41"/>
      <c r="L1013" s="43"/>
      <c r="M1013" s="43"/>
      <c r="N1013" s="43"/>
      <c r="O1013" s="43"/>
      <c r="P1013" s="44"/>
      <c r="Q1013" s="45"/>
    </row>
    <row r="1014" spans="3:17" x14ac:dyDescent="0.25">
      <c r="C1014" s="38"/>
      <c r="D1014" s="38"/>
      <c r="E1014" s="39"/>
      <c r="F1014" s="40"/>
      <c r="G1014" s="37"/>
      <c r="H1014" s="37"/>
      <c r="I1014" s="37"/>
      <c r="J1014" s="41"/>
      <c r="K1014" s="41"/>
      <c r="L1014" s="43"/>
      <c r="M1014" s="43"/>
      <c r="N1014" s="43"/>
      <c r="O1014" s="43"/>
      <c r="P1014" s="44"/>
      <c r="Q1014" s="45"/>
    </row>
    <row r="1015" spans="3:17" x14ac:dyDescent="0.25">
      <c r="C1015" s="38"/>
      <c r="D1015" s="38"/>
      <c r="E1015" s="39"/>
      <c r="F1015" s="40"/>
      <c r="G1015" s="37"/>
      <c r="H1015" s="37"/>
      <c r="I1015" s="37"/>
      <c r="J1015" s="41"/>
      <c r="K1015" s="41"/>
      <c r="L1015" s="43"/>
      <c r="M1015" s="43"/>
      <c r="N1015" s="43"/>
      <c r="O1015" s="43"/>
      <c r="P1015" s="44"/>
      <c r="Q1015" s="45"/>
    </row>
    <row r="1016" spans="3:17" x14ac:dyDescent="0.25">
      <c r="C1016" s="38"/>
      <c r="D1016" s="38"/>
      <c r="E1016" s="39"/>
      <c r="F1016" s="40"/>
      <c r="G1016" s="37"/>
      <c r="H1016" s="37"/>
      <c r="I1016" s="37"/>
      <c r="J1016" s="41"/>
      <c r="K1016" s="41"/>
      <c r="L1016" s="43"/>
      <c r="M1016" s="43"/>
      <c r="N1016" s="43"/>
      <c r="O1016" s="43"/>
      <c r="P1016" s="44"/>
      <c r="Q1016" s="45"/>
    </row>
    <row r="1017" spans="3:17" x14ac:dyDescent="0.25">
      <c r="C1017" s="38"/>
      <c r="D1017" s="38"/>
      <c r="E1017" s="39"/>
      <c r="F1017" s="40"/>
      <c r="G1017" s="37"/>
      <c r="H1017" s="37"/>
      <c r="I1017" s="37"/>
      <c r="J1017" s="41"/>
      <c r="K1017" s="41"/>
      <c r="L1017" s="43"/>
      <c r="M1017" s="43"/>
      <c r="N1017" s="43"/>
      <c r="O1017" s="43"/>
      <c r="P1017" s="44"/>
      <c r="Q1017" s="45"/>
    </row>
    <row r="1018" spans="3:17" x14ac:dyDescent="0.25">
      <c r="C1018" s="38"/>
      <c r="D1018" s="38"/>
      <c r="E1018" s="39"/>
      <c r="F1018" s="40"/>
      <c r="G1018" s="37"/>
      <c r="H1018" s="37"/>
      <c r="I1018" s="37"/>
      <c r="J1018" s="41"/>
      <c r="K1018" s="41"/>
      <c r="L1018" s="43"/>
      <c r="M1018" s="43"/>
      <c r="N1018" s="43"/>
      <c r="O1018" s="43"/>
      <c r="P1018" s="44"/>
      <c r="Q1018" s="45"/>
    </row>
    <row r="1019" spans="3:17" x14ac:dyDescent="0.25">
      <c r="C1019" s="38"/>
      <c r="D1019" s="38"/>
      <c r="E1019" s="39"/>
      <c r="F1019" s="40"/>
      <c r="G1019" s="37"/>
      <c r="H1019" s="37"/>
      <c r="I1019" s="37"/>
      <c r="J1019" s="41"/>
      <c r="K1019" s="41"/>
      <c r="L1019" s="43"/>
      <c r="M1019" s="43"/>
      <c r="N1019" s="43"/>
      <c r="O1019" s="43"/>
      <c r="P1019" s="44"/>
      <c r="Q1019" s="45"/>
    </row>
    <row r="1020" spans="3:17" x14ac:dyDescent="0.25">
      <c r="C1020" s="38"/>
      <c r="D1020" s="38"/>
      <c r="E1020" s="39"/>
      <c r="F1020" s="40"/>
      <c r="G1020" s="37"/>
      <c r="H1020" s="37"/>
      <c r="I1020" s="37"/>
      <c r="J1020" s="41"/>
      <c r="K1020" s="41"/>
      <c r="L1020" s="43"/>
      <c r="M1020" s="43"/>
      <c r="N1020" s="43"/>
      <c r="O1020" s="43"/>
      <c r="P1020" s="44"/>
      <c r="Q1020" s="45"/>
    </row>
    <row r="1021" spans="3:17" x14ac:dyDescent="0.25">
      <c r="C1021" s="38"/>
      <c r="D1021" s="38"/>
      <c r="E1021" s="39"/>
      <c r="F1021" s="40"/>
      <c r="G1021" s="37"/>
      <c r="H1021" s="37"/>
      <c r="I1021" s="37"/>
      <c r="J1021" s="41"/>
      <c r="K1021" s="41"/>
      <c r="L1021" s="43"/>
      <c r="M1021" s="43"/>
      <c r="N1021" s="43"/>
      <c r="O1021" s="43"/>
      <c r="P1021" s="44"/>
      <c r="Q1021" s="45"/>
    </row>
    <row r="1022" spans="3:17" x14ac:dyDescent="0.25">
      <c r="C1022" s="38"/>
      <c r="D1022" s="38"/>
      <c r="E1022" s="39"/>
      <c r="F1022" s="40"/>
      <c r="G1022" s="37"/>
      <c r="H1022" s="37"/>
      <c r="I1022" s="37"/>
      <c r="J1022" s="41"/>
      <c r="K1022" s="41"/>
      <c r="L1022" s="43"/>
      <c r="M1022" s="43"/>
      <c r="N1022" s="43"/>
      <c r="O1022" s="43"/>
      <c r="P1022" s="44"/>
      <c r="Q1022" s="45"/>
    </row>
    <row r="1023" spans="3:17" x14ac:dyDescent="0.25">
      <c r="C1023" s="38"/>
      <c r="D1023" s="38"/>
      <c r="E1023" s="39"/>
      <c r="F1023" s="40"/>
      <c r="G1023" s="37"/>
      <c r="H1023" s="37"/>
      <c r="I1023" s="37"/>
      <c r="J1023" s="41"/>
      <c r="K1023" s="41"/>
      <c r="L1023" s="43"/>
      <c r="M1023" s="43"/>
      <c r="N1023" s="43"/>
      <c r="O1023" s="43"/>
      <c r="P1023" s="44"/>
      <c r="Q1023" s="45"/>
    </row>
    <row r="1024" spans="3:17" x14ac:dyDescent="0.25">
      <c r="C1024" s="38"/>
      <c r="D1024" s="38"/>
      <c r="E1024" s="39"/>
      <c r="F1024" s="40"/>
      <c r="G1024" s="37"/>
      <c r="H1024" s="37"/>
      <c r="I1024" s="37"/>
      <c r="J1024" s="41"/>
      <c r="K1024" s="41"/>
      <c r="L1024" s="43"/>
      <c r="M1024" s="43"/>
      <c r="N1024" s="43"/>
      <c r="O1024" s="43"/>
      <c r="P1024" s="44"/>
      <c r="Q1024" s="45"/>
    </row>
    <row r="1025" spans="3:17" x14ac:dyDescent="0.25">
      <c r="C1025" s="38"/>
      <c r="D1025" s="38"/>
      <c r="E1025" s="39"/>
      <c r="F1025" s="40"/>
      <c r="G1025" s="37"/>
      <c r="H1025" s="37"/>
      <c r="I1025" s="37"/>
      <c r="J1025" s="41"/>
      <c r="K1025" s="41"/>
      <c r="L1025" s="43"/>
      <c r="M1025" s="43"/>
      <c r="N1025" s="43"/>
      <c r="O1025" s="43"/>
      <c r="P1025" s="44"/>
      <c r="Q1025" s="45"/>
    </row>
    <row r="1026" spans="3:17" x14ac:dyDescent="0.25">
      <c r="C1026" s="38"/>
      <c r="D1026" s="38"/>
      <c r="E1026" s="39"/>
      <c r="F1026" s="40"/>
      <c r="G1026" s="37"/>
      <c r="H1026" s="37"/>
      <c r="I1026" s="37"/>
      <c r="J1026" s="41"/>
      <c r="K1026" s="41"/>
      <c r="L1026" s="43"/>
      <c r="M1026" s="43"/>
      <c r="N1026" s="43"/>
      <c r="O1026" s="43"/>
      <c r="P1026" s="44"/>
      <c r="Q1026" s="45"/>
    </row>
    <row r="1027" spans="1:17" x14ac:dyDescent="0.25">
      <c r="A1027" t="s">
        <v>62</v>
      </c>
      <c r="B1027" t="s">
        <v>241</v>
      </c>
      <c r="C1027">
        <f>IFERROR(VLOOKUP(A1027,data!A:G,7,FALSE),"")</f>
      </c>
      <c r="D1027">
        <f>IFERROR(VLOOKUP(A1027,data!A:D,4,FALSE),"")</f>
      </c>
      <c r="E1027" t="s">
        <v>681</v>
      </c>
      <c r="G1027">
        <f>IFERROR(VLOOKUP(A1027,data!A:V,22,FALSE),"")</f>
      </c>
      <c r="H1027" t="s">
        <v>682</v>
      </c>
      <c r="I1027" t="s">
        <v>682</v>
      </c>
      <c r="J1027">
        <f>IFERROR(VLOOKUP(A1027,'dataนน'!A:F,6,FALSE),"")</f>
      </c>
      <c r="K1027">
        <f>IFERROR(VLOOKUP(A1027,'dataนน'!A:G,7,FALSE),"")</f>
      </c>
      <c r="L1027">
        <v>200</v>
      </c>
      <c r="M1027">
        <f>MROUND((L1027*10%)+L1027,5)</f>
      </c>
      <c r="N1027">
        <v>290</v>
      </c>
      <c r="O1027">
        <v>10</v>
      </c>
      <c r="Q1027">
        <f>IFERROR(VLOOKUP(A1027,'data-ค่าฝา'!B:G,6,FALSE),"")</f>
      </c>
    </row>
    <row r="1028" spans="1:17" x14ac:dyDescent="0.25">
      <c r="A1028" t="s">
        <v>683</v>
      </c>
      <c r="B1028" t="s">
        <v>256</v>
      </c>
      <c r="C1028">
        <f>IFERROR(VLOOKUP(A1028,data!A:G,7,FALSE),"")</f>
      </c>
      <c r="D1028">
        <f>IFERROR(VLOOKUP(A1028,data!A:D,4,FALSE),"")</f>
      </c>
      <c r="E1028" t="s">
        <v>684</v>
      </c>
      <c r="G1028">
        <f>IFERROR(VLOOKUP(A1028,data!A:V,22,FALSE),"")</f>
      </c>
      <c r="H1028" t="s">
        <v>682</v>
      </c>
      <c r="I1028" t="s">
        <v>682</v>
      </c>
      <c r="J1028">
        <f>IFERROR(VLOOKUP(A1028,'dataนน'!A:F,6,FALSE),"")</f>
      </c>
      <c r="K1028">
        <f>IFERROR(VLOOKUP(A1028,'dataนน'!A:G,7,FALSE),"")</f>
      </c>
      <c r="L1028">
        <v>120</v>
      </c>
      <c r="M1028">
        <f>MROUND((L1028*10%)+L1028,5)</f>
      </c>
      <c r="N1028">
        <v>180</v>
      </c>
      <c r="O1028">
        <v>10</v>
      </c>
      <c r="Q1028">
        <f>IFERROR(VLOOKUP(A1028,'data-ค่าฝา'!B:G,6,FALSE),"")</f>
      </c>
    </row>
    <row r="1029" spans="1:17" x14ac:dyDescent="0.25">
      <c r="A1029" t="s">
        <v>685</v>
      </c>
      <c r="B1029" t="s">
        <v>297</v>
      </c>
      <c r="C1029">
        <f>IFERROR(VLOOKUP(A1029,data!A:G,7,FALSE),"")</f>
      </c>
      <c r="D1029">
        <f>IFERROR(VLOOKUP(A1029,data!A:D,4,FALSE),"")</f>
      </c>
      <c r="E1029" t="s">
        <v>686</v>
      </c>
      <c r="G1029">
        <f>IFERROR(VLOOKUP(A1029,data!A:V,22,FALSE),"")</f>
      </c>
      <c r="H1029" t="s">
        <v>682</v>
      </c>
      <c r="I1029" t="s">
        <v>682</v>
      </c>
      <c r="J1029">
        <f>IFERROR(VLOOKUP(A1029,'dataนน'!A:F,6,FALSE),"")</f>
      </c>
      <c r="K1029">
        <f>IFERROR(VLOOKUP(A1029,'dataนน'!A:G,7,FALSE),"")</f>
      </c>
      <c r="L1029">
        <v>990</v>
      </c>
      <c r="M1029">
        <f>CEILING(L1029*1.1,5)</f>
      </c>
      <c r="N1029">
        <v>1450</v>
      </c>
      <c r="O1029">
        <v>10</v>
      </c>
      <c r="Q1029">
        <f>IFERROR(VLOOKUP(A1029,'data-ค่าฝา'!B:G,6,FALSE),"")</f>
      </c>
    </row>
    <row r="1030" spans="1:17" x14ac:dyDescent="0.25">
      <c r="A1030" t="s">
        <v>63</v>
      </c>
      <c r="B1030" t="s">
        <v>241</v>
      </c>
      <c r="C1030">
        <f>IFERROR(VLOOKUP(A1030,data!A:G,7,FALSE),"")</f>
      </c>
      <c r="D1030">
        <f>IFERROR(VLOOKUP(A1030,data!A:D,4,FALSE),"")</f>
      </c>
      <c r="E1030" t="s">
        <v>687</v>
      </c>
      <c r="G1030">
        <f>IFERROR(VLOOKUP(A1030,data!A:V,22,FALSE),"")</f>
      </c>
      <c r="H1030" t="s">
        <v>682</v>
      </c>
      <c r="I1030" t="s">
        <v>682</v>
      </c>
      <c r="J1030">
        <f>IFERROR(VLOOKUP(A1030,'dataนน'!A:F,6,FALSE),"")</f>
      </c>
      <c r="K1030">
        <f>IFERROR(VLOOKUP(A1030,'dataนน'!A:G,7,FALSE),"")</f>
      </c>
      <c r="L1030">
        <v>220</v>
      </c>
      <c r="M1030">
        <f>MROUND((L1030*10%)+L1030,5)</f>
      </c>
      <c r="N1030">
        <v>320</v>
      </c>
      <c r="O1030">
        <v>10</v>
      </c>
      <c r="Q1030">
        <f>IFERROR(VLOOKUP(A1030,'data-ค่าฝา'!B:G,6,FALSE),"")</f>
      </c>
    </row>
    <row r="1031" spans="1:17" x14ac:dyDescent="0.25">
      <c r="A1031" t="s">
        <v>688</v>
      </c>
      <c r="B1031" t="s">
        <v>256</v>
      </c>
      <c r="C1031">
        <f>IFERROR(VLOOKUP(A1031,data!A:G,7,FALSE),"")</f>
      </c>
      <c r="D1031">
        <f>IFERROR(VLOOKUP(A1031,data!A:D,4,FALSE),"")</f>
      </c>
      <c r="E1031" t="s">
        <v>689</v>
      </c>
      <c r="G1031">
        <f>IFERROR(VLOOKUP(A1031,data!A:V,22,FALSE),"")</f>
      </c>
      <c r="H1031" t="s">
        <v>682</v>
      </c>
      <c r="I1031" t="s">
        <v>682</v>
      </c>
      <c r="J1031">
        <f>IFERROR(VLOOKUP(A1031,'dataนน'!A:F,6,FALSE),"")</f>
      </c>
      <c r="K1031">
        <f>IFERROR(VLOOKUP(A1031,'dataนน'!A:G,7,FALSE),"")</f>
      </c>
      <c r="L1031">
        <v>240</v>
      </c>
      <c r="M1031">
        <f>MROUND((L1031*10%)+L1031,5)</f>
      </c>
      <c r="N1031">
        <v>350</v>
      </c>
      <c r="O1031">
        <v>10</v>
      </c>
      <c r="Q1031">
        <f>IFERROR(VLOOKUP(A1031,'data-ค่าฝา'!B:G,6,FALSE),"")</f>
      </c>
    </row>
  </sheetData>
  <mergeCells count="1">
    <mergeCell ref="L1:N1"/>
  </mergeCells>
  <conditionalFormatting sqref="Q3:Q1026">
    <cfRule type="notContainsBlanks" dxfId="1" priority="1" operator="notContainsBlanks">
      <formula>LEN(TRIM(Q3))&gt;0</formula>
    </cfRule>
  </conditionalFormatting>
  <conditionalFormatting sqref="F1:F1026">
    <cfRule type="notContainsBlanks" dxfId="2" priority="2" operator="notContainsBlanks">
      <formula>LEN(TRIM(F1))&gt;0</formula>
    </cfRule>
  </conditionalFormatting>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Y990"/>
  <sheetViews>
    <sheetView workbookViewId="0" zoomScale="100" zoomScaleNormal="100"/>
  </sheetViews>
  <sheetFormatPr defaultRowHeight="15.75" outlineLevelRow="0" outlineLevelCol="0" x14ac:dyDescent="0" defaultColWidth="12.63" customHeight="1"/>
  <cols>
    <col min="1" max="1" width="9.5" customWidth="1"/>
    <col min="2" max="2" width="15.88" customWidth="1"/>
    <col min="3" max="3" width="13.88" customWidth="1"/>
    <col min="4" max="11" width="8.63" customWidth="1"/>
  </cols>
  <sheetData>
    <row r="1" spans="1:25" x14ac:dyDescent="0.25">
      <c r="A1" s="75" t="s">
        <v>690</v>
      </c>
      <c r="B1" s="75" t="s">
        <v>691</v>
      </c>
      <c r="C1" s="76" t="s">
        <v>692</v>
      </c>
      <c r="D1" s="77" t="s">
        <v>693</v>
      </c>
      <c r="E1" s="13"/>
      <c r="F1" s="13"/>
      <c r="G1" s="13"/>
      <c r="H1" s="13"/>
      <c r="I1" s="13"/>
      <c r="J1" s="13"/>
      <c r="K1" s="14"/>
      <c r="L1" s="78"/>
      <c r="M1" s="78"/>
      <c r="N1" s="78"/>
      <c r="O1" s="78"/>
      <c r="P1" s="78"/>
      <c r="Q1" s="78"/>
      <c r="R1" s="78"/>
      <c r="S1" s="78"/>
      <c r="T1" s="78"/>
      <c r="U1" s="78"/>
      <c r="V1" s="78"/>
      <c r="W1" s="78"/>
      <c r="X1" s="78"/>
      <c r="Y1" s="78"/>
    </row>
    <row r="2" spans="1:25" x14ac:dyDescent="0.25">
      <c r="A2" s="21"/>
      <c r="B2" s="21"/>
      <c r="C2" s="79"/>
      <c r="D2" s="80" t="s">
        <v>694</v>
      </c>
      <c r="E2" s="81" t="s">
        <v>695</v>
      </c>
      <c r="F2" s="81" t="s">
        <v>696</v>
      </c>
      <c r="G2" s="82" t="s">
        <v>697</v>
      </c>
      <c r="H2" s="82" t="s">
        <v>698</v>
      </c>
      <c r="I2" s="82" t="s">
        <v>699</v>
      </c>
      <c r="J2" s="80" t="s">
        <v>700</v>
      </c>
      <c r="K2" s="80" t="s">
        <v>701</v>
      </c>
      <c r="L2" s="83"/>
      <c r="M2" s="83"/>
      <c r="N2" s="83"/>
      <c r="O2" s="83"/>
      <c r="P2" s="83"/>
      <c r="Q2" s="83"/>
      <c r="R2" s="83"/>
      <c r="S2" s="83"/>
      <c r="T2" s="83"/>
      <c r="U2" s="83"/>
      <c r="V2" s="83"/>
      <c r="W2" s="83"/>
      <c r="X2" s="83"/>
      <c r="Y2" s="83"/>
    </row>
    <row r="3" hidden="1" spans="1:25" x14ac:dyDescent="0.25">
      <c r="A3" s="84">
        <f t="array" ref="A3:A990">if(B3:B990&lt;&gt;"",ROW(B3:B990)-2,"")</f>
        <v>1</v>
      </c>
      <c r="B3" s="85" t="s">
        <v>97</v>
      </c>
      <c r="C3" s="86">
        <v>350</v>
      </c>
      <c r="D3" s="87" t="b">
        <v>0</v>
      </c>
      <c r="E3" s="88" t="b">
        <v>0</v>
      </c>
      <c r="F3" s="88" t="b">
        <v>0</v>
      </c>
      <c r="G3" s="88" t="b">
        <v>0</v>
      </c>
      <c r="H3" s="88" t="b">
        <v>0</v>
      </c>
      <c r="I3" s="89"/>
      <c r="J3" s="88" t="b">
        <v>0</v>
      </c>
      <c r="K3" s="90" t="b">
        <v>0</v>
      </c>
      <c r="L3" s="78"/>
      <c r="M3" s="78"/>
      <c r="N3" s="78"/>
      <c r="O3" s="78"/>
      <c r="P3" s="78"/>
      <c r="Q3" s="78"/>
      <c r="R3" s="78"/>
      <c r="S3" s="78"/>
      <c r="T3" s="78"/>
      <c r="U3" s="78"/>
      <c r="V3" s="78"/>
      <c r="W3" s="78"/>
      <c r="X3" s="78"/>
      <c r="Y3" s="78"/>
    </row>
    <row r="4" hidden="1" spans="1:25" x14ac:dyDescent="0.25">
      <c r="A4" s="84">
        <v>2</v>
      </c>
      <c r="B4" s="85" t="s">
        <v>103</v>
      </c>
      <c r="C4" s="86">
        <v>350</v>
      </c>
      <c r="D4" s="87" t="b">
        <v>0</v>
      </c>
      <c r="E4" s="88" t="b">
        <v>0</v>
      </c>
      <c r="F4" s="88" t="b">
        <v>0</v>
      </c>
      <c r="G4" s="88" t="b">
        <v>0</v>
      </c>
      <c r="H4" s="88" t="b">
        <v>0</v>
      </c>
      <c r="I4" s="89"/>
      <c r="J4" s="88" t="b">
        <v>0</v>
      </c>
      <c r="K4" s="90" t="b">
        <v>0</v>
      </c>
      <c r="L4" s="78"/>
      <c r="M4" s="78"/>
      <c r="N4" s="78"/>
      <c r="O4" s="78"/>
      <c r="P4" s="78"/>
      <c r="Q4" s="78"/>
      <c r="R4" s="78"/>
      <c r="S4" s="78"/>
      <c r="T4" s="78"/>
      <c r="U4" s="78"/>
      <c r="V4" s="78"/>
      <c r="W4" s="78"/>
      <c r="X4" s="78"/>
      <c r="Y4" s="78"/>
    </row>
    <row r="5" hidden="1" spans="1:25" x14ac:dyDescent="0.25">
      <c r="A5" s="84">
        <v>3</v>
      </c>
      <c r="B5" s="85" t="s">
        <v>106</v>
      </c>
      <c r="C5" s="86">
        <v>350</v>
      </c>
      <c r="D5" s="87" t="b">
        <v>0</v>
      </c>
      <c r="E5" s="88" t="b">
        <v>0</v>
      </c>
      <c r="F5" s="88" t="b">
        <v>0</v>
      </c>
      <c r="G5" s="88" t="b">
        <v>0</v>
      </c>
      <c r="H5" s="88" t="b">
        <v>0</v>
      </c>
      <c r="I5" s="89"/>
      <c r="J5" s="88" t="b">
        <v>0</v>
      </c>
      <c r="K5" s="90" t="b">
        <v>0</v>
      </c>
      <c r="L5" s="78"/>
      <c r="M5" s="78"/>
      <c r="N5" s="78"/>
      <c r="O5" s="78"/>
      <c r="P5" s="78"/>
      <c r="Q5" s="78"/>
      <c r="R5" s="78"/>
      <c r="S5" s="78"/>
      <c r="T5" s="78"/>
      <c r="U5" s="78"/>
      <c r="V5" s="78"/>
      <c r="W5" s="78"/>
      <c r="X5" s="78"/>
      <c r="Y5" s="78"/>
    </row>
    <row r="6" hidden="1" spans="1:25" x14ac:dyDescent="0.25">
      <c r="A6" s="84">
        <v>4</v>
      </c>
      <c r="B6" s="85" t="s">
        <v>110</v>
      </c>
      <c r="C6" s="86">
        <v>385</v>
      </c>
      <c r="D6" s="87" t="b">
        <v>0</v>
      </c>
      <c r="E6" s="88" t="b">
        <v>0</v>
      </c>
      <c r="F6" s="88" t="b">
        <v>0</v>
      </c>
      <c r="G6" s="88" t="b">
        <v>0</v>
      </c>
      <c r="H6" s="88" t="b">
        <v>0</v>
      </c>
      <c r="I6" s="89"/>
      <c r="J6" s="88" t="b">
        <v>0</v>
      </c>
      <c r="K6" s="90" t="b">
        <v>0</v>
      </c>
      <c r="L6" s="78"/>
      <c r="M6" s="78"/>
      <c r="N6" s="78"/>
      <c r="O6" s="78"/>
      <c r="P6" s="78"/>
      <c r="Q6" s="78"/>
      <c r="R6" s="78"/>
      <c r="S6" s="78"/>
      <c r="T6" s="78"/>
      <c r="U6" s="78"/>
      <c r="V6" s="78"/>
      <c r="W6" s="78"/>
      <c r="X6" s="78"/>
      <c r="Y6" s="78"/>
    </row>
    <row r="7" hidden="1" spans="1:25" x14ac:dyDescent="0.25">
      <c r="A7" s="84">
        <v>5</v>
      </c>
      <c r="B7" s="85" t="s">
        <v>112</v>
      </c>
      <c r="C7" s="86">
        <v>385</v>
      </c>
      <c r="D7" s="87" t="b">
        <v>0</v>
      </c>
      <c r="E7" s="88" t="b">
        <v>0</v>
      </c>
      <c r="F7" s="88" t="b">
        <v>0</v>
      </c>
      <c r="G7" s="88" t="b">
        <v>0</v>
      </c>
      <c r="H7" s="88" t="b">
        <v>0</v>
      </c>
      <c r="I7" s="89"/>
      <c r="J7" s="88" t="b">
        <v>0</v>
      </c>
      <c r="K7" s="90" t="b">
        <v>0</v>
      </c>
      <c r="L7" s="78"/>
      <c r="M7" s="78"/>
      <c r="N7" s="78"/>
      <c r="O7" s="78"/>
      <c r="P7" s="78"/>
      <c r="Q7" s="78"/>
      <c r="R7" s="78"/>
      <c r="S7" s="78"/>
      <c r="T7" s="78"/>
      <c r="U7" s="78"/>
      <c r="V7" s="78"/>
      <c r="W7" s="78"/>
      <c r="X7" s="78"/>
      <c r="Y7" s="78"/>
    </row>
    <row r="8" hidden="1" spans="1:25" x14ac:dyDescent="0.25">
      <c r="A8" s="84">
        <v>6</v>
      </c>
      <c r="B8" s="85" t="s">
        <v>114</v>
      </c>
      <c r="C8" s="86">
        <v>385</v>
      </c>
      <c r="D8" s="87" t="b">
        <v>0</v>
      </c>
      <c r="E8" s="88" t="b">
        <v>0</v>
      </c>
      <c r="F8" s="88" t="b">
        <v>0</v>
      </c>
      <c r="G8" s="88" t="b">
        <v>0</v>
      </c>
      <c r="H8" s="88" t="b">
        <v>0</v>
      </c>
      <c r="I8" s="89"/>
      <c r="J8" s="88" t="b">
        <v>0</v>
      </c>
      <c r="K8" s="90" t="b">
        <v>0</v>
      </c>
      <c r="L8" s="78"/>
      <c r="M8" s="78"/>
      <c r="N8" s="78"/>
      <c r="O8" s="78"/>
      <c r="P8" s="78"/>
      <c r="Q8" s="78"/>
      <c r="R8" s="78"/>
      <c r="S8" s="78"/>
      <c r="T8" s="78"/>
      <c r="U8" s="78"/>
      <c r="V8" s="78"/>
      <c r="W8" s="78"/>
      <c r="X8" s="78"/>
      <c r="Y8" s="78"/>
    </row>
    <row r="9" hidden="1" spans="1:25" x14ac:dyDescent="0.25">
      <c r="A9" s="84">
        <v>7</v>
      </c>
      <c r="B9" s="85" t="s">
        <v>702</v>
      </c>
      <c r="C9" s="86">
        <v>300</v>
      </c>
      <c r="D9" s="87" t="b">
        <v>0</v>
      </c>
      <c r="E9" s="88" t="b">
        <v>0</v>
      </c>
      <c r="F9" s="88" t="b">
        <v>0</v>
      </c>
      <c r="G9" s="88" t="b">
        <v>0</v>
      </c>
      <c r="H9" s="88" t="b">
        <v>0</v>
      </c>
      <c r="I9" s="89"/>
      <c r="J9" s="88" t="b">
        <v>0</v>
      </c>
      <c r="K9" s="90" t="b">
        <v>0</v>
      </c>
      <c r="L9" s="78"/>
      <c r="M9" s="78"/>
      <c r="N9" s="78"/>
      <c r="O9" s="78"/>
      <c r="P9" s="78"/>
      <c r="Q9" s="78"/>
      <c r="R9" s="78"/>
      <c r="S9" s="78"/>
      <c r="T9" s="78"/>
      <c r="U9" s="78"/>
      <c r="V9" s="78"/>
      <c r="W9" s="78"/>
      <c r="X9" s="78"/>
      <c r="Y9" s="78"/>
    </row>
    <row r="10" hidden="1" spans="1:25" x14ac:dyDescent="0.25">
      <c r="A10" s="84">
        <v>8</v>
      </c>
      <c r="B10" s="85" t="s">
        <v>372</v>
      </c>
      <c r="C10" s="86">
        <v>220</v>
      </c>
      <c r="D10" s="91" t="b">
        <v>0</v>
      </c>
      <c r="E10" s="88" t="b">
        <v>0</v>
      </c>
      <c r="F10" s="88" t="b">
        <v>0</v>
      </c>
      <c r="G10" s="88" t="b">
        <v>0</v>
      </c>
      <c r="H10" s="88" t="b">
        <v>0</v>
      </c>
      <c r="I10" s="89"/>
      <c r="J10" s="88" t="b">
        <v>0</v>
      </c>
      <c r="K10" s="90" t="b">
        <v>0</v>
      </c>
      <c r="L10" s="78"/>
      <c r="M10" s="78"/>
      <c r="N10" s="78"/>
      <c r="O10" s="78"/>
      <c r="P10" s="78"/>
      <c r="Q10" s="78"/>
      <c r="R10" s="78"/>
      <c r="S10" s="78"/>
      <c r="T10" s="78"/>
      <c r="U10" s="78"/>
      <c r="V10" s="78"/>
      <c r="W10" s="78"/>
      <c r="X10" s="78"/>
      <c r="Y10" s="78"/>
    </row>
    <row r="11" hidden="1" spans="1:25" x14ac:dyDescent="0.25">
      <c r="A11" s="84">
        <v>9</v>
      </c>
      <c r="B11" s="85" t="s">
        <v>458</v>
      </c>
      <c r="C11" s="86">
        <v>950</v>
      </c>
      <c r="D11" s="87" t="b">
        <v>0</v>
      </c>
      <c r="E11" s="88" t="b">
        <v>0</v>
      </c>
      <c r="F11" s="88" t="b">
        <v>0</v>
      </c>
      <c r="G11" s="88" t="b">
        <v>0</v>
      </c>
      <c r="H11" s="88" t="b">
        <v>0</v>
      </c>
      <c r="I11" s="89"/>
      <c r="J11" s="88" t="b">
        <v>0</v>
      </c>
      <c r="K11" s="90" t="b">
        <v>0</v>
      </c>
      <c r="L11" s="78"/>
      <c r="M11" s="78"/>
      <c r="N11" s="78"/>
      <c r="O11" s="78"/>
      <c r="P11" s="78"/>
      <c r="Q11" s="78"/>
      <c r="R11" s="78"/>
      <c r="S11" s="78"/>
      <c r="T11" s="78"/>
      <c r="U11" s="78"/>
      <c r="V11" s="78"/>
      <c r="W11" s="78"/>
      <c r="X11" s="78"/>
      <c r="Y11" s="78"/>
    </row>
    <row r="12" hidden="1" spans="1:25" x14ac:dyDescent="0.25">
      <c r="A12" s="84">
        <v>10</v>
      </c>
      <c r="B12" s="85" t="s">
        <v>461</v>
      </c>
      <c r="C12" s="86">
        <v>1950</v>
      </c>
      <c r="D12" s="87" t="b">
        <v>0</v>
      </c>
      <c r="E12" s="88" t="b">
        <v>0</v>
      </c>
      <c r="F12" s="88" t="b">
        <v>0</v>
      </c>
      <c r="G12" s="88" t="b">
        <v>0</v>
      </c>
      <c r="H12" s="88" t="b">
        <v>0</v>
      </c>
      <c r="I12" s="89"/>
      <c r="J12" s="88" t="b">
        <v>0</v>
      </c>
      <c r="K12" s="90" t="b">
        <v>0</v>
      </c>
      <c r="L12" s="78"/>
      <c r="M12" s="78"/>
      <c r="N12" s="78"/>
      <c r="O12" s="78"/>
      <c r="P12" s="78"/>
      <c r="Q12" s="78"/>
      <c r="R12" s="78"/>
      <c r="S12" s="78"/>
      <c r="T12" s="78"/>
      <c r="U12" s="78"/>
      <c r="V12" s="78"/>
      <c r="W12" s="78"/>
      <c r="X12" s="78"/>
      <c r="Y12" s="78"/>
    </row>
    <row r="13" hidden="1" spans="1:25" x14ac:dyDescent="0.25">
      <c r="A13" s="84">
        <v>11</v>
      </c>
      <c r="B13" s="85" t="s">
        <v>643</v>
      </c>
      <c r="C13" s="86">
        <v>325</v>
      </c>
      <c r="D13" s="87" t="b">
        <v>0</v>
      </c>
      <c r="E13" s="88" t="b">
        <v>0</v>
      </c>
      <c r="F13" s="88" t="b">
        <v>0</v>
      </c>
      <c r="G13" s="88" t="b">
        <v>0</v>
      </c>
      <c r="H13" s="88" t="b">
        <v>0</v>
      </c>
      <c r="I13" s="89"/>
      <c r="J13" s="88" t="b">
        <v>0</v>
      </c>
      <c r="K13" s="90" t="b">
        <v>0</v>
      </c>
      <c r="L13" s="78"/>
      <c r="M13" s="78"/>
      <c r="N13" s="78"/>
      <c r="O13" s="78"/>
      <c r="P13" s="78"/>
      <c r="Q13" s="78"/>
      <c r="R13" s="78"/>
      <c r="S13" s="78"/>
      <c r="T13" s="78"/>
      <c r="U13" s="78"/>
      <c r="V13" s="78"/>
      <c r="W13" s="78"/>
      <c r="X13" s="78"/>
      <c r="Y13" s="78"/>
    </row>
    <row r="14" hidden="1" spans="1:25" x14ac:dyDescent="0.25">
      <c r="A14" s="84">
        <v>12</v>
      </c>
      <c r="B14" s="85" t="s">
        <v>646</v>
      </c>
      <c r="C14" s="86">
        <v>635</v>
      </c>
      <c r="D14" s="87" t="b">
        <v>0</v>
      </c>
      <c r="E14" s="88" t="b">
        <v>0</v>
      </c>
      <c r="F14" s="88" t="b">
        <v>0</v>
      </c>
      <c r="G14" s="88" t="b">
        <v>0</v>
      </c>
      <c r="H14" s="88" t="b">
        <v>0</v>
      </c>
      <c r="I14" s="89"/>
      <c r="J14" s="88" t="b">
        <v>0</v>
      </c>
      <c r="K14" s="90" t="b">
        <v>0</v>
      </c>
      <c r="L14" s="78"/>
      <c r="M14" s="78"/>
      <c r="N14" s="78"/>
      <c r="O14" s="78"/>
      <c r="P14" s="78"/>
      <c r="Q14" s="78"/>
      <c r="R14" s="78"/>
      <c r="S14" s="78"/>
      <c r="T14" s="78"/>
      <c r="U14" s="78"/>
      <c r="V14" s="78"/>
      <c r="W14" s="78"/>
      <c r="X14" s="78"/>
      <c r="Y14" s="78"/>
    </row>
    <row r="15" hidden="1" spans="1:25" x14ac:dyDescent="0.25">
      <c r="A15" s="84">
        <v>13</v>
      </c>
      <c r="B15" s="85" t="s">
        <v>416</v>
      </c>
      <c r="C15" s="86">
        <v>200</v>
      </c>
      <c r="D15" s="87" t="b">
        <v>0</v>
      </c>
      <c r="E15" s="88" t="b">
        <v>0</v>
      </c>
      <c r="F15" s="88" t="b">
        <v>0</v>
      </c>
      <c r="G15" s="88" t="b">
        <v>0</v>
      </c>
      <c r="H15" s="88" t="b">
        <v>0</v>
      </c>
      <c r="I15" s="88" t="b">
        <v>0</v>
      </c>
      <c r="J15" s="88" t="b">
        <v>0</v>
      </c>
      <c r="K15" s="90" t="b">
        <v>0</v>
      </c>
      <c r="L15" s="78"/>
      <c r="M15" s="78"/>
      <c r="N15" s="78"/>
      <c r="O15" s="78"/>
      <c r="P15" s="78"/>
      <c r="Q15" s="78"/>
      <c r="R15" s="78"/>
      <c r="S15" s="78"/>
      <c r="T15" s="78"/>
      <c r="U15" s="78"/>
      <c r="V15" s="78"/>
      <c r="W15" s="78"/>
      <c r="X15" s="78"/>
      <c r="Y15" s="78"/>
    </row>
    <row r="16" hidden="1" spans="1:25" x14ac:dyDescent="0.25">
      <c r="A16" s="84">
        <v>14</v>
      </c>
      <c r="B16" s="85" t="s">
        <v>418</v>
      </c>
      <c r="C16" s="86">
        <v>200</v>
      </c>
      <c r="D16" s="87" t="b">
        <v>0</v>
      </c>
      <c r="E16" s="88" t="b">
        <v>0</v>
      </c>
      <c r="F16" s="88" t="b">
        <v>0</v>
      </c>
      <c r="G16" s="88" t="b">
        <v>0</v>
      </c>
      <c r="H16" s="88" t="b">
        <v>0</v>
      </c>
      <c r="I16" s="88" t="b">
        <v>0</v>
      </c>
      <c r="J16" s="88" t="b">
        <v>0</v>
      </c>
      <c r="K16" s="90" t="b">
        <v>0</v>
      </c>
      <c r="L16" s="78"/>
      <c r="M16" s="78"/>
      <c r="N16" s="78"/>
      <c r="O16" s="78"/>
      <c r="P16" s="78"/>
      <c r="Q16" s="78"/>
      <c r="R16" s="78"/>
      <c r="S16" s="78"/>
      <c r="T16" s="78"/>
      <c r="U16" s="78"/>
      <c r="V16" s="78"/>
      <c r="W16" s="78"/>
      <c r="X16" s="78"/>
      <c r="Y16" s="78"/>
    </row>
    <row r="17" hidden="1" spans="1:25" x14ac:dyDescent="0.25">
      <c r="A17" s="84">
        <v>15</v>
      </c>
      <c r="B17" s="85" t="s">
        <v>598</v>
      </c>
      <c r="C17" s="86">
        <v>40</v>
      </c>
      <c r="D17" s="87" t="b">
        <v>0</v>
      </c>
      <c r="E17" s="88" t="b">
        <v>0</v>
      </c>
      <c r="F17" s="89"/>
      <c r="G17" s="88" t="b">
        <v>0</v>
      </c>
      <c r="H17" s="88" t="b">
        <v>0</v>
      </c>
      <c r="I17" s="88" t="b">
        <v>0</v>
      </c>
      <c r="J17" s="88" t="b">
        <v>0</v>
      </c>
      <c r="K17" s="92"/>
      <c r="L17" s="78"/>
      <c r="M17" s="78"/>
      <c r="N17" s="78"/>
      <c r="O17" s="78"/>
      <c r="P17" s="78"/>
      <c r="Q17" s="78"/>
      <c r="R17" s="78"/>
      <c r="S17" s="78"/>
      <c r="T17" s="78"/>
      <c r="U17" s="78"/>
      <c r="V17" s="78"/>
      <c r="W17" s="78"/>
      <c r="X17" s="78"/>
      <c r="Y17" s="78"/>
    </row>
    <row r="18" hidden="1" spans="1:25" x14ac:dyDescent="0.25">
      <c r="A18" s="84">
        <v>16</v>
      </c>
      <c r="B18" s="85" t="s">
        <v>599</v>
      </c>
      <c r="C18" s="86">
        <v>65</v>
      </c>
      <c r="D18" s="87" t="b">
        <v>0</v>
      </c>
      <c r="E18" s="88" t="b">
        <v>0</v>
      </c>
      <c r="F18" s="89"/>
      <c r="G18" s="88" t="b">
        <v>0</v>
      </c>
      <c r="H18" s="88" t="b">
        <v>0</v>
      </c>
      <c r="I18" s="88" t="b">
        <v>0</v>
      </c>
      <c r="J18" s="88" t="b">
        <v>0</v>
      </c>
      <c r="K18" s="92"/>
      <c r="L18" s="78"/>
      <c r="M18" s="78"/>
      <c r="N18" s="78"/>
      <c r="O18" s="78"/>
      <c r="P18" s="78"/>
      <c r="Q18" s="78"/>
      <c r="R18" s="78"/>
      <c r="S18" s="78"/>
      <c r="T18" s="78"/>
      <c r="U18" s="78"/>
      <c r="V18" s="78"/>
      <c r="W18" s="78"/>
      <c r="X18" s="78"/>
      <c r="Y18" s="78"/>
    </row>
    <row r="19" hidden="1" spans="1:25" x14ac:dyDescent="0.25">
      <c r="A19" s="84">
        <v>17</v>
      </c>
      <c r="B19" s="85" t="s">
        <v>575</v>
      </c>
      <c r="C19" s="86">
        <v>200</v>
      </c>
      <c r="D19" s="87" t="b">
        <v>0</v>
      </c>
      <c r="E19" s="88" t="b">
        <v>0</v>
      </c>
      <c r="F19" s="89"/>
      <c r="G19" s="88" t="b">
        <v>0</v>
      </c>
      <c r="H19" s="88" t="b">
        <v>0</v>
      </c>
      <c r="I19" s="88" t="b">
        <v>0</v>
      </c>
      <c r="J19" s="88" t="b">
        <v>0</v>
      </c>
      <c r="K19" s="92"/>
      <c r="L19" s="78"/>
      <c r="M19" s="78"/>
      <c r="N19" s="78"/>
      <c r="O19" s="78"/>
      <c r="P19" s="78"/>
      <c r="Q19" s="78"/>
      <c r="R19" s="78"/>
      <c r="S19" s="78"/>
      <c r="T19" s="78"/>
      <c r="U19" s="78"/>
      <c r="V19" s="78"/>
      <c r="W19" s="78"/>
      <c r="X19" s="78"/>
      <c r="Y19" s="78"/>
    </row>
    <row r="20" hidden="1" spans="1:25" x14ac:dyDescent="0.25">
      <c r="A20" s="84">
        <v>18</v>
      </c>
      <c r="B20" s="85" t="s">
        <v>578</v>
      </c>
      <c r="C20" s="86">
        <v>215</v>
      </c>
      <c r="D20" s="87" t="b">
        <v>0</v>
      </c>
      <c r="E20" s="88" t="b">
        <v>0</v>
      </c>
      <c r="F20" s="89"/>
      <c r="G20" s="88" t="b">
        <v>0</v>
      </c>
      <c r="H20" s="88" t="b">
        <v>0</v>
      </c>
      <c r="I20" s="88" t="b">
        <v>0</v>
      </c>
      <c r="J20" s="88" t="b">
        <v>0</v>
      </c>
      <c r="K20" s="92"/>
      <c r="L20" s="78"/>
      <c r="M20" s="78"/>
      <c r="N20" s="78"/>
      <c r="O20" s="78"/>
      <c r="P20" s="78"/>
      <c r="Q20" s="78"/>
      <c r="R20" s="78"/>
      <c r="S20" s="78"/>
      <c r="T20" s="78"/>
      <c r="U20" s="78"/>
      <c r="V20" s="78"/>
      <c r="W20" s="78"/>
      <c r="X20" s="78"/>
      <c r="Y20" s="78"/>
    </row>
    <row r="21" hidden="1" spans="1:25" x14ac:dyDescent="0.25">
      <c r="A21" s="84">
        <v>19</v>
      </c>
      <c r="B21" s="85" t="s">
        <v>581</v>
      </c>
      <c r="C21" s="86">
        <v>230</v>
      </c>
      <c r="D21" s="87" t="b">
        <v>0</v>
      </c>
      <c r="E21" s="88" t="b">
        <v>0</v>
      </c>
      <c r="F21" s="89"/>
      <c r="G21" s="88" t="b">
        <v>0</v>
      </c>
      <c r="H21" s="88" t="b">
        <v>0</v>
      </c>
      <c r="I21" s="88" t="b">
        <v>0</v>
      </c>
      <c r="J21" s="88" t="b">
        <v>0</v>
      </c>
      <c r="K21" s="92"/>
      <c r="L21" s="78"/>
      <c r="M21" s="78"/>
      <c r="N21" s="78"/>
      <c r="O21" s="78"/>
      <c r="P21" s="78"/>
      <c r="Q21" s="78"/>
      <c r="R21" s="78"/>
      <c r="S21" s="78"/>
      <c r="T21" s="78"/>
      <c r="U21" s="78"/>
      <c r="V21" s="78"/>
      <c r="W21" s="78"/>
      <c r="X21" s="78"/>
      <c r="Y21" s="78"/>
    </row>
    <row r="22" hidden="1" spans="1:25" x14ac:dyDescent="0.25">
      <c r="A22" s="84">
        <v>20</v>
      </c>
      <c r="B22" s="85" t="s">
        <v>584</v>
      </c>
      <c r="C22" s="86">
        <v>240</v>
      </c>
      <c r="D22" s="87" t="b">
        <v>0</v>
      </c>
      <c r="E22" s="88" t="b">
        <v>0</v>
      </c>
      <c r="F22" s="89"/>
      <c r="G22" s="88" t="b">
        <v>0</v>
      </c>
      <c r="H22" s="88" t="b">
        <v>0</v>
      </c>
      <c r="I22" s="88" t="b">
        <v>0</v>
      </c>
      <c r="J22" s="88" t="b">
        <v>0</v>
      </c>
      <c r="K22" s="92"/>
      <c r="L22" s="78"/>
      <c r="M22" s="78"/>
      <c r="N22" s="78"/>
      <c r="O22" s="78"/>
      <c r="P22" s="78"/>
      <c r="Q22" s="78"/>
      <c r="R22" s="78"/>
      <c r="S22" s="78"/>
      <c r="T22" s="78"/>
      <c r="U22" s="78"/>
      <c r="V22" s="78"/>
      <c r="W22" s="78"/>
      <c r="X22" s="78"/>
      <c r="Y22" s="78"/>
    </row>
    <row r="23" hidden="1" spans="1:25" x14ac:dyDescent="0.25">
      <c r="A23" s="84">
        <v>21</v>
      </c>
      <c r="B23" s="85" t="s">
        <v>477</v>
      </c>
      <c r="C23" s="86">
        <v>100</v>
      </c>
      <c r="D23" s="87" t="b">
        <v>0</v>
      </c>
      <c r="E23" s="88" t="b">
        <v>0</v>
      </c>
      <c r="F23" s="89"/>
      <c r="G23" s="88" t="b">
        <v>0</v>
      </c>
      <c r="H23" s="88" t="b">
        <v>0</v>
      </c>
      <c r="I23" s="88" t="b">
        <v>0</v>
      </c>
      <c r="J23" s="88" t="b">
        <v>0</v>
      </c>
      <c r="K23" s="92"/>
      <c r="L23" s="78"/>
      <c r="M23" s="78"/>
      <c r="N23" s="78"/>
      <c r="O23" s="78"/>
      <c r="P23" s="78"/>
      <c r="Q23" s="78"/>
      <c r="R23" s="78"/>
      <c r="S23" s="78"/>
      <c r="T23" s="78"/>
      <c r="U23" s="78"/>
      <c r="V23" s="78"/>
      <c r="W23" s="78"/>
      <c r="X23" s="78"/>
      <c r="Y23" s="78"/>
    </row>
    <row r="24" hidden="1" spans="1:25" x14ac:dyDescent="0.25">
      <c r="A24" s="84">
        <v>22</v>
      </c>
      <c r="B24" s="85" t="s">
        <v>475</v>
      </c>
      <c r="C24" s="86">
        <v>120</v>
      </c>
      <c r="D24" s="87" t="b">
        <v>0</v>
      </c>
      <c r="E24" s="88" t="b">
        <v>0</v>
      </c>
      <c r="F24" s="89"/>
      <c r="G24" s="88" t="b">
        <v>0</v>
      </c>
      <c r="H24" s="88" t="b">
        <v>0</v>
      </c>
      <c r="I24" s="88" t="b">
        <v>0</v>
      </c>
      <c r="J24" s="88" t="b">
        <v>0</v>
      </c>
      <c r="K24" s="92"/>
      <c r="L24" s="78"/>
      <c r="M24" s="78"/>
      <c r="N24" s="78"/>
      <c r="O24" s="78"/>
      <c r="P24" s="78"/>
      <c r="Q24" s="78"/>
      <c r="R24" s="78"/>
      <c r="S24" s="78"/>
      <c r="T24" s="78"/>
      <c r="U24" s="78"/>
      <c r="V24" s="78"/>
      <c r="W24" s="78"/>
      <c r="X24" s="78"/>
      <c r="Y24" s="78"/>
    </row>
    <row r="25" hidden="1" spans="1:25" x14ac:dyDescent="0.25">
      <c r="A25" s="84">
        <v>23</v>
      </c>
      <c r="B25" s="85" t="s">
        <v>321</v>
      </c>
      <c r="C25" s="93">
        <v>125</v>
      </c>
      <c r="D25" s="87" t="b">
        <v>0</v>
      </c>
      <c r="E25" s="88" t="b">
        <v>0</v>
      </c>
      <c r="F25" s="89"/>
      <c r="G25" s="88" t="b">
        <v>0</v>
      </c>
      <c r="H25" s="88" t="b">
        <v>0</v>
      </c>
      <c r="I25" s="89"/>
      <c r="J25" s="88" t="b">
        <v>0</v>
      </c>
      <c r="K25" s="92"/>
      <c r="L25" s="78"/>
      <c r="M25" s="78"/>
      <c r="N25" s="78"/>
      <c r="O25" s="78"/>
      <c r="P25" s="78"/>
      <c r="Q25" s="78"/>
      <c r="R25" s="78"/>
      <c r="S25" s="78"/>
      <c r="T25" s="78"/>
      <c r="U25" s="78"/>
      <c r="V25" s="78"/>
      <c r="W25" s="78"/>
      <c r="X25" s="78"/>
      <c r="Y25" s="78"/>
    </row>
    <row r="26" spans="1:25" x14ac:dyDescent="0.25">
      <c r="A26" s="94">
        <v>24</v>
      </c>
      <c r="B26" s="95" t="s">
        <v>651</v>
      </c>
      <c r="C26" s="96">
        <v>150</v>
      </c>
      <c r="D26" s="97" t="b">
        <v>0</v>
      </c>
      <c r="E26" s="98" t="b">
        <v>0</v>
      </c>
      <c r="F26" s="99" t="b">
        <v>0</v>
      </c>
      <c r="G26" s="98" t="b">
        <v>0</v>
      </c>
      <c r="H26" s="100"/>
      <c r="I26" s="100"/>
      <c r="J26" s="98" t="b">
        <v>0</v>
      </c>
      <c r="K26" s="101" t="b">
        <v>0</v>
      </c>
      <c r="L26" s="78"/>
      <c r="M26" s="78"/>
      <c r="N26" s="78"/>
      <c r="O26" s="78"/>
      <c r="P26" s="78"/>
      <c r="Q26" s="78"/>
      <c r="R26" s="78"/>
      <c r="S26" s="78"/>
      <c r="T26" s="78"/>
      <c r="U26" s="78"/>
      <c r="V26" s="78"/>
      <c r="W26" s="78"/>
      <c r="X26" s="78"/>
      <c r="Y26" s="78"/>
    </row>
    <row r="27" spans="1:25" x14ac:dyDescent="0.25">
      <c r="A27" s="94">
        <v>25</v>
      </c>
      <c r="B27" s="95" t="s">
        <v>653</v>
      </c>
      <c r="C27" s="96">
        <v>150</v>
      </c>
      <c r="D27" s="102" t="b">
        <v>0</v>
      </c>
      <c r="E27" s="103" t="b">
        <v>0</v>
      </c>
      <c r="F27" s="103" t="b">
        <v>0</v>
      </c>
      <c r="G27" s="103" t="b">
        <v>0</v>
      </c>
      <c r="H27" s="104"/>
      <c r="I27" s="104"/>
      <c r="J27" s="103" t="b">
        <v>0</v>
      </c>
      <c r="K27" s="105" t="b">
        <v>0</v>
      </c>
      <c r="L27" s="78"/>
      <c r="M27" s="78"/>
      <c r="N27" s="78"/>
      <c r="O27" s="78"/>
      <c r="P27" s="78"/>
      <c r="Q27" s="78"/>
      <c r="R27" s="78"/>
      <c r="S27" s="78"/>
      <c r="T27" s="78"/>
      <c r="U27" s="78"/>
      <c r="V27" s="78"/>
      <c r="W27" s="78"/>
      <c r="X27" s="78"/>
      <c r="Y27" s="78"/>
    </row>
    <row r="28" spans="1:25" x14ac:dyDescent="0.25">
      <c r="A28" s="94">
        <v>26</v>
      </c>
      <c r="B28" s="95" t="s">
        <v>655</v>
      </c>
      <c r="C28" s="96">
        <v>150</v>
      </c>
      <c r="D28" s="102" t="b">
        <v>0</v>
      </c>
      <c r="E28" s="103" t="b">
        <v>0</v>
      </c>
      <c r="F28" s="103" t="b">
        <v>0</v>
      </c>
      <c r="G28" s="103" t="b">
        <v>0</v>
      </c>
      <c r="H28" s="104"/>
      <c r="I28" s="104"/>
      <c r="J28" s="103" t="b">
        <v>0</v>
      </c>
      <c r="K28" s="105" t="b">
        <v>0</v>
      </c>
      <c r="L28" s="78"/>
      <c r="M28" s="78"/>
      <c r="N28" s="78"/>
      <c r="O28" s="78"/>
      <c r="P28" s="78"/>
      <c r="Q28" s="78"/>
      <c r="R28" s="78"/>
      <c r="S28" s="78"/>
      <c r="T28" s="78"/>
      <c r="U28" s="78"/>
      <c r="V28" s="78"/>
      <c r="W28" s="78"/>
      <c r="X28" s="78"/>
      <c r="Y28" s="78"/>
    </row>
    <row r="29" spans="1:25" x14ac:dyDescent="0.25">
      <c r="A29" s="94">
        <v>27</v>
      </c>
      <c r="B29" s="95" t="s">
        <v>658</v>
      </c>
      <c r="C29" s="96">
        <v>150</v>
      </c>
      <c r="D29" s="102" t="b">
        <v>0</v>
      </c>
      <c r="E29" s="103" t="b">
        <v>0</v>
      </c>
      <c r="F29" s="103" t="b">
        <v>0</v>
      </c>
      <c r="G29" s="103" t="b">
        <v>0</v>
      </c>
      <c r="H29" s="104"/>
      <c r="I29" s="104"/>
      <c r="J29" s="103" t="b">
        <v>0</v>
      </c>
      <c r="K29" s="105" t="b">
        <v>0</v>
      </c>
      <c r="L29" s="78"/>
      <c r="M29" s="78"/>
      <c r="N29" s="78"/>
      <c r="O29" s="78"/>
      <c r="P29" s="78"/>
      <c r="Q29" s="78"/>
      <c r="R29" s="78"/>
      <c r="S29" s="78"/>
      <c r="T29" s="78"/>
      <c r="U29" s="78"/>
      <c r="V29" s="78"/>
      <c r="W29" s="78"/>
      <c r="X29" s="78"/>
      <c r="Y29" s="78"/>
    </row>
    <row r="30" spans="1:25" x14ac:dyDescent="0.25">
      <c r="A30" s="94">
        <v>28</v>
      </c>
      <c r="B30" s="95" t="s">
        <v>660</v>
      </c>
      <c r="C30" s="96">
        <v>150</v>
      </c>
      <c r="D30" s="102" t="b">
        <v>0</v>
      </c>
      <c r="E30" s="103" t="b">
        <v>0</v>
      </c>
      <c r="F30" s="103" t="b">
        <v>0</v>
      </c>
      <c r="G30" s="103" t="b">
        <v>0</v>
      </c>
      <c r="H30" s="104"/>
      <c r="I30" s="104"/>
      <c r="J30" s="103" t="b">
        <v>0</v>
      </c>
      <c r="K30" s="105" t="b">
        <v>0</v>
      </c>
      <c r="L30" s="78"/>
      <c r="M30" s="78"/>
      <c r="N30" s="78"/>
      <c r="O30" s="78"/>
      <c r="P30" s="78"/>
      <c r="Q30" s="78"/>
      <c r="R30" s="78"/>
      <c r="S30" s="78"/>
      <c r="T30" s="78"/>
      <c r="U30" s="78"/>
      <c r="V30" s="78"/>
      <c r="W30" s="78"/>
      <c r="X30" s="78"/>
      <c r="Y30" s="78"/>
    </row>
    <row r="31" spans="1:25" x14ac:dyDescent="0.25">
      <c r="A31" s="94">
        <v>29</v>
      </c>
      <c r="B31" s="95" t="s">
        <v>662</v>
      </c>
      <c r="C31" s="96">
        <v>150</v>
      </c>
      <c r="D31" s="102" t="b">
        <v>0</v>
      </c>
      <c r="E31" s="103" t="b">
        <v>0</v>
      </c>
      <c r="F31" s="103" t="b">
        <v>0</v>
      </c>
      <c r="G31" s="103" t="b">
        <v>0</v>
      </c>
      <c r="H31" s="104"/>
      <c r="I31" s="104"/>
      <c r="J31" s="103" t="b">
        <v>0</v>
      </c>
      <c r="K31" s="105" t="b">
        <v>0</v>
      </c>
      <c r="L31" s="78"/>
      <c r="M31" s="78"/>
      <c r="N31" s="78"/>
      <c r="O31" s="78"/>
      <c r="P31" s="78"/>
      <c r="Q31" s="78"/>
      <c r="R31" s="78"/>
      <c r="S31" s="78"/>
      <c r="T31" s="78"/>
      <c r="U31" s="78"/>
      <c r="V31" s="78"/>
      <c r="W31" s="78"/>
      <c r="X31" s="78"/>
      <c r="Y31" s="78"/>
    </row>
    <row r="32" spans="1:25" x14ac:dyDescent="0.25">
      <c r="A32" s="94">
        <v>30</v>
      </c>
      <c r="B32" s="95" t="s">
        <v>665</v>
      </c>
      <c r="C32" s="96">
        <v>150</v>
      </c>
      <c r="D32" s="102" t="b">
        <v>0</v>
      </c>
      <c r="E32" s="103" t="b">
        <v>0</v>
      </c>
      <c r="F32" s="103" t="b">
        <v>0</v>
      </c>
      <c r="G32" s="103" t="b">
        <v>0</v>
      </c>
      <c r="H32" s="104"/>
      <c r="I32" s="104"/>
      <c r="J32" s="103" t="b">
        <v>0</v>
      </c>
      <c r="K32" s="105" t="b">
        <v>0</v>
      </c>
      <c r="L32" s="78"/>
      <c r="M32" s="78"/>
      <c r="N32" s="78"/>
      <c r="O32" s="78"/>
      <c r="P32" s="78"/>
      <c r="Q32" s="78"/>
      <c r="R32" s="78"/>
      <c r="S32" s="78"/>
      <c r="T32" s="78"/>
      <c r="U32" s="78"/>
      <c r="V32" s="78"/>
      <c r="W32" s="78"/>
      <c r="X32" s="78"/>
      <c r="Y32" s="78"/>
    </row>
    <row r="33" spans="1:25" x14ac:dyDescent="0.25">
      <c r="A33" s="94">
        <v>31</v>
      </c>
      <c r="B33" s="95" t="s">
        <v>667</v>
      </c>
      <c r="C33" s="96">
        <v>150</v>
      </c>
      <c r="D33" s="102" t="b">
        <v>0</v>
      </c>
      <c r="E33" s="103" t="b">
        <v>0</v>
      </c>
      <c r="F33" s="103" t="b">
        <v>0</v>
      </c>
      <c r="G33" s="103" t="b">
        <v>0</v>
      </c>
      <c r="H33" s="104"/>
      <c r="I33" s="104"/>
      <c r="J33" s="103" t="b">
        <v>0</v>
      </c>
      <c r="K33" s="105" t="b">
        <v>0</v>
      </c>
      <c r="L33" s="78"/>
      <c r="M33" s="78"/>
      <c r="N33" s="78"/>
      <c r="O33" s="78"/>
      <c r="P33" s="78"/>
      <c r="Q33" s="78"/>
      <c r="R33" s="78"/>
      <c r="S33" s="78"/>
      <c r="T33" s="78"/>
      <c r="U33" s="78"/>
      <c r="V33" s="78"/>
      <c r="W33" s="78"/>
      <c r="X33" s="78"/>
      <c r="Y33" s="78"/>
    </row>
    <row r="34" spans="1:25" x14ac:dyDescent="0.25">
      <c r="A34" s="94">
        <v>32</v>
      </c>
      <c r="B34" s="106" t="s">
        <v>669</v>
      </c>
      <c r="C34" s="96">
        <v>185</v>
      </c>
      <c r="D34" s="102" t="b">
        <v>0</v>
      </c>
      <c r="E34" s="103" t="b">
        <v>0</v>
      </c>
      <c r="F34" s="104"/>
      <c r="G34" s="103" t="b">
        <v>0</v>
      </c>
      <c r="H34" s="104"/>
      <c r="I34" s="103" t="b">
        <v>0</v>
      </c>
      <c r="J34" s="103" t="b">
        <v>0</v>
      </c>
      <c r="K34" s="107"/>
      <c r="L34" s="78"/>
      <c r="M34" s="78"/>
      <c r="N34" s="78"/>
      <c r="O34" s="78"/>
      <c r="P34" s="78"/>
      <c r="Q34" s="78"/>
      <c r="R34" s="78"/>
      <c r="S34" s="78"/>
      <c r="T34" s="78"/>
      <c r="U34" s="78"/>
      <c r="V34" s="78"/>
      <c r="W34" s="78"/>
      <c r="X34" s="78"/>
      <c r="Y34" s="78"/>
    </row>
    <row r="35" spans="1:25" x14ac:dyDescent="0.25">
      <c r="A35" s="94">
        <v>33</v>
      </c>
      <c r="B35" s="106" t="s">
        <v>703</v>
      </c>
      <c r="C35" s="96">
        <v>50</v>
      </c>
      <c r="D35" s="108" t="b">
        <v>0</v>
      </c>
      <c r="E35" s="109" t="b">
        <v>0</v>
      </c>
      <c r="F35" s="109" t="b">
        <v>0</v>
      </c>
      <c r="G35" s="109" t="b">
        <v>0</v>
      </c>
      <c r="H35" s="109" t="b">
        <v>0</v>
      </c>
      <c r="I35" s="110"/>
      <c r="J35" s="109" t="b">
        <v>0</v>
      </c>
      <c r="K35" s="111" t="b">
        <v>0</v>
      </c>
      <c r="L35" s="78"/>
      <c r="M35" s="78"/>
      <c r="N35" s="78"/>
      <c r="O35" s="78"/>
      <c r="P35" s="78"/>
      <c r="Q35" s="78"/>
      <c r="R35" s="78"/>
      <c r="S35" s="78"/>
      <c r="T35" s="78"/>
      <c r="U35" s="78"/>
      <c r="V35" s="78"/>
      <c r="W35" s="78"/>
      <c r="X35" s="78"/>
      <c r="Y35" s="78"/>
    </row>
    <row r="36" spans="1:25" x14ac:dyDescent="0.25">
      <c r="A36" s="112" t="s">
        <v>682</v>
      </c>
      <c r="B36" s="113"/>
      <c r="C36" s="114"/>
      <c r="D36" s="78"/>
      <c r="E36" s="78"/>
      <c r="F36" s="78"/>
      <c r="G36" s="78"/>
      <c r="H36" s="78"/>
      <c r="I36" s="78"/>
      <c r="J36" s="78"/>
      <c r="K36" s="78"/>
      <c r="L36" s="78"/>
      <c r="M36" s="78"/>
      <c r="N36" s="78"/>
      <c r="O36" s="78"/>
      <c r="P36" s="78"/>
      <c r="Q36" s="78"/>
      <c r="R36" s="78"/>
      <c r="S36" s="78"/>
      <c r="T36" s="78"/>
      <c r="U36" s="78"/>
      <c r="V36" s="78"/>
      <c r="W36" s="78"/>
      <c r="X36" s="78"/>
      <c r="Y36" s="78"/>
    </row>
    <row r="37" spans="1:25" x14ac:dyDescent="0.25">
      <c r="A37" s="112" t="s">
        <v>682</v>
      </c>
      <c r="B37" s="78"/>
      <c r="C37" s="114"/>
      <c r="D37" s="78"/>
      <c r="E37" s="78"/>
      <c r="F37" s="78"/>
      <c r="G37" s="78"/>
      <c r="H37" s="78"/>
      <c r="I37" s="78"/>
      <c r="J37" s="78"/>
      <c r="K37" s="78"/>
      <c r="L37" s="78"/>
      <c r="M37" s="78"/>
      <c r="N37" s="78"/>
      <c r="O37" s="78"/>
      <c r="P37" s="78"/>
      <c r="Q37" s="78"/>
      <c r="R37" s="78"/>
      <c r="S37" s="78"/>
      <c r="T37" s="78"/>
      <c r="U37" s="78"/>
      <c r="V37" s="78"/>
      <c r="W37" s="78"/>
      <c r="X37" s="78"/>
      <c r="Y37" s="78"/>
    </row>
    <row r="38" spans="1:25" x14ac:dyDescent="0.25">
      <c r="A38" s="112" t="s">
        <v>682</v>
      </c>
      <c r="B38" s="78"/>
      <c r="C38" s="114"/>
      <c r="D38" s="78"/>
      <c r="E38" s="78"/>
      <c r="F38" s="78"/>
      <c r="G38" s="78"/>
      <c r="H38" s="78"/>
      <c r="I38" s="78"/>
      <c r="J38" s="78"/>
      <c r="K38" s="78"/>
      <c r="L38" s="78"/>
      <c r="M38" s="78"/>
      <c r="N38" s="78"/>
      <c r="O38" s="78"/>
      <c r="P38" s="78"/>
      <c r="Q38" s="78"/>
      <c r="R38" s="78"/>
      <c r="S38" s="78"/>
      <c r="T38" s="78"/>
      <c r="U38" s="78"/>
      <c r="V38" s="78"/>
      <c r="W38" s="78"/>
      <c r="X38" s="78"/>
      <c r="Y38" s="78"/>
    </row>
    <row r="39" spans="1:25" x14ac:dyDescent="0.25">
      <c r="A39" s="112" t="s">
        <v>682</v>
      </c>
      <c r="B39" s="78"/>
      <c r="C39" s="114"/>
      <c r="D39" s="78"/>
      <c r="E39" s="78"/>
      <c r="F39" s="78"/>
      <c r="G39" s="78"/>
      <c r="H39" s="78"/>
      <c r="I39" s="78"/>
      <c r="J39" s="78"/>
      <c r="K39" s="78"/>
      <c r="L39" s="78"/>
      <c r="M39" s="78"/>
      <c r="N39" s="78"/>
      <c r="O39" s="78"/>
      <c r="P39" s="78"/>
      <c r="Q39" s="78"/>
      <c r="R39" s="78"/>
      <c r="S39" s="78"/>
      <c r="T39" s="78"/>
      <c r="U39" s="78"/>
      <c r="V39" s="78"/>
      <c r="W39" s="78"/>
      <c r="X39" s="78"/>
      <c r="Y39" s="78"/>
    </row>
    <row r="40" spans="1:25" x14ac:dyDescent="0.25">
      <c r="A40" s="112" t="s">
        <v>682</v>
      </c>
      <c r="B40" s="78"/>
      <c r="C40" s="114"/>
      <c r="D40" s="78"/>
      <c r="E40" s="78"/>
      <c r="F40" s="78"/>
      <c r="G40" s="78"/>
      <c r="H40" s="78"/>
      <c r="I40" s="78"/>
      <c r="J40" s="78"/>
      <c r="K40" s="78"/>
      <c r="L40" s="78"/>
      <c r="M40" s="78"/>
      <c r="N40" s="78"/>
      <c r="O40" s="78"/>
      <c r="P40" s="78"/>
      <c r="Q40" s="78"/>
      <c r="R40" s="78"/>
      <c r="S40" s="78"/>
      <c r="T40" s="78"/>
      <c r="U40" s="78"/>
      <c r="V40" s="78"/>
      <c r="W40" s="78"/>
      <c r="X40" s="78"/>
      <c r="Y40" s="78"/>
    </row>
    <row r="41" spans="1:25" x14ac:dyDescent="0.25">
      <c r="A41" s="112" t="s">
        <v>682</v>
      </c>
      <c r="B41" s="78"/>
      <c r="C41" s="114"/>
      <c r="D41" s="78"/>
      <c r="E41" s="78"/>
      <c r="F41" s="78"/>
      <c r="G41" s="78"/>
      <c r="H41" s="78"/>
      <c r="I41" s="78"/>
      <c r="J41" s="78"/>
      <c r="K41" s="78"/>
      <c r="L41" s="78"/>
      <c r="M41" s="78"/>
      <c r="N41" s="78"/>
      <c r="O41" s="78"/>
      <c r="P41" s="78"/>
      <c r="Q41" s="78"/>
      <c r="R41" s="78"/>
      <c r="S41" s="78"/>
      <c r="T41" s="78"/>
      <c r="U41" s="78"/>
      <c r="V41" s="78"/>
      <c r="W41" s="78"/>
      <c r="X41" s="78"/>
      <c r="Y41" s="78"/>
    </row>
    <row r="42" spans="1:25" x14ac:dyDescent="0.25">
      <c r="A42" s="112" t="s">
        <v>682</v>
      </c>
      <c r="B42" s="78"/>
      <c r="C42" s="114"/>
      <c r="D42" s="78"/>
      <c r="E42" s="78"/>
      <c r="F42" s="78"/>
      <c r="G42" s="78"/>
      <c r="H42" s="78"/>
      <c r="I42" s="78"/>
      <c r="J42" s="78"/>
      <c r="K42" s="78"/>
      <c r="L42" s="78"/>
      <c r="M42" s="78"/>
      <c r="N42" s="78"/>
      <c r="O42" s="78"/>
      <c r="P42" s="78"/>
      <c r="Q42" s="78"/>
      <c r="R42" s="78"/>
      <c r="S42" s="78"/>
      <c r="T42" s="78"/>
      <c r="U42" s="78"/>
      <c r="V42" s="78"/>
      <c r="W42" s="78"/>
      <c r="X42" s="78"/>
      <c r="Y42" s="78"/>
    </row>
    <row r="43" spans="1:25" x14ac:dyDescent="0.25">
      <c r="A43" s="112" t="s">
        <v>682</v>
      </c>
      <c r="B43" s="78"/>
      <c r="C43" s="114"/>
      <c r="D43" s="78"/>
      <c r="E43" s="78"/>
      <c r="F43" s="78"/>
      <c r="G43" s="78"/>
      <c r="H43" s="78"/>
      <c r="I43" s="78"/>
      <c r="J43" s="78"/>
      <c r="K43" s="78"/>
      <c r="L43" s="78"/>
      <c r="M43" s="78"/>
      <c r="N43" s="78"/>
      <c r="O43" s="78"/>
      <c r="P43" s="78"/>
      <c r="Q43" s="78"/>
      <c r="R43" s="78"/>
      <c r="S43" s="78"/>
      <c r="T43" s="78"/>
      <c r="U43" s="78"/>
      <c r="V43" s="78"/>
      <c r="W43" s="78"/>
      <c r="X43" s="78"/>
      <c r="Y43" s="78"/>
    </row>
    <row r="44" spans="1:25" x14ac:dyDescent="0.25">
      <c r="A44" s="112" t="s">
        <v>682</v>
      </c>
      <c r="B44" s="78"/>
      <c r="C44" s="114"/>
      <c r="D44" s="78"/>
      <c r="E44" s="78"/>
      <c r="F44" s="78"/>
      <c r="G44" s="78"/>
      <c r="H44" s="78"/>
      <c r="I44" s="78"/>
      <c r="J44" s="78"/>
      <c r="K44" s="78"/>
      <c r="L44" s="78"/>
      <c r="M44" s="78"/>
      <c r="N44" s="78"/>
      <c r="O44" s="78"/>
      <c r="P44" s="78"/>
      <c r="Q44" s="78"/>
      <c r="R44" s="78"/>
      <c r="S44" s="78"/>
      <c r="T44" s="78"/>
      <c r="U44" s="78"/>
      <c r="V44" s="78"/>
      <c r="W44" s="78"/>
      <c r="X44" s="78"/>
      <c r="Y44" s="78"/>
    </row>
    <row r="45" spans="1:25" x14ac:dyDescent="0.25">
      <c r="A45" s="112" t="s">
        <v>682</v>
      </c>
      <c r="B45" s="78"/>
      <c r="C45" s="114"/>
      <c r="D45" s="78"/>
      <c r="E45" s="78"/>
      <c r="F45" s="78"/>
      <c r="G45" s="78"/>
      <c r="H45" s="78"/>
      <c r="I45" s="78"/>
      <c r="J45" s="78"/>
      <c r="K45" s="78"/>
      <c r="L45" s="78"/>
      <c r="M45" s="78"/>
      <c r="N45" s="78"/>
      <c r="O45" s="78"/>
      <c r="P45" s="78"/>
      <c r="Q45" s="78"/>
      <c r="R45" s="78"/>
      <c r="S45" s="78"/>
      <c r="T45" s="78"/>
      <c r="U45" s="78"/>
      <c r="V45" s="78"/>
      <c r="W45" s="78"/>
      <c r="X45" s="78"/>
      <c r="Y45" s="78"/>
    </row>
    <row r="46" spans="1:25" x14ac:dyDescent="0.25">
      <c r="A46" s="112" t="s">
        <v>682</v>
      </c>
      <c r="B46" s="78"/>
      <c r="C46" s="114"/>
      <c r="D46" s="78"/>
      <c r="E46" s="78"/>
      <c r="F46" s="78"/>
      <c r="G46" s="78"/>
      <c r="H46" s="78"/>
      <c r="I46" s="78"/>
      <c r="J46" s="78"/>
      <c r="K46" s="78"/>
      <c r="L46" s="78"/>
      <c r="M46" s="78"/>
      <c r="N46" s="78"/>
      <c r="O46" s="78"/>
      <c r="P46" s="78"/>
      <c r="Q46" s="78"/>
      <c r="R46" s="78"/>
      <c r="S46" s="78"/>
      <c r="T46" s="78"/>
      <c r="U46" s="78"/>
      <c r="V46" s="78"/>
      <c r="W46" s="78"/>
      <c r="X46" s="78"/>
      <c r="Y46" s="78"/>
    </row>
    <row r="47" spans="1:25" x14ac:dyDescent="0.25">
      <c r="A47" s="112" t="s">
        <v>682</v>
      </c>
      <c r="B47" s="78"/>
      <c r="C47" s="114"/>
      <c r="D47" s="78"/>
      <c r="E47" s="78"/>
      <c r="F47" s="78"/>
      <c r="G47" s="78"/>
      <c r="H47" s="78"/>
      <c r="I47" s="78"/>
      <c r="J47" s="78"/>
      <c r="K47" s="78"/>
      <c r="L47" s="78"/>
      <c r="M47" s="78"/>
      <c r="N47" s="78"/>
      <c r="O47" s="78"/>
      <c r="P47" s="78"/>
      <c r="Q47" s="78"/>
      <c r="R47" s="78"/>
      <c r="S47" s="78"/>
      <c r="T47" s="78"/>
      <c r="U47" s="78"/>
      <c r="V47" s="78"/>
      <c r="W47" s="78"/>
      <c r="X47" s="78"/>
      <c r="Y47" s="78"/>
    </row>
    <row r="48" spans="1:25" x14ac:dyDescent="0.25">
      <c r="A48" s="112" t="s">
        <v>682</v>
      </c>
      <c r="B48" s="78"/>
      <c r="C48" s="114"/>
      <c r="D48" s="78"/>
      <c r="E48" s="78"/>
      <c r="F48" s="78"/>
      <c r="G48" s="78"/>
      <c r="H48" s="78"/>
      <c r="I48" s="78"/>
      <c r="J48" s="78"/>
      <c r="K48" s="78"/>
      <c r="L48" s="78"/>
      <c r="M48" s="78"/>
      <c r="N48" s="78"/>
      <c r="O48" s="78"/>
      <c r="P48" s="78"/>
      <c r="Q48" s="78"/>
      <c r="R48" s="78"/>
      <c r="S48" s="78"/>
      <c r="T48" s="78"/>
      <c r="U48" s="78"/>
      <c r="V48" s="78"/>
      <c r="W48" s="78"/>
      <c r="X48" s="78"/>
      <c r="Y48" s="78"/>
    </row>
    <row r="49" spans="1:25" x14ac:dyDescent="0.25">
      <c r="A49" s="112" t="s">
        <v>682</v>
      </c>
      <c r="B49" s="78"/>
      <c r="C49" s="114"/>
      <c r="D49" s="78"/>
      <c r="E49" s="78"/>
      <c r="F49" s="78"/>
      <c r="G49" s="78"/>
      <c r="H49" s="78"/>
      <c r="I49" s="78"/>
      <c r="J49" s="78"/>
      <c r="K49" s="78"/>
      <c r="L49" s="78"/>
      <c r="M49" s="78"/>
      <c r="N49" s="78"/>
      <c r="O49" s="78"/>
      <c r="P49" s="78"/>
      <c r="Q49" s="78"/>
      <c r="R49" s="78"/>
      <c r="S49" s="78"/>
      <c r="T49" s="78"/>
      <c r="U49" s="78"/>
      <c r="V49" s="78"/>
      <c r="W49" s="78"/>
      <c r="X49" s="78"/>
      <c r="Y49" s="78"/>
    </row>
    <row r="50" spans="1:25" x14ac:dyDescent="0.25">
      <c r="A50" s="112" t="s">
        <v>682</v>
      </c>
      <c r="B50" s="78"/>
      <c r="C50" s="114"/>
      <c r="D50" s="78"/>
      <c r="E50" s="78"/>
      <c r="F50" s="78"/>
      <c r="G50" s="78"/>
      <c r="H50" s="78"/>
      <c r="I50" s="78"/>
      <c r="J50" s="78"/>
      <c r="K50" s="78"/>
      <c r="L50" s="78"/>
      <c r="M50" s="78"/>
      <c r="N50" s="78"/>
      <c r="O50" s="78"/>
      <c r="P50" s="78"/>
      <c r="Q50" s="78"/>
      <c r="R50" s="78"/>
      <c r="S50" s="78"/>
      <c r="T50" s="78"/>
      <c r="U50" s="78"/>
      <c r="V50" s="78"/>
      <c r="W50" s="78"/>
      <c r="X50" s="78"/>
      <c r="Y50" s="78"/>
    </row>
    <row r="51" spans="1:25" x14ac:dyDescent="0.25">
      <c r="A51" s="112" t="s">
        <v>682</v>
      </c>
      <c r="B51" s="78"/>
      <c r="C51" s="114"/>
      <c r="D51" s="78"/>
      <c r="E51" s="78"/>
      <c r="F51" s="78"/>
      <c r="G51" s="78"/>
      <c r="H51" s="78"/>
      <c r="I51" s="78"/>
      <c r="J51" s="78"/>
      <c r="K51" s="78"/>
      <c r="L51" s="78"/>
      <c r="M51" s="78"/>
      <c r="N51" s="78"/>
      <c r="O51" s="78"/>
      <c r="P51" s="78"/>
      <c r="Q51" s="78"/>
      <c r="R51" s="78"/>
      <c r="S51" s="78"/>
      <c r="T51" s="78"/>
      <c r="U51" s="78"/>
      <c r="V51" s="78"/>
      <c r="W51" s="78"/>
      <c r="X51" s="78"/>
      <c r="Y51" s="78"/>
    </row>
    <row r="52" spans="1:25" x14ac:dyDescent="0.25">
      <c r="A52" s="112" t="s">
        <v>682</v>
      </c>
      <c r="B52" s="78"/>
      <c r="C52" s="114"/>
      <c r="D52" s="78"/>
      <c r="E52" s="78"/>
      <c r="F52" s="78"/>
      <c r="G52" s="78"/>
      <c r="H52" s="78"/>
      <c r="I52" s="78"/>
      <c r="J52" s="78"/>
      <c r="K52" s="78"/>
      <c r="L52" s="78"/>
      <c r="M52" s="78"/>
      <c r="N52" s="78"/>
      <c r="O52" s="78"/>
      <c r="P52" s="78"/>
      <c r="Q52" s="78"/>
      <c r="R52" s="78"/>
      <c r="S52" s="78"/>
      <c r="T52" s="78"/>
      <c r="U52" s="78"/>
      <c r="V52" s="78"/>
      <c r="W52" s="78"/>
      <c r="X52" s="78"/>
      <c r="Y52" s="78"/>
    </row>
    <row r="53" spans="1:25" x14ac:dyDescent="0.25">
      <c r="A53" s="112" t="s">
        <v>682</v>
      </c>
      <c r="B53" s="78"/>
      <c r="C53" s="114"/>
      <c r="D53" s="78"/>
      <c r="E53" s="78"/>
      <c r="F53" s="78"/>
      <c r="G53" s="78"/>
      <c r="H53" s="78"/>
      <c r="I53" s="78"/>
      <c r="J53" s="78"/>
      <c r="K53" s="78"/>
      <c r="L53" s="78"/>
      <c r="M53" s="78"/>
      <c r="N53" s="78"/>
      <c r="O53" s="78"/>
      <c r="P53" s="78"/>
      <c r="Q53" s="78"/>
      <c r="R53" s="78"/>
      <c r="S53" s="78"/>
      <c r="T53" s="78"/>
      <c r="U53" s="78"/>
      <c r="V53" s="78"/>
      <c r="W53" s="78"/>
      <c r="X53" s="78"/>
      <c r="Y53" s="78"/>
    </row>
    <row r="54" spans="1:25" x14ac:dyDescent="0.25">
      <c r="A54" s="112" t="s">
        <v>682</v>
      </c>
      <c r="B54" s="78"/>
      <c r="C54" s="114"/>
      <c r="D54" s="78"/>
      <c r="E54" s="78"/>
      <c r="F54" s="78"/>
      <c r="G54" s="78"/>
      <c r="H54" s="78"/>
      <c r="I54" s="78"/>
      <c r="J54" s="78"/>
      <c r="K54" s="78"/>
      <c r="L54" s="78"/>
      <c r="M54" s="78"/>
      <c r="N54" s="78"/>
      <c r="O54" s="78"/>
      <c r="P54" s="78"/>
      <c r="Q54" s="78"/>
      <c r="R54" s="78"/>
      <c r="S54" s="78"/>
      <c r="T54" s="78"/>
      <c r="U54" s="78"/>
      <c r="V54" s="78"/>
      <c r="W54" s="78"/>
      <c r="X54" s="78"/>
      <c r="Y54" s="78"/>
    </row>
    <row r="55" spans="1:25" x14ac:dyDescent="0.25">
      <c r="A55" s="112" t="s">
        <v>682</v>
      </c>
      <c r="B55" s="78"/>
      <c r="C55" s="114"/>
      <c r="D55" s="78"/>
      <c r="E55" s="78"/>
      <c r="F55" s="78"/>
      <c r="G55" s="78"/>
      <c r="H55" s="78"/>
      <c r="I55" s="78"/>
      <c r="J55" s="78"/>
      <c r="K55" s="78"/>
      <c r="L55" s="78"/>
      <c r="M55" s="78"/>
      <c r="N55" s="78"/>
      <c r="O55" s="78"/>
      <c r="P55" s="78"/>
      <c r="Q55" s="78"/>
      <c r="R55" s="78"/>
      <c r="S55" s="78"/>
      <c r="T55" s="78"/>
      <c r="U55" s="78"/>
      <c r="V55" s="78"/>
      <c r="W55" s="78"/>
      <c r="X55" s="78"/>
      <c r="Y55" s="78"/>
    </row>
    <row r="56" spans="1:25" x14ac:dyDescent="0.25">
      <c r="A56" s="112" t="s">
        <v>682</v>
      </c>
      <c r="B56" s="78"/>
      <c r="C56" s="114"/>
      <c r="D56" s="78"/>
      <c r="E56" s="78"/>
      <c r="F56" s="78"/>
      <c r="G56" s="78"/>
      <c r="H56" s="78"/>
      <c r="I56" s="78"/>
      <c r="J56" s="78"/>
      <c r="K56" s="78"/>
      <c r="L56" s="78"/>
      <c r="M56" s="78"/>
      <c r="N56" s="78"/>
      <c r="O56" s="78"/>
      <c r="P56" s="78"/>
      <c r="Q56" s="78"/>
      <c r="R56" s="78"/>
      <c r="S56" s="78"/>
      <c r="T56" s="78"/>
      <c r="U56" s="78"/>
      <c r="V56" s="78"/>
      <c r="W56" s="78"/>
      <c r="X56" s="78"/>
      <c r="Y56" s="78"/>
    </row>
    <row r="57" spans="1:25" x14ac:dyDescent="0.25">
      <c r="A57" s="112" t="s">
        <v>682</v>
      </c>
      <c r="B57" s="78"/>
      <c r="C57" s="114"/>
      <c r="D57" s="78"/>
      <c r="E57" s="78"/>
      <c r="F57" s="78"/>
      <c r="G57" s="78"/>
      <c r="H57" s="78"/>
      <c r="I57" s="78"/>
      <c r="J57" s="78"/>
      <c r="K57" s="78"/>
      <c r="L57" s="78"/>
      <c r="M57" s="78"/>
      <c r="N57" s="78"/>
      <c r="O57" s="78"/>
      <c r="P57" s="78"/>
      <c r="Q57" s="78"/>
      <c r="R57" s="78"/>
      <c r="S57" s="78"/>
      <c r="T57" s="78"/>
      <c r="U57" s="78"/>
      <c r="V57" s="78"/>
      <c r="W57" s="78"/>
      <c r="X57" s="78"/>
      <c r="Y57" s="78"/>
    </row>
    <row r="58" spans="1:25" x14ac:dyDescent="0.25">
      <c r="A58" s="112" t="s">
        <v>682</v>
      </c>
      <c r="B58" s="78"/>
      <c r="C58" s="114"/>
      <c r="D58" s="78"/>
      <c r="E58" s="78"/>
      <c r="F58" s="78"/>
      <c r="G58" s="78"/>
      <c r="H58" s="78"/>
      <c r="I58" s="78"/>
      <c r="J58" s="78"/>
      <c r="K58" s="78"/>
      <c r="L58" s="78"/>
      <c r="M58" s="78"/>
      <c r="N58" s="78"/>
      <c r="O58" s="78"/>
      <c r="P58" s="78"/>
      <c r="Q58" s="78"/>
      <c r="R58" s="78"/>
      <c r="S58" s="78"/>
      <c r="T58" s="78"/>
      <c r="U58" s="78"/>
      <c r="V58" s="78"/>
      <c r="W58" s="78"/>
      <c r="X58" s="78"/>
      <c r="Y58" s="78"/>
    </row>
    <row r="59" spans="1:25" x14ac:dyDescent="0.25">
      <c r="A59" s="112" t="s">
        <v>682</v>
      </c>
      <c r="B59" s="78"/>
      <c r="C59" s="114"/>
      <c r="D59" s="78"/>
      <c r="E59" s="78"/>
      <c r="F59" s="78"/>
      <c r="G59" s="78"/>
      <c r="H59" s="78"/>
      <c r="I59" s="78"/>
      <c r="J59" s="78"/>
      <c r="K59" s="78"/>
      <c r="L59" s="78"/>
      <c r="M59" s="78"/>
      <c r="N59" s="78"/>
      <c r="O59" s="78"/>
      <c r="P59" s="78"/>
      <c r="Q59" s="78"/>
      <c r="R59" s="78"/>
      <c r="S59" s="78"/>
      <c r="T59" s="78"/>
      <c r="U59" s="78"/>
      <c r="V59" s="78"/>
      <c r="W59" s="78"/>
      <c r="X59" s="78"/>
      <c r="Y59" s="78"/>
    </row>
    <row r="60" spans="1:25" x14ac:dyDescent="0.25">
      <c r="A60" s="112" t="s">
        <v>682</v>
      </c>
      <c r="B60" s="78"/>
      <c r="C60" s="114"/>
      <c r="D60" s="78"/>
      <c r="E60" s="78"/>
      <c r="F60" s="78"/>
      <c r="G60" s="78"/>
      <c r="H60" s="78"/>
      <c r="I60" s="78"/>
      <c r="J60" s="78"/>
      <c r="K60" s="78"/>
      <c r="L60" s="78"/>
      <c r="M60" s="78"/>
      <c r="N60" s="78"/>
      <c r="O60" s="78"/>
      <c r="P60" s="78"/>
      <c r="Q60" s="78"/>
      <c r="R60" s="78"/>
      <c r="S60" s="78"/>
      <c r="T60" s="78"/>
      <c r="U60" s="78"/>
      <c r="V60" s="78"/>
      <c r="W60" s="78"/>
      <c r="X60" s="78"/>
      <c r="Y60" s="78"/>
    </row>
    <row r="61" spans="1:25" x14ac:dyDescent="0.25">
      <c r="A61" s="112" t="s">
        <v>682</v>
      </c>
      <c r="B61" s="78"/>
      <c r="C61" s="114"/>
      <c r="D61" s="78"/>
      <c r="E61" s="78"/>
      <c r="F61" s="78"/>
      <c r="G61" s="78"/>
      <c r="H61" s="78"/>
      <c r="I61" s="78"/>
      <c r="J61" s="78"/>
      <c r="K61" s="78"/>
      <c r="L61" s="78"/>
      <c r="M61" s="78"/>
      <c r="N61" s="78"/>
      <c r="O61" s="78"/>
      <c r="P61" s="78"/>
      <c r="Q61" s="78"/>
      <c r="R61" s="78"/>
      <c r="S61" s="78"/>
      <c r="T61" s="78"/>
      <c r="U61" s="78"/>
      <c r="V61" s="78"/>
      <c r="W61" s="78"/>
      <c r="X61" s="78"/>
      <c r="Y61" s="78"/>
    </row>
    <row r="62" spans="1:25" x14ac:dyDescent="0.25">
      <c r="A62" s="112" t="s">
        <v>682</v>
      </c>
      <c r="B62" s="78"/>
      <c r="C62" s="114"/>
      <c r="D62" s="78"/>
      <c r="E62" s="78"/>
      <c r="F62" s="78"/>
      <c r="G62" s="78"/>
      <c r="H62" s="78"/>
      <c r="I62" s="78"/>
      <c r="J62" s="78"/>
      <c r="K62" s="78"/>
      <c r="L62" s="78"/>
      <c r="M62" s="78"/>
      <c r="N62" s="78"/>
      <c r="O62" s="78"/>
      <c r="P62" s="78"/>
      <c r="Q62" s="78"/>
      <c r="R62" s="78"/>
      <c r="S62" s="78"/>
      <c r="T62" s="78"/>
      <c r="U62" s="78"/>
      <c r="V62" s="78"/>
      <c r="W62" s="78"/>
      <c r="X62" s="78"/>
      <c r="Y62" s="78"/>
    </row>
    <row r="63" spans="1:25" x14ac:dyDescent="0.25">
      <c r="A63" s="112" t="s">
        <v>682</v>
      </c>
      <c r="B63" s="78"/>
      <c r="C63" s="114"/>
      <c r="D63" s="78"/>
      <c r="E63" s="78"/>
      <c r="F63" s="78"/>
      <c r="G63" s="78"/>
      <c r="H63" s="78"/>
      <c r="I63" s="78"/>
      <c r="J63" s="78"/>
      <c r="K63" s="78"/>
      <c r="L63" s="78"/>
      <c r="M63" s="78"/>
      <c r="N63" s="78"/>
      <c r="O63" s="78"/>
      <c r="P63" s="78"/>
      <c r="Q63" s="78"/>
      <c r="R63" s="78"/>
      <c r="S63" s="78"/>
      <c r="T63" s="78"/>
      <c r="U63" s="78"/>
      <c r="V63" s="78"/>
      <c r="W63" s="78"/>
      <c r="X63" s="78"/>
      <c r="Y63" s="78"/>
    </row>
    <row r="64" spans="1:25" x14ac:dyDescent="0.25">
      <c r="A64" s="112" t="s">
        <v>682</v>
      </c>
      <c r="B64" s="78"/>
      <c r="C64" s="114"/>
      <c r="D64" s="78"/>
      <c r="E64" s="78"/>
      <c r="F64" s="78"/>
      <c r="G64" s="78"/>
      <c r="H64" s="78"/>
      <c r="I64" s="78"/>
      <c r="J64" s="78"/>
      <c r="K64" s="78"/>
      <c r="L64" s="78"/>
      <c r="M64" s="78"/>
      <c r="N64" s="78"/>
      <c r="O64" s="78"/>
      <c r="P64" s="78"/>
      <c r="Q64" s="78"/>
      <c r="R64" s="78"/>
      <c r="S64" s="78"/>
      <c r="T64" s="78"/>
      <c r="U64" s="78"/>
      <c r="V64" s="78"/>
      <c r="W64" s="78"/>
      <c r="X64" s="78"/>
      <c r="Y64" s="78"/>
    </row>
    <row r="65" spans="1:25" x14ac:dyDescent="0.25">
      <c r="A65" s="112" t="s">
        <v>682</v>
      </c>
      <c r="B65" s="78"/>
      <c r="C65" s="114"/>
      <c r="D65" s="78"/>
      <c r="E65" s="78"/>
      <c r="F65" s="78"/>
      <c r="G65" s="78"/>
      <c r="H65" s="78"/>
      <c r="I65" s="78"/>
      <c r="J65" s="78"/>
      <c r="K65" s="78"/>
      <c r="L65" s="78"/>
      <c r="M65" s="78"/>
      <c r="N65" s="78"/>
      <c r="O65" s="78"/>
      <c r="P65" s="78"/>
      <c r="Q65" s="78"/>
      <c r="R65" s="78"/>
      <c r="S65" s="78"/>
      <c r="T65" s="78"/>
      <c r="U65" s="78"/>
      <c r="V65" s="78"/>
      <c r="W65" s="78"/>
      <c r="X65" s="78"/>
      <c r="Y65" s="78"/>
    </row>
    <row r="66" spans="1:25" x14ac:dyDescent="0.25">
      <c r="A66" s="112" t="s">
        <v>682</v>
      </c>
      <c r="B66" s="78"/>
      <c r="C66" s="114"/>
      <c r="D66" s="78"/>
      <c r="E66" s="78"/>
      <c r="F66" s="78"/>
      <c r="G66" s="78"/>
      <c r="H66" s="78"/>
      <c r="I66" s="78"/>
      <c r="J66" s="78"/>
      <c r="K66" s="78"/>
      <c r="L66" s="78"/>
      <c r="M66" s="78"/>
      <c r="N66" s="78"/>
      <c r="O66" s="78"/>
      <c r="P66" s="78"/>
      <c r="Q66" s="78"/>
      <c r="R66" s="78"/>
      <c r="S66" s="78"/>
      <c r="T66" s="78"/>
      <c r="U66" s="78"/>
      <c r="V66" s="78"/>
      <c r="W66" s="78"/>
      <c r="X66" s="78"/>
      <c r="Y66" s="78"/>
    </row>
    <row r="67" spans="1:25" x14ac:dyDescent="0.25">
      <c r="A67" s="112" t="s">
        <v>682</v>
      </c>
      <c r="B67" s="78"/>
      <c r="C67" s="114"/>
      <c r="D67" s="78"/>
      <c r="E67" s="78"/>
      <c r="F67" s="78"/>
      <c r="G67" s="78"/>
      <c r="H67" s="78"/>
      <c r="I67" s="78"/>
      <c r="J67" s="78"/>
      <c r="K67" s="78"/>
      <c r="L67" s="78"/>
      <c r="M67" s="78"/>
      <c r="N67" s="78"/>
      <c r="O67" s="78"/>
      <c r="P67" s="78"/>
      <c r="Q67" s="78"/>
      <c r="R67" s="78"/>
      <c r="S67" s="78"/>
      <c r="T67" s="78"/>
      <c r="U67" s="78"/>
      <c r="V67" s="78"/>
      <c r="W67" s="78"/>
      <c r="X67" s="78"/>
      <c r="Y67" s="78"/>
    </row>
    <row r="68" spans="1:25" x14ac:dyDescent="0.25">
      <c r="A68" s="112" t="s">
        <v>682</v>
      </c>
      <c r="B68" s="78"/>
      <c r="C68" s="114"/>
      <c r="D68" s="78"/>
      <c r="E68" s="78"/>
      <c r="F68" s="78"/>
      <c r="G68" s="78"/>
      <c r="H68" s="78"/>
      <c r="I68" s="78"/>
      <c r="J68" s="78"/>
      <c r="K68" s="78"/>
      <c r="L68" s="78"/>
      <c r="M68" s="78"/>
      <c r="N68" s="78"/>
      <c r="O68" s="78"/>
      <c r="P68" s="78"/>
      <c r="Q68" s="78"/>
      <c r="R68" s="78"/>
      <c r="S68" s="78"/>
      <c r="T68" s="78"/>
      <c r="U68" s="78"/>
      <c r="V68" s="78"/>
      <c r="W68" s="78"/>
      <c r="X68" s="78"/>
      <c r="Y68" s="78"/>
    </row>
    <row r="69" spans="1:25" x14ac:dyDescent="0.25">
      <c r="A69" s="112" t="s">
        <v>682</v>
      </c>
      <c r="B69" s="78"/>
      <c r="C69" s="114"/>
      <c r="D69" s="78"/>
      <c r="E69" s="78"/>
      <c r="F69" s="78"/>
      <c r="G69" s="78"/>
      <c r="H69" s="78"/>
      <c r="I69" s="78"/>
      <c r="J69" s="78"/>
      <c r="K69" s="78"/>
      <c r="L69" s="78"/>
      <c r="M69" s="78"/>
      <c r="N69" s="78"/>
      <c r="O69" s="78"/>
      <c r="P69" s="78"/>
      <c r="Q69" s="78"/>
      <c r="R69" s="78"/>
      <c r="S69" s="78"/>
      <c r="T69" s="78"/>
      <c r="U69" s="78"/>
      <c r="V69" s="78"/>
      <c r="W69" s="78"/>
      <c r="X69" s="78"/>
      <c r="Y69" s="78"/>
    </row>
    <row r="70" spans="1:25" x14ac:dyDescent="0.25">
      <c r="A70" s="112" t="s">
        <v>682</v>
      </c>
      <c r="B70" s="78"/>
      <c r="C70" s="114"/>
      <c r="D70" s="78"/>
      <c r="E70" s="78"/>
      <c r="F70" s="78"/>
      <c r="G70" s="78"/>
      <c r="H70" s="78"/>
      <c r="I70" s="78"/>
      <c r="J70" s="78"/>
      <c r="K70" s="78"/>
      <c r="L70" s="78"/>
      <c r="M70" s="78"/>
      <c r="N70" s="78"/>
      <c r="O70" s="78"/>
      <c r="P70" s="78"/>
      <c r="Q70" s="78"/>
      <c r="R70" s="78"/>
      <c r="S70" s="78"/>
      <c r="T70" s="78"/>
      <c r="U70" s="78"/>
      <c r="V70" s="78"/>
      <c r="W70" s="78"/>
      <c r="X70" s="78"/>
      <c r="Y70" s="78"/>
    </row>
    <row r="71" spans="1:25" x14ac:dyDescent="0.25">
      <c r="A71" s="112" t="s">
        <v>682</v>
      </c>
      <c r="B71" s="78"/>
      <c r="C71" s="114"/>
      <c r="D71" s="78"/>
      <c r="E71" s="78"/>
      <c r="F71" s="78"/>
      <c r="G71" s="78"/>
      <c r="H71" s="78"/>
      <c r="I71" s="78"/>
      <c r="J71" s="78"/>
      <c r="K71" s="78"/>
      <c r="L71" s="78"/>
      <c r="M71" s="78"/>
      <c r="N71" s="78"/>
      <c r="O71" s="78"/>
      <c r="P71" s="78"/>
      <c r="Q71" s="78"/>
      <c r="R71" s="78"/>
      <c r="S71" s="78"/>
      <c r="T71" s="78"/>
      <c r="U71" s="78"/>
      <c r="V71" s="78"/>
      <c r="W71" s="78"/>
      <c r="X71" s="78"/>
      <c r="Y71" s="78"/>
    </row>
    <row r="72" spans="1:25" x14ac:dyDescent="0.25">
      <c r="A72" s="112" t="s">
        <v>682</v>
      </c>
      <c r="B72" s="78"/>
      <c r="C72" s="114"/>
      <c r="D72" s="78"/>
      <c r="E72" s="78"/>
      <c r="F72" s="78"/>
      <c r="G72" s="78"/>
      <c r="H72" s="78"/>
      <c r="I72" s="78"/>
      <c r="J72" s="78"/>
      <c r="K72" s="78"/>
      <c r="L72" s="78"/>
      <c r="M72" s="78"/>
      <c r="N72" s="78"/>
      <c r="O72" s="78"/>
      <c r="P72" s="78"/>
      <c r="Q72" s="78"/>
      <c r="R72" s="78"/>
      <c r="S72" s="78"/>
      <c r="T72" s="78"/>
      <c r="U72" s="78"/>
      <c r="V72" s="78"/>
      <c r="W72" s="78"/>
      <c r="X72" s="78"/>
      <c r="Y72" s="78"/>
    </row>
    <row r="73" spans="1:25" x14ac:dyDescent="0.25">
      <c r="A73" s="112" t="s">
        <v>682</v>
      </c>
      <c r="B73" s="78"/>
      <c r="C73" s="114"/>
      <c r="D73" s="78"/>
      <c r="E73" s="78"/>
      <c r="F73" s="78"/>
      <c r="G73" s="78"/>
      <c r="H73" s="78"/>
      <c r="I73" s="78"/>
      <c r="J73" s="78"/>
      <c r="K73" s="78"/>
      <c r="L73" s="78"/>
      <c r="M73" s="78"/>
      <c r="N73" s="78"/>
      <c r="O73" s="78"/>
      <c r="P73" s="78"/>
      <c r="Q73" s="78"/>
      <c r="R73" s="78"/>
      <c r="S73" s="78"/>
      <c r="T73" s="78"/>
      <c r="U73" s="78"/>
      <c r="V73" s="78"/>
      <c r="W73" s="78"/>
      <c r="X73" s="78"/>
      <c r="Y73" s="78"/>
    </row>
    <row r="74" spans="1:25" x14ac:dyDescent="0.25">
      <c r="A74" s="112" t="s">
        <v>682</v>
      </c>
      <c r="B74" s="78"/>
      <c r="C74" s="114"/>
      <c r="D74" s="78"/>
      <c r="E74" s="78"/>
      <c r="F74" s="78"/>
      <c r="G74" s="78"/>
      <c r="H74" s="78"/>
      <c r="I74" s="78"/>
      <c r="J74" s="78"/>
      <c r="K74" s="78"/>
      <c r="L74" s="78"/>
      <c r="M74" s="78"/>
      <c r="N74" s="78"/>
      <c r="O74" s="78"/>
      <c r="P74" s="78"/>
      <c r="Q74" s="78"/>
      <c r="R74" s="78"/>
      <c r="S74" s="78"/>
      <c r="T74" s="78"/>
      <c r="U74" s="78"/>
      <c r="V74" s="78"/>
      <c r="W74" s="78"/>
      <c r="X74" s="78"/>
      <c r="Y74" s="78"/>
    </row>
    <row r="75" spans="1:25" x14ac:dyDescent="0.25">
      <c r="A75" s="112" t="s">
        <v>682</v>
      </c>
      <c r="B75" s="78"/>
      <c r="C75" s="114"/>
      <c r="D75" s="78"/>
      <c r="E75" s="78"/>
      <c r="F75" s="78"/>
      <c r="G75" s="78"/>
      <c r="H75" s="78"/>
      <c r="I75" s="78"/>
      <c r="J75" s="78"/>
      <c r="K75" s="78"/>
      <c r="L75" s="78"/>
      <c r="M75" s="78"/>
      <c r="N75" s="78"/>
      <c r="O75" s="78"/>
      <c r="P75" s="78"/>
      <c r="Q75" s="78"/>
      <c r="R75" s="78"/>
      <c r="S75" s="78"/>
      <c r="T75" s="78"/>
      <c r="U75" s="78"/>
      <c r="V75" s="78"/>
      <c r="W75" s="78"/>
      <c r="X75" s="78"/>
      <c r="Y75" s="78"/>
    </row>
    <row r="76" spans="1:25" x14ac:dyDescent="0.25">
      <c r="A76" s="112" t="s">
        <v>682</v>
      </c>
      <c r="B76" s="78"/>
      <c r="C76" s="114"/>
      <c r="D76" s="78"/>
      <c r="E76" s="78"/>
      <c r="F76" s="78"/>
      <c r="G76" s="78"/>
      <c r="H76" s="78"/>
      <c r="I76" s="78"/>
      <c r="J76" s="78"/>
      <c r="K76" s="78"/>
      <c r="L76" s="78"/>
      <c r="M76" s="78"/>
      <c r="N76" s="78"/>
      <c r="O76" s="78"/>
      <c r="P76" s="78"/>
      <c r="Q76" s="78"/>
      <c r="R76" s="78"/>
      <c r="S76" s="78"/>
      <c r="T76" s="78"/>
      <c r="U76" s="78"/>
      <c r="V76" s="78"/>
      <c r="W76" s="78"/>
      <c r="X76" s="78"/>
      <c r="Y76" s="78"/>
    </row>
    <row r="77" spans="1:25" x14ac:dyDescent="0.25">
      <c r="A77" s="112" t="s">
        <v>682</v>
      </c>
      <c r="B77" s="78"/>
      <c r="C77" s="114"/>
      <c r="D77" s="78"/>
      <c r="E77" s="78"/>
      <c r="F77" s="78"/>
      <c r="G77" s="78"/>
      <c r="H77" s="78"/>
      <c r="I77" s="78"/>
      <c r="J77" s="78"/>
      <c r="K77" s="78"/>
      <c r="L77" s="78"/>
      <c r="M77" s="78"/>
      <c r="N77" s="78"/>
      <c r="O77" s="78"/>
      <c r="P77" s="78"/>
      <c r="Q77" s="78"/>
      <c r="R77" s="78"/>
      <c r="S77" s="78"/>
      <c r="T77" s="78"/>
      <c r="U77" s="78"/>
      <c r="V77" s="78"/>
      <c r="W77" s="78"/>
      <c r="X77" s="78"/>
      <c r="Y77" s="78"/>
    </row>
    <row r="78" spans="1:25" x14ac:dyDescent="0.25">
      <c r="A78" s="112" t="s">
        <v>682</v>
      </c>
      <c r="B78" s="78"/>
      <c r="C78" s="114"/>
      <c r="D78" s="78"/>
      <c r="E78" s="78"/>
      <c r="F78" s="78"/>
      <c r="G78" s="78"/>
      <c r="H78" s="78"/>
      <c r="I78" s="78"/>
      <c r="J78" s="78"/>
      <c r="K78" s="78"/>
      <c r="L78" s="78"/>
      <c r="M78" s="78"/>
      <c r="N78" s="78"/>
      <c r="O78" s="78"/>
      <c r="P78" s="78"/>
      <c r="Q78" s="78"/>
      <c r="R78" s="78"/>
      <c r="S78" s="78"/>
      <c r="T78" s="78"/>
      <c r="U78" s="78"/>
      <c r="V78" s="78"/>
      <c r="W78" s="78"/>
      <c r="X78" s="78"/>
      <c r="Y78" s="78"/>
    </row>
    <row r="79" spans="1:25" x14ac:dyDescent="0.25">
      <c r="A79" s="112" t="s">
        <v>682</v>
      </c>
      <c r="B79" s="78"/>
      <c r="C79" s="114"/>
      <c r="D79" s="78"/>
      <c r="E79" s="78"/>
      <c r="F79" s="78"/>
      <c r="G79" s="78"/>
      <c r="H79" s="78"/>
      <c r="I79" s="78"/>
      <c r="J79" s="78"/>
      <c r="K79" s="78"/>
      <c r="L79" s="78"/>
      <c r="M79" s="78"/>
      <c r="N79" s="78"/>
      <c r="O79" s="78"/>
      <c r="P79" s="78"/>
      <c r="Q79" s="78"/>
      <c r="R79" s="78"/>
      <c r="S79" s="78"/>
      <c r="T79" s="78"/>
      <c r="U79" s="78"/>
      <c r="V79" s="78"/>
      <c r="W79" s="78"/>
      <c r="X79" s="78"/>
      <c r="Y79" s="78"/>
    </row>
    <row r="80" spans="1:25" x14ac:dyDescent="0.25">
      <c r="A80" s="112" t="s">
        <v>682</v>
      </c>
      <c r="B80" s="78"/>
      <c r="C80" s="114"/>
      <c r="D80" s="78"/>
      <c r="E80" s="78"/>
      <c r="F80" s="78"/>
      <c r="G80" s="78"/>
      <c r="H80" s="78"/>
      <c r="I80" s="78"/>
      <c r="J80" s="78"/>
      <c r="K80" s="78"/>
      <c r="L80" s="78"/>
      <c r="M80" s="78"/>
      <c r="N80" s="78"/>
      <c r="O80" s="78"/>
      <c r="P80" s="78"/>
      <c r="Q80" s="78"/>
      <c r="R80" s="78"/>
      <c r="S80" s="78"/>
      <c r="T80" s="78"/>
      <c r="U80" s="78"/>
      <c r="V80" s="78"/>
      <c r="W80" s="78"/>
      <c r="X80" s="78"/>
      <c r="Y80" s="78"/>
    </row>
    <row r="81" spans="1:25" x14ac:dyDescent="0.25">
      <c r="A81" s="112" t="s">
        <v>682</v>
      </c>
      <c r="B81" s="78"/>
      <c r="C81" s="114"/>
      <c r="D81" s="78"/>
      <c r="E81" s="78"/>
      <c r="F81" s="78"/>
      <c r="G81" s="78"/>
      <c r="H81" s="78"/>
      <c r="I81" s="78"/>
      <c r="J81" s="78"/>
      <c r="K81" s="78"/>
      <c r="L81" s="78"/>
      <c r="M81" s="78"/>
      <c r="N81" s="78"/>
      <c r="O81" s="78"/>
      <c r="P81" s="78"/>
      <c r="Q81" s="78"/>
      <c r="R81" s="78"/>
      <c r="S81" s="78"/>
      <c r="T81" s="78"/>
      <c r="U81" s="78"/>
      <c r="V81" s="78"/>
      <c r="W81" s="78"/>
      <c r="X81" s="78"/>
      <c r="Y81" s="78"/>
    </row>
    <row r="82" spans="1:25" x14ac:dyDescent="0.25">
      <c r="A82" s="112" t="s">
        <v>682</v>
      </c>
      <c r="B82" s="78"/>
      <c r="C82" s="114"/>
      <c r="D82" s="78"/>
      <c r="E82" s="78"/>
      <c r="F82" s="78"/>
      <c r="G82" s="78"/>
      <c r="H82" s="78"/>
      <c r="I82" s="78"/>
      <c r="J82" s="78"/>
      <c r="K82" s="78"/>
      <c r="L82" s="78"/>
      <c r="M82" s="78"/>
      <c r="N82" s="78"/>
      <c r="O82" s="78"/>
      <c r="P82" s="78"/>
      <c r="Q82" s="78"/>
      <c r="R82" s="78"/>
      <c r="S82" s="78"/>
      <c r="T82" s="78"/>
      <c r="U82" s="78"/>
      <c r="V82" s="78"/>
      <c r="W82" s="78"/>
      <c r="X82" s="78"/>
      <c r="Y82" s="78"/>
    </row>
    <row r="83" spans="1:25" x14ac:dyDescent="0.25">
      <c r="A83" s="112" t="s">
        <v>682</v>
      </c>
      <c r="B83" s="78"/>
      <c r="C83" s="114"/>
      <c r="D83" s="78"/>
      <c r="E83" s="78"/>
      <c r="F83" s="78"/>
      <c r="G83" s="78"/>
      <c r="H83" s="78"/>
      <c r="I83" s="78"/>
      <c r="J83" s="78"/>
      <c r="K83" s="78"/>
      <c r="L83" s="78"/>
      <c r="M83" s="78"/>
      <c r="N83" s="78"/>
      <c r="O83" s="78"/>
      <c r="P83" s="78"/>
      <c r="Q83" s="78"/>
      <c r="R83" s="78"/>
      <c r="S83" s="78"/>
      <c r="T83" s="78"/>
      <c r="U83" s="78"/>
      <c r="V83" s="78"/>
      <c r="W83" s="78"/>
      <c r="X83" s="78"/>
      <c r="Y83" s="78"/>
    </row>
    <row r="84" spans="1:25" x14ac:dyDescent="0.25">
      <c r="A84" s="112" t="s">
        <v>682</v>
      </c>
      <c r="B84" s="78"/>
      <c r="C84" s="114"/>
      <c r="D84" s="78"/>
      <c r="E84" s="78"/>
      <c r="F84" s="78"/>
      <c r="G84" s="78"/>
      <c r="H84" s="78"/>
      <c r="I84" s="78"/>
      <c r="J84" s="78"/>
      <c r="K84" s="78"/>
      <c r="L84" s="78"/>
      <c r="M84" s="78"/>
      <c r="N84" s="78"/>
      <c r="O84" s="78"/>
      <c r="P84" s="78"/>
      <c r="Q84" s="78"/>
      <c r="R84" s="78"/>
      <c r="S84" s="78"/>
      <c r="T84" s="78"/>
      <c r="U84" s="78"/>
      <c r="V84" s="78"/>
      <c r="W84" s="78"/>
      <c r="X84" s="78"/>
      <c r="Y84" s="78"/>
    </row>
    <row r="85" spans="1:25" x14ac:dyDescent="0.25">
      <c r="A85" s="112" t="s">
        <v>682</v>
      </c>
      <c r="B85" s="78"/>
      <c r="C85" s="114"/>
      <c r="D85" s="78"/>
      <c r="E85" s="78"/>
      <c r="F85" s="78"/>
      <c r="G85" s="78"/>
      <c r="H85" s="78"/>
      <c r="I85" s="78"/>
      <c r="J85" s="78"/>
      <c r="K85" s="78"/>
      <c r="L85" s="78"/>
      <c r="M85" s="78"/>
      <c r="N85" s="78"/>
      <c r="O85" s="78"/>
      <c r="P85" s="78"/>
      <c r="Q85" s="78"/>
      <c r="R85" s="78"/>
      <c r="S85" s="78"/>
      <c r="T85" s="78"/>
      <c r="U85" s="78"/>
      <c r="V85" s="78"/>
      <c r="W85" s="78"/>
      <c r="X85" s="78"/>
      <c r="Y85" s="78"/>
    </row>
    <row r="86" spans="1:25" x14ac:dyDescent="0.25">
      <c r="A86" s="112" t="s">
        <v>682</v>
      </c>
      <c r="B86" s="78"/>
      <c r="C86" s="114"/>
      <c r="D86" s="78"/>
      <c r="E86" s="78"/>
      <c r="F86" s="78"/>
      <c r="G86" s="78"/>
      <c r="H86" s="78"/>
      <c r="I86" s="78"/>
      <c r="J86" s="78"/>
      <c r="K86" s="78"/>
      <c r="L86" s="78"/>
      <c r="M86" s="78"/>
      <c r="N86" s="78"/>
      <c r="O86" s="78"/>
      <c r="P86" s="78"/>
      <c r="Q86" s="78"/>
      <c r="R86" s="78"/>
      <c r="S86" s="78"/>
      <c r="T86" s="78"/>
      <c r="U86" s="78"/>
      <c r="V86" s="78"/>
      <c r="W86" s="78"/>
      <c r="X86" s="78"/>
      <c r="Y86" s="78"/>
    </row>
    <row r="87" spans="1:25" x14ac:dyDescent="0.25">
      <c r="A87" s="112" t="s">
        <v>682</v>
      </c>
      <c r="B87" s="78"/>
      <c r="C87" s="114"/>
      <c r="D87" s="78"/>
      <c r="E87" s="78"/>
      <c r="F87" s="78"/>
      <c r="G87" s="78"/>
      <c r="H87" s="78"/>
      <c r="I87" s="78"/>
      <c r="J87" s="78"/>
      <c r="K87" s="78"/>
      <c r="L87" s="78"/>
      <c r="M87" s="78"/>
      <c r="N87" s="78"/>
      <c r="O87" s="78"/>
      <c r="P87" s="78"/>
      <c r="Q87" s="78"/>
      <c r="R87" s="78"/>
      <c r="S87" s="78"/>
      <c r="T87" s="78"/>
      <c r="U87" s="78"/>
      <c r="V87" s="78"/>
      <c r="W87" s="78"/>
      <c r="X87" s="78"/>
      <c r="Y87" s="78"/>
    </row>
    <row r="88" spans="1:25" x14ac:dyDescent="0.25">
      <c r="A88" s="112" t="s">
        <v>682</v>
      </c>
      <c r="B88" s="78"/>
      <c r="C88" s="114"/>
      <c r="D88" s="78"/>
      <c r="E88" s="78"/>
      <c r="F88" s="78"/>
      <c r="G88" s="78"/>
      <c r="H88" s="78"/>
      <c r="I88" s="78"/>
      <c r="J88" s="78"/>
      <c r="K88" s="78"/>
      <c r="L88" s="78"/>
      <c r="M88" s="78"/>
      <c r="N88" s="78"/>
      <c r="O88" s="78"/>
      <c r="P88" s="78"/>
      <c r="Q88" s="78"/>
      <c r="R88" s="78"/>
      <c r="S88" s="78"/>
      <c r="T88" s="78"/>
      <c r="U88" s="78"/>
      <c r="V88" s="78"/>
      <c r="W88" s="78"/>
      <c r="X88" s="78"/>
      <c r="Y88" s="78"/>
    </row>
    <row r="89" spans="1:25" x14ac:dyDescent="0.25">
      <c r="A89" s="112" t="s">
        <v>682</v>
      </c>
      <c r="B89" s="78"/>
      <c r="C89" s="114"/>
      <c r="D89" s="78"/>
      <c r="E89" s="78"/>
      <c r="F89" s="78"/>
      <c r="G89" s="78"/>
      <c r="H89" s="78"/>
      <c r="I89" s="78"/>
      <c r="J89" s="78"/>
      <c r="K89" s="78"/>
      <c r="L89" s="78"/>
      <c r="M89" s="78"/>
      <c r="N89" s="78"/>
      <c r="O89" s="78"/>
      <c r="P89" s="78"/>
      <c r="Q89" s="78"/>
      <c r="R89" s="78"/>
      <c r="S89" s="78"/>
      <c r="T89" s="78"/>
      <c r="U89" s="78"/>
      <c r="V89" s="78"/>
      <c r="W89" s="78"/>
      <c r="X89" s="78"/>
      <c r="Y89" s="78"/>
    </row>
    <row r="90" spans="1:25" x14ac:dyDescent="0.25">
      <c r="A90" s="112" t="s">
        <v>682</v>
      </c>
      <c r="B90" s="78"/>
      <c r="C90" s="114"/>
      <c r="D90" s="78"/>
      <c r="E90" s="78"/>
      <c r="F90" s="78"/>
      <c r="G90" s="78"/>
      <c r="H90" s="78"/>
      <c r="I90" s="78"/>
      <c r="J90" s="78"/>
      <c r="K90" s="78"/>
      <c r="L90" s="78"/>
      <c r="M90" s="78"/>
      <c r="N90" s="78"/>
      <c r="O90" s="78"/>
      <c r="P90" s="78"/>
      <c r="Q90" s="78"/>
      <c r="R90" s="78"/>
      <c r="S90" s="78"/>
      <c r="T90" s="78"/>
      <c r="U90" s="78"/>
      <c r="V90" s="78"/>
      <c r="W90" s="78"/>
      <c r="X90" s="78"/>
      <c r="Y90" s="78"/>
    </row>
    <row r="91" spans="1:25" x14ac:dyDescent="0.25">
      <c r="A91" s="112" t="s">
        <v>682</v>
      </c>
      <c r="B91" s="78"/>
      <c r="C91" s="114"/>
      <c r="D91" s="78"/>
      <c r="E91" s="78"/>
      <c r="F91" s="78"/>
      <c r="G91" s="78"/>
      <c r="H91" s="78"/>
      <c r="I91" s="78"/>
      <c r="J91" s="78"/>
      <c r="K91" s="78"/>
      <c r="L91" s="78"/>
      <c r="M91" s="78"/>
      <c r="N91" s="78"/>
      <c r="O91" s="78"/>
      <c r="P91" s="78"/>
      <c r="Q91" s="78"/>
      <c r="R91" s="78"/>
      <c r="S91" s="78"/>
      <c r="T91" s="78"/>
      <c r="U91" s="78"/>
      <c r="V91" s="78"/>
      <c r="W91" s="78"/>
      <c r="X91" s="78"/>
      <c r="Y91" s="78"/>
    </row>
    <row r="92" spans="1:25" x14ac:dyDescent="0.25">
      <c r="A92" s="112" t="s">
        <v>682</v>
      </c>
      <c r="B92" s="78"/>
      <c r="C92" s="114"/>
      <c r="D92" s="78"/>
      <c r="E92" s="78"/>
      <c r="F92" s="78"/>
      <c r="G92" s="78"/>
      <c r="H92" s="78"/>
      <c r="I92" s="78"/>
      <c r="J92" s="78"/>
      <c r="K92" s="78"/>
      <c r="L92" s="78"/>
      <c r="M92" s="78"/>
      <c r="N92" s="78"/>
      <c r="O92" s="78"/>
      <c r="P92" s="78"/>
      <c r="Q92" s="78"/>
      <c r="R92" s="78"/>
      <c r="S92" s="78"/>
      <c r="T92" s="78"/>
      <c r="U92" s="78"/>
      <c r="V92" s="78"/>
      <c r="W92" s="78"/>
      <c r="X92" s="78"/>
      <c r="Y92" s="78"/>
    </row>
    <row r="93" spans="1:25" x14ac:dyDescent="0.25">
      <c r="A93" s="112" t="s">
        <v>682</v>
      </c>
      <c r="B93" s="78"/>
      <c r="C93" s="114"/>
      <c r="D93" s="78"/>
      <c r="E93" s="78"/>
      <c r="F93" s="78"/>
      <c r="G93" s="78"/>
      <c r="H93" s="78"/>
      <c r="I93" s="78"/>
      <c r="J93" s="78"/>
      <c r="K93" s="78"/>
      <c r="L93" s="78"/>
      <c r="M93" s="78"/>
      <c r="N93" s="78"/>
      <c r="O93" s="78"/>
      <c r="P93" s="78"/>
      <c r="Q93" s="78"/>
      <c r="R93" s="78"/>
      <c r="S93" s="78"/>
      <c r="T93" s="78"/>
      <c r="U93" s="78"/>
      <c r="V93" s="78"/>
      <c r="W93" s="78"/>
      <c r="X93" s="78"/>
      <c r="Y93" s="78"/>
    </row>
    <row r="94" spans="1:25" x14ac:dyDescent="0.25">
      <c r="A94" s="112" t="s">
        <v>682</v>
      </c>
      <c r="B94" s="78"/>
      <c r="C94" s="114"/>
      <c r="D94" s="78"/>
      <c r="E94" s="78"/>
      <c r="F94" s="78"/>
      <c r="G94" s="78"/>
      <c r="H94" s="78"/>
      <c r="I94" s="78"/>
      <c r="J94" s="78"/>
      <c r="K94" s="78"/>
      <c r="L94" s="78"/>
      <c r="M94" s="78"/>
      <c r="N94" s="78"/>
      <c r="O94" s="78"/>
      <c r="P94" s="78"/>
      <c r="Q94" s="78"/>
      <c r="R94" s="78"/>
      <c r="S94" s="78"/>
      <c r="T94" s="78"/>
      <c r="U94" s="78"/>
      <c r="V94" s="78"/>
      <c r="W94" s="78"/>
      <c r="X94" s="78"/>
      <c r="Y94" s="78"/>
    </row>
    <row r="95" spans="1:25" x14ac:dyDescent="0.25">
      <c r="A95" s="112" t="s">
        <v>682</v>
      </c>
      <c r="B95" s="78"/>
      <c r="C95" s="114"/>
      <c r="D95" s="78"/>
      <c r="E95" s="78"/>
      <c r="F95" s="78"/>
      <c r="G95" s="78"/>
      <c r="H95" s="78"/>
      <c r="I95" s="78"/>
      <c r="J95" s="78"/>
      <c r="K95" s="78"/>
      <c r="L95" s="78"/>
      <c r="M95" s="78"/>
      <c r="N95" s="78"/>
      <c r="O95" s="78"/>
      <c r="P95" s="78"/>
      <c r="Q95" s="78"/>
      <c r="R95" s="78"/>
      <c r="S95" s="78"/>
      <c r="T95" s="78"/>
      <c r="U95" s="78"/>
      <c r="V95" s="78"/>
      <c r="W95" s="78"/>
      <c r="X95" s="78"/>
      <c r="Y95" s="78"/>
    </row>
    <row r="96" spans="1:25" x14ac:dyDescent="0.25">
      <c r="A96" s="112" t="s">
        <v>682</v>
      </c>
      <c r="B96" s="78"/>
      <c r="C96" s="114"/>
      <c r="D96" s="78"/>
      <c r="E96" s="78"/>
      <c r="F96" s="78"/>
      <c r="G96" s="78"/>
      <c r="H96" s="78"/>
      <c r="I96" s="78"/>
      <c r="J96" s="78"/>
      <c r="K96" s="78"/>
      <c r="L96" s="78"/>
      <c r="M96" s="78"/>
      <c r="N96" s="78"/>
      <c r="O96" s="78"/>
      <c r="P96" s="78"/>
      <c r="Q96" s="78"/>
      <c r="R96" s="78"/>
      <c r="S96" s="78"/>
      <c r="T96" s="78"/>
      <c r="U96" s="78"/>
      <c r="V96" s="78"/>
      <c r="W96" s="78"/>
      <c r="X96" s="78"/>
      <c r="Y96" s="78"/>
    </row>
    <row r="97" spans="1:25" x14ac:dyDescent="0.25">
      <c r="A97" s="112" t="s">
        <v>682</v>
      </c>
      <c r="B97" s="78"/>
      <c r="C97" s="114"/>
      <c r="D97" s="78"/>
      <c r="E97" s="78"/>
      <c r="F97" s="78"/>
      <c r="G97" s="78"/>
      <c r="H97" s="78"/>
      <c r="I97" s="78"/>
      <c r="J97" s="78"/>
      <c r="K97" s="78"/>
      <c r="L97" s="78"/>
      <c r="M97" s="78"/>
      <c r="N97" s="78"/>
      <c r="O97" s="78"/>
      <c r="P97" s="78"/>
      <c r="Q97" s="78"/>
      <c r="R97" s="78"/>
      <c r="S97" s="78"/>
      <c r="T97" s="78"/>
      <c r="U97" s="78"/>
      <c r="V97" s="78"/>
      <c r="W97" s="78"/>
      <c r="X97" s="78"/>
      <c r="Y97" s="78"/>
    </row>
    <row r="98" spans="1:25" x14ac:dyDescent="0.25">
      <c r="A98" s="112" t="s">
        <v>682</v>
      </c>
      <c r="B98" s="78"/>
      <c r="C98" s="114"/>
      <c r="D98" s="78"/>
      <c r="E98" s="78"/>
      <c r="F98" s="78"/>
      <c r="G98" s="78"/>
      <c r="H98" s="78"/>
      <c r="I98" s="78"/>
      <c r="J98" s="78"/>
      <c r="K98" s="78"/>
      <c r="L98" s="78"/>
      <c r="M98" s="78"/>
      <c r="N98" s="78"/>
      <c r="O98" s="78"/>
      <c r="P98" s="78"/>
      <c r="Q98" s="78"/>
      <c r="R98" s="78"/>
      <c r="S98" s="78"/>
      <c r="T98" s="78"/>
      <c r="U98" s="78"/>
      <c r="V98" s="78"/>
      <c r="W98" s="78"/>
      <c r="X98" s="78"/>
      <c r="Y98" s="78"/>
    </row>
    <row r="99" spans="1:25" x14ac:dyDescent="0.25">
      <c r="A99" s="112" t="s">
        <v>682</v>
      </c>
      <c r="B99" s="78"/>
      <c r="C99" s="114"/>
      <c r="D99" s="78"/>
      <c r="E99" s="78"/>
      <c r="F99" s="78"/>
      <c r="G99" s="78"/>
      <c r="H99" s="78"/>
      <c r="I99" s="78"/>
      <c r="J99" s="78"/>
      <c r="K99" s="78"/>
      <c r="L99" s="78"/>
      <c r="M99" s="78"/>
      <c r="N99" s="78"/>
      <c r="O99" s="78"/>
      <c r="P99" s="78"/>
      <c r="Q99" s="78"/>
      <c r="R99" s="78"/>
      <c r="S99" s="78"/>
      <c r="T99" s="78"/>
      <c r="U99" s="78"/>
      <c r="V99" s="78"/>
      <c r="W99" s="78"/>
      <c r="X99" s="78"/>
      <c r="Y99" s="78"/>
    </row>
    <row r="100" spans="1:25" x14ac:dyDescent="0.25">
      <c r="A100" s="112" t="s">
        <v>682</v>
      </c>
      <c r="B100" s="78"/>
      <c r="C100" s="114"/>
      <c r="D100" s="78"/>
      <c r="E100" s="78"/>
      <c r="F100" s="78"/>
      <c r="G100" s="78"/>
      <c r="H100" s="78"/>
      <c r="I100" s="78"/>
      <c r="J100" s="78"/>
      <c r="K100" s="78"/>
      <c r="L100" s="78"/>
      <c r="M100" s="78"/>
      <c r="N100" s="78"/>
      <c r="O100" s="78"/>
      <c r="P100" s="78"/>
      <c r="Q100" s="78"/>
      <c r="R100" s="78"/>
      <c r="S100" s="78"/>
      <c r="T100" s="78"/>
      <c r="U100" s="78"/>
      <c r="V100" s="78"/>
      <c r="W100" s="78"/>
      <c r="X100" s="78"/>
      <c r="Y100" s="78"/>
    </row>
    <row r="101" spans="1:25" x14ac:dyDescent="0.25">
      <c r="A101" s="112" t="s">
        <v>682</v>
      </c>
      <c r="B101" s="78"/>
      <c r="C101" s="114"/>
      <c r="D101" s="78"/>
      <c r="E101" s="78"/>
      <c r="F101" s="78"/>
      <c r="G101" s="78"/>
      <c r="H101" s="78"/>
      <c r="I101" s="78"/>
      <c r="J101" s="78"/>
      <c r="K101" s="78"/>
      <c r="L101" s="78"/>
      <c r="M101" s="78"/>
      <c r="N101" s="78"/>
      <c r="O101" s="78"/>
      <c r="P101" s="78"/>
      <c r="Q101" s="78"/>
      <c r="R101" s="78"/>
      <c r="S101" s="78"/>
      <c r="T101" s="78"/>
      <c r="U101" s="78"/>
      <c r="V101" s="78"/>
      <c r="W101" s="78"/>
      <c r="X101" s="78"/>
      <c r="Y101" s="78"/>
    </row>
    <row r="102" spans="1:25" x14ac:dyDescent="0.25">
      <c r="A102" s="112" t="s">
        <v>682</v>
      </c>
      <c r="B102" s="78"/>
      <c r="C102" s="114"/>
      <c r="D102" s="78"/>
      <c r="E102" s="78"/>
      <c r="F102" s="78"/>
      <c r="G102" s="78"/>
      <c r="H102" s="78"/>
      <c r="I102" s="78"/>
      <c r="J102" s="78"/>
      <c r="K102" s="78"/>
      <c r="L102" s="78"/>
      <c r="M102" s="78"/>
      <c r="N102" s="78"/>
      <c r="O102" s="78"/>
      <c r="P102" s="78"/>
      <c r="Q102" s="78"/>
      <c r="R102" s="78"/>
      <c r="S102" s="78"/>
      <c r="T102" s="78"/>
      <c r="U102" s="78"/>
      <c r="V102" s="78"/>
      <c r="W102" s="78"/>
      <c r="X102" s="78"/>
      <c r="Y102" s="78"/>
    </row>
    <row r="103" spans="1:25" x14ac:dyDescent="0.25">
      <c r="A103" s="112" t="s">
        <v>682</v>
      </c>
      <c r="B103" s="78"/>
      <c r="C103" s="114"/>
      <c r="D103" s="78"/>
      <c r="E103" s="78"/>
      <c r="F103" s="78"/>
      <c r="G103" s="78"/>
      <c r="H103" s="78"/>
      <c r="I103" s="78"/>
      <c r="J103" s="78"/>
      <c r="K103" s="78"/>
      <c r="L103" s="78"/>
      <c r="M103" s="78"/>
      <c r="N103" s="78"/>
      <c r="O103" s="78"/>
      <c r="P103" s="78"/>
      <c r="Q103" s="78"/>
      <c r="R103" s="78"/>
      <c r="S103" s="78"/>
      <c r="T103" s="78"/>
      <c r="U103" s="78"/>
      <c r="V103" s="78"/>
      <c r="W103" s="78"/>
      <c r="X103" s="78"/>
      <c r="Y103" s="78"/>
    </row>
    <row r="104" spans="1:25" x14ac:dyDescent="0.25">
      <c r="A104" s="112" t="s">
        <v>682</v>
      </c>
      <c r="B104" s="78"/>
      <c r="C104" s="114"/>
      <c r="D104" s="78"/>
      <c r="E104" s="78"/>
      <c r="F104" s="78"/>
      <c r="G104" s="78"/>
      <c r="H104" s="78"/>
      <c r="I104" s="78"/>
      <c r="J104" s="78"/>
      <c r="K104" s="78"/>
      <c r="L104" s="78"/>
      <c r="M104" s="78"/>
      <c r="N104" s="78"/>
      <c r="O104" s="78"/>
      <c r="P104" s="78"/>
      <c r="Q104" s="78"/>
      <c r="R104" s="78"/>
      <c r="S104" s="78"/>
      <c r="T104" s="78"/>
      <c r="U104" s="78"/>
      <c r="V104" s="78"/>
      <c r="W104" s="78"/>
      <c r="X104" s="78"/>
      <c r="Y104" s="78"/>
    </row>
    <row r="105" spans="1:25" x14ac:dyDescent="0.25">
      <c r="A105" s="112" t="s">
        <v>682</v>
      </c>
      <c r="B105" s="78"/>
      <c r="C105" s="114"/>
      <c r="D105" s="78"/>
      <c r="E105" s="78"/>
      <c r="F105" s="78"/>
      <c r="G105" s="78"/>
      <c r="H105" s="78"/>
      <c r="I105" s="78"/>
      <c r="J105" s="78"/>
      <c r="K105" s="78"/>
      <c r="L105" s="78"/>
      <c r="M105" s="78"/>
      <c r="N105" s="78"/>
      <c r="O105" s="78"/>
      <c r="P105" s="78"/>
      <c r="Q105" s="78"/>
      <c r="R105" s="78"/>
      <c r="S105" s="78"/>
      <c r="T105" s="78"/>
      <c r="U105" s="78"/>
      <c r="V105" s="78"/>
      <c r="W105" s="78"/>
      <c r="X105" s="78"/>
      <c r="Y105" s="78"/>
    </row>
    <row r="106" spans="1:25" x14ac:dyDescent="0.25">
      <c r="A106" s="112" t="s">
        <v>682</v>
      </c>
      <c r="B106" s="78"/>
      <c r="C106" s="114"/>
      <c r="D106" s="78"/>
      <c r="E106" s="78"/>
      <c r="F106" s="78"/>
      <c r="G106" s="78"/>
      <c r="H106" s="78"/>
      <c r="I106" s="78"/>
      <c r="J106" s="78"/>
      <c r="K106" s="78"/>
      <c r="L106" s="78"/>
      <c r="M106" s="78"/>
      <c r="N106" s="78"/>
      <c r="O106" s="78"/>
      <c r="P106" s="78"/>
      <c r="Q106" s="78"/>
      <c r="R106" s="78"/>
      <c r="S106" s="78"/>
      <c r="T106" s="78"/>
      <c r="U106" s="78"/>
      <c r="V106" s="78"/>
      <c r="W106" s="78"/>
      <c r="X106" s="78"/>
      <c r="Y106" s="78"/>
    </row>
    <row r="107" spans="1:25" x14ac:dyDescent="0.25">
      <c r="A107" s="112" t="s">
        <v>682</v>
      </c>
      <c r="B107" s="78"/>
      <c r="C107" s="114"/>
      <c r="D107" s="78"/>
      <c r="E107" s="78"/>
      <c r="F107" s="78"/>
      <c r="G107" s="78"/>
      <c r="H107" s="78"/>
      <c r="I107" s="78"/>
      <c r="J107" s="78"/>
      <c r="K107" s="78"/>
      <c r="L107" s="78"/>
      <c r="M107" s="78"/>
      <c r="N107" s="78"/>
      <c r="O107" s="78"/>
      <c r="P107" s="78"/>
      <c r="Q107" s="78"/>
      <c r="R107" s="78"/>
      <c r="S107" s="78"/>
      <c r="T107" s="78"/>
      <c r="U107" s="78"/>
      <c r="V107" s="78"/>
      <c r="W107" s="78"/>
      <c r="X107" s="78"/>
      <c r="Y107" s="78"/>
    </row>
    <row r="108" spans="1:25" x14ac:dyDescent="0.25">
      <c r="A108" s="112" t="s">
        <v>682</v>
      </c>
      <c r="B108" s="78"/>
      <c r="C108" s="114"/>
      <c r="D108" s="78"/>
      <c r="E108" s="78"/>
      <c r="F108" s="78"/>
      <c r="G108" s="78"/>
      <c r="H108" s="78"/>
      <c r="I108" s="78"/>
      <c r="J108" s="78"/>
      <c r="K108" s="78"/>
      <c r="L108" s="78"/>
      <c r="M108" s="78"/>
      <c r="N108" s="78"/>
      <c r="O108" s="78"/>
      <c r="P108" s="78"/>
      <c r="Q108" s="78"/>
      <c r="R108" s="78"/>
      <c r="S108" s="78"/>
      <c r="T108" s="78"/>
      <c r="U108" s="78"/>
      <c r="V108" s="78"/>
      <c r="W108" s="78"/>
      <c r="X108" s="78"/>
      <c r="Y108" s="78"/>
    </row>
    <row r="109" spans="1:25" x14ac:dyDescent="0.25">
      <c r="A109" s="112" t="s">
        <v>682</v>
      </c>
      <c r="B109" s="78"/>
      <c r="C109" s="114"/>
      <c r="D109" s="78"/>
      <c r="E109" s="78"/>
      <c r="F109" s="78"/>
      <c r="G109" s="78"/>
      <c r="H109" s="78"/>
      <c r="I109" s="78"/>
      <c r="J109" s="78"/>
      <c r="K109" s="78"/>
      <c r="L109" s="78"/>
      <c r="M109" s="78"/>
      <c r="N109" s="78"/>
      <c r="O109" s="78"/>
      <c r="P109" s="78"/>
      <c r="Q109" s="78"/>
      <c r="R109" s="78"/>
      <c r="S109" s="78"/>
      <c r="T109" s="78"/>
      <c r="U109" s="78"/>
      <c r="V109" s="78"/>
      <c r="W109" s="78"/>
      <c r="X109" s="78"/>
      <c r="Y109" s="78"/>
    </row>
    <row r="110" spans="1:25" x14ac:dyDescent="0.25">
      <c r="A110" s="112" t="s">
        <v>682</v>
      </c>
      <c r="B110" s="78"/>
      <c r="C110" s="114"/>
      <c r="D110" s="78"/>
      <c r="E110" s="78"/>
      <c r="F110" s="78"/>
      <c r="G110" s="78"/>
      <c r="H110" s="78"/>
      <c r="I110" s="78"/>
      <c r="J110" s="78"/>
      <c r="K110" s="78"/>
      <c r="L110" s="78"/>
      <c r="M110" s="78"/>
      <c r="N110" s="78"/>
      <c r="O110" s="78"/>
      <c r="P110" s="78"/>
      <c r="Q110" s="78"/>
      <c r="R110" s="78"/>
      <c r="S110" s="78"/>
      <c r="T110" s="78"/>
      <c r="U110" s="78"/>
      <c r="V110" s="78"/>
      <c r="W110" s="78"/>
      <c r="X110" s="78"/>
      <c r="Y110" s="78"/>
    </row>
    <row r="111" spans="1:25" x14ac:dyDescent="0.25">
      <c r="A111" s="112" t="s">
        <v>682</v>
      </c>
      <c r="B111" s="78"/>
      <c r="C111" s="114"/>
      <c r="D111" s="78"/>
      <c r="E111" s="78"/>
      <c r="F111" s="78"/>
      <c r="G111" s="78"/>
      <c r="H111" s="78"/>
      <c r="I111" s="78"/>
      <c r="J111" s="78"/>
      <c r="K111" s="78"/>
      <c r="L111" s="78"/>
      <c r="M111" s="78"/>
      <c r="N111" s="78"/>
      <c r="O111" s="78"/>
      <c r="P111" s="78"/>
      <c r="Q111" s="78"/>
      <c r="R111" s="78"/>
      <c r="S111" s="78"/>
      <c r="T111" s="78"/>
      <c r="U111" s="78"/>
      <c r="V111" s="78"/>
      <c r="W111" s="78"/>
      <c r="X111" s="78"/>
      <c r="Y111" s="78"/>
    </row>
    <row r="112" spans="1:25" x14ac:dyDescent="0.25">
      <c r="A112" s="112" t="s">
        <v>682</v>
      </c>
      <c r="B112" s="78"/>
      <c r="C112" s="114"/>
      <c r="D112" s="78"/>
      <c r="E112" s="78"/>
      <c r="F112" s="78"/>
      <c r="G112" s="78"/>
      <c r="H112" s="78"/>
      <c r="I112" s="78"/>
      <c r="J112" s="78"/>
      <c r="K112" s="78"/>
      <c r="L112" s="78"/>
      <c r="M112" s="78"/>
      <c r="N112" s="78"/>
      <c r="O112" s="78"/>
      <c r="P112" s="78"/>
      <c r="Q112" s="78"/>
      <c r="R112" s="78"/>
      <c r="S112" s="78"/>
      <c r="T112" s="78"/>
      <c r="U112" s="78"/>
      <c r="V112" s="78"/>
      <c r="W112" s="78"/>
      <c r="X112" s="78"/>
      <c r="Y112" s="78"/>
    </row>
    <row r="113" spans="1:25" x14ac:dyDescent="0.25">
      <c r="A113" s="112" t="s">
        <v>682</v>
      </c>
      <c r="B113" s="78"/>
      <c r="C113" s="114"/>
      <c r="D113" s="78"/>
      <c r="E113" s="78"/>
      <c r="F113" s="78"/>
      <c r="G113" s="78"/>
      <c r="H113" s="78"/>
      <c r="I113" s="78"/>
      <c r="J113" s="78"/>
      <c r="K113" s="78"/>
      <c r="L113" s="78"/>
      <c r="M113" s="78"/>
      <c r="N113" s="78"/>
      <c r="O113" s="78"/>
      <c r="P113" s="78"/>
      <c r="Q113" s="78"/>
      <c r="R113" s="78"/>
      <c r="S113" s="78"/>
      <c r="T113" s="78"/>
      <c r="U113" s="78"/>
      <c r="V113" s="78"/>
      <c r="W113" s="78"/>
      <c r="X113" s="78"/>
      <c r="Y113" s="78"/>
    </row>
    <row r="114" spans="1:25" x14ac:dyDescent="0.25">
      <c r="A114" s="112" t="s">
        <v>682</v>
      </c>
      <c r="B114" s="78"/>
      <c r="C114" s="114"/>
      <c r="D114" s="78"/>
      <c r="E114" s="78"/>
      <c r="F114" s="78"/>
      <c r="G114" s="78"/>
      <c r="H114" s="78"/>
      <c r="I114" s="78"/>
      <c r="J114" s="78"/>
      <c r="K114" s="78"/>
      <c r="L114" s="78"/>
      <c r="M114" s="78"/>
      <c r="N114" s="78"/>
      <c r="O114" s="78"/>
      <c r="P114" s="78"/>
      <c r="Q114" s="78"/>
      <c r="R114" s="78"/>
      <c r="S114" s="78"/>
      <c r="T114" s="78"/>
      <c r="U114" s="78"/>
      <c r="V114" s="78"/>
      <c r="W114" s="78"/>
      <c r="X114" s="78"/>
      <c r="Y114" s="78"/>
    </row>
    <row r="115" spans="1:25" x14ac:dyDescent="0.25">
      <c r="A115" s="112" t="s">
        <v>682</v>
      </c>
      <c r="B115" s="78"/>
      <c r="C115" s="114"/>
      <c r="D115" s="78"/>
      <c r="E115" s="78"/>
      <c r="F115" s="78"/>
      <c r="G115" s="78"/>
      <c r="H115" s="78"/>
      <c r="I115" s="78"/>
      <c r="J115" s="78"/>
      <c r="K115" s="78"/>
      <c r="L115" s="78"/>
      <c r="M115" s="78"/>
      <c r="N115" s="78"/>
      <c r="O115" s="78"/>
      <c r="P115" s="78"/>
      <c r="Q115" s="78"/>
      <c r="R115" s="78"/>
      <c r="S115" s="78"/>
      <c r="T115" s="78"/>
      <c r="U115" s="78"/>
      <c r="V115" s="78"/>
      <c r="W115" s="78"/>
      <c r="X115" s="78"/>
      <c r="Y115" s="78"/>
    </row>
    <row r="116" spans="1:25" x14ac:dyDescent="0.25">
      <c r="A116" s="112" t="s">
        <v>682</v>
      </c>
      <c r="B116" s="78"/>
      <c r="C116" s="114"/>
      <c r="D116" s="78"/>
      <c r="E116" s="78"/>
      <c r="F116" s="78"/>
      <c r="G116" s="78"/>
      <c r="H116" s="78"/>
      <c r="I116" s="78"/>
      <c r="J116" s="78"/>
      <c r="K116" s="78"/>
      <c r="L116" s="78"/>
      <c r="M116" s="78"/>
      <c r="N116" s="78"/>
      <c r="O116" s="78"/>
      <c r="P116" s="78"/>
      <c r="Q116" s="78"/>
      <c r="R116" s="78"/>
      <c r="S116" s="78"/>
      <c r="T116" s="78"/>
      <c r="U116" s="78"/>
      <c r="V116" s="78"/>
      <c r="W116" s="78"/>
      <c r="X116" s="78"/>
      <c r="Y116" s="78"/>
    </row>
    <row r="117" spans="1:25" x14ac:dyDescent="0.25">
      <c r="A117" s="112" t="s">
        <v>682</v>
      </c>
      <c r="B117" s="78"/>
      <c r="C117" s="114"/>
      <c r="D117" s="78"/>
      <c r="E117" s="78"/>
      <c r="F117" s="78"/>
      <c r="G117" s="78"/>
      <c r="H117" s="78"/>
      <c r="I117" s="78"/>
      <c r="J117" s="78"/>
      <c r="K117" s="78"/>
      <c r="L117" s="78"/>
      <c r="M117" s="78"/>
      <c r="N117" s="78"/>
      <c r="O117" s="78"/>
      <c r="P117" s="78"/>
      <c r="Q117" s="78"/>
      <c r="R117" s="78"/>
      <c r="S117" s="78"/>
      <c r="T117" s="78"/>
      <c r="U117" s="78"/>
      <c r="V117" s="78"/>
      <c r="W117" s="78"/>
      <c r="X117" s="78"/>
      <c r="Y117" s="78"/>
    </row>
    <row r="118" spans="1:25" x14ac:dyDescent="0.25">
      <c r="A118" s="112" t="s">
        <v>682</v>
      </c>
      <c r="B118" s="78"/>
      <c r="C118" s="114"/>
      <c r="D118" s="78"/>
      <c r="E118" s="78"/>
      <c r="F118" s="78"/>
      <c r="G118" s="78"/>
      <c r="H118" s="78"/>
      <c r="I118" s="78"/>
      <c r="J118" s="78"/>
      <c r="K118" s="78"/>
      <c r="L118" s="78"/>
      <c r="M118" s="78"/>
      <c r="N118" s="78"/>
      <c r="O118" s="78"/>
      <c r="P118" s="78"/>
      <c r="Q118" s="78"/>
      <c r="R118" s="78"/>
      <c r="S118" s="78"/>
      <c r="T118" s="78"/>
      <c r="U118" s="78"/>
      <c r="V118" s="78"/>
      <c r="W118" s="78"/>
      <c r="X118" s="78"/>
      <c r="Y118" s="78"/>
    </row>
    <row r="119" spans="1:25" x14ac:dyDescent="0.25">
      <c r="A119" s="112" t="s">
        <v>682</v>
      </c>
      <c r="B119" s="78"/>
      <c r="C119" s="114"/>
      <c r="D119" s="78"/>
      <c r="E119" s="78"/>
      <c r="F119" s="78"/>
      <c r="G119" s="78"/>
      <c r="H119" s="78"/>
      <c r="I119" s="78"/>
      <c r="J119" s="78"/>
      <c r="K119" s="78"/>
      <c r="L119" s="78"/>
      <c r="M119" s="78"/>
      <c r="N119" s="78"/>
      <c r="O119" s="78"/>
      <c r="P119" s="78"/>
      <c r="Q119" s="78"/>
      <c r="R119" s="78"/>
      <c r="S119" s="78"/>
      <c r="T119" s="78"/>
      <c r="U119" s="78"/>
      <c r="V119" s="78"/>
      <c r="W119" s="78"/>
      <c r="X119" s="78"/>
      <c r="Y119" s="78"/>
    </row>
    <row r="120" spans="1:25" x14ac:dyDescent="0.25">
      <c r="A120" s="112" t="s">
        <v>682</v>
      </c>
      <c r="B120" s="78"/>
      <c r="C120" s="114"/>
      <c r="D120" s="78"/>
      <c r="E120" s="78"/>
      <c r="F120" s="78"/>
      <c r="G120" s="78"/>
      <c r="H120" s="78"/>
      <c r="I120" s="78"/>
      <c r="J120" s="78"/>
      <c r="K120" s="78"/>
      <c r="L120" s="78"/>
      <c r="M120" s="78"/>
      <c r="N120" s="78"/>
      <c r="O120" s="78"/>
      <c r="P120" s="78"/>
      <c r="Q120" s="78"/>
      <c r="R120" s="78"/>
      <c r="S120" s="78"/>
      <c r="T120" s="78"/>
      <c r="U120" s="78"/>
      <c r="V120" s="78"/>
      <c r="W120" s="78"/>
      <c r="X120" s="78"/>
      <c r="Y120" s="78"/>
    </row>
    <row r="121" spans="1:25" x14ac:dyDescent="0.25">
      <c r="A121" s="112" t="s">
        <v>682</v>
      </c>
      <c r="B121" s="78"/>
      <c r="C121" s="114"/>
      <c r="D121" s="78"/>
      <c r="E121" s="78"/>
      <c r="F121" s="78"/>
      <c r="G121" s="78"/>
      <c r="H121" s="78"/>
      <c r="I121" s="78"/>
      <c r="J121" s="78"/>
      <c r="K121" s="78"/>
      <c r="L121" s="78"/>
      <c r="M121" s="78"/>
      <c r="N121" s="78"/>
      <c r="O121" s="78"/>
      <c r="P121" s="78"/>
      <c r="Q121" s="78"/>
      <c r="R121" s="78"/>
      <c r="S121" s="78"/>
      <c r="T121" s="78"/>
      <c r="U121" s="78"/>
      <c r="V121" s="78"/>
      <c r="W121" s="78"/>
      <c r="X121" s="78"/>
      <c r="Y121" s="78"/>
    </row>
    <row r="122" spans="1:25" x14ac:dyDescent="0.25">
      <c r="A122" s="112" t="s">
        <v>682</v>
      </c>
      <c r="B122" s="78"/>
      <c r="C122" s="114"/>
      <c r="D122" s="78"/>
      <c r="E122" s="78"/>
      <c r="F122" s="78"/>
      <c r="G122" s="78"/>
      <c r="H122" s="78"/>
      <c r="I122" s="78"/>
      <c r="J122" s="78"/>
      <c r="K122" s="78"/>
      <c r="L122" s="78"/>
      <c r="M122" s="78"/>
      <c r="N122" s="78"/>
      <c r="O122" s="78"/>
      <c r="P122" s="78"/>
      <c r="Q122" s="78"/>
      <c r="R122" s="78"/>
      <c r="S122" s="78"/>
      <c r="T122" s="78"/>
      <c r="U122" s="78"/>
      <c r="V122" s="78"/>
      <c r="W122" s="78"/>
      <c r="X122" s="78"/>
      <c r="Y122" s="78"/>
    </row>
    <row r="123" spans="1:25" x14ac:dyDescent="0.25">
      <c r="A123" s="112" t="s">
        <v>682</v>
      </c>
      <c r="B123" s="78"/>
      <c r="C123" s="114"/>
      <c r="D123" s="78"/>
      <c r="E123" s="78"/>
      <c r="F123" s="78"/>
      <c r="G123" s="78"/>
      <c r="H123" s="78"/>
      <c r="I123" s="78"/>
      <c r="J123" s="78"/>
      <c r="K123" s="78"/>
      <c r="L123" s="78"/>
      <c r="M123" s="78"/>
      <c r="N123" s="78"/>
      <c r="O123" s="78"/>
      <c r="P123" s="78"/>
      <c r="Q123" s="78"/>
      <c r="R123" s="78"/>
      <c r="S123" s="78"/>
      <c r="T123" s="78"/>
      <c r="U123" s="78"/>
      <c r="V123" s="78"/>
      <c r="W123" s="78"/>
      <c r="X123" s="78"/>
      <c r="Y123" s="78"/>
    </row>
    <row r="124" spans="1:25" x14ac:dyDescent="0.25">
      <c r="A124" s="112" t="s">
        <v>682</v>
      </c>
      <c r="B124" s="78"/>
      <c r="C124" s="114"/>
      <c r="D124" s="78"/>
      <c r="E124" s="78"/>
      <c r="F124" s="78"/>
      <c r="G124" s="78"/>
      <c r="H124" s="78"/>
      <c r="I124" s="78"/>
      <c r="J124" s="78"/>
      <c r="K124" s="78"/>
      <c r="L124" s="78"/>
      <c r="M124" s="78"/>
      <c r="N124" s="78"/>
      <c r="O124" s="78"/>
      <c r="P124" s="78"/>
      <c r="Q124" s="78"/>
      <c r="R124" s="78"/>
      <c r="S124" s="78"/>
      <c r="T124" s="78"/>
      <c r="U124" s="78"/>
      <c r="V124" s="78"/>
      <c r="W124" s="78"/>
      <c r="X124" s="78"/>
      <c r="Y124" s="78"/>
    </row>
    <row r="125" spans="1:25" x14ac:dyDescent="0.25">
      <c r="A125" s="112" t="s">
        <v>682</v>
      </c>
      <c r="B125" s="78"/>
      <c r="C125" s="114"/>
      <c r="D125" s="78"/>
      <c r="E125" s="78"/>
      <c r="F125" s="78"/>
      <c r="G125" s="78"/>
      <c r="H125" s="78"/>
      <c r="I125" s="78"/>
      <c r="J125" s="78"/>
      <c r="K125" s="78"/>
      <c r="L125" s="78"/>
      <c r="M125" s="78"/>
      <c r="N125" s="78"/>
      <c r="O125" s="78"/>
      <c r="P125" s="78"/>
      <c r="Q125" s="78"/>
      <c r="R125" s="78"/>
      <c r="S125" s="78"/>
      <c r="T125" s="78"/>
      <c r="U125" s="78"/>
      <c r="V125" s="78"/>
      <c r="W125" s="78"/>
      <c r="X125" s="78"/>
      <c r="Y125" s="78"/>
    </row>
    <row r="126" spans="1:25" x14ac:dyDescent="0.25">
      <c r="A126" s="112" t="s">
        <v>682</v>
      </c>
      <c r="B126" s="78"/>
      <c r="C126" s="114"/>
      <c r="D126" s="78"/>
      <c r="E126" s="78"/>
      <c r="F126" s="78"/>
      <c r="G126" s="78"/>
      <c r="H126" s="78"/>
      <c r="I126" s="78"/>
      <c r="J126" s="78"/>
      <c r="K126" s="78"/>
      <c r="L126" s="78"/>
      <c r="M126" s="78"/>
      <c r="N126" s="78"/>
      <c r="O126" s="78"/>
      <c r="P126" s="78"/>
      <c r="Q126" s="78"/>
      <c r="R126" s="78"/>
      <c r="S126" s="78"/>
      <c r="T126" s="78"/>
      <c r="U126" s="78"/>
      <c r="V126" s="78"/>
      <c r="W126" s="78"/>
      <c r="X126" s="78"/>
      <c r="Y126" s="78"/>
    </row>
    <row r="127" spans="1:25" x14ac:dyDescent="0.25">
      <c r="A127" s="112" t="s">
        <v>682</v>
      </c>
      <c r="B127" s="78"/>
      <c r="C127" s="114"/>
      <c r="D127" s="78"/>
      <c r="E127" s="78"/>
      <c r="F127" s="78"/>
      <c r="G127" s="78"/>
      <c r="H127" s="78"/>
      <c r="I127" s="78"/>
      <c r="J127" s="78"/>
      <c r="K127" s="78"/>
      <c r="L127" s="78"/>
      <c r="M127" s="78"/>
      <c r="N127" s="78"/>
      <c r="O127" s="78"/>
      <c r="P127" s="78"/>
      <c r="Q127" s="78"/>
      <c r="R127" s="78"/>
      <c r="S127" s="78"/>
      <c r="T127" s="78"/>
      <c r="U127" s="78"/>
      <c r="V127" s="78"/>
      <c r="W127" s="78"/>
      <c r="X127" s="78"/>
      <c r="Y127" s="78"/>
    </row>
    <row r="128" spans="1:25" x14ac:dyDescent="0.25">
      <c r="A128" s="112" t="s">
        <v>682</v>
      </c>
      <c r="B128" s="78"/>
      <c r="C128" s="114"/>
      <c r="D128" s="78"/>
      <c r="E128" s="78"/>
      <c r="F128" s="78"/>
      <c r="G128" s="78"/>
      <c r="H128" s="78"/>
      <c r="I128" s="78"/>
      <c r="J128" s="78"/>
      <c r="K128" s="78"/>
      <c r="L128" s="78"/>
      <c r="M128" s="78"/>
      <c r="N128" s="78"/>
      <c r="O128" s="78"/>
      <c r="P128" s="78"/>
      <c r="Q128" s="78"/>
      <c r="R128" s="78"/>
      <c r="S128" s="78"/>
      <c r="T128" s="78"/>
      <c r="U128" s="78"/>
      <c r="V128" s="78"/>
      <c r="W128" s="78"/>
      <c r="X128" s="78"/>
      <c r="Y128" s="78"/>
    </row>
    <row r="129" spans="1:25" x14ac:dyDescent="0.25">
      <c r="A129" s="112" t="s">
        <v>682</v>
      </c>
      <c r="B129" s="78"/>
      <c r="C129" s="114"/>
      <c r="D129" s="78"/>
      <c r="E129" s="78"/>
      <c r="F129" s="78"/>
      <c r="G129" s="78"/>
      <c r="H129" s="78"/>
      <c r="I129" s="78"/>
      <c r="J129" s="78"/>
      <c r="K129" s="78"/>
      <c r="L129" s="78"/>
      <c r="M129" s="78"/>
      <c r="N129" s="78"/>
      <c r="O129" s="78"/>
      <c r="P129" s="78"/>
      <c r="Q129" s="78"/>
      <c r="R129" s="78"/>
      <c r="S129" s="78"/>
      <c r="T129" s="78"/>
      <c r="U129" s="78"/>
      <c r="V129" s="78"/>
      <c r="W129" s="78"/>
      <c r="X129" s="78"/>
      <c r="Y129" s="78"/>
    </row>
    <row r="130" spans="1:25" x14ac:dyDescent="0.25">
      <c r="A130" s="112" t="s">
        <v>682</v>
      </c>
      <c r="B130" s="78"/>
      <c r="C130" s="114"/>
      <c r="D130" s="78"/>
      <c r="E130" s="78"/>
      <c r="F130" s="78"/>
      <c r="G130" s="78"/>
      <c r="H130" s="78"/>
      <c r="I130" s="78"/>
      <c r="J130" s="78"/>
      <c r="K130" s="78"/>
      <c r="L130" s="78"/>
      <c r="M130" s="78"/>
      <c r="N130" s="78"/>
      <c r="O130" s="78"/>
      <c r="P130" s="78"/>
      <c r="Q130" s="78"/>
      <c r="R130" s="78"/>
      <c r="S130" s="78"/>
      <c r="T130" s="78"/>
      <c r="U130" s="78"/>
      <c r="V130" s="78"/>
      <c r="W130" s="78"/>
      <c r="X130" s="78"/>
      <c r="Y130" s="78"/>
    </row>
    <row r="131" spans="1:25" x14ac:dyDescent="0.25">
      <c r="A131" s="112" t="s">
        <v>682</v>
      </c>
      <c r="B131" s="78"/>
      <c r="C131" s="114"/>
      <c r="D131" s="78"/>
      <c r="E131" s="78"/>
      <c r="F131" s="78"/>
      <c r="G131" s="78"/>
      <c r="H131" s="78"/>
      <c r="I131" s="78"/>
      <c r="J131" s="78"/>
      <c r="K131" s="78"/>
      <c r="L131" s="78"/>
      <c r="M131" s="78"/>
      <c r="N131" s="78"/>
      <c r="O131" s="78"/>
      <c r="P131" s="78"/>
      <c r="Q131" s="78"/>
      <c r="R131" s="78"/>
      <c r="S131" s="78"/>
      <c r="T131" s="78"/>
      <c r="U131" s="78"/>
      <c r="V131" s="78"/>
      <c r="W131" s="78"/>
      <c r="X131" s="78"/>
      <c r="Y131" s="78"/>
    </row>
    <row r="132" spans="1:25" x14ac:dyDescent="0.25">
      <c r="A132" s="112" t="s">
        <v>682</v>
      </c>
      <c r="B132" s="78"/>
      <c r="C132" s="114"/>
      <c r="D132" s="78"/>
      <c r="E132" s="78"/>
      <c r="F132" s="78"/>
      <c r="G132" s="78"/>
      <c r="H132" s="78"/>
      <c r="I132" s="78"/>
      <c r="J132" s="78"/>
      <c r="K132" s="78"/>
      <c r="L132" s="78"/>
      <c r="M132" s="78"/>
      <c r="N132" s="78"/>
      <c r="O132" s="78"/>
      <c r="P132" s="78"/>
      <c r="Q132" s="78"/>
      <c r="R132" s="78"/>
      <c r="S132" s="78"/>
      <c r="T132" s="78"/>
      <c r="U132" s="78"/>
      <c r="V132" s="78"/>
      <c r="W132" s="78"/>
      <c r="X132" s="78"/>
      <c r="Y132" s="78"/>
    </row>
    <row r="133" spans="1:25" x14ac:dyDescent="0.25">
      <c r="A133" s="112" t="s">
        <v>682</v>
      </c>
      <c r="B133" s="78"/>
      <c r="C133" s="114"/>
      <c r="D133" s="78"/>
      <c r="E133" s="78"/>
      <c r="F133" s="78"/>
      <c r="G133" s="78"/>
      <c r="H133" s="78"/>
      <c r="I133" s="78"/>
      <c r="J133" s="78"/>
      <c r="K133" s="78"/>
      <c r="L133" s="78"/>
      <c r="M133" s="78"/>
      <c r="N133" s="78"/>
      <c r="O133" s="78"/>
      <c r="P133" s="78"/>
      <c r="Q133" s="78"/>
      <c r="R133" s="78"/>
      <c r="S133" s="78"/>
      <c r="T133" s="78"/>
      <c r="U133" s="78"/>
      <c r="V133" s="78"/>
      <c r="W133" s="78"/>
      <c r="X133" s="78"/>
      <c r="Y133" s="78"/>
    </row>
    <row r="134" spans="1:25" x14ac:dyDescent="0.25">
      <c r="A134" s="112" t="s">
        <v>682</v>
      </c>
      <c r="B134" s="78"/>
      <c r="C134" s="114"/>
      <c r="D134" s="78"/>
      <c r="E134" s="78"/>
      <c r="F134" s="78"/>
      <c r="G134" s="78"/>
      <c r="H134" s="78"/>
      <c r="I134" s="78"/>
      <c r="J134" s="78"/>
      <c r="K134" s="78"/>
      <c r="L134" s="78"/>
      <c r="M134" s="78"/>
      <c r="N134" s="78"/>
      <c r="O134" s="78"/>
      <c r="P134" s="78"/>
      <c r="Q134" s="78"/>
      <c r="R134" s="78"/>
      <c r="S134" s="78"/>
      <c r="T134" s="78"/>
      <c r="U134" s="78"/>
      <c r="V134" s="78"/>
      <c r="W134" s="78"/>
      <c r="X134" s="78"/>
      <c r="Y134" s="78"/>
    </row>
    <row r="135" spans="1:25" x14ac:dyDescent="0.25">
      <c r="A135" s="112" t="s">
        <v>682</v>
      </c>
      <c r="B135" s="78"/>
      <c r="C135" s="114"/>
      <c r="D135" s="78"/>
      <c r="E135" s="78"/>
      <c r="F135" s="78"/>
      <c r="G135" s="78"/>
      <c r="H135" s="78"/>
      <c r="I135" s="78"/>
      <c r="J135" s="78"/>
      <c r="K135" s="78"/>
      <c r="L135" s="78"/>
      <c r="M135" s="78"/>
      <c r="N135" s="78"/>
      <c r="O135" s="78"/>
      <c r="P135" s="78"/>
      <c r="Q135" s="78"/>
      <c r="R135" s="78"/>
      <c r="S135" s="78"/>
      <c r="T135" s="78"/>
      <c r="U135" s="78"/>
      <c r="V135" s="78"/>
      <c r="W135" s="78"/>
      <c r="X135" s="78"/>
      <c r="Y135" s="78"/>
    </row>
    <row r="136" spans="1:25" x14ac:dyDescent="0.25">
      <c r="A136" s="112" t="s">
        <v>682</v>
      </c>
      <c r="B136" s="78"/>
      <c r="C136" s="114"/>
      <c r="D136" s="78"/>
      <c r="E136" s="78"/>
      <c r="F136" s="78"/>
      <c r="G136" s="78"/>
      <c r="H136" s="78"/>
      <c r="I136" s="78"/>
      <c r="J136" s="78"/>
      <c r="K136" s="78"/>
      <c r="L136" s="78"/>
      <c r="M136" s="78"/>
      <c r="N136" s="78"/>
      <c r="O136" s="78"/>
      <c r="P136" s="78"/>
      <c r="Q136" s="78"/>
      <c r="R136" s="78"/>
      <c r="S136" s="78"/>
      <c r="T136" s="78"/>
      <c r="U136" s="78"/>
      <c r="V136" s="78"/>
      <c r="W136" s="78"/>
      <c r="X136" s="78"/>
      <c r="Y136" s="78"/>
    </row>
    <row r="137" spans="1:25" x14ac:dyDescent="0.25">
      <c r="A137" s="112" t="s">
        <v>682</v>
      </c>
      <c r="B137" s="78"/>
      <c r="C137" s="114"/>
      <c r="D137" s="78"/>
      <c r="E137" s="78"/>
      <c r="F137" s="78"/>
      <c r="G137" s="78"/>
      <c r="H137" s="78"/>
      <c r="I137" s="78"/>
      <c r="J137" s="78"/>
      <c r="K137" s="78"/>
      <c r="L137" s="78"/>
      <c r="M137" s="78"/>
      <c r="N137" s="78"/>
      <c r="O137" s="78"/>
      <c r="P137" s="78"/>
      <c r="Q137" s="78"/>
      <c r="R137" s="78"/>
      <c r="S137" s="78"/>
      <c r="T137" s="78"/>
      <c r="U137" s="78"/>
      <c r="V137" s="78"/>
      <c r="W137" s="78"/>
      <c r="X137" s="78"/>
      <c r="Y137" s="78"/>
    </row>
    <row r="138" spans="1:25" x14ac:dyDescent="0.25">
      <c r="A138" s="112" t="s">
        <v>682</v>
      </c>
      <c r="B138" s="78"/>
      <c r="C138" s="114"/>
      <c r="D138" s="78"/>
      <c r="E138" s="78"/>
      <c r="F138" s="78"/>
      <c r="G138" s="78"/>
      <c r="H138" s="78"/>
      <c r="I138" s="78"/>
      <c r="J138" s="78"/>
      <c r="K138" s="78"/>
      <c r="L138" s="78"/>
      <c r="M138" s="78"/>
      <c r="N138" s="78"/>
      <c r="O138" s="78"/>
      <c r="P138" s="78"/>
      <c r="Q138" s="78"/>
      <c r="R138" s="78"/>
      <c r="S138" s="78"/>
      <c r="T138" s="78"/>
      <c r="U138" s="78"/>
      <c r="V138" s="78"/>
      <c r="W138" s="78"/>
      <c r="X138" s="78"/>
      <c r="Y138" s="78"/>
    </row>
    <row r="139" spans="1:25" x14ac:dyDescent="0.25">
      <c r="A139" s="112" t="s">
        <v>682</v>
      </c>
      <c r="B139" s="78"/>
      <c r="C139" s="114"/>
      <c r="D139" s="78"/>
      <c r="E139" s="78"/>
      <c r="F139" s="78"/>
      <c r="G139" s="78"/>
      <c r="H139" s="78"/>
      <c r="I139" s="78"/>
      <c r="J139" s="78"/>
      <c r="K139" s="78"/>
      <c r="L139" s="78"/>
      <c r="M139" s="78"/>
      <c r="N139" s="78"/>
      <c r="O139" s="78"/>
      <c r="P139" s="78"/>
      <c r="Q139" s="78"/>
      <c r="R139" s="78"/>
      <c r="S139" s="78"/>
      <c r="T139" s="78"/>
      <c r="U139" s="78"/>
      <c r="V139" s="78"/>
      <c r="W139" s="78"/>
      <c r="X139" s="78"/>
      <c r="Y139" s="78"/>
    </row>
    <row r="140" spans="1:25" x14ac:dyDescent="0.25">
      <c r="A140" s="112" t="s">
        <v>682</v>
      </c>
      <c r="B140" s="78"/>
      <c r="C140" s="114"/>
      <c r="D140" s="78"/>
      <c r="E140" s="78"/>
      <c r="F140" s="78"/>
      <c r="G140" s="78"/>
      <c r="H140" s="78"/>
      <c r="I140" s="78"/>
      <c r="J140" s="78"/>
      <c r="K140" s="78"/>
      <c r="L140" s="78"/>
      <c r="M140" s="78"/>
      <c r="N140" s="78"/>
      <c r="O140" s="78"/>
      <c r="P140" s="78"/>
      <c r="Q140" s="78"/>
      <c r="R140" s="78"/>
      <c r="S140" s="78"/>
      <c r="T140" s="78"/>
      <c r="U140" s="78"/>
      <c r="V140" s="78"/>
      <c r="W140" s="78"/>
      <c r="X140" s="78"/>
      <c r="Y140" s="78"/>
    </row>
    <row r="141" spans="1:25" x14ac:dyDescent="0.25">
      <c r="A141" s="112" t="s">
        <v>682</v>
      </c>
      <c r="B141" s="78"/>
      <c r="C141" s="114"/>
      <c r="D141" s="78"/>
      <c r="E141" s="78"/>
      <c r="F141" s="78"/>
      <c r="G141" s="78"/>
      <c r="H141" s="78"/>
      <c r="I141" s="78"/>
      <c r="J141" s="78"/>
      <c r="K141" s="78"/>
      <c r="L141" s="78"/>
      <c r="M141" s="78"/>
      <c r="N141" s="78"/>
      <c r="O141" s="78"/>
      <c r="P141" s="78"/>
      <c r="Q141" s="78"/>
      <c r="R141" s="78"/>
      <c r="S141" s="78"/>
      <c r="T141" s="78"/>
      <c r="U141" s="78"/>
      <c r="V141" s="78"/>
      <c r="W141" s="78"/>
      <c r="X141" s="78"/>
      <c r="Y141" s="78"/>
    </row>
    <row r="142" spans="1:25" x14ac:dyDescent="0.25">
      <c r="A142" s="112" t="s">
        <v>682</v>
      </c>
      <c r="B142" s="78"/>
      <c r="C142" s="114"/>
      <c r="D142" s="78"/>
      <c r="E142" s="78"/>
      <c r="F142" s="78"/>
      <c r="G142" s="78"/>
      <c r="H142" s="78"/>
      <c r="I142" s="78"/>
      <c r="J142" s="78"/>
      <c r="K142" s="78"/>
      <c r="L142" s="78"/>
      <c r="M142" s="78"/>
      <c r="N142" s="78"/>
      <c r="O142" s="78"/>
      <c r="P142" s="78"/>
      <c r="Q142" s="78"/>
      <c r="R142" s="78"/>
      <c r="S142" s="78"/>
      <c r="T142" s="78"/>
      <c r="U142" s="78"/>
      <c r="V142" s="78"/>
      <c r="W142" s="78"/>
      <c r="X142" s="78"/>
      <c r="Y142" s="78"/>
    </row>
    <row r="143" spans="1:25" x14ac:dyDescent="0.25">
      <c r="A143" s="112" t="s">
        <v>682</v>
      </c>
      <c r="B143" s="78"/>
      <c r="C143" s="114"/>
      <c r="D143" s="78"/>
      <c r="E143" s="78"/>
      <c r="F143" s="78"/>
      <c r="G143" s="78"/>
      <c r="H143" s="78"/>
      <c r="I143" s="78"/>
      <c r="J143" s="78"/>
      <c r="K143" s="78"/>
      <c r="L143" s="78"/>
      <c r="M143" s="78"/>
      <c r="N143" s="78"/>
      <c r="O143" s="78"/>
      <c r="P143" s="78"/>
      <c r="Q143" s="78"/>
      <c r="R143" s="78"/>
      <c r="S143" s="78"/>
      <c r="T143" s="78"/>
      <c r="U143" s="78"/>
      <c r="V143" s="78"/>
      <c r="W143" s="78"/>
      <c r="X143" s="78"/>
      <c r="Y143" s="78"/>
    </row>
    <row r="144" spans="1:25" x14ac:dyDescent="0.25">
      <c r="A144" s="112" t="s">
        <v>682</v>
      </c>
      <c r="B144" s="78"/>
      <c r="C144" s="114"/>
      <c r="D144" s="78"/>
      <c r="E144" s="78"/>
      <c r="F144" s="78"/>
      <c r="G144" s="78"/>
      <c r="H144" s="78"/>
      <c r="I144" s="78"/>
      <c r="J144" s="78"/>
      <c r="K144" s="78"/>
      <c r="L144" s="78"/>
      <c r="M144" s="78"/>
      <c r="N144" s="78"/>
      <c r="O144" s="78"/>
      <c r="P144" s="78"/>
      <c r="Q144" s="78"/>
      <c r="R144" s="78"/>
      <c r="S144" s="78"/>
      <c r="T144" s="78"/>
      <c r="U144" s="78"/>
      <c r="V144" s="78"/>
      <c r="W144" s="78"/>
      <c r="X144" s="78"/>
      <c r="Y144" s="78"/>
    </row>
    <row r="145" spans="1:25" x14ac:dyDescent="0.25">
      <c r="A145" s="112" t="s">
        <v>682</v>
      </c>
      <c r="B145" s="78"/>
      <c r="C145" s="114"/>
      <c r="D145" s="78"/>
      <c r="E145" s="78"/>
      <c r="F145" s="78"/>
      <c r="G145" s="78"/>
      <c r="H145" s="78"/>
      <c r="I145" s="78"/>
      <c r="J145" s="78"/>
      <c r="K145" s="78"/>
      <c r="L145" s="78"/>
      <c r="M145" s="78"/>
      <c r="N145" s="78"/>
      <c r="O145" s="78"/>
      <c r="P145" s="78"/>
      <c r="Q145" s="78"/>
      <c r="R145" s="78"/>
      <c r="S145" s="78"/>
      <c r="T145" s="78"/>
      <c r="U145" s="78"/>
      <c r="V145" s="78"/>
      <c r="W145" s="78"/>
      <c r="X145" s="78"/>
      <c r="Y145" s="78"/>
    </row>
    <row r="146" spans="1:25" x14ac:dyDescent="0.25">
      <c r="A146" s="112" t="s">
        <v>682</v>
      </c>
      <c r="B146" s="78"/>
      <c r="C146" s="114"/>
      <c r="D146" s="78"/>
      <c r="E146" s="78"/>
      <c r="F146" s="78"/>
      <c r="G146" s="78"/>
      <c r="H146" s="78"/>
      <c r="I146" s="78"/>
      <c r="J146" s="78"/>
      <c r="K146" s="78"/>
      <c r="L146" s="78"/>
      <c r="M146" s="78"/>
      <c r="N146" s="78"/>
      <c r="O146" s="78"/>
      <c r="P146" s="78"/>
      <c r="Q146" s="78"/>
      <c r="R146" s="78"/>
      <c r="S146" s="78"/>
      <c r="T146" s="78"/>
      <c r="U146" s="78"/>
      <c r="V146" s="78"/>
      <c r="W146" s="78"/>
      <c r="X146" s="78"/>
      <c r="Y146" s="78"/>
    </row>
    <row r="147" spans="1:25" x14ac:dyDescent="0.25">
      <c r="A147" s="112" t="s">
        <v>682</v>
      </c>
      <c r="B147" s="78"/>
      <c r="C147" s="114"/>
      <c r="D147" s="78"/>
      <c r="E147" s="78"/>
      <c r="F147" s="78"/>
      <c r="G147" s="78"/>
      <c r="H147" s="78"/>
      <c r="I147" s="78"/>
      <c r="J147" s="78"/>
      <c r="K147" s="78"/>
      <c r="L147" s="78"/>
      <c r="M147" s="78"/>
      <c r="N147" s="78"/>
      <c r="O147" s="78"/>
      <c r="P147" s="78"/>
      <c r="Q147" s="78"/>
      <c r="R147" s="78"/>
      <c r="S147" s="78"/>
      <c r="T147" s="78"/>
      <c r="U147" s="78"/>
      <c r="V147" s="78"/>
      <c r="W147" s="78"/>
      <c r="X147" s="78"/>
      <c r="Y147" s="78"/>
    </row>
    <row r="148" spans="1:25" x14ac:dyDescent="0.25">
      <c r="A148" s="112" t="s">
        <v>682</v>
      </c>
      <c r="B148" s="78"/>
      <c r="C148" s="114"/>
      <c r="D148" s="78"/>
      <c r="E148" s="78"/>
      <c r="F148" s="78"/>
      <c r="G148" s="78"/>
      <c r="H148" s="78"/>
      <c r="I148" s="78"/>
      <c r="J148" s="78"/>
      <c r="K148" s="78"/>
      <c r="L148" s="78"/>
      <c r="M148" s="78"/>
      <c r="N148" s="78"/>
      <c r="O148" s="78"/>
      <c r="P148" s="78"/>
      <c r="Q148" s="78"/>
      <c r="R148" s="78"/>
      <c r="S148" s="78"/>
      <c r="T148" s="78"/>
      <c r="U148" s="78"/>
      <c r="V148" s="78"/>
      <c r="W148" s="78"/>
      <c r="X148" s="78"/>
      <c r="Y148" s="78"/>
    </row>
    <row r="149" spans="1:25" x14ac:dyDescent="0.25">
      <c r="A149" s="112" t="s">
        <v>682</v>
      </c>
      <c r="B149" s="78"/>
      <c r="C149" s="114"/>
      <c r="D149" s="78"/>
      <c r="E149" s="78"/>
      <c r="F149" s="78"/>
      <c r="G149" s="78"/>
      <c r="H149" s="78"/>
      <c r="I149" s="78"/>
      <c r="J149" s="78"/>
      <c r="K149" s="78"/>
      <c r="L149" s="78"/>
      <c r="M149" s="78"/>
      <c r="N149" s="78"/>
      <c r="O149" s="78"/>
      <c r="P149" s="78"/>
      <c r="Q149" s="78"/>
      <c r="R149" s="78"/>
      <c r="S149" s="78"/>
      <c r="T149" s="78"/>
      <c r="U149" s="78"/>
      <c r="V149" s="78"/>
      <c r="W149" s="78"/>
      <c r="X149" s="78"/>
      <c r="Y149" s="78"/>
    </row>
    <row r="150" spans="1:25" x14ac:dyDescent="0.25">
      <c r="A150" s="112" t="s">
        <v>682</v>
      </c>
      <c r="B150" s="78"/>
      <c r="C150" s="114"/>
      <c r="D150" s="78"/>
      <c r="E150" s="78"/>
      <c r="F150" s="78"/>
      <c r="G150" s="78"/>
      <c r="H150" s="78"/>
      <c r="I150" s="78"/>
      <c r="J150" s="78"/>
      <c r="K150" s="78"/>
      <c r="L150" s="78"/>
      <c r="M150" s="78"/>
      <c r="N150" s="78"/>
      <c r="O150" s="78"/>
      <c r="P150" s="78"/>
      <c r="Q150" s="78"/>
      <c r="R150" s="78"/>
      <c r="S150" s="78"/>
      <c r="T150" s="78"/>
      <c r="U150" s="78"/>
      <c r="V150" s="78"/>
      <c r="W150" s="78"/>
      <c r="X150" s="78"/>
      <c r="Y150" s="78"/>
    </row>
    <row r="151" spans="1:25" x14ac:dyDescent="0.25">
      <c r="A151" s="112" t="s">
        <v>682</v>
      </c>
      <c r="B151" s="78"/>
      <c r="C151" s="114"/>
      <c r="D151" s="78"/>
      <c r="E151" s="78"/>
      <c r="F151" s="78"/>
      <c r="G151" s="78"/>
      <c r="H151" s="78"/>
      <c r="I151" s="78"/>
      <c r="J151" s="78"/>
      <c r="K151" s="78"/>
      <c r="L151" s="78"/>
      <c r="M151" s="78"/>
      <c r="N151" s="78"/>
      <c r="O151" s="78"/>
      <c r="P151" s="78"/>
      <c r="Q151" s="78"/>
      <c r="R151" s="78"/>
      <c r="S151" s="78"/>
      <c r="T151" s="78"/>
      <c r="U151" s="78"/>
      <c r="V151" s="78"/>
      <c r="W151" s="78"/>
      <c r="X151" s="78"/>
      <c r="Y151" s="78"/>
    </row>
    <row r="152" spans="1:25" x14ac:dyDescent="0.25">
      <c r="A152" s="112" t="s">
        <v>682</v>
      </c>
      <c r="B152" s="78"/>
      <c r="C152" s="114"/>
      <c r="D152" s="78"/>
      <c r="E152" s="78"/>
      <c r="F152" s="78"/>
      <c r="G152" s="78"/>
      <c r="H152" s="78"/>
      <c r="I152" s="78"/>
      <c r="J152" s="78"/>
      <c r="K152" s="78"/>
      <c r="L152" s="78"/>
      <c r="M152" s="78"/>
      <c r="N152" s="78"/>
      <c r="O152" s="78"/>
      <c r="P152" s="78"/>
      <c r="Q152" s="78"/>
      <c r="R152" s="78"/>
      <c r="S152" s="78"/>
      <c r="T152" s="78"/>
      <c r="U152" s="78"/>
      <c r="V152" s="78"/>
      <c r="W152" s="78"/>
      <c r="X152" s="78"/>
      <c r="Y152" s="78"/>
    </row>
    <row r="153" spans="1:25" x14ac:dyDescent="0.25">
      <c r="A153" s="112" t="s">
        <v>682</v>
      </c>
      <c r="B153" s="78"/>
      <c r="C153" s="114"/>
      <c r="D153" s="78"/>
      <c r="E153" s="78"/>
      <c r="F153" s="78"/>
      <c r="G153" s="78"/>
      <c r="H153" s="78"/>
      <c r="I153" s="78"/>
      <c r="J153" s="78"/>
      <c r="K153" s="78"/>
      <c r="L153" s="78"/>
      <c r="M153" s="78"/>
      <c r="N153" s="78"/>
      <c r="O153" s="78"/>
      <c r="P153" s="78"/>
      <c r="Q153" s="78"/>
      <c r="R153" s="78"/>
      <c r="S153" s="78"/>
      <c r="T153" s="78"/>
      <c r="U153" s="78"/>
      <c r="V153" s="78"/>
      <c r="W153" s="78"/>
      <c r="X153" s="78"/>
      <c r="Y153" s="78"/>
    </row>
    <row r="154" spans="1:25" x14ac:dyDescent="0.25">
      <c r="A154" s="112" t="s">
        <v>682</v>
      </c>
      <c r="B154" s="78"/>
      <c r="C154" s="114"/>
      <c r="D154" s="78"/>
      <c r="E154" s="78"/>
      <c r="F154" s="78"/>
      <c r="G154" s="78"/>
      <c r="H154" s="78"/>
      <c r="I154" s="78"/>
      <c r="J154" s="78"/>
      <c r="K154" s="78"/>
      <c r="L154" s="78"/>
      <c r="M154" s="78"/>
      <c r="N154" s="78"/>
      <c r="O154" s="78"/>
      <c r="P154" s="78"/>
      <c r="Q154" s="78"/>
      <c r="R154" s="78"/>
      <c r="S154" s="78"/>
      <c r="T154" s="78"/>
      <c r="U154" s="78"/>
      <c r="V154" s="78"/>
      <c r="W154" s="78"/>
      <c r="X154" s="78"/>
      <c r="Y154" s="78"/>
    </row>
    <row r="155" spans="1:25" x14ac:dyDescent="0.25">
      <c r="A155" s="112" t="s">
        <v>682</v>
      </c>
      <c r="B155" s="78"/>
      <c r="C155" s="114"/>
      <c r="D155" s="78"/>
      <c r="E155" s="78"/>
      <c r="F155" s="78"/>
      <c r="G155" s="78"/>
      <c r="H155" s="78"/>
      <c r="I155" s="78"/>
      <c r="J155" s="78"/>
      <c r="K155" s="78"/>
      <c r="L155" s="78"/>
      <c r="M155" s="78"/>
      <c r="N155" s="78"/>
      <c r="O155" s="78"/>
      <c r="P155" s="78"/>
      <c r="Q155" s="78"/>
      <c r="R155" s="78"/>
      <c r="S155" s="78"/>
      <c r="T155" s="78"/>
      <c r="U155" s="78"/>
      <c r="V155" s="78"/>
      <c r="W155" s="78"/>
      <c r="X155" s="78"/>
      <c r="Y155" s="78"/>
    </row>
    <row r="156" spans="1:25" x14ac:dyDescent="0.25">
      <c r="A156" s="112" t="s">
        <v>682</v>
      </c>
      <c r="B156" s="78"/>
      <c r="C156" s="114"/>
      <c r="D156" s="78"/>
      <c r="E156" s="78"/>
      <c r="F156" s="78"/>
      <c r="G156" s="78"/>
      <c r="H156" s="78"/>
      <c r="I156" s="78"/>
      <c r="J156" s="78"/>
      <c r="K156" s="78"/>
      <c r="L156" s="78"/>
      <c r="M156" s="78"/>
      <c r="N156" s="78"/>
      <c r="O156" s="78"/>
      <c r="P156" s="78"/>
      <c r="Q156" s="78"/>
      <c r="R156" s="78"/>
      <c r="S156" s="78"/>
      <c r="T156" s="78"/>
      <c r="U156" s="78"/>
      <c r="V156" s="78"/>
      <c r="W156" s="78"/>
      <c r="X156" s="78"/>
      <c r="Y156" s="78"/>
    </row>
    <row r="157" spans="1:25" x14ac:dyDescent="0.25">
      <c r="A157" s="112" t="s">
        <v>682</v>
      </c>
      <c r="B157" s="78"/>
      <c r="C157" s="114"/>
      <c r="D157" s="78"/>
      <c r="E157" s="78"/>
      <c r="F157" s="78"/>
      <c r="G157" s="78"/>
      <c r="H157" s="78"/>
      <c r="I157" s="78"/>
      <c r="J157" s="78"/>
      <c r="K157" s="78"/>
      <c r="L157" s="78"/>
      <c r="M157" s="78"/>
      <c r="N157" s="78"/>
      <c r="O157" s="78"/>
      <c r="P157" s="78"/>
      <c r="Q157" s="78"/>
      <c r="R157" s="78"/>
      <c r="S157" s="78"/>
      <c r="T157" s="78"/>
      <c r="U157" s="78"/>
      <c r="V157" s="78"/>
      <c r="W157" s="78"/>
      <c r="X157" s="78"/>
      <c r="Y157" s="78"/>
    </row>
    <row r="158" spans="1:25" x14ac:dyDescent="0.25">
      <c r="A158" s="112" t="s">
        <v>682</v>
      </c>
      <c r="B158" s="78"/>
      <c r="C158" s="114"/>
      <c r="D158" s="78"/>
      <c r="E158" s="78"/>
      <c r="F158" s="78"/>
      <c r="G158" s="78"/>
      <c r="H158" s="78"/>
      <c r="I158" s="78"/>
      <c r="J158" s="78"/>
      <c r="K158" s="78"/>
      <c r="L158" s="78"/>
      <c r="M158" s="78"/>
      <c r="N158" s="78"/>
      <c r="O158" s="78"/>
      <c r="P158" s="78"/>
      <c r="Q158" s="78"/>
      <c r="R158" s="78"/>
      <c r="S158" s="78"/>
      <c r="T158" s="78"/>
      <c r="U158" s="78"/>
      <c r="V158" s="78"/>
      <c r="W158" s="78"/>
      <c r="X158" s="78"/>
      <c r="Y158" s="78"/>
    </row>
    <row r="159" spans="1:25" x14ac:dyDescent="0.25">
      <c r="A159" s="112" t="s">
        <v>682</v>
      </c>
      <c r="B159" s="78"/>
      <c r="C159" s="114"/>
      <c r="D159" s="78"/>
      <c r="E159" s="78"/>
      <c r="F159" s="78"/>
      <c r="G159" s="78"/>
      <c r="H159" s="78"/>
      <c r="I159" s="78"/>
      <c r="J159" s="78"/>
      <c r="K159" s="78"/>
      <c r="L159" s="78"/>
      <c r="M159" s="78"/>
      <c r="N159" s="78"/>
      <c r="O159" s="78"/>
      <c r="P159" s="78"/>
      <c r="Q159" s="78"/>
      <c r="R159" s="78"/>
      <c r="S159" s="78"/>
      <c r="T159" s="78"/>
      <c r="U159" s="78"/>
      <c r="V159" s="78"/>
      <c r="W159" s="78"/>
      <c r="X159" s="78"/>
      <c r="Y159" s="78"/>
    </row>
    <row r="160" spans="1:25" x14ac:dyDescent="0.25">
      <c r="A160" s="112" t="s">
        <v>682</v>
      </c>
      <c r="B160" s="78"/>
      <c r="C160" s="114"/>
      <c r="D160" s="78"/>
      <c r="E160" s="78"/>
      <c r="F160" s="78"/>
      <c r="G160" s="78"/>
      <c r="H160" s="78"/>
      <c r="I160" s="78"/>
      <c r="J160" s="78"/>
      <c r="K160" s="78"/>
      <c r="L160" s="78"/>
      <c r="M160" s="78"/>
      <c r="N160" s="78"/>
      <c r="O160" s="78"/>
      <c r="P160" s="78"/>
      <c r="Q160" s="78"/>
      <c r="R160" s="78"/>
      <c r="S160" s="78"/>
      <c r="T160" s="78"/>
      <c r="U160" s="78"/>
      <c r="V160" s="78"/>
      <c r="W160" s="78"/>
      <c r="X160" s="78"/>
      <c r="Y160" s="78"/>
    </row>
    <row r="161" spans="1:25" x14ac:dyDescent="0.25">
      <c r="A161" s="112" t="s">
        <v>682</v>
      </c>
      <c r="B161" s="78"/>
      <c r="C161" s="114"/>
      <c r="D161" s="78"/>
      <c r="E161" s="78"/>
      <c r="F161" s="78"/>
      <c r="G161" s="78"/>
      <c r="H161" s="78"/>
      <c r="I161" s="78"/>
      <c r="J161" s="78"/>
      <c r="K161" s="78"/>
      <c r="L161" s="78"/>
      <c r="M161" s="78"/>
      <c r="N161" s="78"/>
      <c r="O161" s="78"/>
      <c r="P161" s="78"/>
      <c r="Q161" s="78"/>
      <c r="R161" s="78"/>
      <c r="S161" s="78"/>
      <c r="T161" s="78"/>
      <c r="U161" s="78"/>
      <c r="V161" s="78"/>
      <c r="W161" s="78"/>
      <c r="X161" s="78"/>
      <c r="Y161" s="78"/>
    </row>
    <row r="162" spans="1:25" x14ac:dyDescent="0.25">
      <c r="A162" s="112" t="s">
        <v>682</v>
      </c>
      <c r="B162" s="78"/>
      <c r="C162" s="114"/>
      <c r="D162" s="78"/>
      <c r="E162" s="78"/>
      <c r="F162" s="78"/>
      <c r="G162" s="78"/>
      <c r="H162" s="78"/>
      <c r="I162" s="78"/>
      <c r="J162" s="78"/>
      <c r="K162" s="78"/>
      <c r="L162" s="78"/>
      <c r="M162" s="78"/>
      <c r="N162" s="78"/>
      <c r="O162" s="78"/>
      <c r="P162" s="78"/>
      <c r="Q162" s="78"/>
      <c r="R162" s="78"/>
      <c r="S162" s="78"/>
      <c r="T162" s="78"/>
      <c r="U162" s="78"/>
      <c r="V162" s="78"/>
      <c r="W162" s="78"/>
      <c r="X162" s="78"/>
      <c r="Y162" s="78"/>
    </row>
    <row r="163" spans="1:25" x14ac:dyDescent="0.25">
      <c r="A163" s="112" t="s">
        <v>682</v>
      </c>
      <c r="B163" s="78"/>
      <c r="C163" s="114"/>
      <c r="D163" s="78"/>
      <c r="E163" s="78"/>
      <c r="F163" s="78"/>
      <c r="G163" s="78"/>
      <c r="H163" s="78"/>
      <c r="I163" s="78"/>
      <c r="J163" s="78"/>
      <c r="K163" s="78"/>
      <c r="L163" s="78"/>
      <c r="M163" s="78"/>
      <c r="N163" s="78"/>
      <c r="O163" s="78"/>
      <c r="P163" s="78"/>
      <c r="Q163" s="78"/>
      <c r="R163" s="78"/>
      <c r="S163" s="78"/>
      <c r="T163" s="78"/>
      <c r="U163" s="78"/>
      <c r="V163" s="78"/>
      <c r="W163" s="78"/>
      <c r="X163" s="78"/>
      <c r="Y163" s="78"/>
    </row>
    <row r="164" spans="1:25" x14ac:dyDescent="0.25">
      <c r="A164" s="112" t="s">
        <v>682</v>
      </c>
      <c r="B164" s="78"/>
      <c r="C164" s="114"/>
      <c r="D164" s="78"/>
      <c r="E164" s="78"/>
      <c r="F164" s="78"/>
      <c r="G164" s="78"/>
      <c r="H164" s="78"/>
      <c r="I164" s="78"/>
      <c r="J164" s="78"/>
      <c r="K164" s="78"/>
      <c r="L164" s="78"/>
      <c r="M164" s="78"/>
      <c r="N164" s="78"/>
      <c r="O164" s="78"/>
      <c r="P164" s="78"/>
      <c r="Q164" s="78"/>
      <c r="R164" s="78"/>
      <c r="S164" s="78"/>
      <c r="T164" s="78"/>
      <c r="U164" s="78"/>
      <c r="V164" s="78"/>
      <c r="W164" s="78"/>
      <c r="X164" s="78"/>
      <c r="Y164" s="78"/>
    </row>
    <row r="165" spans="1:25" x14ac:dyDescent="0.25">
      <c r="A165" s="112" t="s">
        <v>682</v>
      </c>
      <c r="B165" s="78"/>
      <c r="C165" s="114"/>
      <c r="D165" s="78"/>
      <c r="E165" s="78"/>
      <c r="F165" s="78"/>
      <c r="G165" s="78"/>
      <c r="H165" s="78"/>
      <c r="I165" s="78"/>
      <c r="J165" s="78"/>
      <c r="K165" s="78"/>
      <c r="L165" s="78"/>
      <c r="M165" s="78"/>
      <c r="N165" s="78"/>
      <c r="O165" s="78"/>
      <c r="P165" s="78"/>
      <c r="Q165" s="78"/>
      <c r="R165" s="78"/>
      <c r="S165" s="78"/>
      <c r="T165" s="78"/>
      <c r="U165" s="78"/>
      <c r="V165" s="78"/>
      <c r="W165" s="78"/>
      <c r="X165" s="78"/>
      <c r="Y165" s="78"/>
    </row>
    <row r="166" spans="1:25" x14ac:dyDescent="0.25">
      <c r="A166" s="112" t="s">
        <v>682</v>
      </c>
      <c r="B166" s="78"/>
      <c r="C166" s="114"/>
      <c r="D166" s="78"/>
      <c r="E166" s="78"/>
      <c r="F166" s="78"/>
      <c r="G166" s="78"/>
      <c r="H166" s="78"/>
      <c r="I166" s="78"/>
      <c r="J166" s="78"/>
      <c r="K166" s="78"/>
      <c r="L166" s="78"/>
      <c r="M166" s="78"/>
      <c r="N166" s="78"/>
      <c r="O166" s="78"/>
      <c r="P166" s="78"/>
      <c r="Q166" s="78"/>
      <c r="R166" s="78"/>
      <c r="S166" s="78"/>
      <c r="T166" s="78"/>
      <c r="U166" s="78"/>
      <c r="V166" s="78"/>
      <c r="W166" s="78"/>
      <c r="X166" s="78"/>
      <c r="Y166" s="78"/>
    </row>
    <row r="167" spans="1:25" x14ac:dyDescent="0.25">
      <c r="A167" s="112" t="s">
        <v>682</v>
      </c>
      <c r="B167" s="78"/>
      <c r="C167" s="114"/>
      <c r="D167" s="78"/>
      <c r="E167" s="78"/>
      <c r="F167" s="78"/>
      <c r="G167" s="78"/>
      <c r="H167" s="78"/>
      <c r="I167" s="78"/>
      <c r="J167" s="78"/>
      <c r="K167" s="78"/>
      <c r="L167" s="78"/>
      <c r="M167" s="78"/>
      <c r="N167" s="78"/>
      <c r="O167" s="78"/>
      <c r="P167" s="78"/>
      <c r="Q167" s="78"/>
      <c r="R167" s="78"/>
      <c r="S167" s="78"/>
      <c r="T167" s="78"/>
      <c r="U167" s="78"/>
      <c r="V167" s="78"/>
      <c r="W167" s="78"/>
      <c r="X167" s="78"/>
      <c r="Y167" s="78"/>
    </row>
    <row r="168" spans="1:25" x14ac:dyDescent="0.25">
      <c r="A168" s="112" t="s">
        <v>682</v>
      </c>
      <c r="B168" s="78"/>
      <c r="C168" s="114"/>
      <c r="D168" s="78"/>
      <c r="E168" s="78"/>
      <c r="F168" s="78"/>
      <c r="G168" s="78"/>
      <c r="H168" s="78"/>
      <c r="I168" s="78"/>
      <c r="J168" s="78"/>
      <c r="K168" s="78"/>
      <c r="L168" s="78"/>
      <c r="M168" s="78"/>
      <c r="N168" s="78"/>
      <c r="O168" s="78"/>
      <c r="P168" s="78"/>
      <c r="Q168" s="78"/>
      <c r="R168" s="78"/>
      <c r="S168" s="78"/>
      <c r="T168" s="78"/>
      <c r="U168" s="78"/>
      <c r="V168" s="78"/>
      <c r="W168" s="78"/>
      <c r="X168" s="78"/>
      <c r="Y168" s="78"/>
    </row>
    <row r="169" spans="1:25" x14ac:dyDescent="0.25">
      <c r="A169" s="112" t="s">
        <v>682</v>
      </c>
      <c r="B169" s="78"/>
      <c r="C169" s="114"/>
      <c r="D169" s="78"/>
      <c r="E169" s="78"/>
      <c r="F169" s="78"/>
      <c r="G169" s="78"/>
      <c r="H169" s="78"/>
      <c r="I169" s="78"/>
      <c r="J169" s="78"/>
      <c r="K169" s="78"/>
      <c r="L169" s="78"/>
      <c r="M169" s="78"/>
      <c r="N169" s="78"/>
      <c r="O169" s="78"/>
      <c r="P169" s="78"/>
      <c r="Q169" s="78"/>
      <c r="R169" s="78"/>
      <c r="S169" s="78"/>
      <c r="T169" s="78"/>
      <c r="U169" s="78"/>
      <c r="V169" s="78"/>
      <c r="W169" s="78"/>
      <c r="X169" s="78"/>
      <c r="Y169" s="78"/>
    </row>
    <row r="170" spans="1:25" x14ac:dyDescent="0.25">
      <c r="A170" s="112" t="s">
        <v>682</v>
      </c>
      <c r="B170" s="78"/>
      <c r="C170" s="114"/>
      <c r="D170" s="78"/>
      <c r="E170" s="78"/>
      <c r="F170" s="78"/>
      <c r="G170" s="78"/>
      <c r="H170" s="78"/>
      <c r="I170" s="78"/>
      <c r="J170" s="78"/>
      <c r="K170" s="78"/>
      <c r="L170" s="78"/>
      <c r="M170" s="78"/>
      <c r="N170" s="78"/>
      <c r="O170" s="78"/>
      <c r="P170" s="78"/>
      <c r="Q170" s="78"/>
      <c r="R170" s="78"/>
      <c r="S170" s="78"/>
      <c r="T170" s="78"/>
      <c r="U170" s="78"/>
      <c r="V170" s="78"/>
      <c r="W170" s="78"/>
      <c r="X170" s="78"/>
      <c r="Y170" s="78"/>
    </row>
    <row r="171" spans="1:25" x14ac:dyDescent="0.25">
      <c r="A171" s="112" t="s">
        <v>682</v>
      </c>
      <c r="B171" s="78"/>
      <c r="C171" s="114"/>
      <c r="D171" s="78"/>
      <c r="E171" s="78"/>
      <c r="F171" s="78"/>
      <c r="G171" s="78"/>
      <c r="H171" s="78"/>
      <c r="I171" s="78"/>
      <c r="J171" s="78"/>
      <c r="K171" s="78"/>
      <c r="L171" s="78"/>
      <c r="M171" s="78"/>
      <c r="N171" s="78"/>
      <c r="O171" s="78"/>
      <c r="P171" s="78"/>
      <c r="Q171" s="78"/>
      <c r="R171" s="78"/>
      <c r="S171" s="78"/>
      <c r="T171" s="78"/>
      <c r="U171" s="78"/>
      <c r="V171" s="78"/>
      <c r="W171" s="78"/>
      <c r="X171" s="78"/>
      <c r="Y171" s="78"/>
    </row>
    <row r="172" spans="1:25" x14ac:dyDescent="0.25">
      <c r="A172" s="112" t="s">
        <v>682</v>
      </c>
      <c r="B172" s="78"/>
      <c r="C172" s="114"/>
      <c r="D172" s="78"/>
      <c r="E172" s="78"/>
      <c r="F172" s="78"/>
      <c r="G172" s="78"/>
      <c r="H172" s="78"/>
      <c r="I172" s="78"/>
      <c r="J172" s="78"/>
      <c r="K172" s="78"/>
      <c r="L172" s="78"/>
      <c r="M172" s="78"/>
      <c r="N172" s="78"/>
      <c r="O172" s="78"/>
      <c r="P172" s="78"/>
      <c r="Q172" s="78"/>
      <c r="R172" s="78"/>
      <c r="S172" s="78"/>
      <c r="T172" s="78"/>
      <c r="U172" s="78"/>
      <c r="V172" s="78"/>
      <c r="W172" s="78"/>
      <c r="X172" s="78"/>
      <c r="Y172" s="78"/>
    </row>
    <row r="173" spans="1:25" x14ac:dyDescent="0.25">
      <c r="A173" s="112" t="s">
        <v>682</v>
      </c>
      <c r="B173" s="78"/>
      <c r="C173" s="114"/>
      <c r="D173" s="78"/>
      <c r="E173" s="78"/>
      <c r="F173" s="78"/>
      <c r="G173" s="78"/>
      <c r="H173" s="78"/>
      <c r="I173" s="78"/>
      <c r="J173" s="78"/>
      <c r="K173" s="78"/>
      <c r="L173" s="78"/>
      <c r="M173" s="78"/>
      <c r="N173" s="78"/>
      <c r="O173" s="78"/>
      <c r="P173" s="78"/>
      <c r="Q173" s="78"/>
      <c r="R173" s="78"/>
      <c r="S173" s="78"/>
      <c r="T173" s="78"/>
      <c r="U173" s="78"/>
      <c r="V173" s="78"/>
      <c r="W173" s="78"/>
      <c r="X173" s="78"/>
      <c r="Y173" s="78"/>
    </row>
    <row r="174" spans="1:25" x14ac:dyDescent="0.25">
      <c r="A174" s="112" t="s">
        <v>682</v>
      </c>
      <c r="B174" s="78"/>
      <c r="C174" s="114"/>
      <c r="D174" s="78"/>
      <c r="E174" s="78"/>
      <c r="F174" s="78"/>
      <c r="G174" s="78"/>
      <c r="H174" s="78"/>
      <c r="I174" s="78"/>
      <c r="J174" s="78"/>
      <c r="K174" s="78"/>
      <c r="L174" s="78"/>
      <c r="M174" s="78"/>
      <c r="N174" s="78"/>
      <c r="O174" s="78"/>
      <c r="P174" s="78"/>
      <c r="Q174" s="78"/>
      <c r="R174" s="78"/>
      <c r="S174" s="78"/>
      <c r="T174" s="78"/>
      <c r="U174" s="78"/>
      <c r="V174" s="78"/>
      <c r="W174" s="78"/>
      <c r="X174" s="78"/>
      <c r="Y174" s="78"/>
    </row>
    <row r="175" spans="1:25" x14ac:dyDescent="0.25">
      <c r="A175" s="112" t="s">
        <v>682</v>
      </c>
      <c r="B175" s="78"/>
      <c r="C175" s="114"/>
      <c r="D175" s="78"/>
      <c r="E175" s="78"/>
      <c r="F175" s="78"/>
      <c r="G175" s="78"/>
      <c r="H175" s="78"/>
      <c r="I175" s="78"/>
      <c r="J175" s="78"/>
      <c r="K175" s="78"/>
      <c r="L175" s="78"/>
      <c r="M175" s="78"/>
      <c r="N175" s="78"/>
      <c r="O175" s="78"/>
      <c r="P175" s="78"/>
      <c r="Q175" s="78"/>
      <c r="R175" s="78"/>
      <c r="S175" s="78"/>
      <c r="T175" s="78"/>
      <c r="U175" s="78"/>
      <c r="V175" s="78"/>
      <c r="W175" s="78"/>
      <c r="X175" s="78"/>
      <c r="Y175" s="78"/>
    </row>
    <row r="176" spans="1:25" x14ac:dyDescent="0.25">
      <c r="A176" s="112" t="s">
        <v>682</v>
      </c>
      <c r="B176" s="78"/>
      <c r="C176" s="114"/>
      <c r="D176" s="78"/>
      <c r="E176" s="78"/>
      <c r="F176" s="78"/>
      <c r="G176" s="78"/>
      <c r="H176" s="78"/>
      <c r="I176" s="78"/>
      <c r="J176" s="78"/>
      <c r="K176" s="78"/>
      <c r="L176" s="78"/>
      <c r="M176" s="78"/>
      <c r="N176" s="78"/>
      <c r="O176" s="78"/>
      <c r="P176" s="78"/>
      <c r="Q176" s="78"/>
      <c r="R176" s="78"/>
      <c r="S176" s="78"/>
      <c r="T176" s="78"/>
      <c r="U176" s="78"/>
      <c r="V176" s="78"/>
      <c r="W176" s="78"/>
      <c r="X176" s="78"/>
      <c r="Y176" s="78"/>
    </row>
    <row r="177" spans="1:25" x14ac:dyDescent="0.25">
      <c r="A177" s="112" t="s">
        <v>682</v>
      </c>
      <c r="B177" s="78"/>
      <c r="C177" s="114"/>
      <c r="D177" s="78"/>
      <c r="E177" s="78"/>
      <c r="F177" s="78"/>
      <c r="G177" s="78"/>
      <c r="H177" s="78"/>
      <c r="I177" s="78"/>
      <c r="J177" s="78"/>
      <c r="K177" s="78"/>
      <c r="L177" s="78"/>
      <c r="M177" s="78"/>
      <c r="N177" s="78"/>
      <c r="O177" s="78"/>
      <c r="P177" s="78"/>
      <c r="Q177" s="78"/>
      <c r="R177" s="78"/>
      <c r="S177" s="78"/>
      <c r="T177" s="78"/>
      <c r="U177" s="78"/>
      <c r="V177" s="78"/>
      <c r="W177" s="78"/>
      <c r="X177" s="78"/>
      <c r="Y177" s="78"/>
    </row>
    <row r="178" spans="1:25" x14ac:dyDescent="0.25">
      <c r="A178" s="112" t="s">
        <v>682</v>
      </c>
      <c r="B178" s="78"/>
      <c r="C178" s="114"/>
      <c r="D178" s="78"/>
      <c r="E178" s="78"/>
      <c r="F178" s="78"/>
      <c r="G178" s="78"/>
      <c r="H178" s="78"/>
      <c r="I178" s="78"/>
      <c r="J178" s="78"/>
      <c r="K178" s="78"/>
      <c r="L178" s="78"/>
      <c r="M178" s="78"/>
      <c r="N178" s="78"/>
      <c r="O178" s="78"/>
      <c r="P178" s="78"/>
      <c r="Q178" s="78"/>
      <c r="R178" s="78"/>
      <c r="S178" s="78"/>
      <c r="T178" s="78"/>
      <c r="U178" s="78"/>
      <c r="V178" s="78"/>
      <c r="W178" s="78"/>
      <c r="X178" s="78"/>
      <c r="Y178" s="78"/>
    </row>
    <row r="179" spans="1:25" x14ac:dyDescent="0.25">
      <c r="A179" s="112" t="s">
        <v>682</v>
      </c>
      <c r="B179" s="78"/>
      <c r="C179" s="114"/>
      <c r="D179" s="78"/>
      <c r="E179" s="78"/>
      <c r="F179" s="78"/>
      <c r="G179" s="78"/>
      <c r="H179" s="78"/>
      <c r="I179" s="78"/>
      <c r="J179" s="78"/>
      <c r="K179" s="78"/>
      <c r="L179" s="78"/>
      <c r="M179" s="78"/>
      <c r="N179" s="78"/>
      <c r="O179" s="78"/>
      <c r="P179" s="78"/>
      <c r="Q179" s="78"/>
      <c r="R179" s="78"/>
      <c r="S179" s="78"/>
      <c r="T179" s="78"/>
      <c r="U179" s="78"/>
      <c r="V179" s="78"/>
      <c r="W179" s="78"/>
      <c r="X179" s="78"/>
      <c r="Y179" s="78"/>
    </row>
    <row r="180" spans="1:25" x14ac:dyDescent="0.25">
      <c r="A180" s="112" t="s">
        <v>682</v>
      </c>
      <c r="B180" s="78"/>
      <c r="C180" s="114"/>
      <c r="D180" s="78"/>
      <c r="E180" s="78"/>
      <c r="F180" s="78"/>
      <c r="G180" s="78"/>
      <c r="H180" s="78"/>
      <c r="I180" s="78"/>
      <c r="J180" s="78"/>
      <c r="K180" s="78"/>
      <c r="L180" s="78"/>
      <c r="M180" s="78"/>
      <c r="N180" s="78"/>
      <c r="O180" s="78"/>
      <c r="P180" s="78"/>
      <c r="Q180" s="78"/>
      <c r="R180" s="78"/>
      <c r="S180" s="78"/>
      <c r="T180" s="78"/>
      <c r="U180" s="78"/>
      <c r="V180" s="78"/>
      <c r="W180" s="78"/>
      <c r="X180" s="78"/>
      <c r="Y180" s="78"/>
    </row>
    <row r="181" spans="1:25" x14ac:dyDescent="0.25">
      <c r="A181" s="112" t="s">
        <v>682</v>
      </c>
      <c r="B181" s="78"/>
      <c r="C181" s="114"/>
      <c r="D181" s="78"/>
      <c r="E181" s="78"/>
      <c r="F181" s="78"/>
      <c r="G181" s="78"/>
      <c r="H181" s="78"/>
      <c r="I181" s="78"/>
      <c r="J181" s="78"/>
      <c r="K181" s="78"/>
      <c r="L181" s="78"/>
      <c r="M181" s="78"/>
      <c r="N181" s="78"/>
      <c r="O181" s="78"/>
      <c r="P181" s="78"/>
      <c r="Q181" s="78"/>
      <c r="R181" s="78"/>
      <c r="S181" s="78"/>
      <c r="T181" s="78"/>
      <c r="U181" s="78"/>
      <c r="V181" s="78"/>
      <c r="W181" s="78"/>
      <c r="X181" s="78"/>
      <c r="Y181" s="78"/>
    </row>
    <row r="182" spans="1:25" x14ac:dyDescent="0.25">
      <c r="A182" s="112" t="s">
        <v>682</v>
      </c>
      <c r="B182" s="78"/>
      <c r="C182" s="114"/>
      <c r="D182" s="78"/>
      <c r="E182" s="78"/>
      <c r="F182" s="78"/>
      <c r="G182" s="78"/>
      <c r="H182" s="78"/>
      <c r="I182" s="78"/>
      <c r="J182" s="78"/>
      <c r="K182" s="78"/>
      <c r="L182" s="78"/>
      <c r="M182" s="78"/>
      <c r="N182" s="78"/>
      <c r="O182" s="78"/>
      <c r="P182" s="78"/>
      <c r="Q182" s="78"/>
      <c r="R182" s="78"/>
      <c r="S182" s="78"/>
      <c r="T182" s="78"/>
      <c r="U182" s="78"/>
      <c r="V182" s="78"/>
      <c r="W182" s="78"/>
      <c r="X182" s="78"/>
      <c r="Y182" s="78"/>
    </row>
    <row r="183" spans="1:25" x14ac:dyDescent="0.25">
      <c r="A183" s="112" t="s">
        <v>682</v>
      </c>
      <c r="B183" s="78"/>
      <c r="C183" s="114"/>
      <c r="D183" s="78"/>
      <c r="E183" s="78"/>
      <c r="F183" s="78"/>
      <c r="G183" s="78"/>
      <c r="H183" s="78"/>
      <c r="I183" s="78"/>
      <c r="J183" s="78"/>
      <c r="K183" s="78"/>
      <c r="L183" s="78"/>
      <c r="M183" s="78"/>
      <c r="N183" s="78"/>
      <c r="O183" s="78"/>
      <c r="P183" s="78"/>
      <c r="Q183" s="78"/>
      <c r="R183" s="78"/>
      <c r="S183" s="78"/>
      <c r="T183" s="78"/>
      <c r="U183" s="78"/>
      <c r="V183" s="78"/>
      <c r="W183" s="78"/>
      <c r="X183" s="78"/>
      <c r="Y183" s="78"/>
    </row>
    <row r="184" spans="1:25" x14ac:dyDescent="0.25">
      <c r="A184" s="112" t="s">
        <v>682</v>
      </c>
      <c r="B184" s="78"/>
      <c r="C184" s="114"/>
      <c r="D184" s="78"/>
      <c r="E184" s="78"/>
      <c r="F184" s="78"/>
      <c r="G184" s="78"/>
      <c r="H184" s="78"/>
      <c r="I184" s="78"/>
      <c r="J184" s="78"/>
      <c r="K184" s="78"/>
      <c r="L184" s="78"/>
      <c r="M184" s="78"/>
      <c r="N184" s="78"/>
      <c r="O184" s="78"/>
      <c r="P184" s="78"/>
      <c r="Q184" s="78"/>
      <c r="R184" s="78"/>
      <c r="S184" s="78"/>
      <c r="T184" s="78"/>
      <c r="U184" s="78"/>
      <c r="V184" s="78"/>
      <c r="W184" s="78"/>
      <c r="X184" s="78"/>
      <c r="Y184" s="78"/>
    </row>
    <row r="185" spans="1:25" x14ac:dyDescent="0.25">
      <c r="A185" s="112" t="s">
        <v>682</v>
      </c>
      <c r="B185" s="78"/>
      <c r="C185" s="114"/>
      <c r="D185" s="78"/>
      <c r="E185" s="78"/>
      <c r="F185" s="78"/>
      <c r="G185" s="78"/>
      <c r="H185" s="78"/>
      <c r="I185" s="78"/>
      <c r="J185" s="78"/>
      <c r="K185" s="78"/>
      <c r="L185" s="78"/>
      <c r="M185" s="78"/>
      <c r="N185" s="78"/>
      <c r="O185" s="78"/>
      <c r="P185" s="78"/>
      <c r="Q185" s="78"/>
      <c r="R185" s="78"/>
      <c r="S185" s="78"/>
      <c r="T185" s="78"/>
      <c r="U185" s="78"/>
      <c r="V185" s="78"/>
      <c r="W185" s="78"/>
      <c r="X185" s="78"/>
      <c r="Y185" s="78"/>
    </row>
    <row r="186" spans="1:25" x14ac:dyDescent="0.25">
      <c r="A186" s="112" t="s">
        <v>682</v>
      </c>
      <c r="B186" s="78"/>
      <c r="C186" s="114"/>
      <c r="D186" s="78"/>
      <c r="E186" s="78"/>
      <c r="F186" s="78"/>
      <c r="G186" s="78"/>
      <c r="H186" s="78"/>
      <c r="I186" s="78"/>
      <c r="J186" s="78"/>
      <c r="K186" s="78"/>
      <c r="L186" s="78"/>
      <c r="M186" s="78"/>
      <c r="N186" s="78"/>
      <c r="O186" s="78"/>
      <c r="P186" s="78"/>
      <c r="Q186" s="78"/>
      <c r="R186" s="78"/>
      <c r="S186" s="78"/>
      <c r="T186" s="78"/>
      <c r="U186" s="78"/>
      <c r="V186" s="78"/>
      <c r="W186" s="78"/>
      <c r="X186" s="78"/>
      <c r="Y186" s="78"/>
    </row>
    <row r="187" spans="1:25" x14ac:dyDescent="0.25">
      <c r="A187" s="112" t="s">
        <v>682</v>
      </c>
      <c r="B187" s="78"/>
      <c r="C187" s="114"/>
      <c r="D187" s="78"/>
      <c r="E187" s="78"/>
      <c r="F187" s="78"/>
      <c r="G187" s="78"/>
      <c r="H187" s="78"/>
      <c r="I187" s="78"/>
      <c r="J187" s="78"/>
      <c r="K187" s="78"/>
      <c r="L187" s="78"/>
      <c r="M187" s="78"/>
      <c r="N187" s="78"/>
      <c r="O187" s="78"/>
      <c r="P187" s="78"/>
      <c r="Q187" s="78"/>
      <c r="R187" s="78"/>
      <c r="S187" s="78"/>
      <c r="T187" s="78"/>
      <c r="U187" s="78"/>
      <c r="V187" s="78"/>
      <c r="W187" s="78"/>
      <c r="X187" s="78"/>
      <c r="Y187" s="78"/>
    </row>
    <row r="188" spans="1:25" x14ac:dyDescent="0.25">
      <c r="A188" s="112" t="s">
        <v>682</v>
      </c>
      <c r="B188" s="78"/>
      <c r="C188" s="114"/>
      <c r="D188" s="78"/>
      <c r="E188" s="78"/>
      <c r="F188" s="78"/>
      <c r="G188" s="78"/>
      <c r="H188" s="78"/>
      <c r="I188" s="78"/>
      <c r="J188" s="78"/>
      <c r="K188" s="78"/>
      <c r="L188" s="78"/>
      <c r="M188" s="78"/>
      <c r="N188" s="78"/>
      <c r="O188" s="78"/>
      <c r="P188" s="78"/>
      <c r="Q188" s="78"/>
      <c r="R188" s="78"/>
      <c r="S188" s="78"/>
      <c r="T188" s="78"/>
      <c r="U188" s="78"/>
      <c r="V188" s="78"/>
      <c r="W188" s="78"/>
      <c r="X188" s="78"/>
      <c r="Y188" s="78"/>
    </row>
    <row r="189" spans="1:25" x14ac:dyDescent="0.25">
      <c r="A189" s="112" t="s">
        <v>682</v>
      </c>
      <c r="B189" s="78"/>
      <c r="C189" s="114"/>
      <c r="D189" s="78"/>
      <c r="E189" s="78"/>
      <c r="F189" s="78"/>
      <c r="G189" s="78"/>
      <c r="H189" s="78"/>
      <c r="I189" s="78"/>
      <c r="J189" s="78"/>
      <c r="K189" s="78"/>
      <c r="L189" s="78"/>
      <c r="M189" s="78"/>
      <c r="N189" s="78"/>
      <c r="O189" s="78"/>
      <c r="P189" s="78"/>
      <c r="Q189" s="78"/>
      <c r="R189" s="78"/>
      <c r="S189" s="78"/>
      <c r="T189" s="78"/>
      <c r="U189" s="78"/>
      <c r="V189" s="78"/>
      <c r="W189" s="78"/>
      <c r="X189" s="78"/>
      <c r="Y189" s="78"/>
    </row>
    <row r="190" spans="1:25" x14ac:dyDescent="0.25">
      <c r="A190" s="112" t="s">
        <v>682</v>
      </c>
      <c r="B190" s="78"/>
      <c r="C190" s="114"/>
      <c r="D190" s="78"/>
      <c r="E190" s="78"/>
      <c r="F190" s="78"/>
      <c r="G190" s="78"/>
      <c r="H190" s="78"/>
      <c r="I190" s="78"/>
      <c r="J190" s="78"/>
      <c r="K190" s="78"/>
      <c r="L190" s="78"/>
      <c r="M190" s="78"/>
      <c r="N190" s="78"/>
      <c r="O190" s="78"/>
      <c r="P190" s="78"/>
      <c r="Q190" s="78"/>
      <c r="R190" s="78"/>
      <c r="S190" s="78"/>
      <c r="T190" s="78"/>
      <c r="U190" s="78"/>
      <c r="V190" s="78"/>
      <c r="W190" s="78"/>
      <c r="X190" s="78"/>
      <c r="Y190" s="78"/>
    </row>
    <row r="191" spans="1:25" x14ac:dyDescent="0.25">
      <c r="A191" s="112" t="s">
        <v>682</v>
      </c>
      <c r="B191" s="78"/>
      <c r="C191" s="114"/>
      <c r="D191" s="78"/>
      <c r="E191" s="78"/>
      <c r="F191" s="78"/>
      <c r="G191" s="78"/>
      <c r="H191" s="78"/>
      <c r="I191" s="78"/>
      <c r="J191" s="78"/>
      <c r="K191" s="78"/>
      <c r="L191" s="78"/>
      <c r="M191" s="78"/>
      <c r="N191" s="78"/>
      <c r="O191" s="78"/>
      <c r="P191" s="78"/>
      <c r="Q191" s="78"/>
      <c r="R191" s="78"/>
      <c r="S191" s="78"/>
      <c r="T191" s="78"/>
      <c r="U191" s="78"/>
      <c r="V191" s="78"/>
      <c r="W191" s="78"/>
      <c r="X191" s="78"/>
      <c r="Y191" s="78"/>
    </row>
    <row r="192" spans="1:25" x14ac:dyDescent="0.25">
      <c r="A192" s="112" t="s">
        <v>682</v>
      </c>
      <c r="B192" s="78"/>
      <c r="C192" s="114"/>
      <c r="D192" s="78"/>
      <c r="E192" s="78"/>
      <c r="F192" s="78"/>
      <c r="G192" s="78"/>
      <c r="H192" s="78"/>
      <c r="I192" s="78"/>
      <c r="J192" s="78"/>
      <c r="K192" s="78"/>
      <c r="L192" s="78"/>
      <c r="M192" s="78"/>
      <c r="N192" s="78"/>
      <c r="O192" s="78"/>
      <c r="P192" s="78"/>
      <c r="Q192" s="78"/>
      <c r="R192" s="78"/>
      <c r="S192" s="78"/>
      <c r="T192" s="78"/>
      <c r="U192" s="78"/>
      <c r="V192" s="78"/>
      <c r="W192" s="78"/>
      <c r="X192" s="78"/>
      <c r="Y192" s="78"/>
    </row>
    <row r="193" spans="1:25" x14ac:dyDescent="0.25">
      <c r="A193" s="112" t="s">
        <v>682</v>
      </c>
      <c r="B193" s="78"/>
      <c r="C193" s="114"/>
      <c r="D193" s="78"/>
      <c r="E193" s="78"/>
      <c r="F193" s="78"/>
      <c r="G193" s="78"/>
      <c r="H193" s="78"/>
      <c r="I193" s="78"/>
      <c r="J193" s="78"/>
      <c r="K193" s="78"/>
      <c r="L193" s="78"/>
      <c r="M193" s="78"/>
      <c r="N193" s="78"/>
      <c r="O193" s="78"/>
      <c r="P193" s="78"/>
      <c r="Q193" s="78"/>
      <c r="R193" s="78"/>
      <c r="S193" s="78"/>
      <c r="T193" s="78"/>
      <c r="U193" s="78"/>
      <c r="V193" s="78"/>
      <c r="W193" s="78"/>
      <c r="X193" s="78"/>
      <c r="Y193" s="78"/>
    </row>
    <row r="194" spans="1:25" x14ac:dyDescent="0.25">
      <c r="A194" s="112" t="s">
        <v>682</v>
      </c>
      <c r="B194" s="78"/>
      <c r="C194" s="114"/>
      <c r="D194" s="78"/>
      <c r="E194" s="78"/>
      <c r="F194" s="78"/>
      <c r="G194" s="78"/>
      <c r="H194" s="78"/>
      <c r="I194" s="78"/>
      <c r="J194" s="78"/>
      <c r="K194" s="78"/>
      <c r="L194" s="78"/>
      <c r="M194" s="78"/>
      <c r="N194" s="78"/>
      <c r="O194" s="78"/>
      <c r="P194" s="78"/>
      <c r="Q194" s="78"/>
      <c r="R194" s="78"/>
      <c r="S194" s="78"/>
      <c r="T194" s="78"/>
      <c r="U194" s="78"/>
      <c r="V194" s="78"/>
      <c r="W194" s="78"/>
      <c r="X194" s="78"/>
      <c r="Y194" s="78"/>
    </row>
    <row r="195" spans="1:25" x14ac:dyDescent="0.25">
      <c r="A195" s="112" t="s">
        <v>682</v>
      </c>
      <c r="B195" s="78"/>
      <c r="C195" s="114"/>
      <c r="D195" s="78"/>
      <c r="E195" s="78"/>
      <c r="F195" s="78"/>
      <c r="G195" s="78"/>
      <c r="H195" s="78"/>
      <c r="I195" s="78"/>
      <c r="J195" s="78"/>
      <c r="K195" s="78"/>
      <c r="L195" s="78"/>
      <c r="M195" s="78"/>
      <c r="N195" s="78"/>
      <c r="O195" s="78"/>
      <c r="P195" s="78"/>
      <c r="Q195" s="78"/>
      <c r="R195" s="78"/>
      <c r="S195" s="78"/>
      <c r="T195" s="78"/>
      <c r="U195" s="78"/>
      <c r="V195" s="78"/>
      <c r="W195" s="78"/>
      <c r="X195" s="78"/>
      <c r="Y195" s="78"/>
    </row>
    <row r="196" spans="1:25" x14ac:dyDescent="0.25">
      <c r="A196" s="112" t="s">
        <v>682</v>
      </c>
      <c r="B196" s="78"/>
      <c r="C196" s="114"/>
      <c r="D196" s="78"/>
      <c r="E196" s="78"/>
      <c r="F196" s="78"/>
      <c r="G196" s="78"/>
      <c r="H196" s="78"/>
      <c r="I196" s="78"/>
      <c r="J196" s="78"/>
      <c r="K196" s="78"/>
      <c r="L196" s="78"/>
      <c r="M196" s="78"/>
      <c r="N196" s="78"/>
      <c r="O196" s="78"/>
      <c r="P196" s="78"/>
      <c r="Q196" s="78"/>
      <c r="R196" s="78"/>
      <c r="S196" s="78"/>
      <c r="T196" s="78"/>
      <c r="U196" s="78"/>
      <c r="V196" s="78"/>
      <c r="W196" s="78"/>
      <c r="X196" s="78"/>
      <c r="Y196" s="78"/>
    </row>
    <row r="197" spans="1:25" x14ac:dyDescent="0.25">
      <c r="A197" s="112" t="s">
        <v>682</v>
      </c>
      <c r="B197" s="78"/>
      <c r="C197" s="114"/>
      <c r="D197" s="78"/>
      <c r="E197" s="78"/>
      <c r="F197" s="78"/>
      <c r="G197" s="78"/>
      <c r="H197" s="78"/>
      <c r="I197" s="78"/>
      <c r="J197" s="78"/>
      <c r="K197" s="78"/>
      <c r="L197" s="78"/>
      <c r="M197" s="78"/>
      <c r="N197" s="78"/>
      <c r="O197" s="78"/>
      <c r="P197" s="78"/>
      <c r="Q197" s="78"/>
      <c r="R197" s="78"/>
      <c r="S197" s="78"/>
      <c r="T197" s="78"/>
      <c r="U197" s="78"/>
      <c r="V197" s="78"/>
      <c r="W197" s="78"/>
      <c r="X197" s="78"/>
      <c r="Y197" s="78"/>
    </row>
    <row r="198" spans="1:25" x14ac:dyDescent="0.25">
      <c r="A198" s="112" t="s">
        <v>682</v>
      </c>
      <c r="B198" s="78"/>
      <c r="C198" s="114"/>
      <c r="D198" s="78"/>
      <c r="E198" s="78"/>
      <c r="F198" s="78"/>
      <c r="G198" s="78"/>
      <c r="H198" s="78"/>
      <c r="I198" s="78"/>
      <c r="J198" s="78"/>
      <c r="K198" s="78"/>
      <c r="L198" s="78"/>
      <c r="M198" s="78"/>
      <c r="N198" s="78"/>
      <c r="O198" s="78"/>
      <c r="P198" s="78"/>
      <c r="Q198" s="78"/>
      <c r="R198" s="78"/>
      <c r="S198" s="78"/>
      <c r="T198" s="78"/>
      <c r="U198" s="78"/>
      <c r="V198" s="78"/>
      <c r="W198" s="78"/>
      <c r="X198" s="78"/>
      <c r="Y198" s="78"/>
    </row>
    <row r="199" spans="1:25" x14ac:dyDescent="0.25">
      <c r="A199" s="112" t="s">
        <v>682</v>
      </c>
      <c r="B199" s="78"/>
      <c r="C199" s="114"/>
      <c r="D199" s="78"/>
      <c r="E199" s="78"/>
      <c r="F199" s="78"/>
      <c r="G199" s="78"/>
      <c r="H199" s="78"/>
      <c r="I199" s="78"/>
      <c r="J199" s="78"/>
      <c r="K199" s="78"/>
      <c r="L199" s="78"/>
      <c r="M199" s="78"/>
      <c r="N199" s="78"/>
      <c r="O199" s="78"/>
      <c r="P199" s="78"/>
      <c r="Q199" s="78"/>
      <c r="R199" s="78"/>
      <c r="S199" s="78"/>
      <c r="T199" s="78"/>
      <c r="U199" s="78"/>
      <c r="V199" s="78"/>
      <c r="W199" s="78"/>
      <c r="X199" s="78"/>
      <c r="Y199" s="78"/>
    </row>
    <row r="200" spans="1:25" x14ac:dyDescent="0.25">
      <c r="A200" s="112" t="s">
        <v>682</v>
      </c>
      <c r="B200" s="78"/>
      <c r="C200" s="114"/>
      <c r="D200" s="78"/>
      <c r="E200" s="78"/>
      <c r="F200" s="78"/>
      <c r="G200" s="78"/>
      <c r="H200" s="78"/>
      <c r="I200" s="78"/>
      <c r="J200" s="78"/>
      <c r="K200" s="78"/>
      <c r="L200" s="78"/>
      <c r="M200" s="78"/>
      <c r="N200" s="78"/>
      <c r="O200" s="78"/>
      <c r="P200" s="78"/>
      <c r="Q200" s="78"/>
      <c r="R200" s="78"/>
      <c r="S200" s="78"/>
      <c r="T200" s="78"/>
      <c r="U200" s="78"/>
      <c r="V200" s="78"/>
      <c r="W200" s="78"/>
      <c r="X200" s="78"/>
      <c r="Y200" s="78"/>
    </row>
    <row r="201" spans="1:25" x14ac:dyDescent="0.25">
      <c r="A201" s="112" t="s">
        <v>682</v>
      </c>
      <c r="B201" s="78"/>
      <c r="C201" s="114"/>
      <c r="D201" s="78"/>
      <c r="E201" s="78"/>
      <c r="F201" s="78"/>
      <c r="G201" s="78"/>
      <c r="H201" s="78"/>
      <c r="I201" s="78"/>
      <c r="J201" s="78"/>
      <c r="K201" s="78"/>
      <c r="L201" s="78"/>
      <c r="M201" s="78"/>
      <c r="N201" s="78"/>
      <c r="O201" s="78"/>
      <c r="P201" s="78"/>
      <c r="Q201" s="78"/>
      <c r="R201" s="78"/>
      <c r="S201" s="78"/>
      <c r="T201" s="78"/>
      <c r="U201" s="78"/>
      <c r="V201" s="78"/>
      <c r="W201" s="78"/>
      <c r="X201" s="78"/>
      <c r="Y201" s="78"/>
    </row>
    <row r="202" spans="1:25" x14ac:dyDescent="0.25">
      <c r="A202" s="112" t="s">
        <v>682</v>
      </c>
      <c r="B202" s="78"/>
      <c r="C202" s="114"/>
      <c r="D202" s="78"/>
      <c r="E202" s="78"/>
      <c r="F202" s="78"/>
      <c r="G202" s="78"/>
      <c r="H202" s="78"/>
      <c r="I202" s="78"/>
      <c r="J202" s="78"/>
      <c r="K202" s="78"/>
      <c r="L202" s="78"/>
      <c r="M202" s="78"/>
      <c r="N202" s="78"/>
      <c r="O202" s="78"/>
      <c r="P202" s="78"/>
      <c r="Q202" s="78"/>
      <c r="R202" s="78"/>
      <c r="S202" s="78"/>
      <c r="T202" s="78"/>
      <c r="U202" s="78"/>
      <c r="V202" s="78"/>
      <c r="W202" s="78"/>
      <c r="X202" s="78"/>
      <c r="Y202" s="78"/>
    </row>
    <row r="203" spans="1:25" x14ac:dyDescent="0.25">
      <c r="A203" s="112" t="s">
        <v>682</v>
      </c>
      <c r="B203" s="78"/>
      <c r="C203" s="114"/>
      <c r="D203" s="78"/>
      <c r="E203" s="78"/>
      <c r="F203" s="78"/>
      <c r="G203" s="78"/>
      <c r="H203" s="78"/>
      <c r="I203" s="78"/>
      <c r="J203" s="78"/>
      <c r="K203" s="78"/>
      <c r="L203" s="78"/>
      <c r="M203" s="78"/>
      <c r="N203" s="78"/>
      <c r="O203" s="78"/>
      <c r="P203" s="78"/>
      <c r="Q203" s="78"/>
      <c r="R203" s="78"/>
      <c r="S203" s="78"/>
      <c r="T203" s="78"/>
      <c r="U203" s="78"/>
      <c r="V203" s="78"/>
      <c r="W203" s="78"/>
      <c r="X203" s="78"/>
      <c r="Y203" s="78"/>
    </row>
    <row r="204" spans="1:25" x14ac:dyDescent="0.25">
      <c r="A204" s="112" t="s">
        <v>682</v>
      </c>
      <c r="B204" s="78"/>
      <c r="C204" s="114"/>
      <c r="D204" s="78"/>
      <c r="E204" s="78"/>
      <c r="F204" s="78"/>
      <c r="G204" s="78"/>
      <c r="H204" s="78"/>
      <c r="I204" s="78"/>
      <c r="J204" s="78"/>
      <c r="K204" s="78"/>
      <c r="L204" s="78"/>
      <c r="M204" s="78"/>
      <c r="N204" s="78"/>
      <c r="O204" s="78"/>
      <c r="P204" s="78"/>
      <c r="Q204" s="78"/>
      <c r="R204" s="78"/>
      <c r="S204" s="78"/>
      <c r="T204" s="78"/>
      <c r="U204" s="78"/>
      <c r="V204" s="78"/>
      <c r="W204" s="78"/>
      <c r="X204" s="78"/>
      <c r="Y204" s="78"/>
    </row>
    <row r="205" spans="1:25" x14ac:dyDescent="0.25">
      <c r="A205" s="112" t="s">
        <v>682</v>
      </c>
      <c r="B205" s="78"/>
      <c r="C205" s="114"/>
      <c r="D205" s="78"/>
      <c r="E205" s="78"/>
      <c r="F205" s="78"/>
      <c r="G205" s="78"/>
      <c r="H205" s="78"/>
      <c r="I205" s="78"/>
      <c r="J205" s="78"/>
      <c r="K205" s="78"/>
      <c r="L205" s="78"/>
      <c r="M205" s="78"/>
      <c r="N205" s="78"/>
      <c r="O205" s="78"/>
      <c r="P205" s="78"/>
      <c r="Q205" s="78"/>
      <c r="R205" s="78"/>
      <c r="S205" s="78"/>
      <c r="T205" s="78"/>
      <c r="U205" s="78"/>
      <c r="V205" s="78"/>
      <c r="W205" s="78"/>
      <c r="X205" s="78"/>
      <c r="Y205" s="78"/>
    </row>
    <row r="206" spans="1:25" x14ac:dyDescent="0.25">
      <c r="A206" s="112" t="s">
        <v>682</v>
      </c>
      <c r="B206" s="78"/>
      <c r="C206" s="114"/>
      <c r="D206" s="78"/>
      <c r="E206" s="78"/>
      <c r="F206" s="78"/>
      <c r="G206" s="78"/>
      <c r="H206" s="78"/>
      <c r="I206" s="78"/>
      <c r="J206" s="78"/>
      <c r="K206" s="78"/>
      <c r="L206" s="78"/>
      <c r="M206" s="78"/>
      <c r="N206" s="78"/>
      <c r="O206" s="78"/>
      <c r="P206" s="78"/>
      <c r="Q206" s="78"/>
      <c r="R206" s="78"/>
      <c r="S206" s="78"/>
      <c r="T206" s="78"/>
      <c r="U206" s="78"/>
      <c r="V206" s="78"/>
      <c r="W206" s="78"/>
      <c r="X206" s="78"/>
      <c r="Y206" s="78"/>
    </row>
    <row r="207" spans="1:25" x14ac:dyDescent="0.25">
      <c r="A207" s="112" t="s">
        <v>682</v>
      </c>
      <c r="B207" s="78"/>
      <c r="C207" s="114"/>
      <c r="D207" s="78"/>
      <c r="E207" s="78"/>
      <c r="F207" s="78"/>
      <c r="G207" s="78"/>
      <c r="H207" s="78"/>
      <c r="I207" s="78"/>
      <c r="J207" s="78"/>
      <c r="K207" s="78"/>
      <c r="L207" s="78"/>
      <c r="M207" s="78"/>
      <c r="N207" s="78"/>
      <c r="O207" s="78"/>
      <c r="P207" s="78"/>
      <c r="Q207" s="78"/>
      <c r="R207" s="78"/>
      <c r="S207" s="78"/>
      <c r="T207" s="78"/>
      <c r="U207" s="78"/>
      <c r="V207" s="78"/>
      <c r="W207" s="78"/>
      <c r="X207" s="78"/>
      <c r="Y207" s="78"/>
    </row>
    <row r="208" spans="1:25" x14ac:dyDescent="0.25">
      <c r="A208" s="112" t="s">
        <v>682</v>
      </c>
      <c r="B208" s="78"/>
      <c r="C208" s="114"/>
      <c r="D208" s="78"/>
      <c r="E208" s="78"/>
      <c r="F208" s="78"/>
      <c r="G208" s="78"/>
      <c r="H208" s="78"/>
      <c r="I208" s="78"/>
      <c r="J208" s="78"/>
      <c r="K208" s="78"/>
      <c r="L208" s="78"/>
      <c r="M208" s="78"/>
      <c r="N208" s="78"/>
      <c r="O208" s="78"/>
      <c r="P208" s="78"/>
      <c r="Q208" s="78"/>
      <c r="R208" s="78"/>
      <c r="S208" s="78"/>
      <c r="T208" s="78"/>
      <c r="U208" s="78"/>
      <c r="V208" s="78"/>
      <c r="W208" s="78"/>
      <c r="X208" s="78"/>
      <c r="Y208" s="78"/>
    </row>
    <row r="209" spans="1:25" x14ac:dyDescent="0.25">
      <c r="A209" s="112" t="s">
        <v>682</v>
      </c>
      <c r="B209" s="78"/>
      <c r="C209" s="114"/>
      <c r="D209" s="78"/>
      <c r="E209" s="78"/>
      <c r="F209" s="78"/>
      <c r="G209" s="78"/>
      <c r="H209" s="78"/>
      <c r="I209" s="78"/>
      <c r="J209" s="78"/>
      <c r="K209" s="78"/>
      <c r="L209" s="78"/>
      <c r="M209" s="78"/>
      <c r="N209" s="78"/>
      <c r="O209" s="78"/>
      <c r="P209" s="78"/>
      <c r="Q209" s="78"/>
      <c r="R209" s="78"/>
      <c r="S209" s="78"/>
      <c r="T209" s="78"/>
      <c r="U209" s="78"/>
      <c r="V209" s="78"/>
      <c r="W209" s="78"/>
      <c r="X209" s="78"/>
      <c r="Y209" s="78"/>
    </row>
    <row r="210" spans="1:25" x14ac:dyDescent="0.25">
      <c r="A210" s="112" t="s">
        <v>682</v>
      </c>
      <c r="B210" s="78"/>
      <c r="C210" s="114"/>
      <c r="D210" s="78"/>
      <c r="E210" s="78"/>
      <c r="F210" s="78"/>
      <c r="G210" s="78"/>
      <c r="H210" s="78"/>
      <c r="I210" s="78"/>
      <c r="J210" s="78"/>
      <c r="K210" s="78"/>
      <c r="L210" s="78"/>
      <c r="M210" s="78"/>
      <c r="N210" s="78"/>
      <c r="O210" s="78"/>
      <c r="P210" s="78"/>
      <c r="Q210" s="78"/>
      <c r="R210" s="78"/>
      <c r="S210" s="78"/>
      <c r="T210" s="78"/>
      <c r="U210" s="78"/>
      <c r="V210" s="78"/>
      <c r="W210" s="78"/>
      <c r="X210" s="78"/>
      <c r="Y210" s="78"/>
    </row>
    <row r="211" spans="1:25" x14ac:dyDescent="0.25">
      <c r="A211" s="112" t="s">
        <v>682</v>
      </c>
      <c r="B211" s="78"/>
      <c r="C211" s="114"/>
      <c r="D211" s="78"/>
      <c r="E211" s="78"/>
      <c r="F211" s="78"/>
      <c r="G211" s="78"/>
      <c r="H211" s="78"/>
      <c r="I211" s="78"/>
      <c r="J211" s="78"/>
      <c r="K211" s="78"/>
      <c r="L211" s="78"/>
      <c r="M211" s="78"/>
      <c r="N211" s="78"/>
      <c r="O211" s="78"/>
      <c r="P211" s="78"/>
      <c r="Q211" s="78"/>
      <c r="R211" s="78"/>
      <c r="S211" s="78"/>
      <c r="T211" s="78"/>
      <c r="U211" s="78"/>
      <c r="V211" s="78"/>
      <c r="W211" s="78"/>
      <c r="X211" s="78"/>
      <c r="Y211" s="78"/>
    </row>
    <row r="212" spans="1:25" x14ac:dyDescent="0.25">
      <c r="A212" s="112" t="s">
        <v>682</v>
      </c>
      <c r="B212" s="78"/>
      <c r="C212" s="114"/>
      <c r="D212" s="78"/>
      <c r="E212" s="78"/>
      <c r="F212" s="78"/>
      <c r="G212" s="78"/>
      <c r="H212" s="78"/>
      <c r="I212" s="78"/>
      <c r="J212" s="78"/>
      <c r="K212" s="78"/>
      <c r="L212" s="78"/>
      <c r="M212" s="78"/>
      <c r="N212" s="78"/>
      <c r="O212" s="78"/>
      <c r="P212" s="78"/>
      <c r="Q212" s="78"/>
      <c r="R212" s="78"/>
      <c r="S212" s="78"/>
      <c r="T212" s="78"/>
      <c r="U212" s="78"/>
      <c r="V212" s="78"/>
      <c r="W212" s="78"/>
      <c r="X212" s="78"/>
      <c r="Y212" s="78"/>
    </row>
    <row r="213" spans="1:25" x14ac:dyDescent="0.25">
      <c r="A213" s="112" t="s">
        <v>682</v>
      </c>
      <c r="B213" s="78"/>
      <c r="C213" s="114"/>
      <c r="D213" s="78"/>
      <c r="E213" s="78"/>
      <c r="F213" s="78"/>
      <c r="G213" s="78"/>
      <c r="H213" s="78"/>
      <c r="I213" s="78"/>
      <c r="J213" s="78"/>
      <c r="K213" s="78"/>
      <c r="L213" s="78"/>
      <c r="M213" s="78"/>
      <c r="N213" s="78"/>
      <c r="O213" s="78"/>
      <c r="P213" s="78"/>
      <c r="Q213" s="78"/>
      <c r="R213" s="78"/>
      <c r="S213" s="78"/>
      <c r="T213" s="78"/>
      <c r="U213" s="78"/>
      <c r="V213" s="78"/>
      <c r="W213" s="78"/>
      <c r="X213" s="78"/>
      <c r="Y213" s="78"/>
    </row>
    <row r="214" spans="1:25" x14ac:dyDescent="0.25">
      <c r="A214" s="112" t="s">
        <v>682</v>
      </c>
      <c r="B214" s="78"/>
      <c r="C214" s="114"/>
      <c r="D214" s="78"/>
      <c r="E214" s="78"/>
      <c r="F214" s="78"/>
      <c r="G214" s="78"/>
      <c r="H214" s="78"/>
      <c r="I214" s="78"/>
      <c r="J214" s="78"/>
      <c r="K214" s="78"/>
      <c r="L214" s="78"/>
      <c r="M214" s="78"/>
      <c r="N214" s="78"/>
      <c r="O214" s="78"/>
      <c r="P214" s="78"/>
      <c r="Q214" s="78"/>
      <c r="R214" s="78"/>
      <c r="S214" s="78"/>
      <c r="T214" s="78"/>
      <c r="U214" s="78"/>
      <c r="V214" s="78"/>
      <c r="W214" s="78"/>
      <c r="X214" s="78"/>
      <c r="Y214" s="78"/>
    </row>
    <row r="215" spans="1:25" x14ac:dyDescent="0.25">
      <c r="A215" s="112" t="s">
        <v>682</v>
      </c>
      <c r="B215" s="78"/>
      <c r="C215" s="114"/>
      <c r="D215" s="78"/>
      <c r="E215" s="78"/>
      <c r="F215" s="78"/>
      <c r="G215" s="78"/>
      <c r="H215" s="78"/>
      <c r="I215" s="78"/>
      <c r="J215" s="78"/>
      <c r="K215" s="78"/>
      <c r="L215" s="78"/>
      <c r="M215" s="78"/>
      <c r="N215" s="78"/>
      <c r="O215" s="78"/>
      <c r="P215" s="78"/>
      <c r="Q215" s="78"/>
      <c r="R215" s="78"/>
      <c r="S215" s="78"/>
      <c r="T215" s="78"/>
      <c r="U215" s="78"/>
      <c r="V215" s="78"/>
      <c r="W215" s="78"/>
      <c r="X215" s="78"/>
      <c r="Y215" s="78"/>
    </row>
    <row r="216" spans="1:25" x14ac:dyDescent="0.25">
      <c r="A216" s="112" t="s">
        <v>682</v>
      </c>
      <c r="B216" s="78"/>
      <c r="C216" s="114"/>
      <c r="D216" s="78"/>
      <c r="E216" s="78"/>
      <c r="F216" s="78"/>
      <c r="G216" s="78"/>
      <c r="H216" s="78"/>
      <c r="I216" s="78"/>
      <c r="J216" s="78"/>
      <c r="K216" s="78"/>
      <c r="L216" s="78"/>
      <c r="M216" s="78"/>
      <c r="N216" s="78"/>
      <c r="O216" s="78"/>
      <c r="P216" s="78"/>
      <c r="Q216" s="78"/>
      <c r="R216" s="78"/>
      <c r="S216" s="78"/>
      <c r="T216" s="78"/>
      <c r="U216" s="78"/>
      <c r="V216" s="78"/>
      <c r="W216" s="78"/>
      <c r="X216" s="78"/>
      <c r="Y216" s="78"/>
    </row>
    <row r="217" spans="1:25" x14ac:dyDescent="0.25">
      <c r="A217" s="112" t="s">
        <v>682</v>
      </c>
      <c r="B217" s="78"/>
      <c r="C217" s="114"/>
      <c r="D217" s="78"/>
      <c r="E217" s="78"/>
      <c r="F217" s="78"/>
      <c r="G217" s="78"/>
      <c r="H217" s="78"/>
      <c r="I217" s="78"/>
      <c r="J217" s="78"/>
      <c r="K217" s="78"/>
      <c r="L217" s="78"/>
      <c r="M217" s="78"/>
      <c r="N217" s="78"/>
      <c r="O217" s="78"/>
      <c r="P217" s="78"/>
      <c r="Q217" s="78"/>
      <c r="R217" s="78"/>
      <c r="S217" s="78"/>
      <c r="T217" s="78"/>
      <c r="U217" s="78"/>
      <c r="V217" s="78"/>
      <c r="W217" s="78"/>
      <c r="X217" s="78"/>
      <c r="Y217" s="78"/>
    </row>
    <row r="218" spans="1:25" x14ac:dyDescent="0.25">
      <c r="A218" s="112" t="s">
        <v>682</v>
      </c>
      <c r="B218" s="78"/>
      <c r="C218" s="114"/>
      <c r="D218" s="78"/>
      <c r="E218" s="78"/>
      <c r="F218" s="78"/>
      <c r="G218" s="78"/>
      <c r="H218" s="78"/>
      <c r="I218" s="78"/>
      <c r="J218" s="78"/>
      <c r="K218" s="78"/>
      <c r="L218" s="78"/>
      <c r="M218" s="78"/>
      <c r="N218" s="78"/>
      <c r="O218" s="78"/>
      <c r="P218" s="78"/>
      <c r="Q218" s="78"/>
      <c r="R218" s="78"/>
      <c r="S218" s="78"/>
      <c r="T218" s="78"/>
      <c r="U218" s="78"/>
      <c r="V218" s="78"/>
      <c r="W218" s="78"/>
      <c r="X218" s="78"/>
      <c r="Y218" s="78"/>
    </row>
    <row r="219" spans="1:25" x14ac:dyDescent="0.25">
      <c r="A219" s="112" t="s">
        <v>682</v>
      </c>
      <c r="B219" s="78"/>
      <c r="C219" s="114"/>
      <c r="D219" s="78"/>
      <c r="E219" s="78"/>
      <c r="F219" s="78"/>
      <c r="G219" s="78"/>
      <c r="H219" s="78"/>
      <c r="I219" s="78"/>
      <c r="J219" s="78"/>
      <c r="K219" s="78"/>
      <c r="L219" s="78"/>
      <c r="M219" s="78"/>
      <c r="N219" s="78"/>
      <c r="O219" s="78"/>
      <c r="P219" s="78"/>
      <c r="Q219" s="78"/>
      <c r="R219" s="78"/>
      <c r="S219" s="78"/>
      <c r="T219" s="78"/>
      <c r="U219" s="78"/>
      <c r="V219" s="78"/>
      <c r="W219" s="78"/>
      <c r="X219" s="78"/>
      <c r="Y219" s="78"/>
    </row>
    <row r="220" spans="1:25" x14ac:dyDescent="0.25">
      <c r="A220" s="112" t="s">
        <v>682</v>
      </c>
      <c r="B220" s="78"/>
      <c r="C220" s="114"/>
      <c r="D220" s="78"/>
      <c r="E220" s="78"/>
      <c r="F220" s="78"/>
      <c r="G220" s="78"/>
      <c r="H220" s="78"/>
      <c r="I220" s="78"/>
      <c r="J220" s="78"/>
      <c r="K220" s="78"/>
      <c r="L220" s="78"/>
      <c r="M220" s="78"/>
      <c r="N220" s="78"/>
      <c r="O220" s="78"/>
      <c r="P220" s="78"/>
      <c r="Q220" s="78"/>
      <c r="R220" s="78"/>
      <c r="S220" s="78"/>
      <c r="T220" s="78"/>
      <c r="U220" s="78"/>
      <c r="V220" s="78"/>
      <c r="W220" s="78"/>
      <c r="X220" s="78"/>
      <c r="Y220" s="78"/>
    </row>
    <row r="221" spans="1:25" x14ac:dyDescent="0.25">
      <c r="A221" s="112" t="s">
        <v>682</v>
      </c>
      <c r="B221" s="78"/>
      <c r="C221" s="114"/>
      <c r="D221" s="78"/>
      <c r="E221" s="78"/>
      <c r="F221" s="78"/>
      <c r="G221" s="78"/>
      <c r="H221" s="78"/>
      <c r="I221" s="78"/>
      <c r="J221" s="78"/>
      <c r="K221" s="78"/>
      <c r="L221" s="78"/>
      <c r="M221" s="78"/>
      <c r="N221" s="78"/>
      <c r="O221" s="78"/>
      <c r="P221" s="78"/>
      <c r="Q221" s="78"/>
      <c r="R221" s="78"/>
      <c r="S221" s="78"/>
      <c r="T221" s="78"/>
      <c r="U221" s="78"/>
      <c r="V221" s="78"/>
      <c r="W221" s="78"/>
      <c r="X221" s="78"/>
      <c r="Y221" s="78"/>
    </row>
    <row r="222" spans="1:25" x14ac:dyDescent="0.25">
      <c r="A222" s="112" t="s">
        <v>682</v>
      </c>
      <c r="B222" s="78"/>
      <c r="C222" s="114"/>
      <c r="D222" s="78"/>
      <c r="E222" s="78"/>
      <c r="F222" s="78"/>
      <c r="G222" s="78"/>
      <c r="H222" s="78"/>
      <c r="I222" s="78"/>
      <c r="J222" s="78"/>
      <c r="K222" s="78"/>
      <c r="L222" s="78"/>
      <c r="M222" s="78"/>
      <c r="N222" s="78"/>
      <c r="O222" s="78"/>
      <c r="P222" s="78"/>
      <c r="Q222" s="78"/>
      <c r="R222" s="78"/>
      <c r="S222" s="78"/>
      <c r="T222" s="78"/>
      <c r="U222" s="78"/>
      <c r="V222" s="78"/>
      <c r="W222" s="78"/>
      <c r="X222" s="78"/>
      <c r="Y222" s="78"/>
    </row>
    <row r="223" spans="1:25" x14ac:dyDescent="0.25">
      <c r="A223" s="112" t="s">
        <v>682</v>
      </c>
      <c r="B223" s="78"/>
      <c r="C223" s="114"/>
      <c r="D223" s="78"/>
      <c r="E223" s="78"/>
      <c r="F223" s="78"/>
      <c r="G223" s="78"/>
      <c r="H223" s="78"/>
      <c r="I223" s="78"/>
      <c r="J223" s="78"/>
      <c r="K223" s="78"/>
      <c r="L223" s="78"/>
      <c r="M223" s="78"/>
      <c r="N223" s="78"/>
      <c r="O223" s="78"/>
      <c r="P223" s="78"/>
      <c r="Q223" s="78"/>
      <c r="R223" s="78"/>
      <c r="S223" s="78"/>
      <c r="T223" s="78"/>
      <c r="U223" s="78"/>
      <c r="V223" s="78"/>
      <c r="W223" s="78"/>
      <c r="X223" s="78"/>
      <c r="Y223" s="78"/>
    </row>
    <row r="224" spans="1:25" x14ac:dyDescent="0.25">
      <c r="A224" s="112" t="s">
        <v>682</v>
      </c>
      <c r="B224" s="78"/>
      <c r="C224" s="114"/>
      <c r="D224" s="78"/>
      <c r="E224" s="78"/>
      <c r="F224" s="78"/>
      <c r="G224" s="78"/>
      <c r="H224" s="78"/>
      <c r="I224" s="78"/>
      <c r="J224" s="78"/>
      <c r="K224" s="78"/>
      <c r="L224" s="78"/>
      <c r="M224" s="78"/>
      <c r="N224" s="78"/>
      <c r="O224" s="78"/>
      <c r="P224" s="78"/>
      <c r="Q224" s="78"/>
      <c r="R224" s="78"/>
      <c r="S224" s="78"/>
      <c r="T224" s="78"/>
      <c r="U224" s="78"/>
      <c r="V224" s="78"/>
      <c r="W224" s="78"/>
      <c r="X224" s="78"/>
      <c r="Y224" s="78"/>
    </row>
    <row r="225" spans="1:25" x14ac:dyDescent="0.25">
      <c r="A225" s="112" t="s">
        <v>682</v>
      </c>
      <c r="B225" s="78"/>
      <c r="C225" s="114"/>
      <c r="D225" s="78"/>
      <c r="E225" s="78"/>
      <c r="F225" s="78"/>
      <c r="G225" s="78"/>
      <c r="H225" s="78"/>
      <c r="I225" s="78"/>
      <c r="J225" s="78"/>
      <c r="K225" s="78"/>
      <c r="L225" s="78"/>
      <c r="M225" s="78"/>
      <c r="N225" s="78"/>
      <c r="O225" s="78"/>
      <c r="P225" s="78"/>
      <c r="Q225" s="78"/>
      <c r="R225" s="78"/>
      <c r="S225" s="78"/>
      <c r="T225" s="78"/>
      <c r="U225" s="78"/>
      <c r="V225" s="78"/>
      <c r="W225" s="78"/>
      <c r="X225" s="78"/>
      <c r="Y225" s="78"/>
    </row>
    <row r="226" spans="1:25" x14ac:dyDescent="0.25">
      <c r="A226" s="112" t="s">
        <v>682</v>
      </c>
      <c r="B226" s="78"/>
      <c r="C226" s="114"/>
      <c r="D226" s="78"/>
      <c r="E226" s="78"/>
      <c r="F226" s="78"/>
      <c r="G226" s="78"/>
      <c r="H226" s="78"/>
      <c r="I226" s="78"/>
      <c r="J226" s="78"/>
      <c r="K226" s="78"/>
      <c r="L226" s="78"/>
      <c r="M226" s="78"/>
      <c r="N226" s="78"/>
      <c r="O226" s="78"/>
      <c r="P226" s="78"/>
      <c r="Q226" s="78"/>
      <c r="R226" s="78"/>
      <c r="S226" s="78"/>
      <c r="T226" s="78"/>
      <c r="U226" s="78"/>
      <c r="V226" s="78"/>
      <c r="W226" s="78"/>
      <c r="X226" s="78"/>
      <c r="Y226" s="78"/>
    </row>
    <row r="227" spans="1:25" x14ac:dyDescent="0.25">
      <c r="A227" s="112" t="s">
        <v>682</v>
      </c>
      <c r="B227" s="78"/>
      <c r="C227" s="114"/>
      <c r="D227" s="78"/>
      <c r="E227" s="78"/>
      <c r="F227" s="78"/>
      <c r="G227" s="78"/>
      <c r="H227" s="78"/>
      <c r="I227" s="78"/>
      <c r="J227" s="78"/>
      <c r="K227" s="78"/>
      <c r="L227" s="78"/>
      <c r="M227" s="78"/>
      <c r="N227" s="78"/>
      <c r="O227" s="78"/>
      <c r="P227" s="78"/>
      <c r="Q227" s="78"/>
      <c r="R227" s="78"/>
      <c r="S227" s="78"/>
      <c r="T227" s="78"/>
      <c r="U227" s="78"/>
      <c r="V227" s="78"/>
      <c r="W227" s="78"/>
      <c r="X227" s="78"/>
      <c r="Y227" s="78"/>
    </row>
    <row r="228" spans="1:25" x14ac:dyDescent="0.25">
      <c r="A228" s="112" t="s">
        <v>682</v>
      </c>
      <c r="B228" s="78"/>
      <c r="C228" s="114"/>
      <c r="D228" s="78"/>
      <c r="E228" s="78"/>
      <c r="F228" s="78"/>
      <c r="G228" s="78"/>
      <c r="H228" s="78"/>
      <c r="I228" s="78"/>
      <c r="J228" s="78"/>
      <c r="K228" s="78"/>
      <c r="L228" s="78"/>
      <c r="M228" s="78"/>
      <c r="N228" s="78"/>
      <c r="O228" s="78"/>
      <c r="P228" s="78"/>
      <c r="Q228" s="78"/>
      <c r="R228" s="78"/>
      <c r="S228" s="78"/>
      <c r="T228" s="78"/>
      <c r="U228" s="78"/>
      <c r="V228" s="78"/>
      <c r="W228" s="78"/>
      <c r="X228" s="78"/>
      <c r="Y228" s="78"/>
    </row>
    <row r="229" spans="1:25" x14ac:dyDescent="0.25">
      <c r="A229" s="112" t="s">
        <v>682</v>
      </c>
      <c r="B229" s="78"/>
      <c r="C229" s="114"/>
      <c r="D229" s="78"/>
      <c r="E229" s="78"/>
      <c r="F229" s="78"/>
      <c r="G229" s="78"/>
      <c r="H229" s="78"/>
      <c r="I229" s="78"/>
      <c r="J229" s="78"/>
      <c r="K229" s="78"/>
      <c r="L229" s="78"/>
      <c r="M229" s="78"/>
      <c r="N229" s="78"/>
      <c r="O229" s="78"/>
      <c r="P229" s="78"/>
      <c r="Q229" s="78"/>
      <c r="R229" s="78"/>
      <c r="S229" s="78"/>
      <c r="T229" s="78"/>
      <c r="U229" s="78"/>
      <c r="V229" s="78"/>
      <c r="W229" s="78"/>
      <c r="X229" s="78"/>
      <c r="Y229" s="78"/>
    </row>
    <row r="230" spans="1:25" x14ac:dyDescent="0.25">
      <c r="A230" s="112" t="s">
        <v>682</v>
      </c>
      <c r="B230" s="78"/>
      <c r="C230" s="114"/>
      <c r="D230" s="78"/>
      <c r="E230" s="78"/>
      <c r="F230" s="78"/>
      <c r="G230" s="78"/>
      <c r="H230" s="78"/>
      <c r="I230" s="78"/>
      <c r="J230" s="78"/>
      <c r="K230" s="78"/>
      <c r="L230" s="78"/>
      <c r="M230" s="78"/>
      <c r="N230" s="78"/>
      <c r="O230" s="78"/>
      <c r="P230" s="78"/>
      <c r="Q230" s="78"/>
      <c r="R230" s="78"/>
      <c r="S230" s="78"/>
      <c r="T230" s="78"/>
      <c r="U230" s="78"/>
      <c r="V230" s="78"/>
      <c r="W230" s="78"/>
      <c r="X230" s="78"/>
      <c r="Y230" s="78"/>
    </row>
    <row r="231" spans="1:25" x14ac:dyDescent="0.25">
      <c r="A231" s="112" t="s">
        <v>682</v>
      </c>
      <c r="B231" s="78"/>
      <c r="C231" s="114"/>
      <c r="D231" s="78"/>
      <c r="E231" s="78"/>
      <c r="F231" s="78"/>
      <c r="G231" s="78"/>
      <c r="H231" s="78"/>
      <c r="I231" s="78"/>
      <c r="J231" s="78"/>
      <c r="K231" s="78"/>
      <c r="L231" s="78"/>
      <c r="M231" s="78"/>
      <c r="N231" s="78"/>
      <c r="O231" s="78"/>
      <c r="P231" s="78"/>
      <c r="Q231" s="78"/>
      <c r="R231" s="78"/>
      <c r="S231" s="78"/>
      <c r="T231" s="78"/>
      <c r="U231" s="78"/>
      <c r="V231" s="78"/>
      <c r="W231" s="78"/>
      <c r="X231" s="78"/>
      <c r="Y231" s="78"/>
    </row>
    <row r="232" spans="1:25" x14ac:dyDescent="0.25">
      <c r="A232" s="112" t="s">
        <v>682</v>
      </c>
      <c r="B232" s="78"/>
      <c r="C232" s="114"/>
      <c r="D232" s="78"/>
      <c r="E232" s="78"/>
      <c r="F232" s="78"/>
      <c r="G232" s="78"/>
      <c r="H232" s="78"/>
      <c r="I232" s="78"/>
      <c r="J232" s="78"/>
      <c r="K232" s="78"/>
      <c r="L232" s="78"/>
      <c r="M232" s="78"/>
      <c r="N232" s="78"/>
      <c r="O232" s="78"/>
      <c r="P232" s="78"/>
      <c r="Q232" s="78"/>
      <c r="R232" s="78"/>
      <c r="S232" s="78"/>
      <c r="T232" s="78"/>
      <c r="U232" s="78"/>
      <c r="V232" s="78"/>
      <c r="W232" s="78"/>
      <c r="X232" s="78"/>
      <c r="Y232" s="78"/>
    </row>
    <row r="233" spans="1:25" x14ac:dyDescent="0.25">
      <c r="A233" s="112" t="s">
        <v>682</v>
      </c>
      <c r="B233" s="78"/>
      <c r="C233" s="114"/>
      <c r="D233" s="78"/>
      <c r="E233" s="78"/>
      <c r="F233" s="78"/>
      <c r="G233" s="78"/>
      <c r="H233" s="78"/>
      <c r="I233" s="78"/>
      <c r="J233" s="78"/>
      <c r="K233" s="78"/>
      <c r="L233" s="78"/>
      <c r="M233" s="78"/>
      <c r="N233" s="78"/>
      <c r="O233" s="78"/>
      <c r="P233" s="78"/>
      <c r="Q233" s="78"/>
      <c r="R233" s="78"/>
      <c r="S233" s="78"/>
      <c r="T233" s="78"/>
      <c r="U233" s="78"/>
      <c r="V233" s="78"/>
      <c r="W233" s="78"/>
      <c r="X233" s="78"/>
      <c r="Y233" s="78"/>
    </row>
    <row r="234" spans="1:25" x14ac:dyDescent="0.25">
      <c r="A234" s="112" t="s">
        <v>682</v>
      </c>
      <c r="B234" s="78"/>
      <c r="C234" s="114"/>
      <c r="D234" s="78"/>
      <c r="E234" s="78"/>
      <c r="F234" s="78"/>
      <c r="G234" s="78"/>
      <c r="H234" s="78"/>
      <c r="I234" s="78"/>
      <c r="J234" s="78"/>
      <c r="K234" s="78"/>
      <c r="L234" s="78"/>
      <c r="M234" s="78"/>
      <c r="N234" s="78"/>
      <c r="O234" s="78"/>
      <c r="P234" s="78"/>
      <c r="Q234" s="78"/>
      <c r="R234" s="78"/>
      <c r="S234" s="78"/>
      <c r="T234" s="78"/>
      <c r="U234" s="78"/>
      <c r="V234" s="78"/>
      <c r="W234" s="78"/>
      <c r="X234" s="78"/>
      <c r="Y234" s="78"/>
    </row>
    <row r="235" spans="1:25" x14ac:dyDescent="0.25">
      <c r="A235" s="112" t="s">
        <v>682</v>
      </c>
      <c r="B235" s="78"/>
      <c r="C235" s="114"/>
      <c r="D235" s="78"/>
      <c r="E235" s="78"/>
      <c r="F235" s="78"/>
      <c r="G235" s="78"/>
      <c r="H235" s="78"/>
      <c r="I235" s="78"/>
      <c r="J235" s="78"/>
      <c r="K235" s="78"/>
      <c r="L235" s="78"/>
      <c r="M235" s="78"/>
      <c r="N235" s="78"/>
      <c r="O235" s="78"/>
      <c r="P235" s="78"/>
      <c r="Q235" s="78"/>
      <c r="R235" s="78"/>
      <c r="S235" s="78"/>
      <c r="T235" s="78"/>
      <c r="U235" s="78"/>
      <c r="V235" s="78"/>
      <c r="W235" s="78"/>
      <c r="X235" s="78"/>
      <c r="Y235" s="78"/>
    </row>
    <row r="236" spans="1:25" x14ac:dyDescent="0.25">
      <c r="A236" s="112" t="s">
        <v>682</v>
      </c>
      <c r="B236" s="78"/>
      <c r="C236" s="114"/>
      <c r="D236" s="78"/>
      <c r="E236" s="78"/>
      <c r="F236" s="78"/>
      <c r="G236" s="78"/>
      <c r="H236" s="78"/>
      <c r="I236" s="78"/>
      <c r="J236" s="78"/>
      <c r="K236" s="78"/>
      <c r="L236" s="78"/>
      <c r="M236" s="78"/>
      <c r="N236" s="78"/>
      <c r="O236" s="78"/>
      <c r="P236" s="78"/>
      <c r="Q236" s="78"/>
      <c r="R236" s="78"/>
      <c r="S236" s="78"/>
      <c r="T236" s="78"/>
      <c r="U236" s="78"/>
      <c r="V236" s="78"/>
      <c r="W236" s="78"/>
      <c r="X236" s="78"/>
      <c r="Y236" s="78"/>
    </row>
    <row r="237" spans="1:25" x14ac:dyDescent="0.25">
      <c r="A237" s="112" t="s">
        <v>682</v>
      </c>
      <c r="B237" s="78"/>
      <c r="C237" s="114"/>
      <c r="D237" s="78"/>
      <c r="E237" s="78"/>
      <c r="F237" s="78"/>
      <c r="G237" s="78"/>
      <c r="H237" s="78"/>
      <c r="I237" s="78"/>
      <c r="J237" s="78"/>
      <c r="K237" s="78"/>
      <c r="L237" s="78"/>
      <c r="M237" s="78"/>
      <c r="N237" s="78"/>
      <c r="O237" s="78"/>
      <c r="P237" s="78"/>
      <c r="Q237" s="78"/>
      <c r="R237" s="78"/>
      <c r="S237" s="78"/>
      <c r="T237" s="78"/>
      <c r="U237" s="78"/>
      <c r="V237" s="78"/>
      <c r="W237" s="78"/>
      <c r="X237" s="78"/>
      <c r="Y237" s="78"/>
    </row>
    <row r="238" spans="1:25" x14ac:dyDescent="0.25">
      <c r="A238" s="112" t="s">
        <v>682</v>
      </c>
      <c r="B238" s="78"/>
      <c r="C238" s="114"/>
      <c r="D238" s="78"/>
      <c r="E238" s="78"/>
      <c r="F238" s="78"/>
      <c r="G238" s="78"/>
      <c r="H238" s="78"/>
      <c r="I238" s="78"/>
      <c r="J238" s="78"/>
      <c r="K238" s="78"/>
      <c r="L238" s="78"/>
      <c r="M238" s="78"/>
      <c r="N238" s="78"/>
      <c r="O238" s="78"/>
      <c r="P238" s="78"/>
      <c r="Q238" s="78"/>
      <c r="R238" s="78"/>
      <c r="S238" s="78"/>
      <c r="T238" s="78"/>
      <c r="U238" s="78"/>
      <c r="V238" s="78"/>
      <c r="W238" s="78"/>
      <c r="X238" s="78"/>
      <c r="Y238" s="78"/>
    </row>
    <row r="239" spans="1:25" x14ac:dyDescent="0.25">
      <c r="A239" s="112" t="s">
        <v>682</v>
      </c>
      <c r="B239" s="78"/>
      <c r="C239" s="114"/>
      <c r="D239" s="78"/>
      <c r="E239" s="78"/>
      <c r="F239" s="78"/>
      <c r="G239" s="78"/>
      <c r="H239" s="78"/>
      <c r="I239" s="78"/>
      <c r="J239" s="78"/>
      <c r="K239" s="78"/>
      <c r="L239" s="78"/>
      <c r="M239" s="78"/>
      <c r="N239" s="78"/>
      <c r="O239" s="78"/>
      <c r="P239" s="78"/>
      <c r="Q239" s="78"/>
      <c r="R239" s="78"/>
      <c r="S239" s="78"/>
      <c r="T239" s="78"/>
      <c r="U239" s="78"/>
      <c r="V239" s="78"/>
      <c r="W239" s="78"/>
      <c r="X239" s="78"/>
      <c r="Y239" s="78"/>
    </row>
    <row r="240" spans="1:25" x14ac:dyDescent="0.25">
      <c r="A240" s="112" t="s">
        <v>682</v>
      </c>
      <c r="B240" s="78"/>
      <c r="C240" s="114"/>
      <c r="D240" s="78"/>
      <c r="E240" s="78"/>
      <c r="F240" s="78"/>
      <c r="G240" s="78"/>
      <c r="H240" s="78"/>
      <c r="I240" s="78"/>
      <c r="J240" s="78"/>
      <c r="K240" s="78"/>
      <c r="L240" s="78"/>
      <c r="M240" s="78"/>
      <c r="N240" s="78"/>
      <c r="O240" s="78"/>
      <c r="P240" s="78"/>
      <c r="Q240" s="78"/>
      <c r="R240" s="78"/>
      <c r="S240" s="78"/>
      <c r="T240" s="78"/>
      <c r="U240" s="78"/>
      <c r="V240" s="78"/>
      <c r="W240" s="78"/>
      <c r="X240" s="78"/>
      <c r="Y240" s="78"/>
    </row>
    <row r="241" spans="1:25" x14ac:dyDescent="0.25">
      <c r="A241" s="112" t="s">
        <v>682</v>
      </c>
      <c r="B241" s="78"/>
      <c r="C241" s="114"/>
      <c r="D241" s="78"/>
      <c r="E241" s="78"/>
      <c r="F241" s="78"/>
      <c r="G241" s="78"/>
      <c r="H241" s="78"/>
      <c r="I241" s="78"/>
      <c r="J241" s="78"/>
      <c r="K241" s="78"/>
      <c r="L241" s="78"/>
      <c r="M241" s="78"/>
      <c r="N241" s="78"/>
      <c r="O241" s="78"/>
      <c r="P241" s="78"/>
      <c r="Q241" s="78"/>
      <c r="R241" s="78"/>
      <c r="S241" s="78"/>
      <c r="T241" s="78"/>
      <c r="U241" s="78"/>
      <c r="V241" s="78"/>
      <c r="W241" s="78"/>
      <c r="X241" s="78"/>
      <c r="Y241" s="78"/>
    </row>
    <row r="242" spans="1:25" x14ac:dyDescent="0.25">
      <c r="A242" s="112" t="s">
        <v>682</v>
      </c>
      <c r="B242" s="78"/>
      <c r="C242" s="114"/>
      <c r="D242" s="78"/>
      <c r="E242" s="78"/>
      <c r="F242" s="78"/>
      <c r="G242" s="78"/>
      <c r="H242" s="78"/>
      <c r="I242" s="78"/>
      <c r="J242" s="78"/>
      <c r="K242" s="78"/>
      <c r="L242" s="78"/>
      <c r="M242" s="78"/>
      <c r="N242" s="78"/>
      <c r="O242" s="78"/>
      <c r="P242" s="78"/>
      <c r="Q242" s="78"/>
      <c r="R242" s="78"/>
      <c r="S242" s="78"/>
      <c r="T242" s="78"/>
      <c r="U242" s="78"/>
      <c r="V242" s="78"/>
      <c r="W242" s="78"/>
      <c r="X242" s="78"/>
      <c r="Y242" s="78"/>
    </row>
    <row r="243" spans="1:25" x14ac:dyDescent="0.25">
      <c r="A243" s="112" t="s">
        <v>682</v>
      </c>
      <c r="B243" s="78"/>
      <c r="C243" s="114"/>
      <c r="D243" s="78"/>
      <c r="E243" s="78"/>
      <c r="F243" s="78"/>
      <c r="G243" s="78"/>
      <c r="H243" s="78"/>
      <c r="I243" s="78"/>
      <c r="J243" s="78"/>
      <c r="K243" s="78"/>
      <c r="L243" s="78"/>
      <c r="M243" s="78"/>
      <c r="N243" s="78"/>
      <c r="O243" s="78"/>
      <c r="P243" s="78"/>
      <c r="Q243" s="78"/>
      <c r="R243" s="78"/>
      <c r="S243" s="78"/>
      <c r="T243" s="78"/>
      <c r="U243" s="78"/>
      <c r="V243" s="78"/>
      <c r="W243" s="78"/>
      <c r="X243" s="78"/>
      <c r="Y243" s="78"/>
    </row>
    <row r="244" spans="1:25" x14ac:dyDescent="0.25">
      <c r="A244" s="112" t="s">
        <v>682</v>
      </c>
      <c r="B244" s="78"/>
      <c r="C244" s="114"/>
      <c r="D244" s="78"/>
      <c r="E244" s="78"/>
      <c r="F244" s="78"/>
      <c r="G244" s="78"/>
      <c r="H244" s="78"/>
      <c r="I244" s="78"/>
      <c r="J244" s="78"/>
      <c r="K244" s="78"/>
      <c r="L244" s="78"/>
      <c r="M244" s="78"/>
      <c r="N244" s="78"/>
      <c r="O244" s="78"/>
      <c r="P244" s="78"/>
      <c r="Q244" s="78"/>
      <c r="R244" s="78"/>
      <c r="S244" s="78"/>
      <c r="T244" s="78"/>
      <c r="U244" s="78"/>
      <c r="V244" s="78"/>
      <c r="W244" s="78"/>
      <c r="X244" s="78"/>
      <c r="Y244" s="78"/>
    </row>
    <row r="245" spans="1:25" x14ac:dyDescent="0.25">
      <c r="A245" s="112" t="s">
        <v>682</v>
      </c>
      <c r="B245" s="78"/>
      <c r="C245" s="114"/>
      <c r="D245" s="78"/>
      <c r="E245" s="78"/>
      <c r="F245" s="78"/>
      <c r="G245" s="78"/>
      <c r="H245" s="78"/>
      <c r="I245" s="78"/>
      <c r="J245" s="78"/>
      <c r="K245" s="78"/>
      <c r="L245" s="78"/>
      <c r="M245" s="78"/>
      <c r="N245" s="78"/>
      <c r="O245" s="78"/>
      <c r="P245" s="78"/>
      <c r="Q245" s="78"/>
      <c r="R245" s="78"/>
      <c r="S245" s="78"/>
      <c r="T245" s="78"/>
      <c r="U245" s="78"/>
      <c r="V245" s="78"/>
      <c r="W245" s="78"/>
      <c r="X245" s="78"/>
      <c r="Y245" s="78"/>
    </row>
    <row r="246" spans="1:25" x14ac:dyDescent="0.25">
      <c r="A246" s="112" t="s">
        <v>682</v>
      </c>
      <c r="B246" s="78"/>
      <c r="C246" s="114"/>
      <c r="D246" s="78"/>
      <c r="E246" s="78"/>
      <c r="F246" s="78"/>
      <c r="G246" s="78"/>
      <c r="H246" s="78"/>
      <c r="I246" s="78"/>
      <c r="J246" s="78"/>
      <c r="K246" s="78"/>
      <c r="L246" s="78"/>
      <c r="M246" s="78"/>
      <c r="N246" s="78"/>
      <c r="O246" s="78"/>
      <c r="P246" s="78"/>
      <c r="Q246" s="78"/>
      <c r="R246" s="78"/>
      <c r="S246" s="78"/>
      <c r="T246" s="78"/>
      <c r="U246" s="78"/>
      <c r="V246" s="78"/>
      <c r="W246" s="78"/>
      <c r="X246" s="78"/>
      <c r="Y246" s="78"/>
    </row>
    <row r="247" spans="1:25" x14ac:dyDescent="0.25">
      <c r="A247" s="112" t="s">
        <v>682</v>
      </c>
      <c r="B247" s="78"/>
      <c r="C247" s="114"/>
      <c r="D247" s="78"/>
      <c r="E247" s="78"/>
      <c r="F247" s="78"/>
      <c r="G247" s="78"/>
      <c r="H247" s="78"/>
      <c r="I247" s="78"/>
      <c r="J247" s="78"/>
      <c r="K247" s="78"/>
      <c r="L247" s="78"/>
      <c r="M247" s="78"/>
      <c r="N247" s="78"/>
      <c r="O247" s="78"/>
      <c r="P247" s="78"/>
      <c r="Q247" s="78"/>
      <c r="R247" s="78"/>
      <c r="S247" s="78"/>
      <c r="T247" s="78"/>
      <c r="U247" s="78"/>
      <c r="V247" s="78"/>
      <c r="W247" s="78"/>
      <c r="X247" s="78"/>
      <c r="Y247" s="78"/>
    </row>
    <row r="248" spans="1:25" x14ac:dyDescent="0.25">
      <c r="A248" s="112" t="s">
        <v>682</v>
      </c>
      <c r="B248" s="78"/>
      <c r="C248" s="114"/>
      <c r="D248" s="78"/>
      <c r="E248" s="78"/>
      <c r="F248" s="78"/>
      <c r="G248" s="78"/>
      <c r="H248" s="78"/>
      <c r="I248" s="78"/>
      <c r="J248" s="78"/>
      <c r="K248" s="78"/>
      <c r="L248" s="78"/>
      <c r="M248" s="78"/>
      <c r="N248" s="78"/>
      <c r="O248" s="78"/>
      <c r="P248" s="78"/>
      <c r="Q248" s="78"/>
      <c r="R248" s="78"/>
      <c r="S248" s="78"/>
      <c r="T248" s="78"/>
      <c r="U248" s="78"/>
      <c r="V248" s="78"/>
      <c r="W248" s="78"/>
      <c r="X248" s="78"/>
      <c r="Y248" s="78"/>
    </row>
    <row r="249" spans="1:25" x14ac:dyDescent="0.25">
      <c r="A249" s="112" t="s">
        <v>682</v>
      </c>
      <c r="B249" s="78"/>
      <c r="C249" s="114"/>
      <c r="D249" s="78"/>
      <c r="E249" s="78"/>
      <c r="F249" s="78"/>
      <c r="G249" s="78"/>
      <c r="H249" s="78"/>
      <c r="I249" s="78"/>
      <c r="J249" s="78"/>
      <c r="K249" s="78"/>
      <c r="L249" s="78"/>
      <c r="M249" s="78"/>
      <c r="N249" s="78"/>
      <c r="O249" s="78"/>
      <c r="P249" s="78"/>
      <c r="Q249" s="78"/>
      <c r="R249" s="78"/>
      <c r="S249" s="78"/>
      <c r="T249" s="78"/>
      <c r="U249" s="78"/>
      <c r="V249" s="78"/>
      <c r="W249" s="78"/>
      <c r="X249" s="78"/>
      <c r="Y249" s="78"/>
    </row>
    <row r="250" spans="1:25" x14ac:dyDescent="0.25">
      <c r="A250" s="112" t="s">
        <v>682</v>
      </c>
      <c r="B250" s="78"/>
      <c r="C250" s="114"/>
      <c r="D250" s="78"/>
      <c r="E250" s="78"/>
      <c r="F250" s="78"/>
      <c r="G250" s="78"/>
      <c r="H250" s="78"/>
      <c r="I250" s="78"/>
      <c r="J250" s="78"/>
      <c r="K250" s="78"/>
      <c r="L250" s="78"/>
      <c r="M250" s="78"/>
      <c r="N250" s="78"/>
      <c r="O250" s="78"/>
      <c r="P250" s="78"/>
      <c r="Q250" s="78"/>
      <c r="R250" s="78"/>
      <c r="S250" s="78"/>
      <c r="T250" s="78"/>
      <c r="U250" s="78"/>
      <c r="V250" s="78"/>
      <c r="W250" s="78"/>
      <c r="X250" s="78"/>
      <c r="Y250" s="78"/>
    </row>
    <row r="251" spans="1:25" x14ac:dyDescent="0.25">
      <c r="A251" s="112" t="s">
        <v>682</v>
      </c>
      <c r="B251" s="78"/>
      <c r="C251" s="114"/>
      <c r="D251" s="78"/>
      <c r="E251" s="78"/>
      <c r="F251" s="78"/>
      <c r="G251" s="78"/>
      <c r="H251" s="78"/>
      <c r="I251" s="78"/>
      <c r="J251" s="78"/>
      <c r="K251" s="78"/>
      <c r="L251" s="78"/>
      <c r="M251" s="78"/>
      <c r="N251" s="78"/>
      <c r="O251" s="78"/>
      <c r="P251" s="78"/>
      <c r="Q251" s="78"/>
      <c r="R251" s="78"/>
      <c r="S251" s="78"/>
      <c r="T251" s="78"/>
      <c r="U251" s="78"/>
      <c r="V251" s="78"/>
      <c r="W251" s="78"/>
      <c r="X251" s="78"/>
      <c r="Y251" s="78"/>
    </row>
    <row r="252" spans="1:25" x14ac:dyDescent="0.25">
      <c r="A252" s="112" t="s">
        <v>682</v>
      </c>
      <c r="B252" s="78"/>
      <c r="C252" s="114"/>
      <c r="D252" s="78"/>
      <c r="E252" s="78"/>
      <c r="F252" s="78"/>
      <c r="G252" s="78"/>
      <c r="H252" s="78"/>
      <c r="I252" s="78"/>
      <c r="J252" s="78"/>
      <c r="K252" s="78"/>
      <c r="L252" s="78"/>
      <c r="M252" s="78"/>
      <c r="N252" s="78"/>
      <c r="O252" s="78"/>
      <c r="P252" s="78"/>
      <c r="Q252" s="78"/>
      <c r="R252" s="78"/>
      <c r="S252" s="78"/>
      <c r="T252" s="78"/>
      <c r="U252" s="78"/>
      <c r="V252" s="78"/>
      <c r="W252" s="78"/>
      <c r="X252" s="78"/>
      <c r="Y252" s="78"/>
    </row>
    <row r="253" spans="1:25" x14ac:dyDescent="0.25">
      <c r="A253" s="112" t="s">
        <v>682</v>
      </c>
      <c r="B253" s="78"/>
      <c r="C253" s="114"/>
      <c r="D253" s="78"/>
      <c r="E253" s="78"/>
      <c r="F253" s="78"/>
      <c r="G253" s="78"/>
      <c r="H253" s="78"/>
      <c r="I253" s="78"/>
      <c r="J253" s="78"/>
      <c r="K253" s="78"/>
      <c r="L253" s="78"/>
      <c r="M253" s="78"/>
      <c r="N253" s="78"/>
      <c r="O253" s="78"/>
      <c r="P253" s="78"/>
      <c r="Q253" s="78"/>
      <c r="R253" s="78"/>
      <c r="S253" s="78"/>
      <c r="T253" s="78"/>
      <c r="U253" s="78"/>
      <c r="V253" s="78"/>
      <c r="W253" s="78"/>
      <c r="X253" s="78"/>
      <c r="Y253" s="78"/>
    </row>
    <row r="254" spans="1:25" x14ac:dyDescent="0.25">
      <c r="A254" s="112" t="s">
        <v>682</v>
      </c>
      <c r="B254" s="78"/>
      <c r="C254" s="114"/>
      <c r="D254" s="78"/>
      <c r="E254" s="78"/>
      <c r="F254" s="78"/>
      <c r="G254" s="78"/>
      <c r="H254" s="78"/>
      <c r="I254" s="78"/>
      <c r="J254" s="78"/>
      <c r="K254" s="78"/>
      <c r="L254" s="78"/>
      <c r="M254" s="78"/>
      <c r="N254" s="78"/>
      <c r="O254" s="78"/>
      <c r="P254" s="78"/>
      <c r="Q254" s="78"/>
      <c r="R254" s="78"/>
      <c r="S254" s="78"/>
      <c r="T254" s="78"/>
      <c r="U254" s="78"/>
      <c r="V254" s="78"/>
      <c r="W254" s="78"/>
      <c r="X254" s="78"/>
      <c r="Y254" s="78"/>
    </row>
    <row r="255" spans="1:25" x14ac:dyDescent="0.25">
      <c r="A255" s="112" t="s">
        <v>682</v>
      </c>
      <c r="B255" s="78"/>
      <c r="C255" s="114"/>
      <c r="D255" s="78"/>
      <c r="E255" s="78"/>
      <c r="F255" s="78"/>
      <c r="G255" s="78"/>
      <c r="H255" s="78"/>
      <c r="I255" s="78"/>
      <c r="J255" s="78"/>
      <c r="K255" s="78"/>
      <c r="L255" s="78"/>
      <c r="M255" s="78"/>
      <c r="N255" s="78"/>
      <c r="O255" s="78"/>
      <c r="P255" s="78"/>
      <c r="Q255" s="78"/>
      <c r="R255" s="78"/>
      <c r="S255" s="78"/>
      <c r="T255" s="78"/>
      <c r="U255" s="78"/>
      <c r="V255" s="78"/>
      <c r="W255" s="78"/>
      <c r="X255" s="78"/>
      <c r="Y255" s="78"/>
    </row>
    <row r="256" spans="1:25" x14ac:dyDescent="0.25">
      <c r="A256" s="112" t="s">
        <v>682</v>
      </c>
      <c r="B256" s="78"/>
      <c r="C256" s="114"/>
      <c r="D256" s="78"/>
      <c r="E256" s="78"/>
      <c r="F256" s="78"/>
      <c r="G256" s="78"/>
      <c r="H256" s="78"/>
      <c r="I256" s="78"/>
      <c r="J256" s="78"/>
      <c r="K256" s="78"/>
      <c r="L256" s="78"/>
      <c r="M256" s="78"/>
      <c r="N256" s="78"/>
      <c r="O256" s="78"/>
      <c r="P256" s="78"/>
      <c r="Q256" s="78"/>
      <c r="R256" s="78"/>
      <c r="S256" s="78"/>
      <c r="T256" s="78"/>
      <c r="U256" s="78"/>
      <c r="V256" s="78"/>
      <c r="W256" s="78"/>
      <c r="X256" s="78"/>
      <c r="Y256" s="78"/>
    </row>
    <row r="257" spans="1:25" x14ac:dyDescent="0.25">
      <c r="A257" s="112" t="s">
        <v>682</v>
      </c>
      <c r="B257" s="78"/>
      <c r="C257" s="114"/>
      <c r="D257" s="78"/>
      <c r="E257" s="78"/>
      <c r="F257" s="78"/>
      <c r="G257" s="78"/>
      <c r="H257" s="78"/>
      <c r="I257" s="78"/>
      <c r="J257" s="78"/>
      <c r="K257" s="78"/>
      <c r="L257" s="78"/>
      <c r="M257" s="78"/>
      <c r="N257" s="78"/>
      <c r="O257" s="78"/>
      <c r="P257" s="78"/>
      <c r="Q257" s="78"/>
      <c r="R257" s="78"/>
      <c r="S257" s="78"/>
      <c r="T257" s="78"/>
      <c r="U257" s="78"/>
      <c r="V257" s="78"/>
      <c r="W257" s="78"/>
      <c r="X257" s="78"/>
      <c r="Y257" s="78"/>
    </row>
    <row r="258" spans="1:25" x14ac:dyDescent="0.25">
      <c r="A258" s="112" t="s">
        <v>682</v>
      </c>
      <c r="B258" s="78"/>
      <c r="C258" s="114"/>
      <c r="D258" s="78"/>
      <c r="E258" s="78"/>
      <c r="F258" s="78"/>
      <c r="G258" s="78"/>
      <c r="H258" s="78"/>
      <c r="I258" s="78"/>
      <c r="J258" s="78"/>
      <c r="K258" s="78"/>
      <c r="L258" s="78"/>
      <c r="M258" s="78"/>
      <c r="N258" s="78"/>
      <c r="O258" s="78"/>
      <c r="P258" s="78"/>
      <c r="Q258" s="78"/>
      <c r="R258" s="78"/>
      <c r="S258" s="78"/>
      <c r="T258" s="78"/>
      <c r="U258" s="78"/>
      <c r="V258" s="78"/>
      <c r="W258" s="78"/>
      <c r="X258" s="78"/>
      <c r="Y258" s="78"/>
    </row>
    <row r="259" spans="1:25" x14ac:dyDescent="0.25">
      <c r="A259" s="112" t="s">
        <v>682</v>
      </c>
      <c r="B259" s="78"/>
      <c r="C259" s="114"/>
      <c r="D259" s="78"/>
      <c r="E259" s="78"/>
      <c r="F259" s="78"/>
      <c r="G259" s="78"/>
      <c r="H259" s="78"/>
      <c r="I259" s="78"/>
      <c r="J259" s="78"/>
      <c r="K259" s="78"/>
      <c r="L259" s="78"/>
      <c r="M259" s="78"/>
      <c r="N259" s="78"/>
      <c r="O259" s="78"/>
      <c r="P259" s="78"/>
      <c r="Q259" s="78"/>
      <c r="R259" s="78"/>
      <c r="S259" s="78"/>
      <c r="T259" s="78"/>
      <c r="U259" s="78"/>
      <c r="V259" s="78"/>
      <c r="W259" s="78"/>
      <c r="X259" s="78"/>
      <c r="Y259" s="78"/>
    </row>
    <row r="260" spans="1:25" x14ac:dyDescent="0.25">
      <c r="A260" s="112" t="s">
        <v>682</v>
      </c>
      <c r="B260" s="78"/>
      <c r="C260" s="114"/>
      <c r="D260" s="78"/>
      <c r="E260" s="78"/>
      <c r="F260" s="78"/>
      <c r="G260" s="78"/>
      <c r="H260" s="78"/>
      <c r="I260" s="78"/>
      <c r="J260" s="78"/>
      <c r="K260" s="78"/>
      <c r="L260" s="78"/>
      <c r="M260" s="78"/>
      <c r="N260" s="78"/>
      <c r="O260" s="78"/>
      <c r="P260" s="78"/>
      <c r="Q260" s="78"/>
      <c r="R260" s="78"/>
      <c r="S260" s="78"/>
      <c r="T260" s="78"/>
      <c r="U260" s="78"/>
      <c r="V260" s="78"/>
      <c r="W260" s="78"/>
      <c r="X260" s="78"/>
      <c r="Y260" s="78"/>
    </row>
    <row r="261" spans="1:25" x14ac:dyDescent="0.25">
      <c r="A261" s="112" t="s">
        <v>682</v>
      </c>
      <c r="B261" s="78"/>
      <c r="C261" s="114"/>
      <c r="D261" s="78"/>
      <c r="E261" s="78"/>
      <c r="F261" s="78"/>
      <c r="G261" s="78"/>
      <c r="H261" s="78"/>
      <c r="I261" s="78"/>
      <c r="J261" s="78"/>
      <c r="K261" s="78"/>
      <c r="L261" s="78"/>
      <c r="M261" s="78"/>
      <c r="N261" s="78"/>
      <c r="O261" s="78"/>
      <c r="P261" s="78"/>
      <c r="Q261" s="78"/>
      <c r="R261" s="78"/>
      <c r="S261" s="78"/>
      <c r="T261" s="78"/>
      <c r="U261" s="78"/>
      <c r="V261" s="78"/>
      <c r="W261" s="78"/>
      <c r="X261" s="78"/>
      <c r="Y261" s="78"/>
    </row>
    <row r="262" spans="1:25" x14ac:dyDescent="0.25">
      <c r="A262" s="112" t="s">
        <v>682</v>
      </c>
      <c r="B262" s="78"/>
      <c r="C262" s="114"/>
      <c r="D262" s="78"/>
      <c r="E262" s="78"/>
      <c r="F262" s="78"/>
      <c r="G262" s="78"/>
      <c r="H262" s="78"/>
      <c r="I262" s="78"/>
      <c r="J262" s="78"/>
      <c r="K262" s="78"/>
      <c r="L262" s="78"/>
      <c r="M262" s="78"/>
      <c r="N262" s="78"/>
      <c r="O262" s="78"/>
      <c r="P262" s="78"/>
      <c r="Q262" s="78"/>
      <c r="R262" s="78"/>
      <c r="S262" s="78"/>
      <c r="T262" s="78"/>
      <c r="U262" s="78"/>
      <c r="V262" s="78"/>
      <c r="W262" s="78"/>
      <c r="X262" s="78"/>
      <c r="Y262" s="78"/>
    </row>
    <row r="263" spans="1:25" x14ac:dyDescent="0.25">
      <c r="A263" s="112" t="s">
        <v>682</v>
      </c>
      <c r="B263" s="78"/>
      <c r="C263" s="114"/>
      <c r="D263" s="78"/>
      <c r="E263" s="78"/>
      <c r="F263" s="78"/>
      <c r="G263" s="78"/>
      <c r="H263" s="78"/>
      <c r="I263" s="78"/>
      <c r="J263" s="78"/>
      <c r="K263" s="78"/>
      <c r="L263" s="78"/>
      <c r="M263" s="78"/>
      <c r="N263" s="78"/>
      <c r="O263" s="78"/>
      <c r="P263" s="78"/>
      <c r="Q263" s="78"/>
      <c r="R263" s="78"/>
      <c r="S263" s="78"/>
      <c r="T263" s="78"/>
      <c r="U263" s="78"/>
      <c r="V263" s="78"/>
      <c r="W263" s="78"/>
      <c r="X263" s="78"/>
      <c r="Y263" s="78"/>
    </row>
    <row r="264" spans="1:25" x14ac:dyDescent="0.25">
      <c r="A264" s="112" t="s">
        <v>682</v>
      </c>
      <c r="B264" s="78"/>
      <c r="C264" s="114"/>
      <c r="D264" s="78"/>
      <c r="E264" s="78"/>
      <c r="F264" s="78"/>
      <c r="G264" s="78"/>
      <c r="H264" s="78"/>
      <c r="I264" s="78"/>
      <c r="J264" s="78"/>
      <c r="K264" s="78"/>
      <c r="L264" s="78"/>
      <c r="M264" s="78"/>
      <c r="N264" s="78"/>
      <c r="O264" s="78"/>
      <c r="P264" s="78"/>
      <c r="Q264" s="78"/>
      <c r="R264" s="78"/>
      <c r="S264" s="78"/>
      <c r="T264" s="78"/>
      <c r="U264" s="78"/>
      <c r="V264" s="78"/>
      <c r="W264" s="78"/>
      <c r="X264" s="78"/>
      <c r="Y264" s="78"/>
    </row>
    <row r="265" spans="1:25" x14ac:dyDescent="0.25">
      <c r="A265" s="112" t="s">
        <v>682</v>
      </c>
      <c r="B265" s="78"/>
      <c r="C265" s="114"/>
      <c r="D265" s="78"/>
      <c r="E265" s="78"/>
      <c r="F265" s="78"/>
      <c r="G265" s="78"/>
      <c r="H265" s="78"/>
      <c r="I265" s="78"/>
      <c r="J265" s="78"/>
      <c r="K265" s="78"/>
      <c r="L265" s="78"/>
      <c r="M265" s="78"/>
      <c r="N265" s="78"/>
      <c r="O265" s="78"/>
      <c r="P265" s="78"/>
      <c r="Q265" s="78"/>
      <c r="R265" s="78"/>
      <c r="S265" s="78"/>
      <c r="T265" s="78"/>
      <c r="U265" s="78"/>
      <c r="V265" s="78"/>
      <c r="W265" s="78"/>
      <c r="X265" s="78"/>
      <c r="Y265" s="78"/>
    </row>
    <row r="266" spans="1:25" x14ac:dyDescent="0.25">
      <c r="A266" s="112" t="s">
        <v>682</v>
      </c>
      <c r="B266" s="78"/>
      <c r="C266" s="114"/>
      <c r="D266" s="78"/>
      <c r="E266" s="78"/>
      <c r="F266" s="78"/>
      <c r="G266" s="78"/>
      <c r="H266" s="78"/>
      <c r="I266" s="78"/>
      <c r="J266" s="78"/>
      <c r="K266" s="78"/>
      <c r="L266" s="78"/>
      <c r="M266" s="78"/>
      <c r="N266" s="78"/>
      <c r="O266" s="78"/>
      <c r="P266" s="78"/>
      <c r="Q266" s="78"/>
      <c r="R266" s="78"/>
      <c r="S266" s="78"/>
      <c r="T266" s="78"/>
      <c r="U266" s="78"/>
      <c r="V266" s="78"/>
      <c r="W266" s="78"/>
      <c r="X266" s="78"/>
      <c r="Y266" s="78"/>
    </row>
    <row r="267" spans="1:25" x14ac:dyDescent="0.25">
      <c r="A267" s="112" t="s">
        <v>682</v>
      </c>
      <c r="B267" s="78"/>
      <c r="C267" s="114"/>
      <c r="D267" s="78"/>
      <c r="E267" s="78"/>
      <c r="F267" s="78"/>
      <c r="G267" s="78"/>
      <c r="H267" s="78"/>
      <c r="I267" s="78"/>
      <c r="J267" s="78"/>
      <c r="K267" s="78"/>
      <c r="L267" s="78"/>
      <c r="M267" s="78"/>
      <c r="N267" s="78"/>
      <c r="O267" s="78"/>
      <c r="P267" s="78"/>
      <c r="Q267" s="78"/>
      <c r="R267" s="78"/>
      <c r="S267" s="78"/>
      <c r="T267" s="78"/>
      <c r="U267" s="78"/>
      <c r="V267" s="78"/>
      <c r="W267" s="78"/>
      <c r="X267" s="78"/>
      <c r="Y267" s="78"/>
    </row>
    <row r="268" spans="1:25" x14ac:dyDescent="0.25">
      <c r="A268" s="112" t="s">
        <v>682</v>
      </c>
      <c r="B268" s="78"/>
      <c r="C268" s="114"/>
      <c r="D268" s="78"/>
      <c r="E268" s="78"/>
      <c r="F268" s="78"/>
      <c r="G268" s="78"/>
      <c r="H268" s="78"/>
      <c r="I268" s="78"/>
      <c r="J268" s="78"/>
      <c r="K268" s="78"/>
      <c r="L268" s="78"/>
      <c r="M268" s="78"/>
      <c r="N268" s="78"/>
      <c r="O268" s="78"/>
      <c r="P268" s="78"/>
      <c r="Q268" s="78"/>
      <c r="R268" s="78"/>
      <c r="S268" s="78"/>
      <c r="T268" s="78"/>
      <c r="U268" s="78"/>
      <c r="V268" s="78"/>
      <c r="W268" s="78"/>
      <c r="X268" s="78"/>
      <c r="Y268" s="78"/>
    </row>
    <row r="269" spans="1:25" x14ac:dyDescent="0.25">
      <c r="A269" s="112" t="s">
        <v>682</v>
      </c>
      <c r="B269" s="78"/>
      <c r="C269" s="114"/>
      <c r="D269" s="78"/>
      <c r="E269" s="78"/>
      <c r="F269" s="78"/>
      <c r="G269" s="78"/>
      <c r="H269" s="78"/>
      <c r="I269" s="78"/>
      <c r="J269" s="78"/>
      <c r="K269" s="78"/>
      <c r="L269" s="78"/>
      <c r="M269" s="78"/>
      <c r="N269" s="78"/>
      <c r="O269" s="78"/>
      <c r="P269" s="78"/>
      <c r="Q269" s="78"/>
      <c r="R269" s="78"/>
      <c r="S269" s="78"/>
      <c r="T269" s="78"/>
      <c r="U269" s="78"/>
      <c r="V269" s="78"/>
      <c r="W269" s="78"/>
      <c r="X269" s="78"/>
      <c r="Y269" s="78"/>
    </row>
    <row r="270" spans="1:25" x14ac:dyDescent="0.25">
      <c r="A270" s="112" t="s">
        <v>682</v>
      </c>
      <c r="B270" s="78"/>
      <c r="C270" s="114"/>
      <c r="D270" s="78"/>
      <c r="E270" s="78"/>
      <c r="F270" s="78"/>
      <c r="G270" s="78"/>
      <c r="H270" s="78"/>
      <c r="I270" s="78"/>
      <c r="J270" s="78"/>
      <c r="K270" s="78"/>
      <c r="L270" s="78"/>
      <c r="M270" s="78"/>
      <c r="N270" s="78"/>
      <c r="O270" s="78"/>
      <c r="P270" s="78"/>
      <c r="Q270" s="78"/>
      <c r="R270" s="78"/>
      <c r="S270" s="78"/>
      <c r="T270" s="78"/>
      <c r="U270" s="78"/>
      <c r="V270" s="78"/>
      <c r="W270" s="78"/>
      <c r="X270" s="78"/>
      <c r="Y270" s="78"/>
    </row>
    <row r="271" spans="1:25" x14ac:dyDescent="0.25">
      <c r="A271" s="112" t="s">
        <v>682</v>
      </c>
      <c r="B271" s="78"/>
      <c r="C271" s="114"/>
      <c r="D271" s="78"/>
      <c r="E271" s="78"/>
      <c r="F271" s="78"/>
      <c r="G271" s="78"/>
      <c r="H271" s="78"/>
      <c r="I271" s="78"/>
      <c r="J271" s="78"/>
      <c r="K271" s="78"/>
      <c r="L271" s="78"/>
      <c r="M271" s="78"/>
      <c r="N271" s="78"/>
      <c r="O271" s="78"/>
      <c r="P271" s="78"/>
      <c r="Q271" s="78"/>
      <c r="R271" s="78"/>
      <c r="S271" s="78"/>
      <c r="T271" s="78"/>
      <c r="U271" s="78"/>
      <c r="V271" s="78"/>
      <c r="W271" s="78"/>
      <c r="X271" s="78"/>
      <c r="Y271" s="78"/>
    </row>
    <row r="272" spans="1:25" x14ac:dyDescent="0.25">
      <c r="A272" s="112" t="s">
        <v>682</v>
      </c>
      <c r="B272" s="78"/>
      <c r="C272" s="114"/>
      <c r="D272" s="78"/>
      <c r="E272" s="78"/>
      <c r="F272" s="78"/>
      <c r="G272" s="78"/>
      <c r="H272" s="78"/>
      <c r="I272" s="78"/>
      <c r="J272" s="78"/>
      <c r="K272" s="78"/>
      <c r="L272" s="78"/>
      <c r="M272" s="78"/>
      <c r="N272" s="78"/>
      <c r="O272" s="78"/>
      <c r="P272" s="78"/>
      <c r="Q272" s="78"/>
      <c r="R272" s="78"/>
      <c r="S272" s="78"/>
      <c r="T272" s="78"/>
      <c r="U272" s="78"/>
      <c r="V272" s="78"/>
      <c r="W272" s="78"/>
      <c r="X272" s="78"/>
      <c r="Y272" s="78"/>
    </row>
    <row r="273" spans="1:25" x14ac:dyDescent="0.25">
      <c r="A273" s="112" t="s">
        <v>682</v>
      </c>
      <c r="B273" s="78"/>
      <c r="C273" s="114"/>
      <c r="D273" s="78"/>
      <c r="E273" s="78"/>
      <c r="F273" s="78"/>
      <c r="G273" s="78"/>
      <c r="H273" s="78"/>
      <c r="I273" s="78"/>
      <c r="J273" s="78"/>
      <c r="K273" s="78"/>
      <c r="L273" s="78"/>
      <c r="M273" s="78"/>
      <c r="N273" s="78"/>
      <c r="O273" s="78"/>
      <c r="P273" s="78"/>
      <c r="Q273" s="78"/>
      <c r="R273" s="78"/>
      <c r="S273" s="78"/>
      <c r="T273" s="78"/>
      <c r="U273" s="78"/>
      <c r="V273" s="78"/>
      <c r="W273" s="78"/>
      <c r="X273" s="78"/>
      <c r="Y273" s="78"/>
    </row>
    <row r="274" spans="1:25" x14ac:dyDescent="0.25">
      <c r="A274" s="112" t="s">
        <v>682</v>
      </c>
      <c r="B274" s="78"/>
      <c r="C274" s="114"/>
      <c r="D274" s="78"/>
      <c r="E274" s="78"/>
      <c r="F274" s="78"/>
      <c r="G274" s="78"/>
      <c r="H274" s="78"/>
      <c r="I274" s="78"/>
      <c r="J274" s="78"/>
      <c r="K274" s="78"/>
      <c r="L274" s="78"/>
      <c r="M274" s="78"/>
      <c r="N274" s="78"/>
      <c r="O274" s="78"/>
      <c r="P274" s="78"/>
      <c r="Q274" s="78"/>
      <c r="R274" s="78"/>
      <c r="S274" s="78"/>
      <c r="T274" s="78"/>
      <c r="U274" s="78"/>
      <c r="V274" s="78"/>
      <c r="W274" s="78"/>
      <c r="X274" s="78"/>
      <c r="Y274" s="78"/>
    </row>
    <row r="275" spans="1:25" x14ac:dyDescent="0.25">
      <c r="A275" s="112" t="s">
        <v>682</v>
      </c>
      <c r="B275" s="78"/>
      <c r="C275" s="114"/>
      <c r="D275" s="78"/>
      <c r="E275" s="78"/>
      <c r="F275" s="78"/>
      <c r="G275" s="78"/>
      <c r="H275" s="78"/>
      <c r="I275" s="78"/>
      <c r="J275" s="78"/>
      <c r="K275" s="78"/>
      <c r="L275" s="78"/>
      <c r="M275" s="78"/>
      <c r="N275" s="78"/>
      <c r="O275" s="78"/>
      <c r="P275" s="78"/>
      <c r="Q275" s="78"/>
      <c r="R275" s="78"/>
      <c r="S275" s="78"/>
      <c r="T275" s="78"/>
      <c r="U275" s="78"/>
      <c r="V275" s="78"/>
      <c r="W275" s="78"/>
      <c r="X275" s="78"/>
      <c r="Y275" s="78"/>
    </row>
    <row r="276" spans="1:25" x14ac:dyDescent="0.25">
      <c r="A276" s="112" t="s">
        <v>682</v>
      </c>
      <c r="B276" s="78"/>
      <c r="C276" s="114"/>
      <c r="D276" s="78"/>
      <c r="E276" s="78"/>
      <c r="F276" s="78"/>
      <c r="G276" s="78"/>
      <c r="H276" s="78"/>
      <c r="I276" s="78"/>
      <c r="J276" s="78"/>
      <c r="K276" s="78"/>
      <c r="L276" s="78"/>
      <c r="M276" s="78"/>
      <c r="N276" s="78"/>
      <c r="O276" s="78"/>
      <c r="P276" s="78"/>
      <c r="Q276" s="78"/>
      <c r="R276" s="78"/>
      <c r="S276" s="78"/>
      <c r="T276" s="78"/>
      <c r="U276" s="78"/>
      <c r="V276" s="78"/>
      <c r="W276" s="78"/>
      <c r="X276" s="78"/>
      <c r="Y276" s="78"/>
    </row>
    <row r="277" spans="1:25" x14ac:dyDescent="0.25">
      <c r="A277" s="112" t="s">
        <v>682</v>
      </c>
      <c r="B277" s="78"/>
      <c r="C277" s="114"/>
      <c r="D277" s="78"/>
      <c r="E277" s="78"/>
      <c r="F277" s="78"/>
      <c r="G277" s="78"/>
      <c r="H277" s="78"/>
      <c r="I277" s="78"/>
      <c r="J277" s="78"/>
      <c r="K277" s="78"/>
      <c r="L277" s="78"/>
      <c r="M277" s="78"/>
      <c r="N277" s="78"/>
      <c r="O277" s="78"/>
      <c r="P277" s="78"/>
      <c r="Q277" s="78"/>
      <c r="R277" s="78"/>
      <c r="S277" s="78"/>
      <c r="T277" s="78"/>
      <c r="U277" s="78"/>
      <c r="V277" s="78"/>
      <c r="W277" s="78"/>
      <c r="X277" s="78"/>
      <c r="Y277" s="78"/>
    </row>
    <row r="278" spans="1:25" x14ac:dyDescent="0.25">
      <c r="A278" s="112" t="s">
        <v>682</v>
      </c>
      <c r="B278" s="78"/>
      <c r="C278" s="114"/>
      <c r="D278" s="78"/>
      <c r="E278" s="78"/>
      <c r="F278" s="78"/>
      <c r="G278" s="78"/>
      <c r="H278" s="78"/>
      <c r="I278" s="78"/>
      <c r="J278" s="78"/>
      <c r="K278" s="78"/>
      <c r="L278" s="78"/>
      <c r="M278" s="78"/>
      <c r="N278" s="78"/>
      <c r="O278" s="78"/>
      <c r="P278" s="78"/>
      <c r="Q278" s="78"/>
      <c r="R278" s="78"/>
      <c r="S278" s="78"/>
      <c r="T278" s="78"/>
      <c r="U278" s="78"/>
      <c r="V278" s="78"/>
      <c r="W278" s="78"/>
      <c r="X278" s="78"/>
      <c r="Y278" s="78"/>
    </row>
    <row r="279" spans="1:25" x14ac:dyDescent="0.25">
      <c r="A279" s="112" t="s">
        <v>682</v>
      </c>
      <c r="B279" s="78"/>
      <c r="C279" s="114"/>
      <c r="D279" s="78"/>
      <c r="E279" s="78"/>
      <c r="F279" s="78"/>
      <c r="G279" s="78"/>
      <c r="H279" s="78"/>
      <c r="I279" s="78"/>
      <c r="J279" s="78"/>
      <c r="K279" s="78"/>
      <c r="L279" s="78"/>
      <c r="M279" s="78"/>
      <c r="N279" s="78"/>
      <c r="O279" s="78"/>
      <c r="P279" s="78"/>
      <c r="Q279" s="78"/>
      <c r="R279" s="78"/>
      <c r="S279" s="78"/>
      <c r="T279" s="78"/>
      <c r="U279" s="78"/>
      <c r="V279" s="78"/>
      <c r="W279" s="78"/>
      <c r="X279" s="78"/>
      <c r="Y279" s="78"/>
    </row>
    <row r="280" spans="1:25" x14ac:dyDescent="0.25">
      <c r="A280" s="112" t="s">
        <v>682</v>
      </c>
      <c r="B280" s="78"/>
      <c r="C280" s="114"/>
      <c r="D280" s="78"/>
      <c r="E280" s="78"/>
      <c r="F280" s="78"/>
      <c r="G280" s="78"/>
      <c r="H280" s="78"/>
      <c r="I280" s="78"/>
      <c r="J280" s="78"/>
      <c r="K280" s="78"/>
      <c r="L280" s="78"/>
      <c r="M280" s="78"/>
      <c r="N280" s="78"/>
      <c r="O280" s="78"/>
      <c r="P280" s="78"/>
      <c r="Q280" s="78"/>
      <c r="R280" s="78"/>
      <c r="S280" s="78"/>
      <c r="T280" s="78"/>
      <c r="U280" s="78"/>
      <c r="V280" s="78"/>
      <c r="W280" s="78"/>
      <c r="X280" s="78"/>
      <c r="Y280" s="78"/>
    </row>
    <row r="281" spans="1:25" x14ac:dyDescent="0.25">
      <c r="A281" s="112" t="s">
        <v>682</v>
      </c>
      <c r="B281" s="78"/>
      <c r="C281" s="114"/>
      <c r="D281" s="78"/>
      <c r="E281" s="78"/>
      <c r="F281" s="78"/>
      <c r="G281" s="78"/>
      <c r="H281" s="78"/>
      <c r="I281" s="78"/>
      <c r="J281" s="78"/>
      <c r="K281" s="78"/>
      <c r="L281" s="78"/>
      <c r="M281" s="78"/>
      <c r="N281" s="78"/>
      <c r="O281" s="78"/>
      <c r="P281" s="78"/>
      <c r="Q281" s="78"/>
      <c r="R281" s="78"/>
      <c r="S281" s="78"/>
      <c r="T281" s="78"/>
      <c r="U281" s="78"/>
      <c r="V281" s="78"/>
      <c r="W281" s="78"/>
      <c r="X281" s="78"/>
      <c r="Y281" s="78"/>
    </row>
    <row r="282" spans="1:25" x14ac:dyDescent="0.25">
      <c r="A282" s="112" t="s">
        <v>682</v>
      </c>
      <c r="B282" s="78"/>
      <c r="C282" s="114"/>
      <c r="D282" s="78"/>
      <c r="E282" s="78"/>
      <c r="F282" s="78"/>
      <c r="G282" s="78"/>
      <c r="H282" s="78"/>
      <c r="I282" s="78"/>
      <c r="J282" s="78"/>
      <c r="K282" s="78"/>
      <c r="L282" s="78"/>
      <c r="M282" s="78"/>
      <c r="N282" s="78"/>
      <c r="O282" s="78"/>
      <c r="P282" s="78"/>
      <c r="Q282" s="78"/>
      <c r="R282" s="78"/>
      <c r="S282" s="78"/>
      <c r="T282" s="78"/>
      <c r="U282" s="78"/>
      <c r="V282" s="78"/>
      <c r="W282" s="78"/>
      <c r="X282" s="78"/>
      <c r="Y282" s="78"/>
    </row>
    <row r="283" spans="1:25" x14ac:dyDescent="0.25">
      <c r="A283" s="112" t="s">
        <v>682</v>
      </c>
      <c r="B283" s="78"/>
      <c r="C283" s="114"/>
      <c r="D283" s="78"/>
      <c r="E283" s="78"/>
      <c r="F283" s="78"/>
      <c r="G283" s="78"/>
      <c r="H283" s="78"/>
      <c r="I283" s="78"/>
      <c r="J283" s="78"/>
      <c r="K283" s="78"/>
      <c r="L283" s="78"/>
      <c r="M283" s="78"/>
      <c r="N283" s="78"/>
      <c r="O283" s="78"/>
      <c r="P283" s="78"/>
      <c r="Q283" s="78"/>
      <c r="R283" s="78"/>
      <c r="S283" s="78"/>
      <c r="T283" s="78"/>
      <c r="U283" s="78"/>
      <c r="V283" s="78"/>
      <c r="W283" s="78"/>
      <c r="X283" s="78"/>
      <c r="Y283" s="78"/>
    </row>
    <row r="284" spans="1:25" x14ac:dyDescent="0.25">
      <c r="A284" s="112" t="s">
        <v>682</v>
      </c>
      <c r="B284" s="78"/>
      <c r="C284" s="114"/>
      <c r="D284" s="78"/>
      <c r="E284" s="78"/>
      <c r="F284" s="78"/>
      <c r="G284" s="78"/>
      <c r="H284" s="78"/>
      <c r="I284" s="78"/>
      <c r="J284" s="78"/>
      <c r="K284" s="78"/>
      <c r="L284" s="78"/>
      <c r="M284" s="78"/>
      <c r="N284" s="78"/>
      <c r="O284" s="78"/>
      <c r="P284" s="78"/>
      <c r="Q284" s="78"/>
      <c r="R284" s="78"/>
      <c r="S284" s="78"/>
      <c r="T284" s="78"/>
      <c r="U284" s="78"/>
      <c r="V284" s="78"/>
      <c r="W284" s="78"/>
      <c r="X284" s="78"/>
      <c r="Y284" s="78"/>
    </row>
    <row r="285" spans="1:25" x14ac:dyDescent="0.25">
      <c r="A285" s="112" t="s">
        <v>682</v>
      </c>
      <c r="B285" s="78"/>
      <c r="C285" s="114"/>
      <c r="D285" s="78"/>
      <c r="E285" s="78"/>
      <c r="F285" s="78"/>
      <c r="G285" s="78"/>
      <c r="H285" s="78"/>
      <c r="I285" s="78"/>
      <c r="J285" s="78"/>
      <c r="K285" s="78"/>
      <c r="L285" s="78"/>
      <c r="M285" s="78"/>
      <c r="N285" s="78"/>
      <c r="O285" s="78"/>
      <c r="P285" s="78"/>
      <c r="Q285" s="78"/>
      <c r="R285" s="78"/>
      <c r="S285" s="78"/>
      <c r="T285" s="78"/>
      <c r="U285" s="78"/>
      <c r="V285" s="78"/>
      <c r="W285" s="78"/>
      <c r="X285" s="78"/>
      <c r="Y285" s="78"/>
    </row>
    <row r="286" spans="1:25" x14ac:dyDescent="0.25">
      <c r="A286" s="112" t="s">
        <v>682</v>
      </c>
      <c r="B286" s="78"/>
      <c r="C286" s="114"/>
      <c r="D286" s="78"/>
      <c r="E286" s="78"/>
      <c r="F286" s="78"/>
      <c r="G286" s="78"/>
      <c r="H286" s="78"/>
      <c r="I286" s="78"/>
      <c r="J286" s="78"/>
      <c r="K286" s="78"/>
      <c r="L286" s="78"/>
      <c r="M286" s="78"/>
      <c r="N286" s="78"/>
      <c r="O286" s="78"/>
      <c r="P286" s="78"/>
      <c r="Q286" s="78"/>
      <c r="R286" s="78"/>
      <c r="S286" s="78"/>
      <c r="T286" s="78"/>
      <c r="U286" s="78"/>
      <c r="V286" s="78"/>
      <c r="W286" s="78"/>
      <c r="X286" s="78"/>
      <c r="Y286" s="78"/>
    </row>
    <row r="287" spans="1:25" x14ac:dyDescent="0.25">
      <c r="A287" s="112" t="s">
        <v>682</v>
      </c>
      <c r="B287" s="78"/>
      <c r="C287" s="114"/>
      <c r="D287" s="78"/>
      <c r="E287" s="78"/>
      <c r="F287" s="78"/>
      <c r="G287" s="78"/>
      <c r="H287" s="78"/>
      <c r="I287" s="78"/>
      <c r="J287" s="78"/>
      <c r="K287" s="78"/>
      <c r="L287" s="78"/>
      <c r="M287" s="78"/>
      <c r="N287" s="78"/>
      <c r="O287" s="78"/>
      <c r="P287" s="78"/>
      <c r="Q287" s="78"/>
      <c r="R287" s="78"/>
      <c r="S287" s="78"/>
      <c r="T287" s="78"/>
      <c r="U287" s="78"/>
      <c r="V287" s="78"/>
      <c r="W287" s="78"/>
      <c r="X287" s="78"/>
      <c r="Y287" s="78"/>
    </row>
    <row r="288" spans="1:25" x14ac:dyDescent="0.25">
      <c r="A288" s="112" t="s">
        <v>682</v>
      </c>
      <c r="B288" s="78"/>
      <c r="C288" s="114"/>
      <c r="D288" s="78"/>
      <c r="E288" s="78"/>
      <c r="F288" s="78"/>
      <c r="G288" s="78"/>
      <c r="H288" s="78"/>
      <c r="I288" s="78"/>
      <c r="J288" s="78"/>
      <c r="K288" s="78"/>
      <c r="L288" s="78"/>
      <c r="M288" s="78"/>
      <c r="N288" s="78"/>
      <c r="O288" s="78"/>
      <c r="P288" s="78"/>
      <c r="Q288" s="78"/>
      <c r="R288" s="78"/>
      <c r="S288" s="78"/>
      <c r="T288" s="78"/>
      <c r="U288" s="78"/>
      <c r="V288" s="78"/>
      <c r="W288" s="78"/>
      <c r="X288" s="78"/>
      <c r="Y288" s="78"/>
    </row>
    <row r="289" spans="1:25" x14ac:dyDescent="0.25">
      <c r="A289" s="112" t="s">
        <v>682</v>
      </c>
      <c r="B289" s="78"/>
      <c r="C289" s="114"/>
      <c r="D289" s="78"/>
      <c r="E289" s="78"/>
      <c r="F289" s="78"/>
      <c r="G289" s="78"/>
      <c r="H289" s="78"/>
      <c r="I289" s="78"/>
      <c r="J289" s="78"/>
      <c r="K289" s="78"/>
      <c r="L289" s="78"/>
      <c r="M289" s="78"/>
      <c r="N289" s="78"/>
      <c r="O289" s="78"/>
      <c r="P289" s="78"/>
      <c r="Q289" s="78"/>
      <c r="R289" s="78"/>
      <c r="S289" s="78"/>
      <c r="T289" s="78"/>
      <c r="U289" s="78"/>
      <c r="V289" s="78"/>
      <c r="W289" s="78"/>
      <c r="X289" s="78"/>
      <c r="Y289" s="78"/>
    </row>
    <row r="290" spans="1:25" x14ac:dyDescent="0.25">
      <c r="A290" s="112" t="s">
        <v>682</v>
      </c>
      <c r="B290" s="78"/>
      <c r="C290" s="114"/>
      <c r="D290" s="78"/>
      <c r="E290" s="78"/>
      <c r="F290" s="78"/>
      <c r="G290" s="78"/>
      <c r="H290" s="78"/>
      <c r="I290" s="78"/>
      <c r="J290" s="78"/>
      <c r="K290" s="78"/>
      <c r="L290" s="78"/>
      <c r="M290" s="78"/>
      <c r="N290" s="78"/>
      <c r="O290" s="78"/>
      <c r="P290" s="78"/>
      <c r="Q290" s="78"/>
      <c r="R290" s="78"/>
      <c r="S290" s="78"/>
      <c r="T290" s="78"/>
      <c r="U290" s="78"/>
      <c r="V290" s="78"/>
      <c r="W290" s="78"/>
      <c r="X290" s="78"/>
      <c r="Y290" s="78"/>
    </row>
    <row r="291" spans="1:25" x14ac:dyDescent="0.25">
      <c r="A291" s="112" t="s">
        <v>682</v>
      </c>
      <c r="B291" s="78"/>
      <c r="C291" s="114"/>
      <c r="D291" s="78"/>
      <c r="E291" s="78"/>
      <c r="F291" s="78"/>
      <c r="G291" s="78"/>
      <c r="H291" s="78"/>
      <c r="I291" s="78"/>
      <c r="J291" s="78"/>
      <c r="K291" s="78"/>
      <c r="L291" s="78"/>
      <c r="M291" s="78"/>
      <c r="N291" s="78"/>
      <c r="O291" s="78"/>
      <c r="P291" s="78"/>
      <c r="Q291" s="78"/>
      <c r="R291" s="78"/>
      <c r="S291" s="78"/>
      <c r="T291" s="78"/>
      <c r="U291" s="78"/>
      <c r="V291" s="78"/>
      <c r="W291" s="78"/>
      <c r="X291" s="78"/>
      <c r="Y291" s="78"/>
    </row>
    <row r="292" spans="1:25" x14ac:dyDescent="0.25">
      <c r="A292" s="112" t="s">
        <v>682</v>
      </c>
      <c r="B292" s="78"/>
      <c r="C292" s="114"/>
      <c r="D292" s="78"/>
      <c r="E292" s="78"/>
      <c r="F292" s="78"/>
      <c r="G292" s="78"/>
      <c r="H292" s="78"/>
      <c r="I292" s="78"/>
      <c r="J292" s="78"/>
      <c r="K292" s="78"/>
      <c r="L292" s="78"/>
      <c r="M292" s="78"/>
      <c r="N292" s="78"/>
      <c r="O292" s="78"/>
      <c r="P292" s="78"/>
      <c r="Q292" s="78"/>
      <c r="R292" s="78"/>
      <c r="S292" s="78"/>
      <c r="T292" s="78"/>
      <c r="U292" s="78"/>
      <c r="V292" s="78"/>
      <c r="W292" s="78"/>
      <c r="X292" s="78"/>
      <c r="Y292" s="78"/>
    </row>
    <row r="293" spans="1:25" x14ac:dyDescent="0.25">
      <c r="A293" s="112" t="s">
        <v>682</v>
      </c>
      <c r="B293" s="78"/>
      <c r="C293" s="114"/>
      <c r="D293" s="78"/>
      <c r="E293" s="78"/>
      <c r="F293" s="78"/>
      <c r="G293" s="78"/>
      <c r="H293" s="78"/>
      <c r="I293" s="78"/>
      <c r="J293" s="78"/>
      <c r="K293" s="78"/>
      <c r="L293" s="78"/>
      <c r="M293" s="78"/>
      <c r="N293" s="78"/>
      <c r="O293" s="78"/>
      <c r="P293" s="78"/>
      <c r="Q293" s="78"/>
      <c r="R293" s="78"/>
      <c r="S293" s="78"/>
      <c r="T293" s="78"/>
      <c r="U293" s="78"/>
      <c r="V293" s="78"/>
      <c r="W293" s="78"/>
      <c r="X293" s="78"/>
      <c r="Y293" s="78"/>
    </row>
    <row r="294" spans="1:25" x14ac:dyDescent="0.25">
      <c r="A294" s="112" t="s">
        <v>682</v>
      </c>
      <c r="B294" s="78"/>
      <c r="C294" s="114"/>
      <c r="D294" s="78"/>
      <c r="E294" s="78"/>
      <c r="F294" s="78"/>
      <c r="G294" s="78"/>
      <c r="H294" s="78"/>
      <c r="I294" s="78"/>
      <c r="J294" s="78"/>
      <c r="K294" s="78"/>
      <c r="L294" s="78"/>
      <c r="M294" s="78"/>
      <c r="N294" s="78"/>
      <c r="O294" s="78"/>
      <c r="P294" s="78"/>
      <c r="Q294" s="78"/>
      <c r="R294" s="78"/>
      <c r="S294" s="78"/>
      <c r="T294" s="78"/>
      <c r="U294" s="78"/>
      <c r="V294" s="78"/>
      <c r="W294" s="78"/>
      <c r="X294" s="78"/>
      <c r="Y294" s="78"/>
    </row>
    <row r="295" spans="1:25" x14ac:dyDescent="0.25">
      <c r="A295" s="112" t="s">
        <v>682</v>
      </c>
      <c r="B295" s="78"/>
      <c r="C295" s="114"/>
      <c r="D295" s="78"/>
      <c r="E295" s="78"/>
      <c r="F295" s="78"/>
      <c r="G295" s="78"/>
      <c r="H295" s="78"/>
      <c r="I295" s="78"/>
      <c r="J295" s="78"/>
      <c r="K295" s="78"/>
      <c r="L295" s="78"/>
      <c r="M295" s="78"/>
      <c r="N295" s="78"/>
      <c r="O295" s="78"/>
      <c r="P295" s="78"/>
      <c r="Q295" s="78"/>
      <c r="R295" s="78"/>
      <c r="S295" s="78"/>
      <c r="T295" s="78"/>
      <c r="U295" s="78"/>
      <c r="V295" s="78"/>
      <c r="W295" s="78"/>
      <c r="X295" s="78"/>
      <c r="Y295" s="78"/>
    </row>
    <row r="296" spans="1:25" x14ac:dyDescent="0.25">
      <c r="A296" s="112" t="s">
        <v>682</v>
      </c>
      <c r="B296" s="78"/>
      <c r="C296" s="114"/>
      <c r="D296" s="78"/>
      <c r="E296" s="78"/>
      <c r="F296" s="78"/>
      <c r="G296" s="78"/>
      <c r="H296" s="78"/>
      <c r="I296" s="78"/>
      <c r="J296" s="78"/>
      <c r="K296" s="78"/>
      <c r="L296" s="78"/>
      <c r="M296" s="78"/>
      <c r="N296" s="78"/>
      <c r="O296" s="78"/>
      <c r="P296" s="78"/>
      <c r="Q296" s="78"/>
      <c r="R296" s="78"/>
      <c r="S296" s="78"/>
      <c r="T296" s="78"/>
      <c r="U296" s="78"/>
      <c r="V296" s="78"/>
      <c r="W296" s="78"/>
      <c r="X296" s="78"/>
      <c r="Y296" s="78"/>
    </row>
    <row r="297" spans="1:25" x14ac:dyDescent="0.25">
      <c r="A297" s="112" t="s">
        <v>682</v>
      </c>
      <c r="B297" s="78"/>
      <c r="C297" s="114"/>
      <c r="D297" s="78"/>
      <c r="E297" s="78"/>
      <c r="F297" s="78"/>
      <c r="G297" s="78"/>
      <c r="H297" s="78"/>
      <c r="I297" s="78"/>
      <c r="J297" s="78"/>
      <c r="K297" s="78"/>
      <c r="L297" s="78"/>
      <c r="M297" s="78"/>
      <c r="N297" s="78"/>
      <c r="O297" s="78"/>
      <c r="P297" s="78"/>
      <c r="Q297" s="78"/>
      <c r="R297" s="78"/>
      <c r="S297" s="78"/>
      <c r="T297" s="78"/>
      <c r="U297" s="78"/>
      <c r="V297" s="78"/>
      <c r="W297" s="78"/>
      <c r="X297" s="78"/>
      <c r="Y297" s="78"/>
    </row>
    <row r="298" spans="1:25" x14ac:dyDescent="0.25">
      <c r="A298" s="112" t="s">
        <v>682</v>
      </c>
      <c r="B298" s="78"/>
      <c r="C298" s="114"/>
      <c r="D298" s="78"/>
      <c r="E298" s="78"/>
      <c r="F298" s="78"/>
      <c r="G298" s="78"/>
      <c r="H298" s="78"/>
      <c r="I298" s="78"/>
      <c r="J298" s="78"/>
      <c r="K298" s="78"/>
      <c r="L298" s="78"/>
      <c r="M298" s="78"/>
      <c r="N298" s="78"/>
      <c r="O298" s="78"/>
      <c r="P298" s="78"/>
      <c r="Q298" s="78"/>
      <c r="R298" s="78"/>
      <c r="S298" s="78"/>
      <c r="T298" s="78"/>
      <c r="U298" s="78"/>
      <c r="V298" s="78"/>
      <c r="W298" s="78"/>
      <c r="X298" s="78"/>
      <c r="Y298" s="78"/>
    </row>
    <row r="299" spans="1:25" x14ac:dyDescent="0.25">
      <c r="A299" s="112" t="s">
        <v>682</v>
      </c>
      <c r="B299" s="78"/>
      <c r="C299" s="114"/>
      <c r="D299" s="78"/>
      <c r="E299" s="78"/>
      <c r="F299" s="78"/>
      <c r="G299" s="78"/>
      <c r="H299" s="78"/>
      <c r="I299" s="78"/>
      <c r="J299" s="78"/>
      <c r="K299" s="78"/>
      <c r="L299" s="78"/>
      <c r="M299" s="78"/>
      <c r="N299" s="78"/>
      <c r="O299" s="78"/>
      <c r="P299" s="78"/>
      <c r="Q299" s="78"/>
      <c r="R299" s="78"/>
      <c r="S299" s="78"/>
      <c r="T299" s="78"/>
      <c r="U299" s="78"/>
      <c r="V299" s="78"/>
      <c r="W299" s="78"/>
      <c r="X299" s="78"/>
      <c r="Y299" s="78"/>
    </row>
    <row r="300" spans="1:25" x14ac:dyDescent="0.25">
      <c r="A300" s="112" t="s">
        <v>682</v>
      </c>
      <c r="B300" s="78"/>
      <c r="C300" s="114"/>
      <c r="D300" s="78"/>
      <c r="E300" s="78"/>
      <c r="F300" s="78"/>
      <c r="G300" s="78"/>
      <c r="H300" s="78"/>
      <c r="I300" s="78"/>
      <c r="J300" s="78"/>
      <c r="K300" s="78"/>
      <c r="L300" s="78"/>
      <c r="M300" s="78"/>
      <c r="N300" s="78"/>
      <c r="O300" s="78"/>
      <c r="P300" s="78"/>
      <c r="Q300" s="78"/>
      <c r="R300" s="78"/>
      <c r="S300" s="78"/>
      <c r="T300" s="78"/>
      <c r="U300" s="78"/>
      <c r="V300" s="78"/>
      <c r="W300" s="78"/>
      <c r="X300" s="78"/>
      <c r="Y300" s="78"/>
    </row>
    <row r="301" spans="1:25" x14ac:dyDescent="0.25">
      <c r="A301" s="112" t="s">
        <v>682</v>
      </c>
      <c r="B301" s="78"/>
      <c r="C301" s="114"/>
      <c r="D301" s="78"/>
      <c r="E301" s="78"/>
      <c r="F301" s="78"/>
      <c r="G301" s="78"/>
      <c r="H301" s="78"/>
      <c r="I301" s="78"/>
      <c r="J301" s="78"/>
      <c r="K301" s="78"/>
      <c r="L301" s="78"/>
      <c r="M301" s="78"/>
      <c r="N301" s="78"/>
      <c r="O301" s="78"/>
      <c r="P301" s="78"/>
      <c r="Q301" s="78"/>
      <c r="R301" s="78"/>
      <c r="S301" s="78"/>
      <c r="T301" s="78"/>
      <c r="U301" s="78"/>
      <c r="V301" s="78"/>
      <c r="W301" s="78"/>
      <c r="X301" s="78"/>
      <c r="Y301" s="78"/>
    </row>
    <row r="302" spans="1:25" x14ac:dyDescent="0.25">
      <c r="A302" s="112" t="s">
        <v>682</v>
      </c>
      <c r="B302" s="78"/>
      <c r="C302" s="114"/>
      <c r="D302" s="78"/>
      <c r="E302" s="78"/>
      <c r="F302" s="78"/>
      <c r="G302" s="78"/>
      <c r="H302" s="78"/>
      <c r="I302" s="78"/>
      <c r="J302" s="78"/>
      <c r="K302" s="78"/>
      <c r="L302" s="78"/>
      <c r="M302" s="78"/>
      <c r="N302" s="78"/>
      <c r="O302" s="78"/>
      <c r="P302" s="78"/>
      <c r="Q302" s="78"/>
      <c r="R302" s="78"/>
      <c r="S302" s="78"/>
      <c r="T302" s="78"/>
      <c r="U302" s="78"/>
      <c r="V302" s="78"/>
      <c r="W302" s="78"/>
      <c r="X302" s="78"/>
      <c r="Y302" s="78"/>
    </row>
    <row r="303" spans="1:25" x14ac:dyDescent="0.25">
      <c r="A303" s="112" t="s">
        <v>682</v>
      </c>
      <c r="B303" s="78"/>
      <c r="C303" s="114"/>
      <c r="D303" s="78"/>
      <c r="E303" s="78"/>
      <c r="F303" s="78"/>
      <c r="G303" s="78"/>
      <c r="H303" s="78"/>
      <c r="I303" s="78"/>
      <c r="J303" s="78"/>
      <c r="K303" s="78"/>
      <c r="L303" s="78"/>
      <c r="M303" s="78"/>
      <c r="N303" s="78"/>
      <c r="O303" s="78"/>
      <c r="P303" s="78"/>
      <c r="Q303" s="78"/>
      <c r="R303" s="78"/>
      <c r="S303" s="78"/>
      <c r="T303" s="78"/>
      <c r="U303" s="78"/>
      <c r="V303" s="78"/>
      <c r="W303" s="78"/>
      <c r="X303" s="78"/>
      <c r="Y303" s="78"/>
    </row>
    <row r="304" spans="1:25" x14ac:dyDescent="0.25">
      <c r="A304" s="112" t="s">
        <v>682</v>
      </c>
      <c r="B304" s="78"/>
      <c r="C304" s="114"/>
      <c r="D304" s="78"/>
      <c r="E304" s="78"/>
      <c r="F304" s="78"/>
      <c r="G304" s="78"/>
      <c r="H304" s="78"/>
      <c r="I304" s="78"/>
      <c r="J304" s="78"/>
      <c r="K304" s="78"/>
      <c r="L304" s="78"/>
      <c r="M304" s="78"/>
      <c r="N304" s="78"/>
      <c r="O304" s="78"/>
      <c r="P304" s="78"/>
      <c r="Q304" s="78"/>
      <c r="R304" s="78"/>
      <c r="S304" s="78"/>
      <c r="T304" s="78"/>
      <c r="U304" s="78"/>
      <c r="V304" s="78"/>
      <c r="W304" s="78"/>
      <c r="X304" s="78"/>
      <c r="Y304" s="78"/>
    </row>
    <row r="305" spans="1:25" x14ac:dyDescent="0.25">
      <c r="A305" s="112" t="s">
        <v>682</v>
      </c>
      <c r="B305" s="78"/>
      <c r="C305" s="114"/>
      <c r="D305" s="78"/>
      <c r="E305" s="78"/>
      <c r="F305" s="78"/>
      <c r="G305" s="78"/>
      <c r="H305" s="78"/>
      <c r="I305" s="78"/>
      <c r="J305" s="78"/>
      <c r="K305" s="78"/>
      <c r="L305" s="78"/>
      <c r="M305" s="78"/>
      <c r="N305" s="78"/>
      <c r="O305" s="78"/>
      <c r="P305" s="78"/>
      <c r="Q305" s="78"/>
      <c r="R305" s="78"/>
      <c r="S305" s="78"/>
      <c r="T305" s="78"/>
      <c r="U305" s="78"/>
      <c r="V305" s="78"/>
      <c r="W305" s="78"/>
      <c r="X305" s="78"/>
      <c r="Y305" s="78"/>
    </row>
    <row r="306" spans="1:25" x14ac:dyDescent="0.25">
      <c r="A306" s="112" t="s">
        <v>682</v>
      </c>
      <c r="B306" s="78"/>
      <c r="C306" s="114"/>
      <c r="D306" s="78"/>
      <c r="E306" s="78"/>
      <c r="F306" s="78"/>
      <c r="G306" s="78"/>
      <c r="H306" s="78"/>
      <c r="I306" s="78"/>
      <c r="J306" s="78"/>
      <c r="K306" s="78"/>
      <c r="L306" s="78"/>
      <c r="M306" s="78"/>
      <c r="N306" s="78"/>
      <c r="O306" s="78"/>
      <c r="P306" s="78"/>
      <c r="Q306" s="78"/>
      <c r="R306" s="78"/>
      <c r="S306" s="78"/>
      <c r="T306" s="78"/>
      <c r="U306" s="78"/>
      <c r="V306" s="78"/>
      <c r="W306" s="78"/>
      <c r="X306" s="78"/>
      <c r="Y306" s="78"/>
    </row>
    <row r="307" spans="1:25" x14ac:dyDescent="0.25">
      <c r="A307" s="112" t="s">
        <v>682</v>
      </c>
      <c r="B307" s="78"/>
      <c r="C307" s="114"/>
      <c r="D307" s="78"/>
      <c r="E307" s="78"/>
      <c r="F307" s="78"/>
      <c r="G307" s="78"/>
      <c r="H307" s="78"/>
      <c r="I307" s="78"/>
      <c r="J307" s="78"/>
      <c r="K307" s="78"/>
      <c r="L307" s="78"/>
      <c r="M307" s="78"/>
      <c r="N307" s="78"/>
      <c r="O307" s="78"/>
      <c r="P307" s="78"/>
      <c r="Q307" s="78"/>
      <c r="R307" s="78"/>
      <c r="S307" s="78"/>
      <c r="T307" s="78"/>
      <c r="U307" s="78"/>
      <c r="V307" s="78"/>
      <c r="W307" s="78"/>
      <c r="X307" s="78"/>
      <c r="Y307" s="78"/>
    </row>
    <row r="308" spans="1:25" x14ac:dyDescent="0.25">
      <c r="A308" s="112" t="s">
        <v>682</v>
      </c>
      <c r="B308" s="78"/>
      <c r="C308" s="114"/>
      <c r="D308" s="78"/>
      <c r="E308" s="78"/>
      <c r="F308" s="78"/>
      <c r="G308" s="78"/>
      <c r="H308" s="78"/>
      <c r="I308" s="78"/>
      <c r="J308" s="78"/>
      <c r="K308" s="78"/>
      <c r="L308" s="78"/>
      <c r="M308" s="78"/>
      <c r="N308" s="78"/>
      <c r="O308" s="78"/>
      <c r="P308" s="78"/>
      <c r="Q308" s="78"/>
      <c r="R308" s="78"/>
      <c r="S308" s="78"/>
      <c r="T308" s="78"/>
      <c r="U308" s="78"/>
      <c r="V308" s="78"/>
      <c r="W308" s="78"/>
      <c r="X308" s="78"/>
      <c r="Y308" s="78"/>
    </row>
    <row r="309" spans="1:25" x14ac:dyDescent="0.25">
      <c r="A309" s="112" t="s">
        <v>682</v>
      </c>
      <c r="B309" s="78"/>
      <c r="C309" s="114"/>
      <c r="D309" s="78"/>
      <c r="E309" s="78"/>
      <c r="F309" s="78"/>
      <c r="G309" s="78"/>
      <c r="H309" s="78"/>
      <c r="I309" s="78"/>
      <c r="J309" s="78"/>
      <c r="K309" s="78"/>
      <c r="L309" s="78"/>
      <c r="M309" s="78"/>
      <c r="N309" s="78"/>
      <c r="O309" s="78"/>
      <c r="P309" s="78"/>
      <c r="Q309" s="78"/>
      <c r="R309" s="78"/>
      <c r="S309" s="78"/>
      <c r="T309" s="78"/>
      <c r="U309" s="78"/>
      <c r="V309" s="78"/>
      <c r="W309" s="78"/>
      <c r="X309" s="78"/>
      <c r="Y309" s="78"/>
    </row>
    <row r="310" spans="1:25" x14ac:dyDescent="0.25">
      <c r="A310" s="112" t="s">
        <v>682</v>
      </c>
      <c r="B310" s="78"/>
      <c r="C310" s="114"/>
      <c r="D310" s="78"/>
      <c r="E310" s="78"/>
      <c r="F310" s="78"/>
      <c r="G310" s="78"/>
      <c r="H310" s="78"/>
      <c r="I310" s="78"/>
      <c r="J310" s="78"/>
      <c r="K310" s="78"/>
      <c r="L310" s="78"/>
      <c r="M310" s="78"/>
      <c r="N310" s="78"/>
      <c r="O310" s="78"/>
      <c r="P310" s="78"/>
      <c r="Q310" s="78"/>
      <c r="R310" s="78"/>
      <c r="S310" s="78"/>
      <c r="T310" s="78"/>
      <c r="U310" s="78"/>
      <c r="V310" s="78"/>
      <c r="W310" s="78"/>
      <c r="X310" s="78"/>
      <c r="Y310" s="78"/>
    </row>
    <row r="311" spans="1:25" x14ac:dyDescent="0.25">
      <c r="A311" s="112" t="s">
        <v>682</v>
      </c>
      <c r="B311" s="78"/>
      <c r="C311" s="114"/>
      <c r="D311" s="78"/>
      <c r="E311" s="78"/>
      <c r="F311" s="78"/>
      <c r="G311" s="78"/>
      <c r="H311" s="78"/>
      <c r="I311" s="78"/>
      <c r="J311" s="78"/>
      <c r="K311" s="78"/>
      <c r="L311" s="78"/>
      <c r="M311" s="78"/>
      <c r="N311" s="78"/>
      <c r="O311" s="78"/>
      <c r="P311" s="78"/>
      <c r="Q311" s="78"/>
      <c r="R311" s="78"/>
      <c r="S311" s="78"/>
      <c r="T311" s="78"/>
      <c r="U311" s="78"/>
      <c r="V311" s="78"/>
      <c r="W311" s="78"/>
      <c r="X311" s="78"/>
      <c r="Y311" s="78"/>
    </row>
    <row r="312" spans="1:25" x14ac:dyDescent="0.25">
      <c r="A312" s="112" t="s">
        <v>682</v>
      </c>
      <c r="B312" s="78"/>
      <c r="C312" s="114"/>
      <c r="D312" s="78"/>
      <c r="E312" s="78"/>
      <c r="F312" s="78"/>
      <c r="G312" s="78"/>
      <c r="H312" s="78"/>
      <c r="I312" s="78"/>
      <c r="J312" s="78"/>
      <c r="K312" s="78"/>
      <c r="L312" s="78"/>
      <c r="M312" s="78"/>
      <c r="N312" s="78"/>
      <c r="O312" s="78"/>
      <c r="P312" s="78"/>
      <c r="Q312" s="78"/>
      <c r="R312" s="78"/>
      <c r="S312" s="78"/>
      <c r="T312" s="78"/>
      <c r="U312" s="78"/>
      <c r="V312" s="78"/>
      <c r="W312" s="78"/>
      <c r="X312" s="78"/>
      <c r="Y312" s="78"/>
    </row>
    <row r="313" spans="1:25" x14ac:dyDescent="0.25">
      <c r="A313" s="112" t="s">
        <v>682</v>
      </c>
      <c r="B313" s="78"/>
      <c r="C313" s="114"/>
      <c r="D313" s="78"/>
      <c r="E313" s="78"/>
      <c r="F313" s="78"/>
      <c r="G313" s="78"/>
      <c r="H313" s="78"/>
      <c r="I313" s="78"/>
      <c r="J313" s="78"/>
      <c r="K313" s="78"/>
      <c r="L313" s="78"/>
      <c r="M313" s="78"/>
      <c r="N313" s="78"/>
      <c r="O313" s="78"/>
      <c r="P313" s="78"/>
      <c r="Q313" s="78"/>
      <c r="R313" s="78"/>
      <c r="S313" s="78"/>
      <c r="T313" s="78"/>
      <c r="U313" s="78"/>
      <c r="V313" s="78"/>
      <c r="W313" s="78"/>
      <c r="X313" s="78"/>
      <c r="Y313" s="78"/>
    </row>
    <row r="314" spans="1:25" x14ac:dyDescent="0.25">
      <c r="A314" s="112" t="s">
        <v>682</v>
      </c>
      <c r="B314" s="78"/>
      <c r="C314" s="114"/>
      <c r="D314" s="78"/>
      <c r="E314" s="78"/>
      <c r="F314" s="78"/>
      <c r="G314" s="78"/>
      <c r="H314" s="78"/>
      <c r="I314" s="78"/>
      <c r="J314" s="78"/>
      <c r="K314" s="78"/>
      <c r="L314" s="78"/>
      <c r="M314" s="78"/>
      <c r="N314" s="78"/>
      <c r="O314" s="78"/>
      <c r="P314" s="78"/>
      <c r="Q314" s="78"/>
      <c r="R314" s="78"/>
      <c r="S314" s="78"/>
      <c r="T314" s="78"/>
      <c r="U314" s="78"/>
      <c r="V314" s="78"/>
      <c r="W314" s="78"/>
      <c r="X314" s="78"/>
      <c r="Y314" s="78"/>
    </row>
    <row r="315" spans="1:25" x14ac:dyDescent="0.25">
      <c r="A315" s="112" t="s">
        <v>682</v>
      </c>
      <c r="B315" s="78"/>
      <c r="C315" s="114"/>
      <c r="D315" s="78"/>
      <c r="E315" s="78"/>
      <c r="F315" s="78"/>
      <c r="G315" s="78"/>
      <c r="H315" s="78"/>
      <c r="I315" s="78"/>
      <c r="J315" s="78"/>
      <c r="K315" s="78"/>
      <c r="L315" s="78"/>
      <c r="M315" s="78"/>
      <c r="N315" s="78"/>
      <c r="O315" s="78"/>
      <c r="P315" s="78"/>
      <c r="Q315" s="78"/>
      <c r="R315" s="78"/>
      <c r="S315" s="78"/>
      <c r="T315" s="78"/>
      <c r="U315" s="78"/>
      <c r="V315" s="78"/>
      <c r="W315" s="78"/>
      <c r="X315" s="78"/>
      <c r="Y315" s="78"/>
    </row>
    <row r="316" spans="1:25" x14ac:dyDescent="0.25">
      <c r="A316" s="112" t="s">
        <v>682</v>
      </c>
      <c r="B316" s="78"/>
      <c r="C316" s="114"/>
      <c r="D316" s="78"/>
      <c r="E316" s="78"/>
      <c r="F316" s="78"/>
      <c r="G316" s="78"/>
      <c r="H316" s="78"/>
      <c r="I316" s="78"/>
      <c r="J316" s="78"/>
      <c r="K316" s="78"/>
      <c r="L316" s="78"/>
      <c r="M316" s="78"/>
      <c r="N316" s="78"/>
      <c r="O316" s="78"/>
      <c r="P316" s="78"/>
      <c r="Q316" s="78"/>
      <c r="R316" s="78"/>
      <c r="S316" s="78"/>
      <c r="T316" s="78"/>
      <c r="U316" s="78"/>
      <c r="V316" s="78"/>
      <c r="W316" s="78"/>
      <c r="X316" s="78"/>
      <c r="Y316" s="78"/>
    </row>
    <row r="317" spans="1:25" x14ac:dyDescent="0.25">
      <c r="A317" s="112" t="s">
        <v>682</v>
      </c>
      <c r="B317" s="78"/>
      <c r="C317" s="114"/>
      <c r="D317" s="78"/>
      <c r="E317" s="78"/>
      <c r="F317" s="78"/>
      <c r="G317" s="78"/>
      <c r="H317" s="78"/>
      <c r="I317" s="78"/>
      <c r="J317" s="78"/>
      <c r="K317" s="78"/>
      <c r="L317" s="78"/>
      <c r="M317" s="78"/>
      <c r="N317" s="78"/>
      <c r="O317" s="78"/>
      <c r="P317" s="78"/>
      <c r="Q317" s="78"/>
      <c r="R317" s="78"/>
      <c r="S317" s="78"/>
      <c r="T317" s="78"/>
      <c r="U317" s="78"/>
      <c r="V317" s="78"/>
      <c r="W317" s="78"/>
      <c r="X317" s="78"/>
      <c r="Y317" s="78"/>
    </row>
    <row r="318" spans="1:25" x14ac:dyDescent="0.25">
      <c r="A318" s="112" t="s">
        <v>682</v>
      </c>
      <c r="B318" s="78"/>
      <c r="C318" s="114"/>
      <c r="D318" s="78"/>
      <c r="E318" s="78"/>
      <c r="F318" s="78"/>
      <c r="G318" s="78"/>
      <c r="H318" s="78"/>
      <c r="I318" s="78"/>
      <c r="J318" s="78"/>
      <c r="K318" s="78"/>
      <c r="L318" s="78"/>
      <c r="M318" s="78"/>
      <c r="N318" s="78"/>
      <c r="O318" s="78"/>
      <c r="P318" s="78"/>
      <c r="Q318" s="78"/>
      <c r="R318" s="78"/>
      <c r="S318" s="78"/>
      <c r="T318" s="78"/>
      <c r="U318" s="78"/>
      <c r="V318" s="78"/>
      <c r="W318" s="78"/>
      <c r="X318" s="78"/>
      <c r="Y318" s="78"/>
    </row>
    <row r="319" spans="1:25" x14ac:dyDescent="0.25">
      <c r="A319" s="112" t="s">
        <v>682</v>
      </c>
      <c r="B319" s="78"/>
      <c r="C319" s="114"/>
      <c r="D319" s="78"/>
      <c r="E319" s="78"/>
      <c r="F319" s="78"/>
      <c r="G319" s="78"/>
      <c r="H319" s="78"/>
      <c r="I319" s="78"/>
      <c r="J319" s="78"/>
      <c r="K319" s="78"/>
      <c r="L319" s="78"/>
      <c r="M319" s="78"/>
      <c r="N319" s="78"/>
      <c r="O319" s="78"/>
      <c r="P319" s="78"/>
      <c r="Q319" s="78"/>
      <c r="R319" s="78"/>
      <c r="S319" s="78"/>
      <c r="T319" s="78"/>
      <c r="U319" s="78"/>
      <c r="V319" s="78"/>
      <c r="W319" s="78"/>
      <c r="X319" s="78"/>
      <c r="Y319" s="78"/>
    </row>
    <row r="320" spans="1:25" x14ac:dyDescent="0.25">
      <c r="A320" s="112" t="s">
        <v>682</v>
      </c>
      <c r="B320" s="78"/>
      <c r="C320" s="114"/>
      <c r="D320" s="78"/>
      <c r="E320" s="78"/>
      <c r="F320" s="78"/>
      <c r="G320" s="78"/>
      <c r="H320" s="78"/>
      <c r="I320" s="78"/>
      <c r="J320" s="78"/>
      <c r="K320" s="78"/>
      <c r="L320" s="78"/>
      <c r="M320" s="78"/>
      <c r="N320" s="78"/>
      <c r="O320" s="78"/>
      <c r="P320" s="78"/>
      <c r="Q320" s="78"/>
      <c r="R320" s="78"/>
      <c r="S320" s="78"/>
      <c r="T320" s="78"/>
      <c r="U320" s="78"/>
      <c r="V320" s="78"/>
      <c r="W320" s="78"/>
      <c r="X320" s="78"/>
      <c r="Y320" s="78"/>
    </row>
    <row r="321" spans="1:25" x14ac:dyDescent="0.25">
      <c r="A321" s="112" t="s">
        <v>682</v>
      </c>
      <c r="B321" s="78"/>
      <c r="C321" s="114"/>
      <c r="D321" s="78"/>
      <c r="E321" s="78"/>
      <c r="F321" s="78"/>
      <c r="G321" s="78"/>
      <c r="H321" s="78"/>
      <c r="I321" s="78"/>
      <c r="J321" s="78"/>
      <c r="K321" s="78"/>
      <c r="L321" s="78"/>
      <c r="M321" s="78"/>
      <c r="N321" s="78"/>
      <c r="O321" s="78"/>
      <c r="P321" s="78"/>
      <c r="Q321" s="78"/>
      <c r="R321" s="78"/>
      <c r="S321" s="78"/>
      <c r="T321" s="78"/>
      <c r="U321" s="78"/>
      <c r="V321" s="78"/>
      <c r="W321" s="78"/>
      <c r="X321" s="78"/>
      <c r="Y321" s="78"/>
    </row>
    <row r="322" spans="1:25" x14ac:dyDescent="0.25">
      <c r="A322" s="112" t="s">
        <v>682</v>
      </c>
      <c r="B322" s="78"/>
      <c r="C322" s="114"/>
      <c r="D322" s="78"/>
      <c r="E322" s="78"/>
      <c r="F322" s="78"/>
      <c r="G322" s="78"/>
      <c r="H322" s="78"/>
      <c r="I322" s="78"/>
      <c r="J322" s="78"/>
      <c r="K322" s="78"/>
      <c r="L322" s="78"/>
      <c r="M322" s="78"/>
      <c r="N322" s="78"/>
      <c r="O322" s="78"/>
      <c r="P322" s="78"/>
      <c r="Q322" s="78"/>
      <c r="R322" s="78"/>
      <c r="S322" s="78"/>
      <c r="T322" s="78"/>
      <c r="U322" s="78"/>
      <c r="V322" s="78"/>
      <c r="W322" s="78"/>
      <c r="X322" s="78"/>
      <c r="Y322" s="78"/>
    </row>
    <row r="323" spans="1:25" x14ac:dyDescent="0.25">
      <c r="A323" s="112" t="s">
        <v>682</v>
      </c>
      <c r="B323" s="78"/>
      <c r="C323" s="114"/>
      <c r="D323" s="78"/>
      <c r="E323" s="78"/>
      <c r="F323" s="78"/>
      <c r="G323" s="78"/>
      <c r="H323" s="78"/>
      <c r="I323" s="78"/>
      <c r="J323" s="78"/>
      <c r="K323" s="78"/>
      <c r="L323" s="78"/>
      <c r="M323" s="78"/>
      <c r="N323" s="78"/>
      <c r="O323" s="78"/>
      <c r="P323" s="78"/>
      <c r="Q323" s="78"/>
      <c r="R323" s="78"/>
      <c r="S323" s="78"/>
      <c r="T323" s="78"/>
      <c r="U323" s="78"/>
      <c r="V323" s="78"/>
      <c r="W323" s="78"/>
      <c r="X323" s="78"/>
      <c r="Y323" s="78"/>
    </row>
    <row r="324" spans="1:25" x14ac:dyDescent="0.25">
      <c r="A324" s="112" t="s">
        <v>682</v>
      </c>
      <c r="B324" s="78"/>
      <c r="C324" s="114"/>
      <c r="D324" s="78"/>
      <c r="E324" s="78"/>
      <c r="F324" s="78"/>
      <c r="G324" s="78"/>
      <c r="H324" s="78"/>
      <c r="I324" s="78"/>
      <c r="J324" s="78"/>
      <c r="K324" s="78"/>
      <c r="L324" s="78"/>
      <c r="M324" s="78"/>
      <c r="N324" s="78"/>
      <c r="O324" s="78"/>
      <c r="P324" s="78"/>
      <c r="Q324" s="78"/>
      <c r="R324" s="78"/>
      <c r="S324" s="78"/>
      <c r="T324" s="78"/>
      <c r="U324" s="78"/>
      <c r="V324" s="78"/>
      <c r="W324" s="78"/>
      <c r="X324" s="78"/>
      <c r="Y324" s="78"/>
    </row>
    <row r="325" spans="1:25" x14ac:dyDescent="0.25">
      <c r="A325" s="112" t="s">
        <v>682</v>
      </c>
      <c r="B325" s="78"/>
      <c r="C325" s="114"/>
      <c r="D325" s="78"/>
      <c r="E325" s="78"/>
      <c r="F325" s="78"/>
      <c r="G325" s="78"/>
      <c r="H325" s="78"/>
      <c r="I325" s="78"/>
      <c r="J325" s="78"/>
      <c r="K325" s="78"/>
      <c r="L325" s="78"/>
      <c r="M325" s="78"/>
      <c r="N325" s="78"/>
      <c r="O325" s="78"/>
      <c r="P325" s="78"/>
      <c r="Q325" s="78"/>
      <c r="R325" s="78"/>
      <c r="S325" s="78"/>
      <c r="T325" s="78"/>
      <c r="U325" s="78"/>
      <c r="V325" s="78"/>
      <c r="W325" s="78"/>
      <c r="X325" s="78"/>
      <c r="Y325" s="78"/>
    </row>
    <row r="326" spans="1:25" x14ac:dyDescent="0.25">
      <c r="A326" s="112" t="s">
        <v>682</v>
      </c>
      <c r="B326" s="78"/>
      <c r="C326" s="114"/>
      <c r="D326" s="78"/>
      <c r="E326" s="78"/>
      <c r="F326" s="78"/>
      <c r="G326" s="78"/>
      <c r="H326" s="78"/>
      <c r="I326" s="78"/>
      <c r="J326" s="78"/>
      <c r="K326" s="78"/>
      <c r="L326" s="78"/>
      <c r="M326" s="78"/>
      <c r="N326" s="78"/>
      <c r="O326" s="78"/>
      <c r="P326" s="78"/>
      <c r="Q326" s="78"/>
      <c r="R326" s="78"/>
      <c r="S326" s="78"/>
      <c r="T326" s="78"/>
      <c r="U326" s="78"/>
      <c r="V326" s="78"/>
      <c r="W326" s="78"/>
      <c r="X326" s="78"/>
      <c r="Y326" s="78"/>
    </row>
    <row r="327" spans="1:25" x14ac:dyDescent="0.25">
      <c r="A327" s="112" t="s">
        <v>682</v>
      </c>
      <c r="B327" s="78"/>
      <c r="C327" s="114"/>
      <c r="D327" s="78"/>
      <c r="E327" s="78"/>
      <c r="F327" s="78"/>
      <c r="G327" s="78"/>
      <c r="H327" s="78"/>
      <c r="I327" s="78"/>
      <c r="J327" s="78"/>
      <c r="K327" s="78"/>
      <c r="L327" s="78"/>
      <c r="M327" s="78"/>
      <c r="N327" s="78"/>
      <c r="O327" s="78"/>
      <c r="P327" s="78"/>
      <c r="Q327" s="78"/>
      <c r="R327" s="78"/>
      <c r="S327" s="78"/>
      <c r="T327" s="78"/>
      <c r="U327" s="78"/>
      <c r="V327" s="78"/>
      <c r="W327" s="78"/>
      <c r="X327" s="78"/>
      <c r="Y327" s="78"/>
    </row>
    <row r="328" spans="1:25" x14ac:dyDescent="0.25">
      <c r="A328" s="112" t="s">
        <v>682</v>
      </c>
      <c r="B328" s="78"/>
      <c r="C328" s="114"/>
      <c r="D328" s="78"/>
      <c r="E328" s="78"/>
      <c r="F328" s="78"/>
      <c r="G328" s="78"/>
      <c r="H328" s="78"/>
      <c r="I328" s="78"/>
      <c r="J328" s="78"/>
      <c r="K328" s="78"/>
      <c r="L328" s="78"/>
      <c r="M328" s="78"/>
      <c r="N328" s="78"/>
      <c r="O328" s="78"/>
      <c r="P328" s="78"/>
      <c r="Q328" s="78"/>
      <c r="R328" s="78"/>
      <c r="S328" s="78"/>
      <c r="T328" s="78"/>
      <c r="U328" s="78"/>
      <c r="V328" s="78"/>
      <c r="W328" s="78"/>
      <c r="X328" s="78"/>
      <c r="Y328" s="78"/>
    </row>
    <row r="329" spans="1:25" x14ac:dyDescent="0.25">
      <c r="A329" s="112" t="s">
        <v>682</v>
      </c>
      <c r="B329" s="78"/>
      <c r="C329" s="114"/>
      <c r="D329" s="78"/>
      <c r="E329" s="78"/>
      <c r="F329" s="78"/>
      <c r="G329" s="78"/>
      <c r="H329" s="78"/>
      <c r="I329" s="78"/>
      <c r="J329" s="78"/>
      <c r="K329" s="78"/>
      <c r="L329" s="78"/>
      <c r="M329" s="78"/>
      <c r="N329" s="78"/>
      <c r="O329" s="78"/>
      <c r="P329" s="78"/>
      <c r="Q329" s="78"/>
      <c r="R329" s="78"/>
      <c r="S329" s="78"/>
      <c r="T329" s="78"/>
      <c r="U329" s="78"/>
      <c r="V329" s="78"/>
      <c r="W329" s="78"/>
      <c r="X329" s="78"/>
      <c r="Y329" s="78"/>
    </row>
    <row r="330" spans="1:25" x14ac:dyDescent="0.25">
      <c r="A330" s="112" t="s">
        <v>682</v>
      </c>
      <c r="B330" s="78"/>
      <c r="C330" s="114"/>
      <c r="D330" s="78"/>
      <c r="E330" s="78"/>
      <c r="F330" s="78"/>
      <c r="G330" s="78"/>
      <c r="H330" s="78"/>
      <c r="I330" s="78"/>
      <c r="J330" s="78"/>
      <c r="K330" s="78"/>
      <c r="L330" s="78"/>
      <c r="M330" s="78"/>
      <c r="N330" s="78"/>
      <c r="O330" s="78"/>
      <c r="P330" s="78"/>
      <c r="Q330" s="78"/>
      <c r="R330" s="78"/>
      <c r="S330" s="78"/>
      <c r="T330" s="78"/>
      <c r="U330" s="78"/>
      <c r="V330" s="78"/>
      <c r="W330" s="78"/>
      <c r="X330" s="78"/>
      <c r="Y330" s="78"/>
    </row>
    <row r="331" spans="1:25" x14ac:dyDescent="0.25">
      <c r="A331" s="112" t="s">
        <v>682</v>
      </c>
      <c r="B331" s="78"/>
      <c r="C331" s="114"/>
      <c r="D331" s="78"/>
      <c r="E331" s="78"/>
      <c r="F331" s="78"/>
      <c r="G331" s="78"/>
      <c r="H331" s="78"/>
      <c r="I331" s="78"/>
      <c r="J331" s="78"/>
      <c r="K331" s="78"/>
      <c r="L331" s="78"/>
      <c r="M331" s="78"/>
      <c r="N331" s="78"/>
      <c r="O331" s="78"/>
      <c r="P331" s="78"/>
      <c r="Q331" s="78"/>
      <c r="R331" s="78"/>
      <c r="S331" s="78"/>
      <c r="T331" s="78"/>
      <c r="U331" s="78"/>
      <c r="V331" s="78"/>
      <c r="W331" s="78"/>
      <c r="X331" s="78"/>
      <c r="Y331" s="78"/>
    </row>
    <row r="332" spans="1:25" x14ac:dyDescent="0.25">
      <c r="A332" s="112" t="s">
        <v>682</v>
      </c>
      <c r="B332" s="78"/>
      <c r="C332" s="114"/>
      <c r="D332" s="78"/>
      <c r="E332" s="78"/>
      <c r="F332" s="78"/>
      <c r="G332" s="78"/>
      <c r="H332" s="78"/>
      <c r="I332" s="78"/>
      <c r="J332" s="78"/>
      <c r="K332" s="78"/>
      <c r="L332" s="78"/>
      <c r="M332" s="78"/>
      <c r="N332" s="78"/>
      <c r="O332" s="78"/>
      <c r="P332" s="78"/>
      <c r="Q332" s="78"/>
      <c r="R332" s="78"/>
      <c r="S332" s="78"/>
      <c r="T332" s="78"/>
      <c r="U332" s="78"/>
      <c r="V332" s="78"/>
      <c r="W332" s="78"/>
      <c r="X332" s="78"/>
      <c r="Y332" s="78"/>
    </row>
    <row r="333" spans="1:25" x14ac:dyDescent="0.25">
      <c r="A333" s="112" t="s">
        <v>682</v>
      </c>
      <c r="B333" s="78"/>
      <c r="C333" s="114"/>
      <c r="D333" s="78"/>
      <c r="E333" s="78"/>
      <c r="F333" s="78"/>
      <c r="G333" s="78"/>
      <c r="H333" s="78"/>
      <c r="I333" s="78"/>
      <c r="J333" s="78"/>
      <c r="K333" s="78"/>
      <c r="L333" s="78"/>
      <c r="M333" s="78"/>
      <c r="N333" s="78"/>
      <c r="O333" s="78"/>
      <c r="P333" s="78"/>
      <c r="Q333" s="78"/>
      <c r="R333" s="78"/>
      <c r="S333" s="78"/>
      <c r="T333" s="78"/>
      <c r="U333" s="78"/>
      <c r="V333" s="78"/>
      <c r="W333" s="78"/>
      <c r="X333" s="78"/>
      <c r="Y333" s="78"/>
    </row>
    <row r="334" spans="1:25" x14ac:dyDescent="0.25">
      <c r="A334" s="112" t="s">
        <v>682</v>
      </c>
      <c r="B334" s="78"/>
      <c r="C334" s="114"/>
      <c r="D334" s="78"/>
      <c r="E334" s="78"/>
      <c r="F334" s="78"/>
      <c r="G334" s="78"/>
      <c r="H334" s="78"/>
      <c r="I334" s="78"/>
      <c r="J334" s="78"/>
      <c r="K334" s="78"/>
      <c r="L334" s="78"/>
      <c r="M334" s="78"/>
      <c r="N334" s="78"/>
      <c r="O334" s="78"/>
      <c r="P334" s="78"/>
      <c r="Q334" s="78"/>
      <c r="R334" s="78"/>
      <c r="S334" s="78"/>
      <c r="T334" s="78"/>
      <c r="U334" s="78"/>
      <c r="V334" s="78"/>
      <c r="W334" s="78"/>
      <c r="X334" s="78"/>
      <c r="Y334" s="78"/>
    </row>
    <row r="335" spans="1:25" x14ac:dyDescent="0.25">
      <c r="A335" s="112" t="s">
        <v>682</v>
      </c>
      <c r="B335" s="78"/>
      <c r="C335" s="114"/>
      <c r="D335" s="78"/>
      <c r="E335" s="78"/>
      <c r="F335" s="78"/>
      <c r="G335" s="78"/>
      <c r="H335" s="78"/>
      <c r="I335" s="78"/>
      <c r="J335" s="78"/>
      <c r="K335" s="78"/>
      <c r="L335" s="78"/>
      <c r="M335" s="78"/>
      <c r="N335" s="78"/>
      <c r="O335" s="78"/>
      <c r="P335" s="78"/>
      <c r="Q335" s="78"/>
      <c r="R335" s="78"/>
      <c r="S335" s="78"/>
      <c r="T335" s="78"/>
      <c r="U335" s="78"/>
      <c r="V335" s="78"/>
      <c r="W335" s="78"/>
      <c r="X335" s="78"/>
      <c r="Y335" s="78"/>
    </row>
    <row r="336" spans="1:25" x14ac:dyDescent="0.25">
      <c r="A336" s="112" t="s">
        <v>682</v>
      </c>
      <c r="B336" s="78"/>
      <c r="C336" s="114"/>
      <c r="D336" s="78"/>
      <c r="E336" s="78"/>
      <c r="F336" s="78"/>
      <c r="G336" s="78"/>
      <c r="H336" s="78"/>
      <c r="I336" s="78"/>
      <c r="J336" s="78"/>
      <c r="K336" s="78"/>
      <c r="L336" s="78"/>
      <c r="M336" s="78"/>
      <c r="N336" s="78"/>
      <c r="O336" s="78"/>
      <c r="P336" s="78"/>
      <c r="Q336" s="78"/>
      <c r="R336" s="78"/>
      <c r="S336" s="78"/>
      <c r="T336" s="78"/>
      <c r="U336" s="78"/>
      <c r="V336" s="78"/>
      <c r="W336" s="78"/>
      <c r="X336" s="78"/>
      <c r="Y336" s="78"/>
    </row>
    <row r="337" spans="1:25" x14ac:dyDescent="0.25">
      <c r="A337" s="112" t="s">
        <v>682</v>
      </c>
      <c r="B337" s="78"/>
      <c r="C337" s="114"/>
      <c r="D337" s="78"/>
      <c r="E337" s="78"/>
      <c r="F337" s="78"/>
      <c r="G337" s="78"/>
      <c r="H337" s="78"/>
      <c r="I337" s="78"/>
      <c r="J337" s="78"/>
      <c r="K337" s="78"/>
      <c r="L337" s="78"/>
      <c r="M337" s="78"/>
      <c r="N337" s="78"/>
      <c r="O337" s="78"/>
      <c r="P337" s="78"/>
      <c r="Q337" s="78"/>
      <c r="R337" s="78"/>
      <c r="S337" s="78"/>
      <c r="T337" s="78"/>
      <c r="U337" s="78"/>
      <c r="V337" s="78"/>
      <c r="W337" s="78"/>
      <c r="X337" s="78"/>
      <c r="Y337" s="78"/>
    </row>
    <row r="338" spans="1:25" x14ac:dyDescent="0.25">
      <c r="A338" s="112" t="s">
        <v>682</v>
      </c>
      <c r="B338" s="78"/>
      <c r="C338" s="114"/>
      <c r="D338" s="78"/>
      <c r="E338" s="78"/>
      <c r="F338" s="78"/>
      <c r="G338" s="78"/>
      <c r="H338" s="78"/>
      <c r="I338" s="78"/>
      <c r="J338" s="78"/>
      <c r="K338" s="78"/>
      <c r="L338" s="78"/>
      <c r="M338" s="78"/>
      <c r="N338" s="78"/>
      <c r="O338" s="78"/>
      <c r="P338" s="78"/>
      <c r="Q338" s="78"/>
      <c r="R338" s="78"/>
      <c r="S338" s="78"/>
      <c r="T338" s="78"/>
      <c r="U338" s="78"/>
      <c r="V338" s="78"/>
      <c r="W338" s="78"/>
      <c r="X338" s="78"/>
      <c r="Y338" s="78"/>
    </row>
    <row r="339" spans="1:25" x14ac:dyDescent="0.25">
      <c r="A339" s="112" t="s">
        <v>682</v>
      </c>
      <c r="B339" s="78"/>
      <c r="C339" s="114"/>
      <c r="D339" s="78"/>
      <c r="E339" s="78"/>
      <c r="F339" s="78"/>
      <c r="G339" s="78"/>
      <c r="H339" s="78"/>
      <c r="I339" s="78"/>
      <c r="J339" s="78"/>
      <c r="K339" s="78"/>
      <c r="L339" s="78"/>
      <c r="M339" s="78"/>
      <c r="N339" s="78"/>
      <c r="O339" s="78"/>
      <c r="P339" s="78"/>
      <c r="Q339" s="78"/>
      <c r="R339" s="78"/>
      <c r="S339" s="78"/>
      <c r="T339" s="78"/>
      <c r="U339" s="78"/>
      <c r="V339" s="78"/>
      <c r="W339" s="78"/>
      <c r="X339" s="78"/>
      <c r="Y339" s="78"/>
    </row>
    <row r="340" spans="1:25" x14ac:dyDescent="0.25">
      <c r="A340" s="112" t="s">
        <v>682</v>
      </c>
      <c r="B340" s="78"/>
      <c r="C340" s="114"/>
      <c r="D340" s="78"/>
      <c r="E340" s="78"/>
      <c r="F340" s="78"/>
      <c r="G340" s="78"/>
      <c r="H340" s="78"/>
      <c r="I340" s="78"/>
      <c r="J340" s="78"/>
      <c r="K340" s="78"/>
      <c r="L340" s="78"/>
      <c r="M340" s="78"/>
      <c r="N340" s="78"/>
      <c r="O340" s="78"/>
      <c r="P340" s="78"/>
      <c r="Q340" s="78"/>
      <c r="R340" s="78"/>
      <c r="S340" s="78"/>
      <c r="T340" s="78"/>
      <c r="U340" s="78"/>
      <c r="V340" s="78"/>
      <c r="W340" s="78"/>
      <c r="X340" s="78"/>
      <c r="Y340" s="78"/>
    </row>
    <row r="341" spans="1:25" x14ac:dyDescent="0.25">
      <c r="A341" s="112" t="s">
        <v>682</v>
      </c>
      <c r="B341" s="78"/>
      <c r="C341" s="114"/>
      <c r="D341" s="78"/>
      <c r="E341" s="78"/>
      <c r="F341" s="78"/>
      <c r="G341" s="78"/>
      <c r="H341" s="78"/>
      <c r="I341" s="78"/>
      <c r="J341" s="78"/>
      <c r="K341" s="78"/>
      <c r="L341" s="78"/>
      <c r="M341" s="78"/>
      <c r="N341" s="78"/>
      <c r="O341" s="78"/>
      <c r="P341" s="78"/>
      <c r="Q341" s="78"/>
      <c r="R341" s="78"/>
      <c r="S341" s="78"/>
      <c r="T341" s="78"/>
      <c r="U341" s="78"/>
      <c r="V341" s="78"/>
      <c r="W341" s="78"/>
      <c r="X341" s="78"/>
      <c r="Y341" s="78"/>
    </row>
    <row r="342" spans="1:25" x14ac:dyDescent="0.25">
      <c r="A342" s="112" t="s">
        <v>682</v>
      </c>
      <c r="B342" s="78"/>
      <c r="C342" s="114"/>
      <c r="D342" s="78"/>
      <c r="E342" s="78"/>
      <c r="F342" s="78"/>
      <c r="G342" s="78"/>
      <c r="H342" s="78"/>
      <c r="I342" s="78"/>
      <c r="J342" s="78"/>
      <c r="K342" s="78"/>
      <c r="L342" s="78"/>
      <c r="M342" s="78"/>
      <c r="N342" s="78"/>
      <c r="O342" s="78"/>
      <c r="P342" s="78"/>
      <c r="Q342" s="78"/>
      <c r="R342" s="78"/>
      <c r="S342" s="78"/>
      <c r="T342" s="78"/>
      <c r="U342" s="78"/>
      <c r="V342" s="78"/>
      <c r="W342" s="78"/>
      <c r="X342" s="78"/>
      <c r="Y342" s="78"/>
    </row>
    <row r="343" spans="1:25" x14ac:dyDescent="0.25">
      <c r="A343" s="112" t="s">
        <v>682</v>
      </c>
      <c r="B343" s="78"/>
      <c r="C343" s="114"/>
      <c r="D343" s="78"/>
      <c r="E343" s="78"/>
      <c r="F343" s="78"/>
      <c r="G343" s="78"/>
      <c r="H343" s="78"/>
      <c r="I343" s="78"/>
      <c r="J343" s="78"/>
      <c r="K343" s="78"/>
      <c r="L343" s="78"/>
      <c r="M343" s="78"/>
      <c r="N343" s="78"/>
      <c r="O343" s="78"/>
      <c r="P343" s="78"/>
      <c r="Q343" s="78"/>
      <c r="R343" s="78"/>
      <c r="S343" s="78"/>
      <c r="T343" s="78"/>
      <c r="U343" s="78"/>
      <c r="V343" s="78"/>
      <c r="W343" s="78"/>
      <c r="X343" s="78"/>
      <c r="Y343" s="78"/>
    </row>
    <row r="344" spans="1:25" x14ac:dyDescent="0.25">
      <c r="A344" s="112" t="s">
        <v>682</v>
      </c>
      <c r="B344" s="78"/>
      <c r="C344" s="114"/>
      <c r="D344" s="78"/>
      <c r="E344" s="78"/>
      <c r="F344" s="78"/>
      <c r="G344" s="78"/>
      <c r="H344" s="78"/>
      <c r="I344" s="78"/>
      <c r="J344" s="78"/>
      <c r="K344" s="78"/>
      <c r="L344" s="78"/>
      <c r="M344" s="78"/>
      <c r="N344" s="78"/>
      <c r="O344" s="78"/>
      <c r="P344" s="78"/>
      <c r="Q344" s="78"/>
      <c r="R344" s="78"/>
      <c r="S344" s="78"/>
      <c r="T344" s="78"/>
      <c r="U344" s="78"/>
      <c r="V344" s="78"/>
      <c r="W344" s="78"/>
      <c r="X344" s="78"/>
      <c r="Y344" s="78"/>
    </row>
    <row r="345" spans="1:25" x14ac:dyDescent="0.25">
      <c r="A345" s="112" t="s">
        <v>682</v>
      </c>
      <c r="B345" s="78"/>
      <c r="C345" s="114"/>
      <c r="D345" s="78"/>
      <c r="E345" s="78"/>
      <c r="F345" s="78"/>
      <c r="G345" s="78"/>
      <c r="H345" s="78"/>
      <c r="I345" s="78"/>
      <c r="J345" s="78"/>
      <c r="K345" s="78"/>
      <c r="L345" s="78"/>
      <c r="M345" s="78"/>
      <c r="N345" s="78"/>
      <c r="O345" s="78"/>
      <c r="P345" s="78"/>
      <c r="Q345" s="78"/>
      <c r="R345" s="78"/>
      <c r="S345" s="78"/>
      <c r="T345" s="78"/>
      <c r="U345" s="78"/>
      <c r="V345" s="78"/>
      <c r="W345" s="78"/>
      <c r="X345" s="78"/>
      <c r="Y345" s="78"/>
    </row>
    <row r="346" spans="1:25" x14ac:dyDescent="0.25">
      <c r="A346" s="112" t="s">
        <v>682</v>
      </c>
      <c r="B346" s="78"/>
      <c r="C346" s="114"/>
      <c r="D346" s="78"/>
      <c r="E346" s="78"/>
      <c r="F346" s="78"/>
      <c r="G346" s="78"/>
      <c r="H346" s="78"/>
      <c r="I346" s="78"/>
      <c r="J346" s="78"/>
      <c r="K346" s="78"/>
      <c r="L346" s="78"/>
      <c r="M346" s="78"/>
      <c r="N346" s="78"/>
      <c r="O346" s="78"/>
      <c r="P346" s="78"/>
      <c r="Q346" s="78"/>
      <c r="R346" s="78"/>
      <c r="S346" s="78"/>
      <c r="T346" s="78"/>
      <c r="U346" s="78"/>
      <c r="V346" s="78"/>
      <c r="W346" s="78"/>
      <c r="X346" s="78"/>
      <c r="Y346" s="78"/>
    </row>
    <row r="347" spans="1:25" x14ac:dyDescent="0.25">
      <c r="A347" s="112" t="s">
        <v>682</v>
      </c>
      <c r="B347" s="78"/>
      <c r="C347" s="114"/>
      <c r="D347" s="78"/>
      <c r="E347" s="78"/>
      <c r="F347" s="78"/>
      <c r="G347" s="78"/>
      <c r="H347" s="78"/>
      <c r="I347" s="78"/>
      <c r="J347" s="78"/>
      <c r="K347" s="78"/>
      <c r="L347" s="78"/>
      <c r="M347" s="78"/>
      <c r="N347" s="78"/>
      <c r="O347" s="78"/>
      <c r="P347" s="78"/>
      <c r="Q347" s="78"/>
      <c r="R347" s="78"/>
      <c r="S347" s="78"/>
      <c r="T347" s="78"/>
      <c r="U347" s="78"/>
      <c r="V347" s="78"/>
      <c r="W347" s="78"/>
      <c r="X347" s="78"/>
      <c r="Y347" s="78"/>
    </row>
    <row r="348" spans="1:25" x14ac:dyDescent="0.25">
      <c r="A348" s="112" t="s">
        <v>682</v>
      </c>
      <c r="B348" s="78"/>
      <c r="C348" s="114"/>
      <c r="D348" s="78"/>
      <c r="E348" s="78"/>
      <c r="F348" s="78"/>
      <c r="G348" s="78"/>
      <c r="H348" s="78"/>
      <c r="I348" s="78"/>
      <c r="J348" s="78"/>
      <c r="K348" s="78"/>
      <c r="L348" s="78"/>
      <c r="M348" s="78"/>
      <c r="N348" s="78"/>
      <c r="O348" s="78"/>
      <c r="P348" s="78"/>
      <c r="Q348" s="78"/>
      <c r="R348" s="78"/>
      <c r="S348" s="78"/>
      <c r="T348" s="78"/>
      <c r="U348" s="78"/>
      <c r="V348" s="78"/>
      <c r="W348" s="78"/>
      <c r="X348" s="78"/>
      <c r="Y348" s="78"/>
    </row>
    <row r="349" spans="1:25" x14ac:dyDescent="0.25">
      <c r="A349" s="112" t="s">
        <v>682</v>
      </c>
      <c r="B349" s="78"/>
      <c r="C349" s="114"/>
      <c r="D349" s="78"/>
      <c r="E349" s="78"/>
      <c r="F349" s="78"/>
      <c r="G349" s="78"/>
      <c r="H349" s="78"/>
      <c r="I349" s="78"/>
      <c r="J349" s="78"/>
      <c r="K349" s="78"/>
      <c r="L349" s="78"/>
      <c r="M349" s="78"/>
      <c r="N349" s="78"/>
      <c r="O349" s="78"/>
      <c r="P349" s="78"/>
      <c r="Q349" s="78"/>
      <c r="R349" s="78"/>
      <c r="S349" s="78"/>
      <c r="T349" s="78"/>
      <c r="U349" s="78"/>
      <c r="V349" s="78"/>
      <c r="W349" s="78"/>
      <c r="X349" s="78"/>
      <c r="Y349" s="78"/>
    </row>
    <row r="350" spans="1:25" x14ac:dyDescent="0.25">
      <c r="A350" s="112" t="s">
        <v>682</v>
      </c>
      <c r="B350" s="78"/>
      <c r="C350" s="114"/>
      <c r="D350" s="78"/>
      <c r="E350" s="78"/>
      <c r="F350" s="78"/>
      <c r="G350" s="78"/>
      <c r="H350" s="78"/>
      <c r="I350" s="78"/>
      <c r="J350" s="78"/>
      <c r="K350" s="78"/>
      <c r="L350" s="78"/>
      <c r="M350" s="78"/>
      <c r="N350" s="78"/>
      <c r="O350" s="78"/>
      <c r="P350" s="78"/>
      <c r="Q350" s="78"/>
      <c r="R350" s="78"/>
      <c r="S350" s="78"/>
      <c r="T350" s="78"/>
      <c r="U350" s="78"/>
      <c r="V350" s="78"/>
      <c r="W350" s="78"/>
      <c r="X350" s="78"/>
      <c r="Y350" s="78"/>
    </row>
    <row r="351" spans="1:25" x14ac:dyDescent="0.25">
      <c r="A351" s="112" t="s">
        <v>682</v>
      </c>
      <c r="B351" s="78"/>
      <c r="C351" s="114"/>
      <c r="D351" s="78"/>
      <c r="E351" s="78"/>
      <c r="F351" s="78"/>
      <c r="G351" s="78"/>
      <c r="H351" s="78"/>
      <c r="I351" s="78"/>
      <c r="J351" s="78"/>
      <c r="K351" s="78"/>
      <c r="L351" s="78"/>
      <c r="M351" s="78"/>
      <c r="N351" s="78"/>
      <c r="O351" s="78"/>
      <c r="P351" s="78"/>
      <c r="Q351" s="78"/>
      <c r="R351" s="78"/>
      <c r="S351" s="78"/>
      <c r="T351" s="78"/>
      <c r="U351" s="78"/>
      <c r="V351" s="78"/>
      <c r="W351" s="78"/>
      <c r="X351" s="78"/>
      <c r="Y351" s="78"/>
    </row>
    <row r="352" spans="1:25" x14ac:dyDescent="0.25">
      <c r="A352" s="112" t="s">
        <v>682</v>
      </c>
      <c r="B352" s="78"/>
      <c r="C352" s="114"/>
      <c r="D352" s="78"/>
      <c r="E352" s="78"/>
      <c r="F352" s="78"/>
      <c r="G352" s="78"/>
      <c r="H352" s="78"/>
      <c r="I352" s="78"/>
      <c r="J352" s="78"/>
      <c r="K352" s="78"/>
      <c r="L352" s="78"/>
      <c r="M352" s="78"/>
      <c r="N352" s="78"/>
      <c r="O352" s="78"/>
      <c r="P352" s="78"/>
      <c r="Q352" s="78"/>
      <c r="R352" s="78"/>
      <c r="S352" s="78"/>
      <c r="T352" s="78"/>
      <c r="U352" s="78"/>
      <c r="V352" s="78"/>
      <c r="W352" s="78"/>
      <c r="X352" s="78"/>
      <c r="Y352" s="78"/>
    </row>
    <row r="353" spans="1:25" x14ac:dyDescent="0.25">
      <c r="A353" s="112" t="s">
        <v>682</v>
      </c>
      <c r="B353" s="78"/>
      <c r="C353" s="114"/>
      <c r="D353" s="78"/>
      <c r="E353" s="78"/>
      <c r="F353" s="78"/>
      <c r="G353" s="78"/>
      <c r="H353" s="78"/>
      <c r="I353" s="78"/>
      <c r="J353" s="78"/>
      <c r="K353" s="78"/>
      <c r="L353" s="78"/>
      <c r="M353" s="78"/>
      <c r="N353" s="78"/>
      <c r="O353" s="78"/>
      <c r="P353" s="78"/>
      <c r="Q353" s="78"/>
      <c r="R353" s="78"/>
      <c r="S353" s="78"/>
      <c r="T353" s="78"/>
      <c r="U353" s="78"/>
      <c r="V353" s="78"/>
      <c r="W353" s="78"/>
      <c r="X353" s="78"/>
      <c r="Y353" s="78"/>
    </row>
    <row r="354" spans="1:25" x14ac:dyDescent="0.25">
      <c r="A354" s="112" t="s">
        <v>682</v>
      </c>
      <c r="B354" s="78"/>
      <c r="C354" s="114"/>
      <c r="D354" s="78"/>
      <c r="E354" s="78"/>
      <c r="F354" s="78"/>
      <c r="G354" s="78"/>
      <c r="H354" s="78"/>
      <c r="I354" s="78"/>
      <c r="J354" s="78"/>
      <c r="K354" s="78"/>
      <c r="L354" s="78"/>
      <c r="M354" s="78"/>
      <c r="N354" s="78"/>
      <c r="O354" s="78"/>
      <c r="P354" s="78"/>
      <c r="Q354" s="78"/>
      <c r="R354" s="78"/>
      <c r="S354" s="78"/>
      <c r="T354" s="78"/>
      <c r="U354" s="78"/>
      <c r="V354" s="78"/>
      <c r="W354" s="78"/>
      <c r="X354" s="78"/>
      <c r="Y354" s="78"/>
    </row>
    <row r="355" spans="1:25" x14ac:dyDescent="0.25">
      <c r="A355" s="112" t="s">
        <v>682</v>
      </c>
      <c r="B355" s="78"/>
      <c r="C355" s="114"/>
      <c r="D355" s="78"/>
      <c r="E355" s="78"/>
      <c r="F355" s="78"/>
      <c r="G355" s="78"/>
      <c r="H355" s="78"/>
      <c r="I355" s="78"/>
      <c r="J355" s="78"/>
      <c r="K355" s="78"/>
      <c r="L355" s="78"/>
      <c r="M355" s="78"/>
      <c r="N355" s="78"/>
      <c r="O355" s="78"/>
      <c r="P355" s="78"/>
      <c r="Q355" s="78"/>
      <c r="R355" s="78"/>
      <c r="S355" s="78"/>
      <c r="T355" s="78"/>
      <c r="U355" s="78"/>
      <c r="V355" s="78"/>
      <c r="W355" s="78"/>
      <c r="X355" s="78"/>
      <c r="Y355" s="78"/>
    </row>
    <row r="356" spans="1:25" x14ac:dyDescent="0.25">
      <c r="A356" s="112" t="s">
        <v>682</v>
      </c>
      <c r="B356" s="78"/>
      <c r="C356" s="114"/>
      <c r="D356" s="78"/>
      <c r="E356" s="78"/>
      <c r="F356" s="78"/>
      <c r="G356" s="78"/>
      <c r="H356" s="78"/>
      <c r="I356" s="78"/>
      <c r="J356" s="78"/>
      <c r="K356" s="78"/>
      <c r="L356" s="78"/>
      <c r="M356" s="78"/>
      <c r="N356" s="78"/>
      <c r="O356" s="78"/>
      <c r="P356" s="78"/>
      <c r="Q356" s="78"/>
      <c r="R356" s="78"/>
      <c r="S356" s="78"/>
      <c r="T356" s="78"/>
      <c r="U356" s="78"/>
      <c r="V356" s="78"/>
      <c r="W356" s="78"/>
      <c r="X356" s="78"/>
      <c r="Y356" s="78"/>
    </row>
    <row r="357" spans="1:25" x14ac:dyDescent="0.25">
      <c r="A357" s="112" t="s">
        <v>682</v>
      </c>
      <c r="B357" s="78"/>
      <c r="C357" s="114"/>
      <c r="D357" s="78"/>
      <c r="E357" s="78"/>
      <c r="F357" s="78"/>
      <c r="G357" s="78"/>
      <c r="H357" s="78"/>
      <c r="I357" s="78"/>
      <c r="J357" s="78"/>
      <c r="K357" s="78"/>
      <c r="L357" s="78"/>
      <c r="M357" s="78"/>
      <c r="N357" s="78"/>
      <c r="O357" s="78"/>
      <c r="P357" s="78"/>
      <c r="Q357" s="78"/>
      <c r="R357" s="78"/>
      <c r="S357" s="78"/>
      <c r="T357" s="78"/>
      <c r="U357" s="78"/>
      <c r="V357" s="78"/>
      <c r="W357" s="78"/>
      <c r="X357" s="78"/>
      <c r="Y357" s="78"/>
    </row>
    <row r="358" spans="1:25" x14ac:dyDescent="0.25">
      <c r="A358" s="112" t="s">
        <v>682</v>
      </c>
      <c r="B358" s="78"/>
      <c r="C358" s="114"/>
      <c r="D358" s="78"/>
      <c r="E358" s="78"/>
      <c r="F358" s="78"/>
      <c r="G358" s="78"/>
      <c r="H358" s="78"/>
      <c r="I358" s="78"/>
      <c r="J358" s="78"/>
      <c r="K358" s="78"/>
      <c r="L358" s="78"/>
      <c r="M358" s="78"/>
      <c r="N358" s="78"/>
      <c r="O358" s="78"/>
      <c r="P358" s="78"/>
      <c r="Q358" s="78"/>
      <c r="R358" s="78"/>
      <c r="S358" s="78"/>
      <c r="T358" s="78"/>
      <c r="U358" s="78"/>
      <c r="V358" s="78"/>
      <c r="W358" s="78"/>
      <c r="X358" s="78"/>
      <c r="Y358" s="78"/>
    </row>
    <row r="359" spans="1:25" x14ac:dyDescent="0.25">
      <c r="A359" s="112" t="s">
        <v>682</v>
      </c>
      <c r="B359" s="78"/>
      <c r="C359" s="114"/>
      <c r="D359" s="78"/>
      <c r="E359" s="78"/>
      <c r="F359" s="78"/>
      <c r="G359" s="78"/>
      <c r="H359" s="78"/>
      <c r="I359" s="78"/>
      <c r="J359" s="78"/>
      <c r="K359" s="78"/>
      <c r="L359" s="78"/>
      <c r="M359" s="78"/>
      <c r="N359" s="78"/>
      <c r="O359" s="78"/>
      <c r="P359" s="78"/>
      <c r="Q359" s="78"/>
      <c r="R359" s="78"/>
      <c r="S359" s="78"/>
      <c r="T359" s="78"/>
      <c r="U359" s="78"/>
      <c r="V359" s="78"/>
      <c r="W359" s="78"/>
      <c r="X359" s="78"/>
      <c r="Y359" s="78"/>
    </row>
    <row r="360" spans="1:25" x14ac:dyDescent="0.25">
      <c r="A360" s="112" t="s">
        <v>682</v>
      </c>
      <c r="B360" s="78"/>
      <c r="C360" s="114"/>
      <c r="D360" s="78"/>
      <c r="E360" s="78"/>
      <c r="F360" s="78"/>
      <c r="G360" s="78"/>
      <c r="H360" s="78"/>
      <c r="I360" s="78"/>
      <c r="J360" s="78"/>
      <c r="K360" s="78"/>
      <c r="L360" s="78"/>
      <c r="M360" s="78"/>
      <c r="N360" s="78"/>
      <c r="O360" s="78"/>
      <c r="P360" s="78"/>
      <c r="Q360" s="78"/>
      <c r="R360" s="78"/>
      <c r="S360" s="78"/>
      <c r="T360" s="78"/>
      <c r="U360" s="78"/>
      <c r="V360" s="78"/>
      <c r="W360" s="78"/>
      <c r="X360" s="78"/>
      <c r="Y360" s="78"/>
    </row>
    <row r="361" spans="1:25" x14ac:dyDescent="0.25">
      <c r="A361" s="112" t="s">
        <v>682</v>
      </c>
      <c r="B361" s="78"/>
      <c r="C361" s="114"/>
      <c r="D361" s="78"/>
      <c r="E361" s="78"/>
      <c r="F361" s="78"/>
      <c r="G361" s="78"/>
      <c r="H361" s="78"/>
      <c r="I361" s="78"/>
      <c r="J361" s="78"/>
      <c r="K361" s="78"/>
      <c r="L361" s="78"/>
      <c r="M361" s="78"/>
      <c r="N361" s="78"/>
      <c r="O361" s="78"/>
      <c r="P361" s="78"/>
      <c r="Q361" s="78"/>
      <c r="R361" s="78"/>
      <c r="S361" s="78"/>
      <c r="T361" s="78"/>
      <c r="U361" s="78"/>
      <c r="V361" s="78"/>
      <c r="W361" s="78"/>
      <c r="X361" s="78"/>
      <c r="Y361" s="78"/>
    </row>
    <row r="362" spans="1:25" x14ac:dyDescent="0.25">
      <c r="A362" s="112" t="s">
        <v>682</v>
      </c>
      <c r="B362" s="78"/>
      <c r="C362" s="114"/>
      <c r="D362" s="78"/>
      <c r="E362" s="78"/>
      <c r="F362" s="78"/>
      <c r="G362" s="78"/>
      <c r="H362" s="78"/>
      <c r="I362" s="78"/>
      <c r="J362" s="78"/>
      <c r="K362" s="78"/>
      <c r="L362" s="78"/>
      <c r="M362" s="78"/>
      <c r="N362" s="78"/>
      <c r="O362" s="78"/>
      <c r="P362" s="78"/>
      <c r="Q362" s="78"/>
      <c r="R362" s="78"/>
      <c r="S362" s="78"/>
      <c r="T362" s="78"/>
      <c r="U362" s="78"/>
      <c r="V362" s="78"/>
      <c r="W362" s="78"/>
      <c r="X362" s="78"/>
      <c r="Y362" s="78"/>
    </row>
    <row r="363" spans="1:25" x14ac:dyDescent="0.25">
      <c r="A363" s="112" t="s">
        <v>682</v>
      </c>
      <c r="B363" s="78"/>
      <c r="C363" s="114"/>
      <c r="D363" s="78"/>
      <c r="E363" s="78"/>
      <c r="F363" s="78"/>
      <c r="G363" s="78"/>
      <c r="H363" s="78"/>
      <c r="I363" s="78"/>
      <c r="J363" s="78"/>
      <c r="K363" s="78"/>
      <c r="L363" s="78"/>
      <c r="M363" s="78"/>
      <c r="N363" s="78"/>
      <c r="O363" s="78"/>
      <c r="P363" s="78"/>
      <c r="Q363" s="78"/>
      <c r="R363" s="78"/>
      <c r="S363" s="78"/>
      <c r="T363" s="78"/>
      <c r="U363" s="78"/>
      <c r="V363" s="78"/>
      <c r="W363" s="78"/>
      <c r="X363" s="78"/>
      <c r="Y363" s="78"/>
    </row>
    <row r="364" spans="1:25" x14ac:dyDescent="0.25">
      <c r="A364" s="112" t="s">
        <v>682</v>
      </c>
      <c r="B364" s="78"/>
      <c r="C364" s="114"/>
      <c r="D364" s="78"/>
      <c r="E364" s="78"/>
      <c r="F364" s="78"/>
      <c r="G364" s="78"/>
      <c r="H364" s="78"/>
      <c r="I364" s="78"/>
      <c r="J364" s="78"/>
      <c r="K364" s="78"/>
      <c r="L364" s="78"/>
      <c r="M364" s="78"/>
      <c r="N364" s="78"/>
      <c r="O364" s="78"/>
      <c r="P364" s="78"/>
      <c r="Q364" s="78"/>
      <c r="R364" s="78"/>
      <c r="S364" s="78"/>
      <c r="T364" s="78"/>
      <c r="U364" s="78"/>
      <c r="V364" s="78"/>
      <c r="W364" s="78"/>
      <c r="X364" s="78"/>
      <c r="Y364" s="78"/>
    </row>
    <row r="365" spans="1:25" x14ac:dyDescent="0.25">
      <c r="A365" s="112" t="s">
        <v>682</v>
      </c>
      <c r="B365" s="78"/>
      <c r="C365" s="114"/>
      <c r="D365" s="78"/>
      <c r="E365" s="78"/>
      <c r="F365" s="78"/>
      <c r="G365" s="78"/>
      <c r="H365" s="78"/>
      <c r="I365" s="78"/>
      <c r="J365" s="78"/>
      <c r="K365" s="78"/>
      <c r="L365" s="78"/>
      <c r="M365" s="78"/>
      <c r="N365" s="78"/>
      <c r="O365" s="78"/>
      <c r="P365" s="78"/>
      <c r="Q365" s="78"/>
      <c r="R365" s="78"/>
      <c r="S365" s="78"/>
      <c r="T365" s="78"/>
      <c r="U365" s="78"/>
      <c r="V365" s="78"/>
      <c r="W365" s="78"/>
      <c r="X365" s="78"/>
      <c r="Y365" s="78"/>
    </row>
    <row r="366" spans="1:25" x14ac:dyDescent="0.25">
      <c r="A366" s="112" t="s">
        <v>682</v>
      </c>
      <c r="B366" s="78"/>
      <c r="C366" s="114"/>
      <c r="D366" s="78"/>
      <c r="E366" s="78"/>
      <c r="F366" s="78"/>
      <c r="G366" s="78"/>
      <c r="H366" s="78"/>
      <c r="I366" s="78"/>
      <c r="J366" s="78"/>
      <c r="K366" s="78"/>
      <c r="L366" s="78"/>
      <c r="M366" s="78"/>
      <c r="N366" s="78"/>
      <c r="O366" s="78"/>
      <c r="P366" s="78"/>
      <c r="Q366" s="78"/>
      <c r="R366" s="78"/>
      <c r="S366" s="78"/>
      <c r="T366" s="78"/>
      <c r="U366" s="78"/>
      <c r="V366" s="78"/>
      <c r="W366" s="78"/>
      <c r="X366" s="78"/>
      <c r="Y366" s="78"/>
    </row>
    <row r="367" spans="1:25" x14ac:dyDescent="0.25">
      <c r="A367" s="112" t="s">
        <v>682</v>
      </c>
      <c r="B367" s="78"/>
      <c r="C367" s="114"/>
      <c r="D367" s="78"/>
      <c r="E367" s="78"/>
      <c r="F367" s="78"/>
      <c r="G367" s="78"/>
      <c r="H367" s="78"/>
      <c r="I367" s="78"/>
      <c r="J367" s="78"/>
      <c r="K367" s="78"/>
      <c r="L367" s="78"/>
      <c r="M367" s="78"/>
      <c r="N367" s="78"/>
      <c r="O367" s="78"/>
      <c r="P367" s="78"/>
      <c r="Q367" s="78"/>
      <c r="R367" s="78"/>
      <c r="S367" s="78"/>
      <c r="T367" s="78"/>
      <c r="U367" s="78"/>
      <c r="V367" s="78"/>
      <c r="W367" s="78"/>
      <c r="X367" s="78"/>
      <c r="Y367" s="78"/>
    </row>
    <row r="368" spans="1:25" x14ac:dyDescent="0.25">
      <c r="A368" s="112" t="s">
        <v>682</v>
      </c>
      <c r="B368" s="78"/>
      <c r="C368" s="114"/>
      <c r="D368" s="78"/>
      <c r="E368" s="78"/>
      <c r="F368" s="78"/>
      <c r="G368" s="78"/>
      <c r="H368" s="78"/>
      <c r="I368" s="78"/>
      <c r="J368" s="78"/>
      <c r="K368" s="78"/>
      <c r="L368" s="78"/>
      <c r="M368" s="78"/>
      <c r="N368" s="78"/>
      <c r="O368" s="78"/>
      <c r="P368" s="78"/>
      <c r="Q368" s="78"/>
      <c r="R368" s="78"/>
      <c r="S368" s="78"/>
      <c r="T368" s="78"/>
      <c r="U368" s="78"/>
      <c r="V368" s="78"/>
      <c r="W368" s="78"/>
      <c r="X368" s="78"/>
      <c r="Y368" s="78"/>
    </row>
    <row r="369" spans="1:25" x14ac:dyDescent="0.25">
      <c r="A369" s="112" t="s">
        <v>682</v>
      </c>
      <c r="B369" s="78"/>
      <c r="C369" s="114"/>
      <c r="D369" s="78"/>
      <c r="E369" s="78"/>
      <c r="F369" s="78"/>
      <c r="G369" s="78"/>
      <c r="H369" s="78"/>
      <c r="I369" s="78"/>
      <c r="J369" s="78"/>
      <c r="K369" s="78"/>
      <c r="L369" s="78"/>
      <c r="M369" s="78"/>
      <c r="N369" s="78"/>
      <c r="O369" s="78"/>
      <c r="P369" s="78"/>
      <c r="Q369" s="78"/>
      <c r="R369" s="78"/>
      <c r="S369" s="78"/>
      <c r="T369" s="78"/>
      <c r="U369" s="78"/>
      <c r="V369" s="78"/>
      <c r="W369" s="78"/>
      <c r="X369" s="78"/>
      <c r="Y369" s="78"/>
    </row>
    <row r="370" spans="1:25" x14ac:dyDescent="0.25">
      <c r="A370" s="112" t="s">
        <v>682</v>
      </c>
      <c r="B370" s="78"/>
      <c r="C370" s="114"/>
      <c r="D370" s="78"/>
      <c r="E370" s="78"/>
      <c r="F370" s="78"/>
      <c r="G370" s="78"/>
      <c r="H370" s="78"/>
      <c r="I370" s="78"/>
      <c r="J370" s="78"/>
      <c r="K370" s="78"/>
      <c r="L370" s="78"/>
      <c r="M370" s="78"/>
      <c r="N370" s="78"/>
      <c r="O370" s="78"/>
      <c r="P370" s="78"/>
      <c r="Q370" s="78"/>
      <c r="R370" s="78"/>
      <c r="S370" s="78"/>
      <c r="T370" s="78"/>
      <c r="U370" s="78"/>
      <c r="V370" s="78"/>
      <c r="W370" s="78"/>
      <c r="X370" s="78"/>
      <c r="Y370" s="78"/>
    </row>
    <row r="371" spans="1:25" x14ac:dyDescent="0.25">
      <c r="A371" s="112" t="s">
        <v>682</v>
      </c>
      <c r="B371" s="78"/>
      <c r="C371" s="114"/>
      <c r="D371" s="78"/>
      <c r="E371" s="78"/>
      <c r="F371" s="78"/>
      <c r="G371" s="78"/>
      <c r="H371" s="78"/>
      <c r="I371" s="78"/>
      <c r="J371" s="78"/>
      <c r="K371" s="78"/>
      <c r="L371" s="78"/>
      <c r="M371" s="78"/>
      <c r="N371" s="78"/>
      <c r="O371" s="78"/>
      <c r="P371" s="78"/>
      <c r="Q371" s="78"/>
      <c r="R371" s="78"/>
      <c r="S371" s="78"/>
      <c r="T371" s="78"/>
      <c r="U371" s="78"/>
      <c r="V371" s="78"/>
      <c r="W371" s="78"/>
      <c r="X371" s="78"/>
      <c r="Y371" s="78"/>
    </row>
    <row r="372" spans="1:25" x14ac:dyDescent="0.25">
      <c r="A372" s="112" t="s">
        <v>682</v>
      </c>
      <c r="B372" s="78"/>
      <c r="C372" s="114"/>
      <c r="D372" s="78"/>
      <c r="E372" s="78"/>
      <c r="F372" s="78"/>
      <c r="G372" s="78"/>
      <c r="H372" s="78"/>
      <c r="I372" s="78"/>
      <c r="J372" s="78"/>
      <c r="K372" s="78"/>
      <c r="L372" s="78"/>
      <c r="M372" s="78"/>
      <c r="N372" s="78"/>
      <c r="O372" s="78"/>
      <c r="P372" s="78"/>
      <c r="Q372" s="78"/>
      <c r="R372" s="78"/>
      <c r="S372" s="78"/>
      <c r="T372" s="78"/>
      <c r="U372" s="78"/>
      <c r="V372" s="78"/>
      <c r="W372" s="78"/>
      <c r="X372" s="78"/>
      <c r="Y372" s="78"/>
    </row>
    <row r="373" spans="1:25" x14ac:dyDescent="0.25">
      <c r="A373" s="112" t="s">
        <v>682</v>
      </c>
      <c r="B373" s="78"/>
      <c r="C373" s="114"/>
      <c r="D373" s="78"/>
      <c r="E373" s="78"/>
      <c r="F373" s="78"/>
      <c r="G373" s="78"/>
      <c r="H373" s="78"/>
      <c r="I373" s="78"/>
      <c r="J373" s="78"/>
      <c r="K373" s="78"/>
      <c r="L373" s="78"/>
      <c r="M373" s="78"/>
      <c r="N373" s="78"/>
      <c r="O373" s="78"/>
      <c r="P373" s="78"/>
      <c r="Q373" s="78"/>
      <c r="R373" s="78"/>
      <c r="S373" s="78"/>
      <c r="T373" s="78"/>
      <c r="U373" s="78"/>
      <c r="V373" s="78"/>
      <c r="W373" s="78"/>
      <c r="X373" s="78"/>
      <c r="Y373" s="78"/>
    </row>
    <row r="374" spans="1:25" x14ac:dyDescent="0.25">
      <c r="A374" s="112" t="s">
        <v>682</v>
      </c>
      <c r="B374" s="78"/>
      <c r="C374" s="114"/>
      <c r="D374" s="78"/>
      <c r="E374" s="78"/>
      <c r="F374" s="78"/>
      <c r="G374" s="78"/>
      <c r="H374" s="78"/>
      <c r="I374" s="78"/>
      <c r="J374" s="78"/>
      <c r="K374" s="78"/>
      <c r="L374" s="78"/>
      <c r="M374" s="78"/>
      <c r="N374" s="78"/>
      <c r="O374" s="78"/>
      <c r="P374" s="78"/>
      <c r="Q374" s="78"/>
      <c r="R374" s="78"/>
      <c r="S374" s="78"/>
      <c r="T374" s="78"/>
      <c r="U374" s="78"/>
      <c r="V374" s="78"/>
      <c r="W374" s="78"/>
      <c r="X374" s="78"/>
      <c r="Y374" s="78"/>
    </row>
    <row r="375" spans="1:25" x14ac:dyDescent="0.25">
      <c r="A375" s="112" t="s">
        <v>682</v>
      </c>
      <c r="B375" s="78"/>
      <c r="C375" s="114"/>
      <c r="D375" s="78"/>
      <c r="E375" s="78"/>
      <c r="F375" s="78"/>
      <c r="G375" s="78"/>
      <c r="H375" s="78"/>
      <c r="I375" s="78"/>
      <c r="J375" s="78"/>
      <c r="K375" s="78"/>
      <c r="L375" s="78"/>
      <c r="M375" s="78"/>
      <c r="N375" s="78"/>
      <c r="O375" s="78"/>
      <c r="P375" s="78"/>
      <c r="Q375" s="78"/>
      <c r="R375" s="78"/>
      <c r="S375" s="78"/>
      <c r="T375" s="78"/>
      <c r="U375" s="78"/>
      <c r="V375" s="78"/>
      <c r="W375" s="78"/>
      <c r="X375" s="78"/>
      <c r="Y375" s="78"/>
    </row>
    <row r="376" spans="1:25" x14ac:dyDescent="0.25">
      <c r="A376" s="112" t="s">
        <v>682</v>
      </c>
      <c r="B376" s="78"/>
      <c r="C376" s="114"/>
      <c r="D376" s="78"/>
      <c r="E376" s="78"/>
      <c r="F376" s="78"/>
      <c r="G376" s="78"/>
      <c r="H376" s="78"/>
      <c r="I376" s="78"/>
      <c r="J376" s="78"/>
      <c r="K376" s="78"/>
      <c r="L376" s="78"/>
      <c r="M376" s="78"/>
      <c r="N376" s="78"/>
      <c r="O376" s="78"/>
      <c r="P376" s="78"/>
      <c r="Q376" s="78"/>
      <c r="R376" s="78"/>
      <c r="S376" s="78"/>
      <c r="T376" s="78"/>
      <c r="U376" s="78"/>
      <c r="V376" s="78"/>
      <c r="W376" s="78"/>
      <c r="X376" s="78"/>
      <c r="Y376" s="78"/>
    </row>
    <row r="377" spans="1:25" x14ac:dyDescent="0.25">
      <c r="A377" s="112" t="s">
        <v>682</v>
      </c>
      <c r="B377" s="78"/>
      <c r="C377" s="114"/>
      <c r="D377" s="78"/>
      <c r="E377" s="78"/>
      <c r="F377" s="78"/>
      <c r="G377" s="78"/>
      <c r="H377" s="78"/>
      <c r="I377" s="78"/>
      <c r="J377" s="78"/>
      <c r="K377" s="78"/>
      <c r="L377" s="78"/>
      <c r="M377" s="78"/>
      <c r="N377" s="78"/>
      <c r="O377" s="78"/>
      <c r="P377" s="78"/>
      <c r="Q377" s="78"/>
      <c r="R377" s="78"/>
      <c r="S377" s="78"/>
      <c r="T377" s="78"/>
      <c r="U377" s="78"/>
      <c r="V377" s="78"/>
      <c r="W377" s="78"/>
      <c r="X377" s="78"/>
      <c r="Y377" s="78"/>
    </row>
    <row r="378" spans="1:25" x14ac:dyDescent="0.25">
      <c r="A378" s="112" t="s">
        <v>682</v>
      </c>
      <c r="B378" s="78"/>
      <c r="C378" s="114"/>
      <c r="D378" s="78"/>
      <c r="E378" s="78"/>
      <c r="F378" s="78"/>
      <c r="G378" s="78"/>
      <c r="H378" s="78"/>
      <c r="I378" s="78"/>
      <c r="J378" s="78"/>
      <c r="K378" s="78"/>
      <c r="L378" s="78"/>
      <c r="M378" s="78"/>
      <c r="N378" s="78"/>
      <c r="O378" s="78"/>
      <c r="P378" s="78"/>
      <c r="Q378" s="78"/>
      <c r="R378" s="78"/>
      <c r="S378" s="78"/>
      <c r="T378" s="78"/>
      <c r="U378" s="78"/>
      <c r="V378" s="78"/>
      <c r="W378" s="78"/>
      <c r="X378" s="78"/>
      <c r="Y378" s="78"/>
    </row>
    <row r="379" spans="1:25" x14ac:dyDescent="0.25">
      <c r="A379" s="112" t="s">
        <v>682</v>
      </c>
      <c r="B379" s="78"/>
      <c r="C379" s="114"/>
      <c r="D379" s="78"/>
      <c r="E379" s="78"/>
      <c r="F379" s="78"/>
      <c r="G379" s="78"/>
      <c r="H379" s="78"/>
      <c r="I379" s="78"/>
      <c r="J379" s="78"/>
      <c r="K379" s="78"/>
      <c r="L379" s="78"/>
      <c r="M379" s="78"/>
      <c r="N379" s="78"/>
      <c r="O379" s="78"/>
      <c r="P379" s="78"/>
      <c r="Q379" s="78"/>
      <c r="R379" s="78"/>
      <c r="S379" s="78"/>
      <c r="T379" s="78"/>
      <c r="U379" s="78"/>
      <c r="V379" s="78"/>
      <c r="W379" s="78"/>
      <c r="X379" s="78"/>
      <c r="Y379" s="78"/>
    </row>
    <row r="380" spans="1:25" x14ac:dyDescent="0.25">
      <c r="A380" s="112" t="s">
        <v>682</v>
      </c>
      <c r="B380" s="78"/>
      <c r="C380" s="114"/>
      <c r="D380" s="78"/>
      <c r="E380" s="78"/>
      <c r="F380" s="78"/>
      <c r="G380" s="78"/>
      <c r="H380" s="78"/>
      <c r="I380" s="78"/>
      <c r="J380" s="78"/>
      <c r="K380" s="78"/>
      <c r="L380" s="78"/>
      <c r="M380" s="78"/>
      <c r="N380" s="78"/>
      <c r="O380" s="78"/>
      <c r="P380" s="78"/>
      <c r="Q380" s="78"/>
      <c r="R380" s="78"/>
      <c r="S380" s="78"/>
      <c r="T380" s="78"/>
      <c r="U380" s="78"/>
      <c r="V380" s="78"/>
      <c r="W380" s="78"/>
      <c r="X380" s="78"/>
      <c r="Y380" s="78"/>
    </row>
    <row r="381" spans="1:25" x14ac:dyDescent="0.25">
      <c r="A381" s="112" t="s">
        <v>682</v>
      </c>
      <c r="B381" s="78"/>
      <c r="C381" s="114"/>
      <c r="D381" s="78"/>
      <c r="E381" s="78"/>
      <c r="F381" s="78"/>
      <c r="G381" s="78"/>
      <c r="H381" s="78"/>
      <c r="I381" s="78"/>
      <c r="J381" s="78"/>
      <c r="K381" s="78"/>
      <c r="L381" s="78"/>
      <c r="M381" s="78"/>
      <c r="N381" s="78"/>
      <c r="O381" s="78"/>
      <c r="P381" s="78"/>
      <c r="Q381" s="78"/>
      <c r="R381" s="78"/>
      <c r="S381" s="78"/>
      <c r="T381" s="78"/>
      <c r="U381" s="78"/>
      <c r="V381" s="78"/>
      <c r="W381" s="78"/>
      <c r="X381" s="78"/>
      <c r="Y381" s="78"/>
    </row>
    <row r="382" spans="1:25" x14ac:dyDescent="0.25">
      <c r="A382" s="112" t="s">
        <v>682</v>
      </c>
      <c r="B382" s="78"/>
      <c r="C382" s="114"/>
      <c r="D382" s="78"/>
      <c r="E382" s="78"/>
      <c r="F382" s="78"/>
      <c r="G382" s="78"/>
      <c r="H382" s="78"/>
      <c r="I382" s="78"/>
      <c r="J382" s="78"/>
      <c r="K382" s="78"/>
      <c r="L382" s="78"/>
      <c r="M382" s="78"/>
      <c r="N382" s="78"/>
      <c r="O382" s="78"/>
      <c r="P382" s="78"/>
      <c r="Q382" s="78"/>
      <c r="R382" s="78"/>
      <c r="S382" s="78"/>
      <c r="T382" s="78"/>
      <c r="U382" s="78"/>
      <c r="V382" s="78"/>
      <c r="W382" s="78"/>
      <c r="X382" s="78"/>
      <c r="Y382" s="78"/>
    </row>
    <row r="383" spans="1:25" x14ac:dyDescent="0.25">
      <c r="A383" s="112" t="s">
        <v>682</v>
      </c>
      <c r="B383" s="78"/>
      <c r="C383" s="114"/>
      <c r="D383" s="78"/>
      <c r="E383" s="78"/>
      <c r="F383" s="78"/>
      <c r="G383" s="78"/>
      <c r="H383" s="78"/>
      <c r="I383" s="78"/>
      <c r="J383" s="78"/>
      <c r="K383" s="78"/>
      <c r="L383" s="78"/>
      <c r="M383" s="78"/>
      <c r="N383" s="78"/>
      <c r="O383" s="78"/>
      <c r="P383" s="78"/>
      <c r="Q383" s="78"/>
      <c r="R383" s="78"/>
      <c r="S383" s="78"/>
      <c r="T383" s="78"/>
      <c r="U383" s="78"/>
      <c r="V383" s="78"/>
      <c r="W383" s="78"/>
      <c r="X383" s="78"/>
      <c r="Y383" s="78"/>
    </row>
    <row r="384" spans="1:25" x14ac:dyDescent="0.25">
      <c r="A384" s="112" t="s">
        <v>682</v>
      </c>
      <c r="B384" s="78"/>
      <c r="C384" s="114"/>
      <c r="D384" s="78"/>
      <c r="E384" s="78"/>
      <c r="F384" s="78"/>
      <c r="G384" s="78"/>
      <c r="H384" s="78"/>
      <c r="I384" s="78"/>
      <c r="J384" s="78"/>
      <c r="K384" s="78"/>
      <c r="L384" s="78"/>
      <c r="M384" s="78"/>
      <c r="N384" s="78"/>
      <c r="O384" s="78"/>
      <c r="P384" s="78"/>
      <c r="Q384" s="78"/>
      <c r="R384" s="78"/>
      <c r="S384" s="78"/>
      <c r="T384" s="78"/>
      <c r="U384" s="78"/>
      <c r="V384" s="78"/>
      <c r="W384" s="78"/>
      <c r="X384" s="78"/>
      <c r="Y384" s="78"/>
    </row>
    <row r="385" spans="1:25" x14ac:dyDescent="0.25">
      <c r="A385" s="112" t="s">
        <v>682</v>
      </c>
      <c r="B385" s="78"/>
      <c r="C385" s="114"/>
      <c r="D385" s="78"/>
      <c r="E385" s="78"/>
      <c r="F385" s="78"/>
      <c r="G385" s="78"/>
      <c r="H385" s="78"/>
      <c r="I385" s="78"/>
      <c r="J385" s="78"/>
      <c r="K385" s="78"/>
      <c r="L385" s="78"/>
      <c r="M385" s="78"/>
      <c r="N385" s="78"/>
      <c r="O385" s="78"/>
      <c r="P385" s="78"/>
      <c r="Q385" s="78"/>
      <c r="R385" s="78"/>
      <c r="S385" s="78"/>
      <c r="T385" s="78"/>
      <c r="U385" s="78"/>
      <c r="V385" s="78"/>
      <c r="W385" s="78"/>
      <c r="X385" s="78"/>
      <c r="Y385" s="78"/>
    </row>
    <row r="386" spans="1:25" x14ac:dyDescent="0.25">
      <c r="A386" s="112" t="s">
        <v>682</v>
      </c>
      <c r="B386" s="78"/>
      <c r="C386" s="114"/>
      <c r="D386" s="78"/>
      <c r="E386" s="78"/>
      <c r="F386" s="78"/>
      <c r="G386" s="78"/>
      <c r="H386" s="78"/>
      <c r="I386" s="78"/>
      <c r="J386" s="78"/>
      <c r="K386" s="78"/>
      <c r="L386" s="78"/>
      <c r="M386" s="78"/>
      <c r="N386" s="78"/>
      <c r="O386" s="78"/>
      <c r="P386" s="78"/>
      <c r="Q386" s="78"/>
      <c r="R386" s="78"/>
      <c r="S386" s="78"/>
      <c r="T386" s="78"/>
      <c r="U386" s="78"/>
      <c r="V386" s="78"/>
      <c r="W386" s="78"/>
      <c r="X386" s="78"/>
      <c r="Y386" s="78"/>
    </row>
    <row r="387" spans="1:25" x14ac:dyDescent="0.25">
      <c r="A387" s="112" t="s">
        <v>682</v>
      </c>
      <c r="B387" s="78"/>
      <c r="C387" s="114"/>
      <c r="D387" s="78"/>
      <c r="E387" s="78"/>
      <c r="F387" s="78"/>
      <c r="G387" s="78"/>
      <c r="H387" s="78"/>
      <c r="I387" s="78"/>
      <c r="J387" s="78"/>
      <c r="K387" s="78"/>
      <c r="L387" s="78"/>
      <c r="M387" s="78"/>
      <c r="N387" s="78"/>
      <c r="O387" s="78"/>
      <c r="P387" s="78"/>
      <c r="Q387" s="78"/>
      <c r="R387" s="78"/>
      <c r="S387" s="78"/>
      <c r="T387" s="78"/>
      <c r="U387" s="78"/>
      <c r="V387" s="78"/>
      <c r="W387" s="78"/>
      <c r="X387" s="78"/>
      <c r="Y387" s="78"/>
    </row>
    <row r="388" spans="1:25" x14ac:dyDescent="0.25">
      <c r="A388" s="112" t="s">
        <v>682</v>
      </c>
      <c r="B388" s="78"/>
      <c r="C388" s="114"/>
      <c r="D388" s="78"/>
      <c r="E388" s="78"/>
      <c r="F388" s="78"/>
      <c r="G388" s="78"/>
      <c r="H388" s="78"/>
      <c r="I388" s="78"/>
      <c r="J388" s="78"/>
      <c r="K388" s="78"/>
      <c r="L388" s="78"/>
      <c r="M388" s="78"/>
      <c r="N388" s="78"/>
      <c r="O388" s="78"/>
      <c r="P388" s="78"/>
      <c r="Q388" s="78"/>
      <c r="R388" s="78"/>
      <c r="S388" s="78"/>
      <c r="T388" s="78"/>
      <c r="U388" s="78"/>
      <c r="V388" s="78"/>
      <c r="W388" s="78"/>
      <c r="X388" s="78"/>
      <c r="Y388" s="78"/>
    </row>
    <row r="389" spans="1:25" x14ac:dyDescent="0.25">
      <c r="A389" s="112" t="s">
        <v>682</v>
      </c>
      <c r="B389" s="78"/>
      <c r="C389" s="114"/>
      <c r="D389" s="78"/>
      <c r="E389" s="78"/>
      <c r="F389" s="78"/>
      <c r="G389" s="78"/>
      <c r="H389" s="78"/>
      <c r="I389" s="78"/>
      <c r="J389" s="78"/>
      <c r="K389" s="78"/>
      <c r="L389" s="78"/>
      <c r="M389" s="78"/>
      <c r="N389" s="78"/>
      <c r="O389" s="78"/>
      <c r="P389" s="78"/>
      <c r="Q389" s="78"/>
      <c r="R389" s="78"/>
      <c r="S389" s="78"/>
      <c r="T389" s="78"/>
      <c r="U389" s="78"/>
      <c r="V389" s="78"/>
      <c r="W389" s="78"/>
      <c r="X389" s="78"/>
      <c r="Y389" s="78"/>
    </row>
    <row r="390" spans="1:25" x14ac:dyDescent="0.25">
      <c r="A390" s="112" t="s">
        <v>682</v>
      </c>
      <c r="B390" s="78"/>
      <c r="C390" s="114"/>
      <c r="D390" s="78"/>
      <c r="E390" s="78"/>
      <c r="F390" s="78"/>
      <c r="G390" s="78"/>
      <c r="H390" s="78"/>
      <c r="I390" s="78"/>
      <c r="J390" s="78"/>
      <c r="K390" s="78"/>
      <c r="L390" s="78"/>
      <c r="M390" s="78"/>
      <c r="N390" s="78"/>
      <c r="O390" s="78"/>
      <c r="P390" s="78"/>
      <c r="Q390" s="78"/>
      <c r="R390" s="78"/>
      <c r="S390" s="78"/>
      <c r="T390" s="78"/>
      <c r="U390" s="78"/>
      <c r="V390" s="78"/>
      <c r="W390" s="78"/>
      <c r="X390" s="78"/>
      <c r="Y390" s="78"/>
    </row>
    <row r="391" spans="1:25" x14ac:dyDescent="0.25">
      <c r="A391" s="112" t="s">
        <v>682</v>
      </c>
      <c r="B391" s="78"/>
      <c r="C391" s="114"/>
      <c r="D391" s="78"/>
      <c r="E391" s="78"/>
      <c r="F391" s="78"/>
      <c r="G391" s="78"/>
      <c r="H391" s="78"/>
      <c r="I391" s="78"/>
      <c r="J391" s="78"/>
      <c r="K391" s="78"/>
      <c r="L391" s="78"/>
      <c r="M391" s="78"/>
      <c r="N391" s="78"/>
      <c r="O391" s="78"/>
      <c r="P391" s="78"/>
      <c r="Q391" s="78"/>
      <c r="R391" s="78"/>
      <c r="S391" s="78"/>
      <c r="T391" s="78"/>
      <c r="U391" s="78"/>
      <c r="V391" s="78"/>
      <c r="W391" s="78"/>
      <c r="X391" s="78"/>
      <c r="Y391" s="78"/>
    </row>
    <row r="392" spans="1:25" x14ac:dyDescent="0.25">
      <c r="A392" s="112" t="s">
        <v>682</v>
      </c>
      <c r="B392" s="78"/>
      <c r="C392" s="114"/>
      <c r="D392" s="78"/>
      <c r="E392" s="78"/>
      <c r="F392" s="78"/>
      <c r="G392" s="78"/>
      <c r="H392" s="78"/>
      <c r="I392" s="78"/>
      <c r="J392" s="78"/>
      <c r="K392" s="78"/>
      <c r="L392" s="78"/>
      <c r="M392" s="78"/>
      <c r="N392" s="78"/>
      <c r="O392" s="78"/>
      <c r="P392" s="78"/>
      <c r="Q392" s="78"/>
      <c r="R392" s="78"/>
      <c r="S392" s="78"/>
      <c r="T392" s="78"/>
      <c r="U392" s="78"/>
      <c r="V392" s="78"/>
      <c r="W392" s="78"/>
      <c r="X392" s="78"/>
      <c r="Y392" s="78"/>
    </row>
    <row r="393" spans="1:25" x14ac:dyDescent="0.25">
      <c r="A393" s="112" t="s">
        <v>682</v>
      </c>
      <c r="B393" s="78"/>
      <c r="C393" s="114"/>
      <c r="D393" s="78"/>
      <c r="E393" s="78"/>
      <c r="F393" s="78"/>
      <c r="G393" s="78"/>
      <c r="H393" s="78"/>
      <c r="I393" s="78"/>
      <c r="J393" s="78"/>
      <c r="K393" s="78"/>
      <c r="L393" s="78"/>
      <c r="M393" s="78"/>
      <c r="N393" s="78"/>
      <c r="O393" s="78"/>
      <c r="P393" s="78"/>
      <c r="Q393" s="78"/>
      <c r="R393" s="78"/>
      <c r="S393" s="78"/>
      <c r="T393" s="78"/>
      <c r="U393" s="78"/>
      <c r="V393" s="78"/>
      <c r="W393" s="78"/>
      <c r="X393" s="78"/>
      <c r="Y393" s="78"/>
    </row>
    <row r="394" spans="1:25" x14ac:dyDescent="0.25">
      <c r="A394" s="112" t="s">
        <v>682</v>
      </c>
      <c r="B394" s="78"/>
      <c r="C394" s="114"/>
      <c r="D394" s="78"/>
      <c r="E394" s="78"/>
      <c r="F394" s="78"/>
      <c r="G394" s="78"/>
      <c r="H394" s="78"/>
      <c r="I394" s="78"/>
      <c r="J394" s="78"/>
      <c r="K394" s="78"/>
      <c r="L394" s="78"/>
      <c r="M394" s="78"/>
      <c r="N394" s="78"/>
      <c r="O394" s="78"/>
      <c r="P394" s="78"/>
      <c r="Q394" s="78"/>
      <c r="R394" s="78"/>
      <c r="S394" s="78"/>
      <c r="T394" s="78"/>
      <c r="U394" s="78"/>
      <c r="V394" s="78"/>
      <c r="W394" s="78"/>
      <c r="X394" s="78"/>
      <c r="Y394" s="78"/>
    </row>
    <row r="395" spans="1:25" x14ac:dyDescent="0.25">
      <c r="A395" s="112" t="s">
        <v>682</v>
      </c>
      <c r="B395" s="78"/>
      <c r="C395" s="114"/>
      <c r="D395" s="78"/>
      <c r="E395" s="78"/>
      <c r="F395" s="78"/>
      <c r="G395" s="78"/>
      <c r="H395" s="78"/>
      <c r="I395" s="78"/>
      <c r="J395" s="78"/>
      <c r="K395" s="78"/>
      <c r="L395" s="78"/>
      <c r="M395" s="78"/>
      <c r="N395" s="78"/>
      <c r="O395" s="78"/>
      <c r="P395" s="78"/>
      <c r="Q395" s="78"/>
      <c r="R395" s="78"/>
      <c r="S395" s="78"/>
      <c r="T395" s="78"/>
      <c r="U395" s="78"/>
      <c r="V395" s="78"/>
      <c r="W395" s="78"/>
      <c r="X395" s="78"/>
      <c r="Y395" s="78"/>
    </row>
    <row r="396" spans="1:25" x14ac:dyDescent="0.25">
      <c r="A396" s="112" t="s">
        <v>682</v>
      </c>
      <c r="B396" s="78"/>
      <c r="C396" s="114"/>
      <c r="D396" s="78"/>
      <c r="E396" s="78"/>
      <c r="F396" s="78"/>
      <c r="G396" s="78"/>
      <c r="H396" s="78"/>
      <c r="I396" s="78"/>
      <c r="J396" s="78"/>
      <c r="K396" s="78"/>
      <c r="L396" s="78"/>
      <c r="M396" s="78"/>
      <c r="N396" s="78"/>
      <c r="O396" s="78"/>
      <c r="P396" s="78"/>
      <c r="Q396" s="78"/>
      <c r="R396" s="78"/>
      <c r="S396" s="78"/>
      <c r="T396" s="78"/>
      <c r="U396" s="78"/>
      <c r="V396" s="78"/>
      <c r="W396" s="78"/>
      <c r="X396" s="78"/>
      <c r="Y396" s="78"/>
    </row>
    <row r="397" spans="1:25" x14ac:dyDescent="0.25">
      <c r="A397" s="112" t="s">
        <v>682</v>
      </c>
      <c r="B397" s="78"/>
      <c r="C397" s="114"/>
      <c r="D397" s="78"/>
      <c r="E397" s="78"/>
      <c r="F397" s="78"/>
      <c r="G397" s="78"/>
      <c r="H397" s="78"/>
      <c r="I397" s="78"/>
      <c r="J397" s="78"/>
      <c r="K397" s="78"/>
      <c r="L397" s="78"/>
      <c r="M397" s="78"/>
      <c r="N397" s="78"/>
      <c r="O397" s="78"/>
      <c r="P397" s="78"/>
      <c r="Q397" s="78"/>
      <c r="R397" s="78"/>
      <c r="S397" s="78"/>
      <c r="T397" s="78"/>
      <c r="U397" s="78"/>
      <c r="V397" s="78"/>
      <c r="W397" s="78"/>
      <c r="X397" s="78"/>
      <c r="Y397" s="78"/>
    </row>
    <row r="398" spans="1:25" x14ac:dyDescent="0.25">
      <c r="A398" s="112" t="s">
        <v>682</v>
      </c>
      <c r="B398" s="78"/>
      <c r="C398" s="114"/>
      <c r="D398" s="78"/>
      <c r="E398" s="78"/>
      <c r="F398" s="78"/>
      <c r="G398" s="78"/>
      <c r="H398" s="78"/>
      <c r="I398" s="78"/>
      <c r="J398" s="78"/>
      <c r="K398" s="78"/>
      <c r="L398" s="78"/>
      <c r="M398" s="78"/>
      <c r="N398" s="78"/>
      <c r="O398" s="78"/>
      <c r="P398" s="78"/>
      <c r="Q398" s="78"/>
      <c r="R398" s="78"/>
      <c r="S398" s="78"/>
      <c r="T398" s="78"/>
      <c r="U398" s="78"/>
      <c r="V398" s="78"/>
      <c r="W398" s="78"/>
      <c r="X398" s="78"/>
      <c r="Y398" s="78"/>
    </row>
    <row r="399" spans="1:25" x14ac:dyDescent="0.25">
      <c r="A399" s="112" t="s">
        <v>682</v>
      </c>
      <c r="B399" s="78"/>
      <c r="C399" s="114"/>
      <c r="D399" s="78"/>
      <c r="E399" s="78"/>
      <c r="F399" s="78"/>
      <c r="G399" s="78"/>
      <c r="H399" s="78"/>
      <c r="I399" s="78"/>
      <c r="J399" s="78"/>
      <c r="K399" s="78"/>
      <c r="L399" s="78"/>
      <c r="M399" s="78"/>
      <c r="N399" s="78"/>
      <c r="O399" s="78"/>
      <c r="P399" s="78"/>
      <c r="Q399" s="78"/>
      <c r="R399" s="78"/>
      <c r="S399" s="78"/>
      <c r="T399" s="78"/>
      <c r="U399" s="78"/>
      <c r="V399" s="78"/>
      <c r="W399" s="78"/>
      <c r="X399" s="78"/>
      <c r="Y399" s="78"/>
    </row>
    <row r="400" spans="1:25" x14ac:dyDescent="0.25">
      <c r="A400" s="112" t="s">
        <v>682</v>
      </c>
      <c r="B400" s="78"/>
      <c r="C400" s="114"/>
      <c r="D400" s="78"/>
      <c r="E400" s="78"/>
      <c r="F400" s="78"/>
      <c r="G400" s="78"/>
      <c r="H400" s="78"/>
      <c r="I400" s="78"/>
      <c r="J400" s="78"/>
      <c r="K400" s="78"/>
      <c r="L400" s="78"/>
      <c r="M400" s="78"/>
      <c r="N400" s="78"/>
      <c r="O400" s="78"/>
      <c r="P400" s="78"/>
      <c r="Q400" s="78"/>
      <c r="R400" s="78"/>
      <c r="S400" s="78"/>
      <c r="T400" s="78"/>
      <c r="U400" s="78"/>
      <c r="V400" s="78"/>
      <c r="W400" s="78"/>
      <c r="X400" s="78"/>
      <c r="Y400" s="78"/>
    </row>
    <row r="401" spans="1:25" x14ac:dyDescent="0.25">
      <c r="A401" s="112" t="s">
        <v>682</v>
      </c>
      <c r="B401" s="78"/>
      <c r="C401" s="114"/>
      <c r="D401" s="78"/>
      <c r="E401" s="78"/>
      <c r="F401" s="78"/>
      <c r="G401" s="78"/>
      <c r="H401" s="78"/>
      <c r="I401" s="78"/>
      <c r="J401" s="78"/>
      <c r="K401" s="78"/>
      <c r="L401" s="78"/>
      <c r="M401" s="78"/>
      <c r="N401" s="78"/>
      <c r="O401" s="78"/>
      <c r="P401" s="78"/>
      <c r="Q401" s="78"/>
      <c r="R401" s="78"/>
      <c r="S401" s="78"/>
      <c r="T401" s="78"/>
      <c r="U401" s="78"/>
      <c r="V401" s="78"/>
      <c r="W401" s="78"/>
      <c r="X401" s="78"/>
      <c r="Y401" s="78"/>
    </row>
    <row r="402" spans="1:25" x14ac:dyDescent="0.25">
      <c r="A402" s="112" t="s">
        <v>682</v>
      </c>
      <c r="B402" s="78"/>
      <c r="C402" s="114"/>
      <c r="D402" s="78"/>
      <c r="E402" s="78"/>
      <c r="F402" s="78"/>
      <c r="G402" s="78"/>
      <c r="H402" s="78"/>
      <c r="I402" s="78"/>
      <c r="J402" s="78"/>
      <c r="K402" s="78"/>
      <c r="L402" s="78"/>
      <c r="M402" s="78"/>
      <c r="N402" s="78"/>
      <c r="O402" s="78"/>
      <c r="P402" s="78"/>
      <c r="Q402" s="78"/>
      <c r="R402" s="78"/>
      <c r="S402" s="78"/>
      <c r="T402" s="78"/>
      <c r="U402" s="78"/>
      <c r="V402" s="78"/>
      <c r="W402" s="78"/>
      <c r="X402" s="78"/>
      <c r="Y402" s="78"/>
    </row>
    <row r="403" spans="1:25" x14ac:dyDescent="0.25">
      <c r="A403" s="112" t="s">
        <v>682</v>
      </c>
      <c r="B403" s="78"/>
      <c r="C403" s="114"/>
      <c r="D403" s="78"/>
      <c r="E403" s="78"/>
      <c r="F403" s="78"/>
      <c r="G403" s="78"/>
      <c r="H403" s="78"/>
      <c r="I403" s="78"/>
      <c r="J403" s="78"/>
      <c r="K403" s="78"/>
      <c r="L403" s="78"/>
      <c r="M403" s="78"/>
      <c r="N403" s="78"/>
      <c r="O403" s="78"/>
      <c r="P403" s="78"/>
      <c r="Q403" s="78"/>
      <c r="R403" s="78"/>
      <c r="S403" s="78"/>
      <c r="T403" s="78"/>
      <c r="U403" s="78"/>
      <c r="V403" s="78"/>
      <c r="W403" s="78"/>
      <c r="X403" s="78"/>
      <c r="Y403" s="78"/>
    </row>
    <row r="404" spans="1:25" x14ac:dyDescent="0.25">
      <c r="A404" s="112" t="s">
        <v>682</v>
      </c>
      <c r="B404" s="78"/>
      <c r="C404" s="114"/>
      <c r="D404" s="78"/>
      <c r="E404" s="78"/>
      <c r="F404" s="78"/>
      <c r="G404" s="78"/>
      <c r="H404" s="78"/>
      <c r="I404" s="78"/>
      <c r="J404" s="78"/>
      <c r="K404" s="78"/>
      <c r="L404" s="78"/>
      <c r="M404" s="78"/>
      <c r="N404" s="78"/>
      <c r="O404" s="78"/>
      <c r="P404" s="78"/>
      <c r="Q404" s="78"/>
      <c r="R404" s="78"/>
      <c r="S404" s="78"/>
      <c r="T404" s="78"/>
      <c r="U404" s="78"/>
      <c r="V404" s="78"/>
      <c r="W404" s="78"/>
      <c r="X404" s="78"/>
      <c r="Y404" s="78"/>
    </row>
    <row r="405" spans="1:25" x14ac:dyDescent="0.25">
      <c r="A405" s="112" t="s">
        <v>682</v>
      </c>
      <c r="B405" s="78"/>
      <c r="C405" s="114"/>
      <c r="D405" s="78"/>
      <c r="E405" s="78"/>
      <c r="F405" s="78"/>
      <c r="G405" s="78"/>
      <c r="H405" s="78"/>
      <c r="I405" s="78"/>
      <c r="J405" s="78"/>
      <c r="K405" s="78"/>
      <c r="L405" s="78"/>
      <c r="M405" s="78"/>
      <c r="N405" s="78"/>
      <c r="O405" s="78"/>
      <c r="P405" s="78"/>
      <c r="Q405" s="78"/>
      <c r="R405" s="78"/>
      <c r="S405" s="78"/>
      <c r="T405" s="78"/>
      <c r="U405" s="78"/>
      <c r="V405" s="78"/>
      <c r="W405" s="78"/>
      <c r="X405" s="78"/>
      <c r="Y405" s="78"/>
    </row>
    <row r="406" spans="1:25" x14ac:dyDescent="0.25">
      <c r="A406" s="112" t="s">
        <v>682</v>
      </c>
      <c r="B406" s="78"/>
      <c r="C406" s="114"/>
      <c r="D406" s="78"/>
      <c r="E406" s="78"/>
      <c r="F406" s="78"/>
      <c r="G406" s="78"/>
      <c r="H406" s="78"/>
      <c r="I406" s="78"/>
      <c r="J406" s="78"/>
      <c r="K406" s="78"/>
      <c r="L406" s="78"/>
      <c r="M406" s="78"/>
      <c r="N406" s="78"/>
      <c r="O406" s="78"/>
      <c r="P406" s="78"/>
      <c r="Q406" s="78"/>
      <c r="R406" s="78"/>
      <c r="S406" s="78"/>
      <c r="T406" s="78"/>
      <c r="U406" s="78"/>
      <c r="V406" s="78"/>
      <c r="W406" s="78"/>
      <c r="X406" s="78"/>
      <c r="Y406" s="78"/>
    </row>
    <row r="407" spans="1:25" x14ac:dyDescent="0.25">
      <c r="A407" s="112" t="s">
        <v>682</v>
      </c>
      <c r="B407" s="78"/>
      <c r="C407" s="114"/>
      <c r="D407" s="78"/>
      <c r="E407" s="78"/>
      <c r="F407" s="78"/>
      <c r="G407" s="78"/>
      <c r="H407" s="78"/>
      <c r="I407" s="78"/>
      <c r="J407" s="78"/>
      <c r="K407" s="78"/>
      <c r="L407" s="78"/>
      <c r="M407" s="78"/>
      <c r="N407" s="78"/>
      <c r="O407" s="78"/>
      <c r="P407" s="78"/>
      <c r="Q407" s="78"/>
      <c r="R407" s="78"/>
      <c r="S407" s="78"/>
      <c r="T407" s="78"/>
      <c r="U407" s="78"/>
      <c r="V407" s="78"/>
      <c r="W407" s="78"/>
      <c r="X407" s="78"/>
      <c r="Y407" s="78"/>
    </row>
    <row r="408" spans="1:25" x14ac:dyDescent="0.25">
      <c r="A408" s="112" t="s">
        <v>682</v>
      </c>
      <c r="B408" s="78"/>
      <c r="C408" s="114"/>
      <c r="D408" s="78"/>
      <c r="E408" s="78"/>
      <c r="F408" s="78"/>
      <c r="G408" s="78"/>
      <c r="H408" s="78"/>
      <c r="I408" s="78"/>
      <c r="J408" s="78"/>
      <c r="K408" s="78"/>
      <c r="L408" s="78"/>
      <c r="M408" s="78"/>
      <c r="N408" s="78"/>
      <c r="O408" s="78"/>
      <c r="P408" s="78"/>
      <c r="Q408" s="78"/>
      <c r="R408" s="78"/>
      <c r="S408" s="78"/>
      <c r="T408" s="78"/>
      <c r="U408" s="78"/>
      <c r="V408" s="78"/>
      <c r="W408" s="78"/>
      <c r="X408" s="78"/>
      <c r="Y408" s="78"/>
    </row>
    <row r="409" spans="1:25" x14ac:dyDescent="0.25">
      <c r="A409" s="112" t="s">
        <v>682</v>
      </c>
      <c r="B409" s="78"/>
      <c r="C409" s="114"/>
      <c r="D409" s="78"/>
      <c r="E409" s="78"/>
      <c r="F409" s="78"/>
      <c r="G409" s="78"/>
      <c r="H409" s="78"/>
      <c r="I409" s="78"/>
      <c r="J409" s="78"/>
      <c r="K409" s="78"/>
      <c r="L409" s="78"/>
      <c r="M409" s="78"/>
      <c r="N409" s="78"/>
      <c r="O409" s="78"/>
      <c r="P409" s="78"/>
      <c r="Q409" s="78"/>
      <c r="R409" s="78"/>
      <c r="S409" s="78"/>
      <c r="T409" s="78"/>
      <c r="U409" s="78"/>
      <c r="V409" s="78"/>
      <c r="W409" s="78"/>
      <c r="X409" s="78"/>
      <c r="Y409" s="78"/>
    </row>
    <row r="410" spans="1:25" x14ac:dyDescent="0.25">
      <c r="A410" s="112" t="s">
        <v>682</v>
      </c>
      <c r="B410" s="78"/>
      <c r="C410" s="114"/>
      <c r="D410" s="78"/>
      <c r="E410" s="78"/>
      <c r="F410" s="78"/>
      <c r="G410" s="78"/>
      <c r="H410" s="78"/>
      <c r="I410" s="78"/>
      <c r="J410" s="78"/>
      <c r="K410" s="78"/>
      <c r="L410" s="78"/>
      <c r="M410" s="78"/>
      <c r="N410" s="78"/>
      <c r="O410" s="78"/>
      <c r="P410" s="78"/>
      <c r="Q410" s="78"/>
      <c r="R410" s="78"/>
      <c r="S410" s="78"/>
      <c r="T410" s="78"/>
      <c r="U410" s="78"/>
      <c r="V410" s="78"/>
      <c r="W410" s="78"/>
      <c r="X410" s="78"/>
      <c r="Y410" s="78"/>
    </row>
    <row r="411" spans="1:25" x14ac:dyDescent="0.25">
      <c r="A411" s="112" t="s">
        <v>682</v>
      </c>
      <c r="B411" s="78"/>
      <c r="C411" s="114"/>
      <c r="D411" s="78"/>
      <c r="E411" s="78"/>
      <c r="F411" s="78"/>
      <c r="G411" s="78"/>
      <c r="H411" s="78"/>
      <c r="I411" s="78"/>
      <c r="J411" s="78"/>
      <c r="K411" s="78"/>
      <c r="L411" s="78"/>
      <c r="M411" s="78"/>
      <c r="N411" s="78"/>
      <c r="O411" s="78"/>
      <c r="P411" s="78"/>
      <c r="Q411" s="78"/>
      <c r="R411" s="78"/>
      <c r="S411" s="78"/>
      <c r="T411" s="78"/>
      <c r="U411" s="78"/>
      <c r="V411" s="78"/>
      <c r="W411" s="78"/>
      <c r="X411" s="78"/>
      <c r="Y411" s="78"/>
    </row>
    <row r="412" spans="1:25" x14ac:dyDescent="0.25">
      <c r="A412" s="112" t="s">
        <v>682</v>
      </c>
      <c r="B412" s="78"/>
      <c r="C412" s="114"/>
      <c r="D412" s="78"/>
      <c r="E412" s="78"/>
      <c r="F412" s="78"/>
      <c r="G412" s="78"/>
      <c r="H412" s="78"/>
      <c r="I412" s="78"/>
      <c r="J412" s="78"/>
      <c r="K412" s="78"/>
      <c r="L412" s="78"/>
      <c r="M412" s="78"/>
      <c r="N412" s="78"/>
      <c r="O412" s="78"/>
      <c r="P412" s="78"/>
      <c r="Q412" s="78"/>
      <c r="R412" s="78"/>
      <c r="S412" s="78"/>
      <c r="T412" s="78"/>
      <c r="U412" s="78"/>
      <c r="V412" s="78"/>
      <c r="W412" s="78"/>
      <c r="X412" s="78"/>
      <c r="Y412" s="78"/>
    </row>
    <row r="413" spans="1:25" x14ac:dyDescent="0.25">
      <c r="A413" s="112" t="s">
        <v>682</v>
      </c>
      <c r="B413" s="78"/>
      <c r="C413" s="114"/>
      <c r="D413" s="78"/>
      <c r="E413" s="78"/>
      <c r="F413" s="78"/>
      <c r="G413" s="78"/>
      <c r="H413" s="78"/>
      <c r="I413" s="78"/>
      <c r="J413" s="78"/>
      <c r="K413" s="78"/>
      <c r="L413" s="78"/>
      <c r="M413" s="78"/>
      <c r="N413" s="78"/>
      <c r="O413" s="78"/>
      <c r="P413" s="78"/>
      <c r="Q413" s="78"/>
      <c r="R413" s="78"/>
      <c r="S413" s="78"/>
      <c r="T413" s="78"/>
      <c r="U413" s="78"/>
      <c r="V413" s="78"/>
      <c r="W413" s="78"/>
      <c r="X413" s="78"/>
      <c r="Y413" s="78"/>
    </row>
    <row r="414" spans="1:25" x14ac:dyDescent="0.25">
      <c r="A414" s="112" t="s">
        <v>682</v>
      </c>
      <c r="B414" s="78"/>
      <c r="C414" s="114"/>
      <c r="D414" s="78"/>
      <c r="E414" s="78"/>
      <c r="F414" s="78"/>
      <c r="G414" s="78"/>
      <c r="H414" s="78"/>
      <c r="I414" s="78"/>
      <c r="J414" s="78"/>
      <c r="K414" s="78"/>
      <c r="L414" s="78"/>
      <c r="M414" s="78"/>
      <c r="N414" s="78"/>
      <c r="O414" s="78"/>
      <c r="P414" s="78"/>
      <c r="Q414" s="78"/>
      <c r="R414" s="78"/>
      <c r="S414" s="78"/>
      <c r="T414" s="78"/>
      <c r="U414" s="78"/>
      <c r="V414" s="78"/>
      <c r="W414" s="78"/>
      <c r="X414" s="78"/>
      <c r="Y414" s="78"/>
    </row>
    <row r="415" spans="1:25" x14ac:dyDescent="0.25">
      <c r="A415" s="112" t="s">
        <v>682</v>
      </c>
      <c r="B415" s="78"/>
      <c r="C415" s="114"/>
      <c r="D415" s="78"/>
      <c r="E415" s="78"/>
      <c r="F415" s="78"/>
      <c r="G415" s="78"/>
      <c r="H415" s="78"/>
      <c r="I415" s="78"/>
      <c r="J415" s="78"/>
      <c r="K415" s="78"/>
      <c r="L415" s="78"/>
      <c r="M415" s="78"/>
      <c r="N415" s="78"/>
      <c r="O415" s="78"/>
      <c r="P415" s="78"/>
      <c r="Q415" s="78"/>
      <c r="R415" s="78"/>
      <c r="S415" s="78"/>
      <c r="T415" s="78"/>
      <c r="U415" s="78"/>
      <c r="V415" s="78"/>
      <c r="W415" s="78"/>
      <c r="X415" s="78"/>
      <c r="Y415" s="78"/>
    </row>
    <row r="416" spans="1:25" x14ac:dyDescent="0.25">
      <c r="A416" s="112" t="s">
        <v>682</v>
      </c>
      <c r="B416" s="78"/>
      <c r="C416" s="114"/>
      <c r="D416" s="78"/>
      <c r="E416" s="78"/>
      <c r="F416" s="78"/>
      <c r="G416" s="78"/>
      <c r="H416" s="78"/>
      <c r="I416" s="78"/>
      <c r="J416" s="78"/>
      <c r="K416" s="78"/>
      <c r="L416" s="78"/>
      <c r="M416" s="78"/>
      <c r="N416" s="78"/>
      <c r="O416" s="78"/>
      <c r="P416" s="78"/>
      <c r="Q416" s="78"/>
      <c r="R416" s="78"/>
      <c r="S416" s="78"/>
      <c r="T416" s="78"/>
      <c r="U416" s="78"/>
      <c r="V416" s="78"/>
      <c r="W416" s="78"/>
      <c r="X416" s="78"/>
      <c r="Y416" s="78"/>
    </row>
    <row r="417" spans="1:25" x14ac:dyDescent="0.25">
      <c r="A417" s="112" t="s">
        <v>682</v>
      </c>
      <c r="B417" s="78"/>
      <c r="C417" s="114"/>
      <c r="D417" s="78"/>
      <c r="E417" s="78"/>
      <c r="F417" s="78"/>
      <c r="G417" s="78"/>
      <c r="H417" s="78"/>
      <c r="I417" s="78"/>
      <c r="J417" s="78"/>
      <c r="K417" s="78"/>
      <c r="L417" s="78"/>
      <c r="M417" s="78"/>
      <c r="N417" s="78"/>
      <c r="O417" s="78"/>
      <c r="P417" s="78"/>
      <c r="Q417" s="78"/>
      <c r="R417" s="78"/>
      <c r="S417" s="78"/>
      <c r="T417" s="78"/>
      <c r="U417" s="78"/>
      <c r="V417" s="78"/>
      <c r="W417" s="78"/>
      <c r="X417" s="78"/>
      <c r="Y417" s="78"/>
    </row>
    <row r="418" spans="1:25" x14ac:dyDescent="0.25">
      <c r="A418" s="112" t="s">
        <v>682</v>
      </c>
      <c r="B418" s="78"/>
      <c r="C418" s="114"/>
      <c r="D418" s="78"/>
      <c r="E418" s="78"/>
      <c r="F418" s="78"/>
      <c r="G418" s="78"/>
      <c r="H418" s="78"/>
      <c r="I418" s="78"/>
      <c r="J418" s="78"/>
      <c r="K418" s="78"/>
      <c r="L418" s="78"/>
      <c r="M418" s="78"/>
      <c r="N418" s="78"/>
      <c r="O418" s="78"/>
      <c r="P418" s="78"/>
      <c r="Q418" s="78"/>
      <c r="R418" s="78"/>
      <c r="S418" s="78"/>
      <c r="T418" s="78"/>
      <c r="U418" s="78"/>
      <c r="V418" s="78"/>
      <c r="W418" s="78"/>
      <c r="X418" s="78"/>
      <c r="Y418" s="78"/>
    </row>
    <row r="419" spans="1:25" x14ac:dyDescent="0.25">
      <c r="A419" s="112" t="s">
        <v>682</v>
      </c>
      <c r="B419" s="78"/>
      <c r="C419" s="114"/>
      <c r="D419" s="78"/>
      <c r="E419" s="78"/>
      <c r="F419" s="78"/>
      <c r="G419" s="78"/>
      <c r="H419" s="78"/>
      <c r="I419" s="78"/>
      <c r="J419" s="78"/>
      <c r="K419" s="78"/>
      <c r="L419" s="78"/>
      <c r="M419" s="78"/>
      <c r="N419" s="78"/>
      <c r="O419" s="78"/>
      <c r="P419" s="78"/>
      <c r="Q419" s="78"/>
      <c r="R419" s="78"/>
      <c r="S419" s="78"/>
      <c r="T419" s="78"/>
      <c r="U419" s="78"/>
      <c r="V419" s="78"/>
      <c r="W419" s="78"/>
      <c r="X419" s="78"/>
      <c r="Y419" s="78"/>
    </row>
    <row r="420" spans="1:25" x14ac:dyDescent="0.25">
      <c r="A420" s="112" t="s">
        <v>682</v>
      </c>
      <c r="B420" s="78"/>
      <c r="C420" s="114"/>
      <c r="D420" s="78"/>
      <c r="E420" s="78"/>
      <c r="F420" s="78"/>
      <c r="G420" s="78"/>
      <c r="H420" s="78"/>
      <c r="I420" s="78"/>
      <c r="J420" s="78"/>
      <c r="K420" s="78"/>
      <c r="L420" s="78"/>
      <c r="M420" s="78"/>
      <c r="N420" s="78"/>
      <c r="O420" s="78"/>
      <c r="P420" s="78"/>
      <c r="Q420" s="78"/>
      <c r="R420" s="78"/>
      <c r="S420" s="78"/>
      <c r="T420" s="78"/>
      <c r="U420" s="78"/>
      <c r="V420" s="78"/>
      <c r="W420" s="78"/>
      <c r="X420" s="78"/>
      <c r="Y420" s="78"/>
    </row>
    <row r="421" spans="1:25" x14ac:dyDescent="0.25">
      <c r="A421" s="112" t="s">
        <v>682</v>
      </c>
      <c r="B421" s="78"/>
      <c r="C421" s="114"/>
      <c r="D421" s="78"/>
      <c r="E421" s="78"/>
      <c r="F421" s="78"/>
      <c r="G421" s="78"/>
      <c r="H421" s="78"/>
      <c r="I421" s="78"/>
      <c r="J421" s="78"/>
      <c r="K421" s="78"/>
      <c r="L421" s="78"/>
      <c r="M421" s="78"/>
      <c r="N421" s="78"/>
      <c r="O421" s="78"/>
      <c r="P421" s="78"/>
      <c r="Q421" s="78"/>
      <c r="R421" s="78"/>
      <c r="S421" s="78"/>
      <c r="T421" s="78"/>
      <c r="U421" s="78"/>
      <c r="V421" s="78"/>
      <c r="W421" s="78"/>
      <c r="X421" s="78"/>
      <c r="Y421" s="78"/>
    </row>
    <row r="422" spans="1:25" x14ac:dyDescent="0.25">
      <c r="A422" s="112" t="s">
        <v>682</v>
      </c>
      <c r="B422" s="78"/>
      <c r="C422" s="114"/>
      <c r="D422" s="78"/>
      <c r="E422" s="78"/>
      <c r="F422" s="78"/>
      <c r="G422" s="78"/>
      <c r="H422" s="78"/>
      <c r="I422" s="78"/>
      <c r="J422" s="78"/>
      <c r="K422" s="78"/>
      <c r="L422" s="78"/>
      <c r="M422" s="78"/>
      <c r="N422" s="78"/>
      <c r="O422" s="78"/>
      <c r="P422" s="78"/>
      <c r="Q422" s="78"/>
      <c r="R422" s="78"/>
      <c r="S422" s="78"/>
      <c r="T422" s="78"/>
      <c r="U422" s="78"/>
      <c r="V422" s="78"/>
      <c r="W422" s="78"/>
      <c r="X422" s="78"/>
      <c r="Y422" s="78"/>
    </row>
    <row r="423" spans="1:25" x14ac:dyDescent="0.25">
      <c r="A423" s="112" t="s">
        <v>682</v>
      </c>
      <c r="B423" s="78"/>
      <c r="C423" s="114"/>
      <c r="D423" s="78"/>
      <c r="E423" s="78"/>
      <c r="F423" s="78"/>
      <c r="G423" s="78"/>
      <c r="H423" s="78"/>
      <c r="I423" s="78"/>
      <c r="J423" s="78"/>
      <c r="K423" s="78"/>
      <c r="L423" s="78"/>
      <c r="M423" s="78"/>
      <c r="N423" s="78"/>
      <c r="O423" s="78"/>
      <c r="P423" s="78"/>
      <c r="Q423" s="78"/>
      <c r="R423" s="78"/>
      <c r="S423" s="78"/>
      <c r="T423" s="78"/>
      <c r="U423" s="78"/>
      <c r="V423" s="78"/>
      <c r="W423" s="78"/>
      <c r="X423" s="78"/>
      <c r="Y423" s="78"/>
    </row>
    <row r="424" spans="1:25" x14ac:dyDescent="0.25">
      <c r="A424" s="112" t="s">
        <v>682</v>
      </c>
      <c r="B424" s="78"/>
      <c r="C424" s="114"/>
      <c r="D424" s="78"/>
      <c r="E424" s="78"/>
      <c r="F424" s="78"/>
      <c r="G424" s="78"/>
      <c r="H424" s="78"/>
      <c r="I424" s="78"/>
      <c r="J424" s="78"/>
      <c r="K424" s="78"/>
      <c r="L424" s="78"/>
      <c r="M424" s="78"/>
      <c r="N424" s="78"/>
      <c r="O424" s="78"/>
      <c r="P424" s="78"/>
      <c r="Q424" s="78"/>
      <c r="R424" s="78"/>
      <c r="S424" s="78"/>
      <c r="T424" s="78"/>
      <c r="U424" s="78"/>
      <c r="V424" s="78"/>
      <c r="W424" s="78"/>
      <c r="X424" s="78"/>
      <c r="Y424" s="78"/>
    </row>
    <row r="425" spans="1:25" x14ac:dyDescent="0.25">
      <c r="A425" s="112" t="s">
        <v>682</v>
      </c>
      <c r="B425" s="78"/>
      <c r="C425" s="114"/>
      <c r="D425" s="78"/>
      <c r="E425" s="78"/>
      <c r="F425" s="78"/>
      <c r="G425" s="78"/>
      <c r="H425" s="78"/>
      <c r="I425" s="78"/>
      <c r="J425" s="78"/>
      <c r="K425" s="78"/>
      <c r="L425" s="78"/>
      <c r="M425" s="78"/>
      <c r="N425" s="78"/>
      <c r="O425" s="78"/>
      <c r="P425" s="78"/>
      <c r="Q425" s="78"/>
      <c r="R425" s="78"/>
      <c r="S425" s="78"/>
      <c r="T425" s="78"/>
      <c r="U425" s="78"/>
      <c r="V425" s="78"/>
      <c r="W425" s="78"/>
      <c r="X425" s="78"/>
      <c r="Y425" s="78"/>
    </row>
    <row r="426" spans="1:25" x14ac:dyDescent="0.25">
      <c r="A426" s="112" t="s">
        <v>682</v>
      </c>
      <c r="B426" s="78"/>
      <c r="C426" s="114"/>
      <c r="D426" s="78"/>
      <c r="E426" s="78"/>
      <c r="F426" s="78"/>
      <c r="G426" s="78"/>
      <c r="H426" s="78"/>
      <c r="I426" s="78"/>
      <c r="J426" s="78"/>
      <c r="K426" s="78"/>
      <c r="L426" s="78"/>
      <c r="M426" s="78"/>
      <c r="N426" s="78"/>
      <c r="O426" s="78"/>
      <c r="P426" s="78"/>
      <c r="Q426" s="78"/>
      <c r="R426" s="78"/>
      <c r="S426" s="78"/>
      <c r="T426" s="78"/>
      <c r="U426" s="78"/>
      <c r="V426" s="78"/>
      <c r="W426" s="78"/>
      <c r="X426" s="78"/>
      <c r="Y426" s="78"/>
    </row>
    <row r="427" spans="1:25" x14ac:dyDescent="0.25">
      <c r="A427" s="112" t="s">
        <v>682</v>
      </c>
      <c r="B427" s="78"/>
      <c r="C427" s="114"/>
      <c r="D427" s="78"/>
      <c r="E427" s="78"/>
      <c r="F427" s="78"/>
      <c r="G427" s="78"/>
      <c r="H427" s="78"/>
      <c r="I427" s="78"/>
      <c r="J427" s="78"/>
      <c r="K427" s="78"/>
      <c r="L427" s="78"/>
      <c r="M427" s="78"/>
      <c r="N427" s="78"/>
      <c r="O427" s="78"/>
      <c r="P427" s="78"/>
      <c r="Q427" s="78"/>
      <c r="R427" s="78"/>
      <c r="S427" s="78"/>
      <c r="T427" s="78"/>
      <c r="U427" s="78"/>
      <c r="V427" s="78"/>
      <c r="W427" s="78"/>
      <c r="X427" s="78"/>
      <c r="Y427" s="78"/>
    </row>
    <row r="428" spans="1:25" x14ac:dyDescent="0.25">
      <c r="A428" s="112" t="s">
        <v>682</v>
      </c>
      <c r="B428" s="78"/>
      <c r="C428" s="114"/>
      <c r="D428" s="78"/>
      <c r="E428" s="78"/>
      <c r="F428" s="78"/>
      <c r="G428" s="78"/>
      <c r="H428" s="78"/>
      <c r="I428" s="78"/>
      <c r="J428" s="78"/>
      <c r="K428" s="78"/>
      <c r="L428" s="78"/>
      <c r="M428" s="78"/>
      <c r="N428" s="78"/>
      <c r="O428" s="78"/>
      <c r="P428" s="78"/>
      <c r="Q428" s="78"/>
      <c r="R428" s="78"/>
      <c r="S428" s="78"/>
      <c r="T428" s="78"/>
      <c r="U428" s="78"/>
      <c r="V428" s="78"/>
      <c r="W428" s="78"/>
      <c r="X428" s="78"/>
      <c r="Y428" s="78"/>
    </row>
    <row r="429" spans="1:25" x14ac:dyDescent="0.25">
      <c r="A429" s="112" t="s">
        <v>682</v>
      </c>
      <c r="B429" s="78"/>
      <c r="C429" s="114"/>
      <c r="D429" s="78"/>
      <c r="E429" s="78"/>
      <c r="F429" s="78"/>
      <c r="G429" s="78"/>
      <c r="H429" s="78"/>
      <c r="I429" s="78"/>
      <c r="J429" s="78"/>
      <c r="K429" s="78"/>
      <c r="L429" s="78"/>
      <c r="M429" s="78"/>
      <c r="N429" s="78"/>
      <c r="O429" s="78"/>
      <c r="P429" s="78"/>
      <c r="Q429" s="78"/>
      <c r="R429" s="78"/>
      <c r="S429" s="78"/>
      <c r="T429" s="78"/>
      <c r="U429" s="78"/>
      <c r="V429" s="78"/>
      <c r="W429" s="78"/>
      <c r="X429" s="78"/>
      <c r="Y429" s="78"/>
    </row>
    <row r="430" spans="1:25" x14ac:dyDescent="0.25">
      <c r="A430" s="112" t="s">
        <v>682</v>
      </c>
      <c r="B430" s="78"/>
      <c r="C430" s="114"/>
      <c r="D430" s="78"/>
      <c r="E430" s="78"/>
      <c r="F430" s="78"/>
      <c r="G430" s="78"/>
      <c r="H430" s="78"/>
      <c r="I430" s="78"/>
      <c r="J430" s="78"/>
      <c r="K430" s="78"/>
      <c r="L430" s="78"/>
      <c r="M430" s="78"/>
      <c r="N430" s="78"/>
      <c r="O430" s="78"/>
      <c r="P430" s="78"/>
      <c r="Q430" s="78"/>
      <c r="R430" s="78"/>
      <c r="S430" s="78"/>
      <c r="T430" s="78"/>
      <c r="U430" s="78"/>
      <c r="V430" s="78"/>
      <c r="W430" s="78"/>
      <c r="X430" s="78"/>
      <c r="Y430" s="78"/>
    </row>
    <row r="431" spans="1:25" x14ac:dyDescent="0.25">
      <c r="A431" s="112" t="s">
        <v>682</v>
      </c>
      <c r="B431" s="78"/>
      <c r="C431" s="114"/>
      <c r="D431" s="78"/>
      <c r="E431" s="78"/>
      <c r="F431" s="78"/>
      <c r="G431" s="78"/>
      <c r="H431" s="78"/>
      <c r="I431" s="78"/>
      <c r="J431" s="78"/>
      <c r="K431" s="78"/>
      <c r="L431" s="78"/>
      <c r="M431" s="78"/>
      <c r="N431" s="78"/>
      <c r="O431" s="78"/>
      <c r="P431" s="78"/>
      <c r="Q431" s="78"/>
      <c r="R431" s="78"/>
      <c r="S431" s="78"/>
      <c r="T431" s="78"/>
      <c r="U431" s="78"/>
      <c r="V431" s="78"/>
      <c r="W431" s="78"/>
      <c r="X431" s="78"/>
      <c r="Y431" s="78"/>
    </row>
    <row r="432" spans="1:25" x14ac:dyDescent="0.25">
      <c r="A432" s="112" t="s">
        <v>682</v>
      </c>
      <c r="B432" s="78"/>
      <c r="C432" s="114"/>
      <c r="D432" s="78"/>
      <c r="E432" s="78"/>
      <c r="F432" s="78"/>
      <c r="G432" s="78"/>
      <c r="H432" s="78"/>
      <c r="I432" s="78"/>
      <c r="J432" s="78"/>
      <c r="K432" s="78"/>
      <c r="L432" s="78"/>
      <c r="M432" s="78"/>
      <c r="N432" s="78"/>
      <c r="O432" s="78"/>
      <c r="P432" s="78"/>
      <c r="Q432" s="78"/>
      <c r="R432" s="78"/>
      <c r="S432" s="78"/>
      <c r="T432" s="78"/>
      <c r="U432" s="78"/>
      <c r="V432" s="78"/>
      <c r="W432" s="78"/>
      <c r="X432" s="78"/>
      <c r="Y432" s="78"/>
    </row>
    <row r="433" spans="1:25" x14ac:dyDescent="0.25">
      <c r="A433" s="112" t="s">
        <v>682</v>
      </c>
      <c r="B433" s="78"/>
      <c r="C433" s="114"/>
      <c r="D433" s="78"/>
      <c r="E433" s="78"/>
      <c r="F433" s="78"/>
      <c r="G433" s="78"/>
      <c r="H433" s="78"/>
      <c r="I433" s="78"/>
      <c r="J433" s="78"/>
      <c r="K433" s="78"/>
      <c r="L433" s="78"/>
      <c r="M433" s="78"/>
      <c r="N433" s="78"/>
      <c r="O433" s="78"/>
      <c r="P433" s="78"/>
      <c r="Q433" s="78"/>
      <c r="R433" s="78"/>
      <c r="S433" s="78"/>
      <c r="T433" s="78"/>
      <c r="U433" s="78"/>
      <c r="V433" s="78"/>
      <c r="W433" s="78"/>
      <c r="X433" s="78"/>
      <c r="Y433" s="78"/>
    </row>
    <row r="434" spans="1:25" x14ac:dyDescent="0.25">
      <c r="A434" s="112" t="s">
        <v>682</v>
      </c>
      <c r="B434" s="78"/>
      <c r="C434" s="114"/>
      <c r="D434" s="78"/>
      <c r="E434" s="78"/>
      <c r="F434" s="78"/>
      <c r="G434" s="78"/>
      <c r="H434" s="78"/>
      <c r="I434" s="78"/>
      <c r="J434" s="78"/>
      <c r="K434" s="78"/>
      <c r="L434" s="78"/>
      <c r="M434" s="78"/>
      <c r="N434" s="78"/>
      <c r="O434" s="78"/>
      <c r="P434" s="78"/>
      <c r="Q434" s="78"/>
      <c r="R434" s="78"/>
      <c r="S434" s="78"/>
      <c r="T434" s="78"/>
      <c r="U434" s="78"/>
      <c r="V434" s="78"/>
      <c r="W434" s="78"/>
      <c r="X434" s="78"/>
      <c r="Y434" s="78"/>
    </row>
    <row r="435" spans="1:25" x14ac:dyDescent="0.25">
      <c r="A435" s="112" t="s">
        <v>682</v>
      </c>
      <c r="B435" s="78"/>
      <c r="C435" s="114"/>
      <c r="D435" s="78"/>
      <c r="E435" s="78"/>
      <c r="F435" s="78"/>
      <c r="G435" s="78"/>
      <c r="H435" s="78"/>
      <c r="I435" s="78"/>
      <c r="J435" s="78"/>
      <c r="K435" s="78"/>
      <c r="L435" s="78"/>
      <c r="M435" s="78"/>
      <c r="N435" s="78"/>
      <c r="O435" s="78"/>
      <c r="P435" s="78"/>
      <c r="Q435" s="78"/>
      <c r="R435" s="78"/>
      <c r="S435" s="78"/>
      <c r="T435" s="78"/>
      <c r="U435" s="78"/>
      <c r="V435" s="78"/>
      <c r="W435" s="78"/>
      <c r="X435" s="78"/>
      <c r="Y435" s="78"/>
    </row>
    <row r="436" spans="1:25" x14ac:dyDescent="0.25">
      <c r="A436" s="112" t="s">
        <v>682</v>
      </c>
      <c r="B436" s="78"/>
      <c r="C436" s="114"/>
      <c r="D436" s="78"/>
      <c r="E436" s="78"/>
      <c r="F436" s="78"/>
      <c r="G436" s="78"/>
      <c r="H436" s="78"/>
      <c r="I436" s="78"/>
      <c r="J436" s="78"/>
      <c r="K436" s="78"/>
      <c r="L436" s="78"/>
      <c r="M436" s="78"/>
      <c r="N436" s="78"/>
      <c r="O436" s="78"/>
      <c r="P436" s="78"/>
      <c r="Q436" s="78"/>
      <c r="R436" s="78"/>
      <c r="S436" s="78"/>
      <c r="T436" s="78"/>
      <c r="U436" s="78"/>
      <c r="V436" s="78"/>
      <c r="W436" s="78"/>
      <c r="X436" s="78"/>
      <c r="Y436" s="78"/>
    </row>
    <row r="437" spans="1:25" x14ac:dyDescent="0.25">
      <c r="A437" s="112" t="s">
        <v>682</v>
      </c>
      <c r="B437" s="78"/>
      <c r="C437" s="114"/>
      <c r="D437" s="78"/>
      <c r="E437" s="78"/>
      <c r="F437" s="78"/>
      <c r="G437" s="78"/>
      <c r="H437" s="78"/>
      <c r="I437" s="78"/>
      <c r="J437" s="78"/>
      <c r="K437" s="78"/>
      <c r="L437" s="78"/>
      <c r="M437" s="78"/>
      <c r="N437" s="78"/>
      <c r="O437" s="78"/>
      <c r="P437" s="78"/>
      <c r="Q437" s="78"/>
      <c r="R437" s="78"/>
      <c r="S437" s="78"/>
      <c r="T437" s="78"/>
      <c r="U437" s="78"/>
      <c r="V437" s="78"/>
      <c r="W437" s="78"/>
      <c r="X437" s="78"/>
      <c r="Y437" s="78"/>
    </row>
    <row r="438" spans="1:25" x14ac:dyDescent="0.25">
      <c r="A438" s="112" t="s">
        <v>682</v>
      </c>
      <c r="B438" s="78"/>
      <c r="C438" s="114"/>
      <c r="D438" s="78"/>
      <c r="E438" s="78"/>
      <c r="F438" s="78"/>
      <c r="G438" s="78"/>
      <c r="H438" s="78"/>
      <c r="I438" s="78"/>
      <c r="J438" s="78"/>
      <c r="K438" s="78"/>
      <c r="L438" s="78"/>
      <c r="M438" s="78"/>
      <c r="N438" s="78"/>
      <c r="O438" s="78"/>
      <c r="P438" s="78"/>
      <c r="Q438" s="78"/>
      <c r="R438" s="78"/>
      <c r="S438" s="78"/>
      <c r="T438" s="78"/>
      <c r="U438" s="78"/>
      <c r="V438" s="78"/>
      <c r="W438" s="78"/>
      <c r="X438" s="78"/>
      <c r="Y438" s="78"/>
    </row>
    <row r="439" spans="1:25" x14ac:dyDescent="0.25">
      <c r="A439" s="112" t="s">
        <v>682</v>
      </c>
      <c r="B439" s="78"/>
      <c r="C439" s="114"/>
      <c r="D439" s="78"/>
      <c r="E439" s="78"/>
      <c r="F439" s="78"/>
      <c r="G439" s="78"/>
      <c r="H439" s="78"/>
      <c r="I439" s="78"/>
      <c r="J439" s="78"/>
      <c r="K439" s="78"/>
      <c r="L439" s="78"/>
      <c r="M439" s="78"/>
      <c r="N439" s="78"/>
      <c r="O439" s="78"/>
      <c r="P439" s="78"/>
      <c r="Q439" s="78"/>
      <c r="R439" s="78"/>
      <c r="S439" s="78"/>
      <c r="T439" s="78"/>
      <c r="U439" s="78"/>
      <c r="V439" s="78"/>
      <c r="W439" s="78"/>
      <c r="X439" s="78"/>
      <c r="Y439" s="78"/>
    </row>
    <row r="440" spans="1:25" x14ac:dyDescent="0.25">
      <c r="A440" s="112" t="s">
        <v>682</v>
      </c>
      <c r="B440" s="78"/>
      <c r="C440" s="114"/>
      <c r="D440" s="78"/>
      <c r="E440" s="78"/>
      <c r="F440" s="78"/>
      <c r="G440" s="78"/>
      <c r="H440" s="78"/>
      <c r="I440" s="78"/>
      <c r="J440" s="78"/>
      <c r="K440" s="78"/>
      <c r="L440" s="78"/>
      <c r="M440" s="78"/>
      <c r="N440" s="78"/>
      <c r="O440" s="78"/>
      <c r="P440" s="78"/>
      <c r="Q440" s="78"/>
      <c r="R440" s="78"/>
      <c r="S440" s="78"/>
      <c r="T440" s="78"/>
      <c r="U440" s="78"/>
      <c r="V440" s="78"/>
      <c r="W440" s="78"/>
      <c r="X440" s="78"/>
      <c r="Y440" s="78"/>
    </row>
    <row r="441" spans="1:25" x14ac:dyDescent="0.25">
      <c r="A441" s="112" t="s">
        <v>682</v>
      </c>
      <c r="B441" s="78"/>
      <c r="C441" s="114"/>
      <c r="D441" s="78"/>
      <c r="E441" s="78"/>
      <c r="F441" s="78"/>
      <c r="G441" s="78"/>
      <c r="H441" s="78"/>
      <c r="I441" s="78"/>
      <c r="J441" s="78"/>
      <c r="K441" s="78"/>
      <c r="L441" s="78"/>
      <c r="M441" s="78"/>
      <c r="N441" s="78"/>
      <c r="O441" s="78"/>
      <c r="P441" s="78"/>
      <c r="Q441" s="78"/>
      <c r="R441" s="78"/>
      <c r="S441" s="78"/>
      <c r="T441" s="78"/>
      <c r="U441" s="78"/>
      <c r="V441" s="78"/>
      <c r="W441" s="78"/>
      <c r="X441" s="78"/>
      <c r="Y441" s="78"/>
    </row>
    <row r="442" spans="1:25" x14ac:dyDescent="0.25">
      <c r="A442" s="112" t="s">
        <v>682</v>
      </c>
      <c r="B442" s="78"/>
      <c r="C442" s="114"/>
      <c r="D442" s="78"/>
      <c r="E442" s="78"/>
      <c r="F442" s="78"/>
      <c r="G442" s="78"/>
      <c r="H442" s="78"/>
      <c r="I442" s="78"/>
      <c r="J442" s="78"/>
      <c r="K442" s="78"/>
      <c r="L442" s="78"/>
      <c r="M442" s="78"/>
      <c r="N442" s="78"/>
      <c r="O442" s="78"/>
      <c r="P442" s="78"/>
      <c r="Q442" s="78"/>
      <c r="R442" s="78"/>
      <c r="S442" s="78"/>
      <c r="T442" s="78"/>
      <c r="U442" s="78"/>
      <c r="V442" s="78"/>
      <c r="W442" s="78"/>
      <c r="X442" s="78"/>
      <c r="Y442" s="78"/>
    </row>
    <row r="443" spans="1:25" x14ac:dyDescent="0.25">
      <c r="A443" s="112" t="s">
        <v>682</v>
      </c>
      <c r="B443" s="78"/>
      <c r="C443" s="114"/>
      <c r="D443" s="78"/>
      <c r="E443" s="78"/>
      <c r="F443" s="78"/>
      <c r="G443" s="78"/>
      <c r="H443" s="78"/>
      <c r="I443" s="78"/>
      <c r="J443" s="78"/>
      <c r="K443" s="78"/>
      <c r="L443" s="78"/>
      <c r="M443" s="78"/>
      <c r="N443" s="78"/>
      <c r="O443" s="78"/>
      <c r="P443" s="78"/>
      <c r="Q443" s="78"/>
      <c r="R443" s="78"/>
      <c r="S443" s="78"/>
      <c r="T443" s="78"/>
      <c r="U443" s="78"/>
      <c r="V443" s="78"/>
      <c r="W443" s="78"/>
      <c r="X443" s="78"/>
      <c r="Y443" s="78"/>
    </row>
    <row r="444" spans="1:25" x14ac:dyDescent="0.25">
      <c r="A444" s="112" t="s">
        <v>682</v>
      </c>
      <c r="B444" s="78"/>
      <c r="C444" s="114"/>
      <c r="D444" s="78"/>
      <c r="E444" s="78"/>
      <c r="F444" s="78"/>
      <c r="G444" s="78"/>
      <c r="H444" s="78"/>
      <c r="I444" s="78"/>
      <c r="J444" s="78"/>
      <c r="K444" s="78"/>
      <c r="L444" s="78"/>
      <c r="M444" s="78"/>
      <c r="N444" s="78"/>
      <c r="O444" s="78"/>
      <c r="P444" s="78"/>
      <c r="Q444" s="78"/>
      <c r="R444" s="78"/>
      <c r="S444" s="78"/>
      <c r="T444" s="78"/>
      <c r="U444" s="78"/>
      <c r="V444" s="78"/>
      <c r="W444" s="78"/>
      <c r="X444" s="78"/>
      <c r="Y444" s="78"/>
    </row>
    <row r="445" spans="1:25" x14ac:dyDescent="0.25">
      <c r="A445" s="112" t="s">
        <v>682</v>
      </c>
      <c r="B445" s="78"/>
      <c r="C445" s="114"/>
      <c r="D445" s="78"/>
      <c r="E445" s="78"/>
      <c r="F445" s="78"/>
      <c r="G445" s="78"/>
      <c r="H445" s="78"/>
      <c r="I445" s="78"/>
      <c r="J445" s="78"/>
      <c r="K445" s="78"/>
      <c r="L445" s="78"/>
      <c r="M445" s="78"/>
      <c r="N445" s="78"/>
      <c r="O445" s="78"/>
      <c r="P445" s="78"/>
      <c r="Q445" s="78"/>
      <c r="R445" s="78"/>
      <c r="S445" s="78"/>
      <c r="T445" s="78"/>
      <c r="U445" s="78"/>
      <c r="V445" s="78"/>
      <c r="W445" s="78"/>
      <c r="X445" s="78"/>
      <c r="Y445" s="78"/>
    </row>
    <row r="446" spans="1:25" x14ac:dyDescent="0.25">
      <c r="A446" s="112" t="s">
        <v>682</v>
      </c>
      <c r="B446" s="78"/>
      <c r="C446" s="114"/>
      <c r="D446" s="78"/>
      <c r="E446" s="78"/>
      <c r="F446" s="78"/>
      <c r="G446" s="78"/>
      <c r="H446" s="78"/>
      <c r="I446" s="78"/>
      <c r="J446" s="78"/>
      <c r="K446" s="78"/>
      <c r="L446" s="78"/>
      <c r="M446" s="78"/>
      <c r="N446" s="78"/>
      <c r="O446" s="78"/>
      <c r="P446" s="78"/>
      <c r="Q446" s="78"/>
      <c r="R446" s="78"/>
      <c r="S446" s="78"/>
      <c r="T446" s="78"/>
      <c r="U446" s="78"/>
      <c r="V446" s="78"/>
      <c r="W446" s="78"/>
      <c r="X446" s="78"/>
      <c r="Y446" s="78"/>
    </row>
    <row r="447" spans="1:25" x14ac:dyDescent="0.25">
      <c r="A447" s="112" t="s">
        <v>682</v>
      </c>
      <c r="B447" s="78"/>
      <c r="C447" s="114"/>
      <c r="D447" s="78"/>
      <c r="E447" s="78"/>
      <c r="F447" s="78"/>
      <c r="G447" s="78"/>
      <c r="H447" s="78"/>
      <c r="I447" s="78"/>
      <c r="J447" s="78"/>
      <c r="K447" s="78"/>
      <c r="L447" s="78"/>
      <c r="M447" s="78"/>
      <c r="N447" s="78"/>
      <c r="O447" s="78"/>
      <c r="P447" s="78"/>
      <c r="Q447" s="78"/>
      <c r="R447" s="78"/>
      <c r="S447" s="78"/>
      <c r="T447" s="78"/>
      <c r="U447" s="78"/>
      <c r="V447" s="78"/>
      <c r="W447" s="78"/>
      <c r="X447" s="78"/>
      <c r="Y447" s="78"/>
    </row>
    <row r="448" spans="1:25" x14ac:dyDescent="0.25">
      <c r="A448" s="112" t="s">
        <v>682</v>
      </c>
      <c r="B448" s="78"/>
      <c r="C448" s="114"/>
      <c r="D448" s="78"/>
      <c r="E448" s="78"/>
      <c r="F448" s="78"/>
      <c r="G448" s="78"/>
      <c r="H448" s="78"/>
      <c r="I448" s="78"/>
      <c r="J448" s="78"/>
      <c r="K448" s="78"/>
      <c r="L448" s="78"/>
      <c r="M448" s="78"/>
      <c r="N448" s="78"/>
      <c r="O448" s="78"/>
      <c r="P448" s="78"/>
      <c r="Q448" s="78"/>
      <c r="R448" s="78"/>
      <c r="S448" s="78"/>
      <c r="T448" s="78"/>
      <c r="U448" s="78"/>
      <c r="V448" s="78"/>
      <c r="W448" s="78"/>
      <c r="X448" s="78"/>
      <c r="Y448" s="78"/>
    </row>
    <row r="449" spans="1:25" x14ac:dyDescent="0.25">
      <c r="A449" s="112" t="s">
        <v>682</v>
      </c>
      <c r="B449" s="78"/>
      <c r="C449" s="114"/>
      <c r="D449" s="78"/>
      <c r="E449" s="78"/>
      <c r="F449" s="78"/>
      <c r="G449" s="78"/>
      <c r="H449" s="78"/>
      <c r="I449" s="78"/>
      <c r="J449" s="78"/>
      <c r="K449" s="78"/>
      <c r="L449" s="78"/>
      <c r="M449" s="78"/>
      <c r="N449" s="78"/>
      <c r="O449" s="78"/>
      <c r="P449" s="78"/>
      <c r="Q449" s="78"/>
      <c r="R449" s="78"/>
      <c r="S449" s="78"/>
      <c r="T449" s="78"/>
      <c r="U449" s="78"/>
      <c r="V449" s="78"/>
      <c r="W449" s="78"/>
      <c r="X449" s="78"/>
      <c r="Y449" s="78"/>
    </row>
    <row r="450" spans="1:25" x14ac:dyDescent="0.25">
      <c r="A450" s="112" t="s">
        <v>682</v>
      </c>
      <c r="B450" s="78"/>
      <c r="C450" s="114"/>
      <c r="D450" s="78"/>
      <c r="E450" s="78"/>
      <c r="F450" s="78"/>
      <c r="G450" s="78"/>
      <c r="H450" s="78"/>
      <c r="I450" s="78"/>
      <c r="J450" s="78"/>
      <c r="K450" s="78"/>
      <c r="L450" s="78"/>
      <c r="M450" s="78"/>
      <c r="N450" s="78"/>
      <c r="O450" s="78"/>
      <c r="P450" s="78"/>
      <c r="Q450" s="78"/>
      <c r="R450" s="78"/>
      <c r="S450" s="78"/>
      <c r="T450" s="78"/>
      <c r="U450" s="78"/>
      <c r="V450" s="78"/>
      <c r="W450" s="78"/>
      <c r="X450" s="78"/>
      <c r="Y450" s="78"/>
    </row>
    <row r="451" spans="1:25" x14ac:dyDescent="0.25">
      <c r="A451" s="112" t="s">
        <v>682</v>
      </c>
      <c r="B451" s="78"/>
      <c r="C451" s="114"/>
      <c r="D451" s="78"/>
      <c r="E451" s="78"/>
      <c r="F451" s="78"/>
      <c r="G451" s="78"/>
      <c r="H451" s="78"/>
      <c r="I451" s="78"/>
      <c r="J451" s="78"/>
      <c r="K451" s="78"/>
      <c r="L451" s="78"/>
      <c r="M451" s="78"/>
      <c r="N451" s="78"/>
      <c r="O451" s="78"/>
      <c r="P451" s="78"/>
      <c r="Q451" s="78"/>
      <c r="R451" s="78"/>
      <c r="S451" s="78"/>
      <c r="T451" s="78"/>
      <c r="U451" s="78"/>
      <c r="V451" s="78"/>
      <c r="W451" s="78"/>
      <c r="X451" s="78"/>
      <c r="Y451" s="78"/>
    </row>
    <row r="452" spans="1:25" x14ac:dyDescent="0.25">
      <c r="A452" s="112" t="s">
        <v>682</v>
      </c>
      <c r="B452" s="78"/>
      <c r="C452" s="114"/>
      <c r="D452" s="78"/>
      <c r="E452" s="78"/>
      <c r="F452" s="78"/>
      <c r="G452" s="78"/>
      <c r="H452" s="78"/>
      <c r="I452" s="78"/>
      <c r="J452" s="78"/>
      <c r="K452" s="78"/>
      <c r="L452" s="78"/>
      <c r="M452" s="78"/>
      <c r="N452" s="78"/>
      <c r="O452" s="78"/>
      <c r="P452" s="78"/>
      <c r="Q452" s="78"/>
      <c r="R452" s="78"/>
      <c r="S452" s="78"/>
      <c r="T452" s="78"/>
      <c r="U452" s="78"/>
      <c r="V452" s="78"/>
      <c r="W452" s="78"/>
      <c r="X452" s="78"/>
      <c r="Y452" s="78"/>
    </row>
    <row r="453" spans="1:25" x14ac:dyDescent="0.25">
      <c r="A453" s="112" t="s">
        <v>682</v>
      </c>
      <c r="B453" s="78"/>
      <c r="C453" s="114"/>
      <c r="D453" s="78"/>
      <c r="E453" s="78"/>
      <c r="F453" s="78"/>
      <c r="G453" s="78"/>
      <c r="H453" s="78"/>
      <c r="I453" s="78"/>
      <c r="J453" s="78"/>
      <c r="K453" s="78"/>
      <c r="L453" s="78"/>
      <c r="M453" s="78"/>
      <c r="N453" s="78"/>
      <c r="O453" s="78"/>
      <c r="P453" s="78"/>
      <c r="Q453" s="78"/>
      <c r="R453" s="78"/>
      <c r="S453" s="78"/>
      <c r="T453" s="78"/>
      <c r="U453" s="78"/>
      <c r="V453" s="78"/>
      <c r="W453" s="78"/>
      <c r="X453" s="78"/>
      <c r="Y453" s="78"/>
    </row>
    <row r="454" spans="1:25" x14ac:dyDescent="0.25">
      <c r="A454" s="112" t="s">
        <v>682</v>
      </c>
      <c r="B454" s="78"/>
      <c r="C454" s="114"/>
      <c r="D454" s="78"/>
      <c r="E454" s="78"/>
      <c r="F454" s="78"/>
      <c r="G454" s="78"/>
      <c r="H454" s="78"/>
      <c r="I454" s="78"/>
      <c r="J454" s="78"/>
      <c r="K454" s="78"/>
      <c r="L454" s="78"/>
      <c r="M454" s="78"/>
      <c r="N454" s="78"/>
      <c r="O454" s="78"/>
      <c r="P454" s="78"/>
      <c r="Q454" s="78"/>
      <c r="R454" s="78"/>
      <c r="S454" s="78"/>
      <c r="T454" s="78"/>
      <c r="U454" s="78"/>
      <c r="V454" s="78"/>
      <c r="W454" s="78"/>
      <c r="X454" s="78"/>
      <c r="Y454" s="78"/>
    </row>
    <row r="455" spans="1:25" x14ac:dyDescent="0.25">
      <c r="A455" s="112" t="s">
        <v>682</v>
      </c>
      <c r="B455" s="78"/>
      <c r="C455" s="114"/>
      <c r="D455" s="78"/>
      <c r="E455" s="78"/>
      <c r="F455" s="78"/>
      <c r="G455" s="78"/>
      <c r="H455" s="78"/>
      <c r="I455" s="78"/>
      <c r="J455" s="78"/>
      <c r="K455" s="78"/>
      <c r="L455" s="78"/>
      <c r="M455" s="78"/>
      <c r="N455" s="78"/>
      <c r="O455" s="78"/>
      <c r="P455" s="78"/>
      <c r="Q455" s="78"/>
      <c r="R455" s="78"/>
      <c r="S455" s="78"/>
      <c r="T455" s="78"/>
      <c r="U455" s="78"/>
      <c r="V455" s="78"/>
      <c r="W455" s="78"/>
      <c r="X455" s="78"/>
      <c r="Y455" s="78"/>
    </row>
    <row r="456" spans="1:25" x14ac:dyDescent="0.25">
      <c r="A456" s="112" t="s">
        <v>682</v>
      </c>
      <c r="B456" s="78"/>
      <c r="C456" s="114"/>
      <c r="D456" s="78"/>
      <c r="E456" s="78"/>
      <c r="F456" s="78"/>
      <c r="G456" s="78"/>
      <c r="H456" s="78"/>
      <c r="I456" s="78"/>
      <c r="J456" s="78"/>
      <c r="K456" s="78"/>
      <c r="L456" s="78"/>
      <c r="M456" s="78"/>
      <c r="N456" s="78"/>
      <c r="O456" s="78"/>
      <c r="P456" s="78"/>
      <c r="Q456" s="78"/>
      <c r="R456" s="78"/>
      <c r="S456" s="78"/>
      <c r="T456" s="78"/>
      <c r="U456" s="78"/>
      <c r="V456" s="78"/>
      <c r="W456" s="78"/>
      <c r="X456" s="78"/>
      <c r="Y456" s="78"/>
    </row>
    <row r="457" spans="1:25" x14ac:dyDescent="0.25">
      <c r="A457" s="112" t="s">
        <v>682</v>
      </c>
      <c r="B457" s="78"/>
      <c r="C457" s="114"/>
      <c r="D457" s="78"/>
      <c r="E457" s="78"/>
      <c r="F457" s="78"/>
      <c r="G457" s="78"/>
      <c r="H457" s="78"/>
      <c r="I457" s="78"/>
      <c r="J457" s="78"/>
      <c r="K457" s="78"/>
      <c r="L457" s="78"/>
      <c r="M457" s="78"/>
      <c r="N457" s="78"/>
      <c r="O457" s="78"/>
      <c r="P457" s="78"/>
      <c r="Q457" s="78"/>
      <c r="R457" s="78"/>
      <c r="S457" s="78"/>
      <c r="T457" s="78"/>
      <c r="U457" s="78"/>
      <c r="V457" s="78"/>
      <c r="W457" s="78"/>
      <c r="X457" s="78"/>
      <c r="Y457" s="78"/>
    </row>
    <row r="458" spans="1:25" x14ac:dyDescent="0.25">
      <c r="A458" s="112" t="s">
        <v>682</v>
      </c>
      <c r="B458" s="78"/>
      <c r="C458" s="114"/>
      <c r="D458" s="78"/>
      <c r="E458" s="78"/>
      <c r="F458" s="78"/>
      <c r="G458" s="78"/>
      <c r="H458" s="78"/>
      <c r="I458" s="78"/>
      <c r="J458" s="78"/>
      <c r="K458" s="78"/>
      <c r="L458" s="78"/>
      <c r="M458" s="78"/>
      <c r="N458" s="78"/>
      <c r="O458" s="78"/>
      <c r="P458" s="78"/>
      <c r="Q458" s="78"/>
      <c r="R458" s="78"/>
      <c r="S458" s="78"/>
      <c r="T458" s="78"/>
      <c r="U458" s="78"/>
      <c r="V458" s="78"/>
      <c r="W458" s="78"/>
      <c r="X458" s="78"/>
      <c r="Y458" s="78"/>
    </row>
    <row r="459" spans="1:25" x14ac:dyDescent="0.25">
      <c r="A459" s="112" t="s">
        <v>682</v>
      </c>
      <c r="B459" s="78"/>
      <c r="C459" s="114"/>
      <c r="D459" s="78"/>
      <c r="E459" s="78"/>
      <c r="F459" s="78"/>
      <c r="G459" s="78"/>
      <c r="H459" s="78"/>
      <c r="I459" s="78"/>
      <c r="J459" s="78"/>
      <c r="K459" s="78"/>
      <c r="L459" s="78"/>
      <c r="M459" s="78"/>
      <c r="N459" s="78"/>
      <c r="O459" s="78"/>
      <c r="P459" s="78"/>
      <c r="Q459" s="78"/>
      <c r="R459" s="78"/>
      <c r="S459" s="78"/>
      <c r="T459" s="78"/>
      <c r="U459" s="78"/>
      <c r="V459" s="78"/>
      <c r="W459" s="78"/>
      <c r="X459" s="78"/>
      <c r="Y459" s="78"/>
    </row>
    <row r="460" spans="1:25" x14ac:dyDescent="0.25">
      <c r="A460" s="112" t="s">
        <v>682</v>
      </c>
      <c r="B460" s="78"/>
      <c r="C460" s="114"/>
      <c r="D460" s="78"/>
      <c r="E460" s="78"/>
      <c r="F460" s="78"/>
      <c r="G460" s="78"/>
      <c r="H460" s="78"/>
      <c r="I460" s="78"/>
      <c r="J460" s="78"/>
      <c r="K460" s="78"/>
      <c r="L460" s="78"/>
      <c r="M460" s="78"/>
      <c r="N460" s="78"/>
      <c r="O460" s="78"/>
      <c r="P460" s="78"/>
      <c r="Q460" s="78"/>
      <c r="R460" s="78"/>
      <c r="S460" s="78"/>
      <c r="T460" s="78"/>
      <c r="U460" s="78"/>
      <c r="V460" s="78"/>
      <c r="W460" s="78"/>
      <c r="X460" s="78"/>
      <c r="Y460" s="78"/>
    </row>
    <row r="461" spans="1:25" x14ac:dyDescent="0.25">
      <c r="A461" s="112" t="s">
        <v>682</v>
      </c>
      <c r="B461" s="78"/>
      <c r="C461" s="114"/>
      <c r="D461" s="78"/>
      <c r="E461" s="78"/>
      <c r="F461" s="78"/>
      <c r="G461" s="78"/>
      <c r="H461" s="78"/>
      <c r="I461" s="78"/>
      <c r="J461" s="78"/>
      <c r="K461" s="78"/>
      <c r="L461" s="78"/>
      <c r="M461" s="78"/>
      <c r="N461" s="78"/>
      <c r="O461" s="78"/>
      <c r="P461" s="78"/>
      <c r="Q461" s="78"/>
      <c r="R461" s="78"/>
      <c r="S461" s="78"/>
      <c r="T461" s="78"/>
      <c r="U461" s="78"/>
      <c r="V461" s="78"/>
      <c r="W461" s="78"/>
      <c r="X461" s="78"/>
      <c r="Y461" s="78"/>
    </row>
    <row r="462" spans="1:25" x14ac:dyDescent="0.25">
      <c r="A462" s="112" t="s">
        <v>682</v>
      </c>
      <c r="B462" s="78"/>
      <c r="C462" s="114"/>
      <c r="D462" s="78"/>
      <c r="E462" s="78"/>
      <c r="F462" s="78"/>
      <c r="G462" s="78"/>
      <c r="H462" s="78"/>
      <c r="I462" s="78"/>
      <c r="J462" s="78"/>
      <c r="K462" s="78"/>
      <c r="L462" s="78"/>
      <c r="M462" s="78"/>
      <c r="N462" s="78"/>
      <c r="O462" s="78"/>
      <c r="P462" s="78"/>
      <c r="Q462" s="78"/>
      <c r="R462" s="78"/>
      <c r="S462" s="78"/>
      <c r="T462" s="78"/>
      <c r="U462" s="78"/>
      <c r="V462" s="78"/>
      <c r="W462" s="78"/>
      <c r="X462" s="78"/>
      <c r="Y462" s="78"/>
    </row>
    <row r="463" spans="1:25" x14ac:dyDescent="0.25">
      <c r="A463" s="112" t="s">
        <v>682</v>
      </c>
      <c r="B463" s="78"/>
      <c r="C463" s="114"/>
      <c r="D463" s="78"/>
      <c r="E463" s="78"/>
      <c r="F463" s="78"/>
      <c r="G463" s="78"/>
      <c r="H463" s="78"/>
      <c r="I463" s="78"/>
      <c r="J463" s="78"/>
      <c r="K463" s="78"/>
      <c r="L463" s="78"/>
      <c r="M463" s="78"/>
      <c r="N463" s="78"/>
      <c r="O463" s="78"/>
      <c r="P463" s="78"/>
      <c r="Q463" s="78"/>
      <c r="R463" s="78"/>
      <c r="S463" s="78"/>
      <c r="T463" s="78"/>
      <c r="U463" s="78"/>
      <c r="V463" s="78"/>
      <c r="W463" s="78"/>
      <c r="X463" s="78"/>
      <c r="Y463" s="78"/>
    </row>
    <row r="464" spans="1:25" x14ac:dyDescent="0.25">
      <c r="A464" s="112" t="s">
        <v>682</v>
      </c>
      <c r="B464" s="78"/>
      <c r="C464" s="114"/>
      <c r="D464" s="78"/>
      <c r="E464" s="78"/>
      <c r="F464" s="78"/>
      <c r="G464" s="78"/>
      <c r="H464" s="78"/>
      <c r="I464" s="78"/>
      <c r="J464" s="78"/>
      <c r="K464" s="78"/>
      <c r="L464" s="78"/>
      <c r="M464" s="78"/>
      <c r="N464" s="78"/>
      <c r="O464" s="78"/>
      <c r="P464" s="78"/>
      <c r="Q464" s="78"/>
      <c r="R464" s="78"/>
      <c r="S464" s="78"/>
      <c r="T464" s="78"/>
      <c r="U464" s="78"/>
      <c r="V464" s="78"/>
      <c r="W464" s="78"/>
      <c r="X464" s="78"/>
      <c r="Y464" s="78"/>
    </row>
    <row r="465" spans="1:25" x14ac:dyDescent="0.25">
      <c r="A465" s="112" t="s">
        <v>682</v>
      </c>
      <c r="B465" s="78"/>
      <c r="C465" s="114"/>
      <c r="D465" s="78"/>
      <c r="E465" s="78"/>
      <c r="F465" s="78"/>
      <c r="G465" s="78"/>
      <c r="H465" s="78"/>
      <c r="I465" s="78"/>
      <c r="J465" s="78"/>
      <c r="K465" s="78"/>
      <c r="L465" s="78"/>
      <c r="M465" s="78"/>
      <c r="N465" s="78"/>
      <c r="O465" s="78"/>
      <c r="P465" s="78"/>
      <c r="Q465" s="78"/>
      <c r="R465" s="78"/>
      <c r="S465" s="78"/>
      <c r="T465" s="78"/>
      <c r="U465" s="78"/>
      <c r="V465" s="78"/>
      <c r="W465" s="78"/>
      <c r="X465" s="78"/>
      <c r="Y465" s="78"/>
    </row>
    <row r="466" spans="1:25" x14ac:dyDescent="0.25">
      <c r="A466" s="112" t="s">
        <v>682</v>
      </c>
      <c r="B466" s="78"/>
      <c r="C466" s="114"/>
      <c r="D466" s="78"/>
      <c r="E466" s="78"/>
      <c r="F466" s="78"/>
      <c r="G466" s="78"/>
      <c r="H466" s="78"/>
      <c r="I466" s="78"/>
      <c r="J466" s="78"/>
      <c r="K466" s="78"/>
      <c r="L466" s="78"/>
      <c r="M466" s="78"/>
      <c r="N466" s="78"/>
      <c r="O466" s="78"/>
      <c r="P466" s="78"/>
      <c r="Q466" s="78"/>
      <c r="R466" s="78"/>
      <c r="S466" s="78"/>
      <c r="T466" s="78"/>
      <c r="U466" s="78"/>
      <c r="V466" s="78"/>
      <c r="W466" s="78"/>
      <c r="X466" s="78"/>
      <c r="Y466" s="78"/>
    </row>
    <row r="467" spans="1:25" x14ac:dyDescent="0.25">
      <c r="A467" s="112" t="s">
        <v>682</v>
      </c>
      <c r="B467" s="78"/>
      <c r="C467" s="114"/>
      <c r="D467" s="78"/>
      <c r="E467" s="78"/>
      <c r="F467" s="78"/>
      <c r="G467" s="78"/>
      <c r="H467" s="78"/>
      <c r="I467" s="78"/>
      <c r="J467" s="78"/>
      <c r="K467" s="78"/>
      <c r="L467" s="78"/>
      <c r="M467" s="78"/>
      <c r="N467" s="78"/>
      <c r="O467" s="78"/>
      <c r="P467" s="78"/>
      <c r="Q467" s="78"/>
      <c r="R467" s="78"/>
      <c r="S467" s="78"/>
      <c r="T467" s="78"/>
      <c r="U467" s="78"/>
      <c r="V467" s="78"/>
      <c r="W467" s="78"/>
      <c r="X467" s="78"/>
      <c r="Y467" s="78"/>
    </row>
    <row r="468" spans="1:25" x14ac:dyDescent="0.25">
      <c r="A468" s="112" t="s">
        <v>682</v>
      </c>
      <c r="B468" s="78"/>
      <c r="C468" s="114"/>
      <c r="D468" s="78"/>
      <c r="E468" s="78"/>
      <c r="F468" s="78"/>
      <c r="G468" s="78"/>
      <c r="H468" s="78"/>
      <c r="I468" s="78"/>
      <c r="J468" s="78"/>
      <c r="K468" s="78"/>
      <c r="L468" s="78"/>
      <c r="M468" s="78"/>
      <c r="N468" s="78"/>
      <c r="O468" s="78"/>
      <c r="P468" s="78"/>
      <c r="Q468" s="78"/>
      <c r="R468" s="78"/>
      <c r="S468" s="78"/>
      <c r="T468" s="78"/>
      <c r="U468" s="78"/>
      <c r="V468" s="78"/>
      <c r="W468" s="78"/>
      <c r="X468" s="78"/>
      <c r="Y468" s="78"/>
    </row>
    <row r="469" spans="1:25" x14ac:dyDescent="0.25">
      <c r="A469" s="112" t="s">
        <v>682</v>
      </c>
      <c r="B469" s="78"/>
      <c r="C469" s="114"/>
      <c r="D469" s="78"/>
      <c r="E469" s="78"/>
      <c r="F469" s="78"/>
      <c r="G469" s="78"/>
      <c r="H469" s="78"/>
      <c r="I469" s="78"/>
      <c r="J469" s="78"/>
      <c r="K469" s="78"/>
      <c r="L469" s="78"/>
      <c r="M469" s="78"/>
      <c r="N469" s="78"/>
      <c r="O469" s="78"/>
      <c r="P469" s="78"/>
      <c r="Q469" s="78"/>
      <c r="R469" s="78"/>
      <c r="S469" s="78"/>
      <c r="T469" s="78"/>
      <c r="U469" s="78"/>
      <c r="V469" s="78"/>
      <c r="W469" s="78"/>
      <c r="X469" s="78"/>
      <c r="Y469" s="78"/>
    </row>
    <row r="470" spans="1:25" x14ac:dyDescent="0.25">
      <c r="A470" s="112" t="s">
        <v>682</v>
      </c>
      <c r="B470" s="78"/>
      <c r="C470" s="114"/>
      <c r="D470" s="78"/>
      <c r="E470" s="78"/>
      <c r="F470" s="78"/>
      <c r="G470" s="78"/>
      <c r="H470" s="78"/>
      <c r="I470" s="78"/>
      <c r="J470" s="78"/>
      <c r="K470" s="78"/>
      <c r="L470" s="78"/>
      <c r="M470" s="78"/>
      <c r="N470" s="78"/>
      <c r="O470" s="78"/>
      <c r="P470" s="78"/>
      <c r="Q470" s="78"/>
      <c r="R470" s="78"/>
      <c r="S470" s="78"/>
      <c r="T470" s="78"/>
      <c r="U470" s="78"/>
      <c r="V470" s="78"/>
      <c r="W470" s="78"/>
      <c r="X470" s="78"/>
      <c r="Y470" s="78"/>
    </row>
    <row r="471" spans="1:25" x14ac:dyDescent="0.25">
      <c r="A471" s="112" t="s">
        <v>682</v>
      </c>
      <c r="B471" s="78"/>
      <c r="C471" s="114"/>
      <c r="D471" s="78"/>
      <c r="E471" s="78"/>
      <c r="F471" s="78"/>
      <c r="G471" s="78"/>
      <c r="H471" s="78"/>
      <c r="I471" s="78"/>
      <c r="J471" s="78"/>
      <c r="K471" s="78"/>
      <c r="L471" s="78"/>
      <c r="M471" s="78"/>
      <c r="N471" s="78"/>
      <c r="O471" s="78"/>
      <c r="P471" s="78"/>
      <c r="Q471" s="78"/>
      <c r="R471" s="78"/>
      <c r="S471" s="78"/>
      <c r="T471" s="78"/>
      <c r="U471" s="78"/>
      <c r="V471" s="78"/>
      <c r="W471" s="78"/>
      <c r="X471" s="78"/>
      <c r="Y471" s="78"/>
    </row>
    <row r="472" spans="1:25" x14ac:dyDescent="0.25">
      <c r="A472" s="112" t="s">
        <v>682</v>
      </c>
      <c r="B472" s="78"/>
      <c r="C472" s="114"/>
      <c r="D472" s="78"/>
      <c r="E472" s="78"/>
      <c r="F472" s="78"/>
      <c r="G472" s="78"/>
      <c r="H472" s="78"/>
      <c r="I472" s="78"/>
      <c r="J472" s="78"/>
      <c r="K472" s="78"/>
      <c r="L472" s="78"/>
      <c r="M472" s="78"/>
      <c r="N472" s="78"/>
      <c r="O472" s="78"/>
      <c r="P472" s="78"/>
      <c r="Q472" s="78"/>
      <c r="R472" s="78"/>
      <c r="S472" s="78"/>
      <c r="T472" s="78"/>
      <c r="U472" s="78"/>
      <c r="V472" s="78"/>
      <c r="W472" s="78"/>
      <c r="X472" s="78"/>
      <c r="Y472" s="78"/>
    </row>
    <row r="473" spans="1:25" x14ac:dyDescent="0.25">
      <c r="A473" s="112" t="s">
        <v>682</v>
      </c>
      <c r="B473" s="78"/>
      <c r="C473" s="114"/>
      <c r="D473" s="78"/>
      <c r="E473" s="78"/>
      <c r="F473" s="78"/>
      <c r="G473" s="78"/>
      <c r="H473" s="78"/>
      <c r="I473" s="78"/>
      <c r="J473" s="78"/>
      <c r="K473" s="78"/>
      <c r="L473" s="78"/>
      <c r="M473" s="78"/>
      <c r="N473" s="78"/>
      <c r="O473" s="78"/>
      <c r="P473" s="78"/>
      <c r="Q473" s="78"/>
      <c r="R473" s="78"/>
      <c r="S473" s="78"/>
      <c r="T473" s="78"/>
      <c r="U473" s="78"/>
      <c r="V473" s="78"/>
      <c r="W473" s="78"/>
      <c r="X473" s="78"/>
      <c r="Y473" s="78"/>
    </row>
    <row r="474" spans="1:25" x14ac:dyDescent="0.25">
      <c r="A474" s="112" t="s">
        <v>682</v>
      </c>
      <c r="B474" s="78"/>
      <c r="C474" s="114"/>
      <c r="D474" s="78"/>
      <c r="E474" s="78"/>
      <c r="F474" s="78"/>
      <c r="G474" s="78"/>
      <c r="H474" s="78"/>
      <c r="I474" s="78"/>
      <c r="J474" s="78"/>
      <c r="K474" s="78"/>
      <c r="L474" s="78"/>
      <c r="M474" s="78"/>
      <c r="N474" s="78"/>
      <c r="O474" s="78"/>
      <c r="P474" s="78"/>
      <c r="Q474" s="78"/>
      <c r="R474" s="78"/>
      <c r="S474" s="78"/>
      <c r="T474" s="78"/>
      <c r="U474" s="78"/>
      <c r="V474" s="78"/>
      <c r="W474" s="78"/>
      <c r="X474" s="78"/>
      <c r="Y474" s="78"/>
    </row>
    <row r="475" spans="1:25" x14ac:dyDescent="0.25">
      <c r="A475" s="112" t="s">
        <v>682</v>
      </c>
      <c r="B475" s="78"/>
      <c r="C475" s="114"/>
      <c r="D475" s="78"/>
      <c r="E475" s="78"/>
      <c r="F475" s="78"/>
      <c r="G475" s="78"/>
      <c r="H475" s="78"/>
      <c r="I475" s="78"/>
      <c r="J475" s="78"/>
      <c r="K475" s="78"/>
      <c r="L475" s="78"/>
      <c r="M475" s="78"/>
      <c r="N475" s="78"/>
      <c r="O475" s="78"/>
      <c r="P475" s="78"/>
      <c r="Q475" s="78"/>
      <c r="R475" s="78"/>
      <c r="S475" s="78"/>
      <c r="T475" s="78"/>
      <c r="U475" s="78"/>
      <c r="V475" s="78"/>
      <c r="W475" s="78"/>
      <c r="X475" s="78"/>
      <c r="Y475" s="78"/>
    </row>
    <row r="476" spans="1:25" x14ac:dyDescent="0.25">
      <c r="A476" s="112" t="s">
        <v>682</v>
      </c>
      <c r="B476" s="78"/>
      <c r="C476" s="114"/>
      <c r="D476" s="78"/>
      <c r="E476" s="78"/>
      <c r="F476" s="78"/>
      <c r="G476" s="78"/>
      <c r="H476" s="78"/>
      <c r="I476" s="78"/>
      <c r="J476" s="78"/>
      <c r="K476" s="78"/>
      <c r="L476" s="78"/>
      <c r="M476" s="78"/>
      <c r="N476" s="78"/>
      <c r="O476" s="78"/>
      <c r="P476" s="78"/>
      <c r="Q476" s="78"/>
      <c r="R476" s="78"/>
      <c r="S476" s="78"/>
      <c r="T476" s="78"/>
      <c r="U476" s="78"/>
      <c r="V476" s="78"/>
      <c r="W476" s="78"/>
      <c r="X476" s="78"/>
      <c r="Y476" s="78"/>
    </row>
    <row r="477" spans="1:25" x14ac:dyDescent="0.25">
      <c r="A477" s="112" t="s">
        <v>682</v>
      </c>
      <c r="B477" s="78"/>
      <c r="C477" s="114"/>
      <c r="D477" s="78"/>
      <c r="E477" s="78"/>
      <c r="F477" s="78"/>
      <c r="G477" s="78"/>
      <c r="H477" s="78"/>
      <c r="I477" s="78"/>
      <c r="J477" s="78"/>
      <c r="K477" s="78"/>
      <c r="L477" s="78"/>
      <c r="M477" s="78"/>
      <c r="N477" s="78"/>
      <c r="O477" s="78"/>
      <c r="P477" s="78"/>
      <c r="Q477" s="78"/>
      <c r="R477" s="78"/>
      <c r="S477" s="78"/>
      <c r="T477" s="78"/>
      <c r="U477" s="78"/>
      <c r="V477" s="78"/>
      <c r="W477" s="78"/>
      <c r="X477" s="78"/>
      <c r="Y477" s="78"/>
    </row>
    <row r="478" spans="1:25" x14ac:dyDescent="0.25">
      <c r="A478" s="112" t="s">
        <v>682</v>
      </c>
      <c r="B478" s="78"/>
      <c r="C478" s="114"/>
      <c r="D478" s="78"/>
      <c r="E478" s="78"/>
      <c r="F478" s="78"/>
      <c r="G478" s="78"/>
      <c r="H478" s="78"/>
      <c r="I478" s="78"/>
      <c r="J478" s="78"/>
      <c r="K478" s="78"/>
      <c r="L478" s="78"/>
      <c r="M478" s="78"/>
      <c r="N478" s="78"/>
      <c r="O478" s="78"/>
      <c r="P478" s="78"/>
      <c r="Q478" s="78"/>
      <c r="R478" s="78"/>
      <c r="S478" s="78"/>
      <c r="T478" s="78"/>
      <c r="U478" s="78"/>
      <c r="V478" s="78"/>
      <c r="W478" s="78"/>
      <c r="X478" s="78"/>
      <c r="Y478" s="78"/>
    </row>
    <row r="479" spans="1:25" x14ac:dyDescent="0.25">
      <c r="A479" s="112" t="s">
        <v>682</v>
      </c>
      <c r="B479" s="78"/>
      <c r="C479" s="114"/>
      <c r="D479" s="78"/>
      <c r="E479" s="78"/>
      <c r="F479" s="78"/>
      <c r="G479" s="78"/>
      <c r="H479" s="78"/>
      <c r="I479" s="78"/>
      <c r="J479" s="78"/>
      <c r="K479" s="78"/>
      <c r="L479" s="78"/>
      <c r="M479" s="78"/>
      <c r="N479" s="78"/>
      <c r="O479" s="78"/>
      <c r="P479" s="78"/>
      <c r="Q479" s="78"/>
      <c r="R479" s="78"/>
      <c r="S479" s="78"/>
      <c r="T479" s="78"/>
      <c r="U479" s="78"/>
      <c r="V479" s="78"/>
      <c r="W479" s="78"/>
      <c r="X479" s="78"/>
      <c r="Y479" s="78"/>
    </row>
    <row r="480" spans="1:25" x14ac:dyDescent="0.25">
      <c r="A480" s="112" t="s">
        <v>682</v>
      </c>
      <c r="B480" s="78"/>
      <c r="C480" s="114"/>
      <c r="D480" s="78"/>
      <c r="E480" s="78"/>
      <c r="F480" s="78"/>
      <c r="G480" s="78"/>
      <c r="H480" s="78"/>
      <c r="I480" s="78"/>
      <c r="J480" s="78"/>
      <c r="K480" s="78"/>
      <c r="L480" s="78"/>
      <c r="M480" s="78"/>
      <c r="N480" s="78"/>
      <c r="O480" s="78"/>
      <c r="P480" s="78"/>
      <c r="Q480" s="78"/>
      <c r="R480" s="78"/>
      <c r="S480" s="78"/>
      <c r="T480" s="78"/>
      <c r="U480" s="78"/>
      <c r="V480" s="78"/>
      <c r="W480" s="78"/>
      <c r="X480" s="78"/>
      <c r="Y480" s="78"/>
    </row>
    <row r="481" spans="1:25" x14ac:dyDescent="0.25">
      <c r="A481" s="112" t="s">
        <v>682</v>
      </c>
      <c r="B481" s="78"/>
      <c r="C481" s="114"/>
      <c r="D481" s="78"/>
      <c r="E481" s="78"/>
      <c r="F481" s="78"/>
      <c r="G481" s="78"/>
      <c r="H481" s="78"/>
      <c r="I481" s="78"/>
      <c r="J481" s="78"/>
      <c r="K481" s="78"/>
      <c r="L481" s="78"/>
      <c r="M481" s="78"/>
      <c r="N481" s="78"/>
      <c r="O481" s="78"/>
      <c r="P481" s="78"/>
      <c r="Q481" s="78"/>
      <c r="R481" s="78"/>
      <c r="S481" s="78"/>
      <c r="T481" s="78"/>
      <c r="U481" s="78"/>
      <c r="V481" s="78"/>
      <c r="W481" s="78"/>
      <c r="X481" s="78"/>
      <c r="Y481" s="78"/>
    </row>
    <row r="482" spans="1:25" x14ac:dyDescent="0.25">
      <c r="A482" s="112" t="s">
        <v>682</v>
      </c>
      <c r="B482" s="78"/>
      <c r="C482" s="114"/>
      <c r="D482" s="78"/>
      <c r="E482" s="78"/>
      <c r="F482" s="78"/>
      <c r="G482" s="78"/>
      <c r="H482" s="78"/>
      <c r="I482" s="78"/>
      <c r="J482" s="78"/>
      <c r="K482" s="78"/>
      <c r="L482" s="78"/>
      <c r="M482" s="78"/>
      <c r="N482" s="78"/>
      <c r="O482" s="78"/>
      <c r="P482" s="78"/>
      <c r="Q482" s="78"/>
      <c r="R482" s="78"/>
      <c r="S482" s="78"/>
      <c r="T482" s="78"/>
      <c r="U482" s="78"/>
      <c r="V482" s="78"/>
      <c r="W482" s="78"/>
      <c r="X482" s="78"/>
      <c r="Y482" s="78"/>
    </row>
    <row r="483" spans="1:25" x14ac:dyDescent="0.25">
      <c r="A483" s="112" t="s">
        <v>682</v>
      </c>
      <c r="B483" s="78"/>
      <c r="C483" s="114"/>
      <c r="D483" s="78"/>
      <c r="E483" s="78"/>
      <c r="F483" s="78"/>
      <c r="G483" s="78"/>
      <c r="H483" s="78"/>
      <c r="I483" s="78"/>
      <c r="J483" s="78"/>
      <c r="K483" s="78"/>
      <c r="L483" s="78"/>
      <c r="M483" s="78"/>
      <c r="N483" s="78"/>
      <c r="O483" s="78"/>
      <c r="P483" s="78"/>
      <c r="Q483" s="78"/>
      <c r="R483" s="78"/>
      <c r="S483" s="78"/>
      <c r="T483" s="78"/>
      <c r="U483" s="78"/>
      <c r="V483" s="78"/>
      <c r="W483" s="78"/>
      <c r="X483" s="78"/>
      <c r="Y483" s="78"/>
    </row>
    <row r="484" spans="1:25" x14ac:dyDescent="0.25">
      <c r="A484" s="112" t="s">
        <v>682</v>
      </c>
      <c r="B484" s="78"/>
      <c r="C484" s="114"/>
      <c r="D484" s="78"/>
      <c r="E484" s="78"/>
      <c r="F484" s="78"/>
      <c r="G484" s="78"/>
      <c r="H484" s="78"/>
      <c r="I484" s="78"/>
      <c r="J484" s="78"/>
      <c r="K484" s="78"/>
      <c r="L484" s="78"/>
      <c r="M484" s="78"/>
      <c r="N484" s="78"/>
      <c r="O484" s="78"/>
      <c r="P484" s="78"/>
      <c r="Q484" s="78"/>
      <c r="R484" s="78"/>
      <c r="S484" s="78"/>
      <c r="T484" s="78"/>
      <c r="U484" s="78"/>
      <c r="V484" s="78"/>
      <c r="W484" s="78"/>
      <c r="X484" s="78"/>
      <c r="Y484" s="78"/>
    </row>
    <row r="485" spans="1:25" x14ac:dyDescent="0.25">
      <c r="A485" s="112" t="s">
        <v>682</v>
      </c>
      <c r="B485" s="78"/>
      <c r="C485" s="114"/>
      <c r="D485" s="78"/>
      <c r="E485" s="78"/>
      <c r="F485" s="78"/>
      <c r="G485" s="78"/>
      <c r="H485" s="78"/>
      <c r="I485" s="78"/>
      <c r="J485" s="78"/>
      <c r="K485" s="78"/>
      <c r="L485" s="78"/>
      <c r="M485" s="78"/>
      <c r="N485" s="78"/>
      <c r="O485" s="78"/>
      <c r="P485" s="78"/>
      <c r="Q485" s="78"/>
      <c r="R485" s="78"/>
      <c r="S485" s="78"/>
      <c r="T485" s="78"/>
      <c r="U485" s="78"/>
      <c r="V485" s="78"/>
      <c r="W485" s="78"/>
      <c r="X485" s="78"/>
      <c r="Y485" s="78"/>
    </row>
    <row r="486" spans="1:25" x14ac:dyDescent="0.25">
      <c r="A486" s="112" t="s">
        <v>682</v>
      </c>
      <c r="B486" s="78"/>
      <c r="C486" s="114"/>
      <c r="D486" s="78"/>
      <c r="E486" s="78"/>
      <c r="F486" s="78"/>
      <c r="G486" s="78"/>
      <c r="H486" s="78"/>
      <c r="I486" s="78"/>
      <c r="J486" s="78"/>
      <c r="K486" s="78"/>
      <c r="L486" s="78"/>
      <c r="M486" s="78"/>
      <c r="N486" s="78"/>
      <c r="O486" s="78"/>
      <c r="P486" s="78"/>
      <c r="Q486" s="78"/>
      <c r="R486" s="78"/>
      <c r="S486" s="78"/>
      <c r="T486" s="78"/>
      <c r="U486" s="78"/>
      <c r="V486" s="78"/>
      <c r="W486" s="78"/>
      <c r="X486" s="78"/>
      <c r="Y486" s="78"/>
    </row>
    <row r="487" spans="1:25" x14ac:dyDescent="0.25">
      <c r="A487" s="112" t="s">
        <v>682</v>
      </c>
      <c r="B487" s="78"/>
      <c r="C487" s="114"/>
      <c r="D487" s="78"/>
      <c r="E487" s="78"/>
      <c r="F487" s="78"/>
      <c r="G487" s="78"/>
      <c r="H487" s="78"/>
      <c r="I487" s="78"/>
      <c r="J487" s="78"/>
      <c r="K487" s="78"/>
      <c r="L487" s="78"/>
      <c r="M487" s="78"/>
      <c r="N487" s="78"/>
      <c r="O487" s="78"/>
      <c r="P487" s="78"/>
      <c r="Q487" s="78"/>
      <c r="R487" s="78"/>
      <c r="S487" s="78"/>
      <c r="T487" s="78"/>
      <c r="U487" s="78"/>
      <c r="V487" s="78"/>
      <c r="W487" s="78"/>
      <c r="X487" s="78"/>
      <c r="Y487" s="78"/>
    </row>
    <row r="488" spans="1:25" x14ac:dyDescent="0.25">
      <c r="A488" s="112" t="s">
        <v>682</v>
      </c>
      <c r="B488" s="78"/>
      <c r="C488" s="114"/>
      <c r="D488" s="78"/>
      <c r="E488" s="78"/>
      <c r="F488" s="78"/>
      <c r="G488" s="78"/>
      <c r="H488" s="78"/>
      <c r="I488" s="78"/>
      <c r="J488" s="78"/>
      <c r="K488" s="78"/>
      <c r="L488" s="78"/>
      <c r="M488" s="78"/>
      <c r="N488" s="78"/>
      <c r="O488" s="78"/>
      <c r="P488" s="78"/>
      <c r="Q488" s="78"/>
      <c r="R488" s="78"/>
      <c r="S488" s="78"/>
      <c r="T488" s="78"/>
      <c r="U488" s="78"/>
      <c r="V488" s="78"/>
      <c r="W488" s="78"/>
      <c r="X488" s="78"/>
      <c r="Y488" s="78"/>
    </row>
    <row r="489" spans="1:25" x14ac:dyDescent="0.25">
      <c r="A489" s="112" t="s">
        <v>682</v>
      </c>
      <c r="B489" s="78"/>
      <c r="C489" s="114"/>
      <c r="D489" s="78"/>
      <c r="E489" s="78"/>
      <c r="F489" s="78"/>
      <c r="G489" s="78"/>
      <c r="H489" s="78"/>
      <c r="I489" s="78"/>
      <c r="J489" s="78"/>
      <c r="K489" s="78"/>
      <c r="L489" s="78"/>
      <c r="M489" s="78"/>
      <c r="N489" s="78"/>
      <c r="O489" s="78"/>
      <c r="P489" s="78"/>
      <c r="Q489" s="78"/>
      <c r="R489" s="78"/>
      <c r="S489" s="78"/>
      <c r="T489" s="78"/>
      <c r="U489" s="78"/>
      <c r="V489" s="78"/>
      <c r="W489" s="78"/>
      <c r="X489" s="78"/>
      <c r="Y489" s="78"/>
    </row>
    <row r="490" spans="1:25" x14ac:dyDescent="0.25">
      <c r="A490" s="112" t="s">
        <v>682</v>
      </c>
      <c r="B490" s="78"/>
      <c r="C490" s="114"/>
      <c r="D490" s="78"/>
      <c r="E490" s="78"/>
      <c r="F490" s="78"/>
      <c r="G490" s="78"/>
      <c r="H490" s="78"/>
      <c r="I490" s="78"/>
      <c r="J490" s="78"/>
      <c r="K490" s="78"/>
      <c r="L490" s="78"/>
      <c r="M490" s="78"/>
      <c r="N490" s="78"/>
      <c r="O490" s="78"/>
      <c r="P490" s="78"/>
      <c r="Q490" s="78"/>
      <c r="R490" s="78"/>
      <c r="S490" s="78"/>
      <c r="T490" s="78"/>
      <c r="U490" s="78"/>
      <c r="V490" s="78"/>
      <c r="W490" s="78"/>
      <c r="X490" s="78"/>
      <c r="Y490" s="78"/>
    </row>
    <row r="491" spans="1:25" x14ac:dyDescent="0.25">
      <c r="A491" s="112" t="s">
        <v>682</v>
      </c>
      <c r="B491" s="78"/>
      <c r="C491" s="114"/>
      <c r="D491" s="78"/>
      <c r="E491" s="78"/>
      <c r="F491" s="78"/>
      <c r="G491" s="78"/>
      <c r="H491" s="78"/>
      <c r="I491" s="78"/>
      <c r="J491" s="78"/>
      <c r="K491" s="78"/>
      <c r="L491" s="78"/>
      <c r="M491" s="78"/>
      <c r="N491" s="78"/>
      <c r="O491" s="78"/>
      <c r="P491" s="78"/>
      <c r="Q491" s="78"/>
      <c r="R491" s="78"/>
      <c r="S491" s="78"/>
      <c r="T491" s="78"/>
      <c r="U491" s="78"/>
      <c r="V491" s="78"/>
      <c r="W491" s="78"/>
      <c r="X491" s="78"/>
      <c r="Y491" s="78"/>
    </row>
    <row r="492" spans="1:25" x14ac:dyDescent="0.25">
      <c r="A492" s="112" t="s">
        <v>682</v>
      </c>
      <c r="B492" s="78"/>
      <c r="C492" s="114"/>
      <c r="D492" s="78"/>
      <c r="E492" s="78"/>
      <c r="F492" s="78"/>
      <c r="G492" s="78"/>
      <c r="H492" s="78"/>
      <c r="I492" s="78"/>
      <c r="J492" s="78"/>
      <c r="K492" s="78"/>
      <c r="L492" s="78"/>
      <c r="M492" s="78"/>
      <c r="N492" s="78"/>
      <c r="O492" s="78"/>
      <c r="P492" s="78"/>
      <c r="Q492" s="78"/>
      <c r="R492" s="78"/>
      <c r="S492" s="78"/>
      <c r="T492" s="78"/>
      <c r="U492" s="78"/>
      <c r="V492" s="78"/>
      <c r="W492" s="78"/>
      <c r="X492" s="78"/>
      <c r="Y492" s="78"/>
    </row>
    <row r="493" spans="1:25" x14ac:dyDescent="0.25">
      <c r="A493" s="112" t="s">
        <v>682</v>
      </c>
      <c r="B493" s="78"/>
      <c r="C493" s="114"/>
      <c r="D493" s="78"/>
      <c r="E493" s="78"/>
      <c r="F493" s="78"/>
      <c r="G493" s="78"/>
      <c r="H493" s="78"/>
      <c r="I493" s="78"/>
      <c r="J493" s="78"/>
      <c r="K493" s="78"/>
      <c r="L493" s="78"/>
      <c r="M493" s="78"/>
      <c r="N493" s="78"/>
      <c r="O493" s="78"/>
      <c r="P493" s="78"/>
      <c r="Q493" s="78"/>
      <c r="R493" s="78"/>
      <c r="S493" s="78"/>
      <c r="T493" s="78"/>
      <c r="U493" s="78"/>
      <c r="V493" s="78"/>
      <c r="W493" s="78"/>
      <c r="X493" s="78"/>
      <c r="Y493" s="78"/>
    </row>
    <row r="494" spans="1:25" x14ac:dyDescent="0.25">
      <c r="A494" s="112" t="s">
        <v>682</v>
      </c>
      <c r="B494" s="78"/>
      <c r="C494" s="114"/>
      <c r="D494" s="78"/>
      <c r="E494" s="78"/>
      <c r="F494" s="78"/>
      <c r="G494" s="78"/>
      <c r="H494" s="78"/>
      <c r="I494" s="78"/>
      <c r="J494" s="78"/>
      <c r="K494" s="78"/>
      <c r="L494" s="78"/>
      <c r="M494" s="78"/>
      <c r="N494" s="78"/>
      <c r="O494" s="78"/>
      <c r="P494" s="78"/>
      <c r="Q494" s="78"/>
      <c r="R494" s="78"/>
      <c r="S494" s="78"/>
      <c r="T494" s="78"/>
      <c r="U494" s="78"/>
      <c r="V494" s="78"/>
      <c r="W494" s="78"/>
      <c r="X494" s="78"/>
      <c r="Y494" s="78"/>
    </row>
    <row r="495" spans="1:25" x14ac:dyDescent="0.25">
      <c r="A495" s="112" t="s">
        <v>682</v>
      </c>
      <c r="B495" s="78"/>
      <c r="C495" s="114"/>
      <c r="D495" s="78"/>
      <c r="E495" s="78"/>
      <c r="F495" s="78"/>
      <c r="G495" s="78"/>
      <c r="H495" s="78"/>
      <c r="I495" s="78"/>
      <c r="J495" s="78"/>
      <c r="K495" s="78"/>
      <c r="L495" s="78"/>
      <c r="M495" s="78"/>
      <c r="N495" s="78"/>
      <c r="O495" s="78"/>
      <c r="P495" s="78"/>
      <c r="Q495" s="78"/>
      <c r="R495" s="78"/>
      <c r="S495" s="78"/>
      <c r="T495" s="78"/>
      <c r="U495" s="78"/>
      <c r="V495" s="78"/>
      <c r="W495" s="78"/>
      <c r="X495" s="78"/>
      <c r="Y495" s="78"/>
    </row>
    <row r="496" spans="1:25" x14ac:dyDescent="0.25">
      <c r="A496" s="112" t="s">
        <v>682</v>
      </c>
      <c r="B496" s="78"/>
      <c r="C496" s="114"/>
      <c r="D496" s="78"/>
      <c r="E496" s="78"/>
      <c r="F496" s="78"/>
      <c r="G496" s="78"/>
      <c r="H496" s="78"/>
      <c r="I496" s="78"/>
      <c r="J496" s="78"/>
      <c r="K496" s="78"/>
      <c r="L496" s="78"/>
      <c r="M496" s="78"/>
      <c r="N496" s="78"/>
      <c r="O496" s="78"/>
      <c r="P496" s="78"/>
      <c r="Q496" s="78"/>
      <c r="R496" s="78"/>
      <c r="S496" s="78"/>
      <c r="T496" s="78"/>
      <c r="U496" s="78"/>
      <c r="V496" s="78"/>
      <c r="W496" s="78"/>
      <c r="X496" s="78"/>
      <c r="Y496" s="78"/>
    </row>
    <row r="497" spans="1:25" x14ac:dyDescent="0.25">
      <c r="A497" s="112" t="s">
        <v>682</v>
      </c>
      <c r="B497" s="78"/>
      <c r="C497" s="114"/>
      <c r="D497" s="78"/>
      <c r="E497" s="78"/>
      <c r="F497" s="78"/>
      <c r="G497" s="78"/>
      <c r="H497" s="78"/>
      <c r="I497" s="78"/>
      <c r="J497" s="78"/>
      <c r="K497" s="78"/>
      <c r="L497" s="78"/>
      <c r="M497" s="78"/>
      <c r="N497" s="78"/>
      <c r="O497" s="78"/>
      <c r="P497" s="78"/>
      <c r="Q497" s="78"/>
      <c r="R497" s="78"/>
      <c r="S497" s="78"/>
      <c r="T497" s="78"/>
      <c r="U497" s="78"/>
      <c r="V497" s="78"/>
      <c r="W497" s="78"/>
      <c r="X497" s="78"/>
      <c r="Y497" s="78"/>
    </row>
    <row r="498" spans="1:25" x14ac:dyDescent="0.25">
      <c r="A498" s="112" t="s">
        <v>682</v>
      </c>
      <c r="B498" s="78"/>
      <c r="C498" s="114"/>
      <c r="D498" s="78"/>
      <c r="E498" s="78"/>
      <c r="F498" s="78"/>
      <c r="G498" s="78"/>
      <c r="H498" s="78"/>
      <c r="I498" s="78"/>
      <c r="J498" s="78"/>
      <c r="K498" s="78"/>
      <c r="L498" s="78"/>
      <c r="M498" s="78"/>
      <c r="N498" s="78"/>
      <c r="O498" s="78"/>
      <c r="P498" s="78"/>
      <c r="Q498" s="78"/>
      <c r="R498" s="78"/>
      <c r="S498" s="78"/>
      <c r="T498" s="78"/>
      <c r="U498" s="78"/>
      <c r="V498" s="78"/>
      <c r="W498" s="78"/>
      <c r="X498" s="78"/>
      <c r="Y498" s="78"/>
    </row>
    <row r="499" spans="1:25" x14ac:dyDescent="0.25">
      <c r="A499" s="112" t="s">
        <v>682</v>
      </c>
      <c r="B499" s="78"/>
      <c r="C499" s="114"/>
      <c r="D499" s="78"/>
      <c r="E499" s="78"/>
      <c r="F499" s="78"/>
      <c r="G499" s="78"/>
      <c r="H499" s="78"/>
      <c r="I499" s="78"/>
      <c r="J499" s="78"/>
      <c r="K499" s="78"/>
      <c r="L499" s="78"/>
      <c r="M499" s="78"/>
      <c r="N499" s="78"/>
      <c r="O499" s="78"/>
      <c r="P499" s="78"/>
      <c r="Q499" s="78"/>
      <c r="R499" s="78"/>
      <c r="S499" s="78"/>
      <c r="T499" s="78"/>
      <c r="U499" s="78"/>
      <c r="V499" s="78"/>
      <c r="W499" s="78"/>
      <c r="X499" s="78"/>
      <c r="Y499" s="78"/>
    </row>
    <row r="500" spans="1:25" x14ac:dyDescent="0.25">
      <c r="A500" s="112" t="s">
        <v>682</v>
      </c>
      <c r="B500" s="78"/>
      <c r="C500" s="114"/>
      <c r="D500" s="78"/>
      <c r="E500" s="78"/>
      <c r="F500" s="78"/>
      <c r="G500" s="78"/>
      <c r="H500" s="78"/>
      <c r="I500" s="78"/>
      <c r="J500" s="78"/>
      <c r="K500" s="78"/>
      <c r="L500" s="78"/>
      <c r="M500" s="78"/>
      <c r="N500" s="78"/>
      <c r="O500" s="78"/>
      <c r="P500" s="78"/>
      <c r="Q500" s="78"/>
      <c r="R500" s="78"/>
      <c r="S500" s="78"/>
      <c r="T500" s="78"/>
      <c r="U500" s="78"/>
      <c r="V500" s="78"/>
      <c r="W500" s="78"/>
      <c r="X500" s="78"/>
      <c r="Y500" s="78"/>
    </row>
    <row r="501" spans="1:25" x14ac:dyDescent="0.25">
      <c r="A501" s="112" t="s">
        <v>682</v>
      </c>
      <c r="B501" s="78"/>
      <c r="C501" s="114"/>
      <c r="D501" s="78"/>
      <c r="E501" s="78"/>
      <c r="F501" s="78"/>
      <c r="G501" s="78"/>
      <c r="H501" s="78"/>
      <c r="I501" s="78"/>
      <c r="J501" s="78"/>
      <c r="K501" s="78"/>
      <c r="L501" s="78"/>
      <c r="M501" s="78"/>
      <c r="N501" s="78"/>
      <c r="O501" s="78"/>
      <c r="P501" s="78"/>
      <c r="Q501" s="78"/>
      <c r="R501" s="78"/>
      <c r="S501" s="78"/>
      <c r="T501" s="78"/>
      <c r="U501" s="78"/>
      <c r="V501" s="78"/>
      <c r="W501" s="78"/>
      <c r="X501" s="78"/>
      <c r="Y501" s="78"/>
    </row>
    <row r="502" spans="1:25" x14ac:dyDescent="0.25">
      <c r="A502" s="112" t="s">
        <v>682</v>
      </c>
      <c r="B502" s="78"/>
      <c r="C502" s="114"/>
      <c r="D502" s="78"/>
      <c r="E502" s="78"/>
      <c r="F502" s="78"/>
      <c r="G502" s="78"/>
      <c r="H502" s="78"/>
      <c r="I502" s="78"/>
      <c r="J502" s="78"/>
      <c r="K502" s="78"/>
      <c r="L502" s="78"/>
      <c r="M502" s="78"/>
      <c r="N502" s="78"/>
      <c r="O502" s="78"/>
      <c r="P502" s="78"/>
      <c r="Q502" s="78"/>
      <c r="R502" s="78"/>
      <c r="S502" s="78"/>
      <c r="T502" s="78"/>
      <c r="U502" s="78"/>
      <c r="V502" s="78"/>
      <c r="W502" s="78"/>
      <c r="X502" s="78"/>
      <c r="Y502" s="78"/>
    </row>
    <row r="503" spans="1:25" x14ac:dyDescent="0.25">
      <c r="A503" s="112" t="s">
        <v>682</v>
      </c>
      <c r="B503" s="78"/>
      <c r="C503" s="114"/>
      <c r="D503" s="78"/>
      <c r="E503" s="78"/>
      <c r="F503" s="78"/>
      <c r="G503" s="78"/>
      <c r="H503" s="78"/>
      <c r="I503" s="78"/>
      <c r="J503" s="78"/>
      <c r="K503" s="78"/>
      <c r="L503" s="78"/>
      <c r="M503" s="78"/>
      <c r="N503" s="78"/>
      <c r="O503" s="78"/>
      <c r="P503" s="78"/>
      <c r="Q503" s="78"/>
      <c r="R503" s="78"/>
      <c r="S503" s="78"/>
      <c r="T503" s="78"/>
      <c r="U503" s="78"/>
      <c r="V503" s="78"/>
      <c r="W503" s="78"/>
      <c r="X503" s="78"/>
      <c r="Y503" s="78"/>
    </row>
    <row r="504" spans="1:25" x14ac:dyDescent="0.25">
      <c r="A504" s="112" t="s">
        <v>682</v>
      </c>
      <c r="B504" s="78"/>
      <c r="C504" s="114"/>
      <c r="D504" s="78"/>
      <c r="E504" s="78"/>
      <c r="F504" s="78"/>
      <c r="G504" s="78"/>
      <c r="H504" s="78"/>
      <c r="I504" s="78"/>
      <c r="J504" s="78"/>
      <c r="K504" s="78"/>
      <c r="L504" s="78"/>
      <c r="M504" s="78"/>
      <c r="N504" s="78"/>
      <c r="O504" s="78"/>
      <c r="P504" s="78"/>
      <c r="Q504" s="78"/>
      <c r="R504" s="78"/>
      <c r="S504" s="78"/>
      <c r="T504" s="78"/>
      <c r="U504" s="78"/>
      <c r="V504" s="78"/>
      <c r="W504" s="78"/>
      <c r="X504" s="78"/>
      <c r="Y504" s="78"/>
    </row>
    <row r="505" spans="1:25" x14ac:dyDescent="0.25">
      <c r="A505" s="112" t="s">
        <v>682</v>
      </c>
      <c r="B505" s="78"/>
      <c r="C505" s="114"/>
      <c r="D505" s="78"/>
      <c r="E505" s="78"/>
      <c r="F505" s="78"/>
      <c r="G505" s="78"/>
      <c r="H505" s="78"/>
      <c r="I505" s="78"/>
      <c r="J505" s="78"/>
      <c r="K505" s="78"/>
      <c r="L505" s="78"/>
      <c r="M505" s="78"/>
      <c r="N505" s="78"/>
      <c r="O505" s="78"/>
      <c r="P505" s="78"/>
      <c r="Q505" s="78"/>
      <c r="R505" s="78"/>
      <c r="S505" s="78"/>
      <c r="T505" s="78"/>
      <c r="U505" s="78"/>
      <c r="V505" s="78"/>
      <c r="W505" s="78"/>
      <c r="X505" s="78"/>
      <c r="Y505" s="78"/>
    </row>
    <row r="506" spans="1:25" x14ac:dyDescent="0.25">
      <c r="A506" s="112" t="s">
        <v>682</v>
      </c>
      <c r="B506" s="78"/>
      <c r="C506" s="114"/>
      <c r="D506" s="78"/>
      <c r="E506" s="78"/>
      <c r="F506" s="78"/>
      <c r="G506" s="78"/>
      <c r="H506" s="78"/>
      <c r="I506" s="78"/>
      <c r="J506" s="78"/>
      <c r="K506" s="78"/>
      <c r="L506" s="78"/>
      <c r="M506" s="78"/>
      <c r="N506" s="78"/>
      <c r="O506" s="78"/>
      <c r="P506" s="78"/>
      <c r="Q506" s="78"/>
      <c r="R506" s="78"/>
      <c r="S506" s="78"/>
      <c r="T506" s="78"/>
      <c r="U506" s="78"/>
      <c r="V506" s="78"/>
      <c r="W506" s="78"/>
      <c r="X506" s="78"/>
      <c r="Y506" s="78"/>
    </row>
    <row r="507" spans="1:25" x14ac:dyDescent="0.25">
      <c r="A507" s="112" t="s">
        <v>682</v>
      </c>
      <c r="B507" s="78"/>
      <c r="C507" s="114"/>
      <c r="D507" s="78"/>
      <c r="E507" s="78"/>
      <c r="F507" s="78"/>
      <c r="G507" s="78"/>
      <c r="H507" s="78"/>
      <c r="I507" s="78"/>
      <c r="J507" s="78"/>
      <c r="K507" s="78"/>
      <c r="L507" s="78"/>
      <c r="M507" s="78"/>
      <c r="N507" s="78"/>
      <c r="O507" s="78"/>
      <c r="P507" s="78"/>
      <c r="Q507" s="78"/>
      <c r="R507" s="78"/>
      <c r="S507" s="78"/>
      <c r="T507" s="78"/>
      <c r="U507" s="78"/>
      <c r="V507" s="78"/>
      <c r="W507" s="78"/>
      <c r="X507" s="78"/>
      <c r="Y507" s="78"/>
    </row>
    <row r="508" spans="1:25" x14ac:dyDescent="0.25">
      <c r="A508" s="112" t="s">
        <v>682</v>
      </c>
      <c r="B508" s="78"/>
      <c r="C508" s="114"/>
      <c r="D508" s="78"/>
      <c r="E508" s="78"/>
      <c r="F508" s="78"/>
      <c r="G508" s="78"/>
      <c r="H508" s="78"/>
      <c r="I508" s="78"/>
      <c r="J508" s="78"/>
      <c r="K508" s="78"/>
      <c r="L508" s="78"/>
      <c r="M508" s="78"/>
      <c r="N508" s="78"/>
      <c r="O508" s="78"/>
      <c r="P508" s="78"/>
      <c r="Q508" s="78"/>
      <c r="R508" s="78"/>
      <c r="S508" s="78"/>
      <c r="T508" s="78"/>
      <c r="U508" s="78"/>
      <c r="V508" s="78"/>
      <c r="W508" s="78"/>
      <c r="X508" s="78"/>
      <c r="Y508" s="78"/>
    </row>
    <row r="509" spans="1:25" x14ac:dyDescent="0.25">
      <c r="A509" s="112" t="s">
        <v>682</v>
      </c>
      <c r="B509" s="78"/>
      <c r="C509" s="114"/>
      <c r="D509" s="78"/>
      <c r="E509" s="78"/>
      <c r="F509" s="78"/>
      <c r="G509" s="78"/>
      <c r="H509" s="78"/>
      <c r="I509" s="78"/>
      <c r="J509" s="78"/>
      <c r="K509" s="78"/>
      <c r="L509" s="78"/>
      <c r="M509" s="78"/>
      <c r="N509" s="78"/>
      <c r="O509" s="78"/>
      <c r="P509" s="78"/>
      <c r="Q509" s="78"/>
      <c r="R509" s="78"/>
      <c r="S509" s="78"/>
      <c r="T509" s="78"/>
      <c r="U509" s="78"/>
      <c r="V509" s="78"/>
      <c r="W509" s="78"/>
      <c r="X509" s="78"/>
      <c r="Y509" s="78"/>
    </row>
    <row r="510" spans="1:25" x14ac:dyDescent="0.25">
      <c r="A510" s="112" t="s">
        <v>682</v>
      </c>
      <c r="B510" s="78"/>
      <c r="C510" s="114"/>
      <c r="D510" s="78"/>
      <c r="E510" s="78"/>
      <c r="F510" s="78"/>
      <c r="G510" s="78"/>
      <c r="H510" s="78"/>
      <c r="I510" s="78"/>
      <c r="J510" s="78"/>
      <c r="K510" s="78"/>
      <c r="L510" s="78"/>
      <c r="M510" s="78"/>
      <c r="N510" s="78"/>
      <c r="O510" s="78"/>
      <c r="P510" s="78"/>
      <c r="Q510" s="78"/>
      <c r="R510" s="78"/>
      <c r="S510" s="78"/>
      <c r="T510" s="78"/>
      <c r="U510" s="78"/>
      <c r="V510" s="78"/>
      <c r="W510" s="78"/>
      <c r="X510" s="78"/>
      <c r="Y510" s="78"/>
    </row>
    <row r="511" spans="1:25" x14ac:dyDescent="0.25">
      <c r="A511" s="112" t="s">
        <v>682</v>
      </c>
      <c r="B511" s="78"/>
      <c r="C511" s="114"/>
      <c r="D511" s="78"/>
      <c r="E511" s="78"/>
      <c r="F511" s="78"/>
      <c r="G511" s="78"/>
      <c r="H511" s="78"/>
      <c r="I511" s="78"/>
      <c r="J511" s="78"/>
      <c r="K511" s="78"/>
      <c r="L511" s="78"/>
      <c r="M511" s="78"/>
      <c r="N511" s="78"/>
      <c r="O511" s="78"/>
      <c r="P511" s="78"/>
      <c r="Q511" s="78"/>
      <c r="R511" s="78"/>
      <c r="S511" s="78"/>
      <c r="T511" s="78"/>
      <c r="U511" s="78"/>
      <c r="V511" s="78"/>
      <c r="W511" s="78"/>
      <c r="X511" s="78"/>
      <c r="Y511" s="78"/>
    </row>
    <row r="512" spans="1:25" x14ac:dyDescent="0.25">
      <c r="A512" s="112" t="s">
        <v>682</v>
      </c>
      <c r="B512" s="78"/>
      <c r="C512" s="114"/>
      <c r="D512" s="78"/>
      <c r="E512" s="78"/>
      <c r="F512" s="78"/>
      <c r="G512" s="78"/>
      <c r="H512" s="78"/>
      <c r="I512" s="78"/>
      <c r="J512" s="78"/>
      <c r="K512" s="78"/>
      <c r="L512" s="78"/>
      <c r="M512" s="78"/>
      <c r="N512" s="78"/>
      <c r="O512" s="78"/>
      <c r="P512" s="78"/>
      <c r="Q512" s="78"/>
      <c r="R512" s="78"/>
      <c r="S512" s="78"/>
      <c r="T512" s="78"/>
      <c r="U512" s="78"/>
      <c r="V512" s="78"/>
      <c r="W512" s="78"/>
      <c r="X512" s="78"/>
      <c r="Y512" s="78"/>
    </row>
    <row r="513" spans="1:25" x14ac:dyDescent="0.25">
      <c r="A513" s="112" t="s">
        <v>682</v>
      </c>
      <c r="B513" s="78"/>
      <c r="C513" s="114"/>
      <c r="D513" s="78"/>
      <c r="E513" s="78"/>
      <c r="F513" s="78"/>
      <c r="G513" s="78"/>
      <c r="H513" s="78"/>
      <c r="I513" s="78"/>
      <c r="J513" s="78"/>
      <c r="K513" s="78"/>
      <c r="L513" s="78"/>
      <c r="M513" s="78"/>
      <c r="N513" s="78"/>
      <c r="O513" s="78"/>
      <c r="P513" s="78"/>
      <c r="Q513" s="78"/>
      <c r="R513" s="78"/>
      <c r="S513" s="78"/>
      <c r="T513" s="78"/>
      <c r="U513" s="78"/>
      <c r="V513" s="78"/>
      <c r="W513" s="78"/>
      <c r="X513" s="78"/>
      <c r="Y513" s="78"/>
    </row>
    <row r="514" spans="1:25" x14ac:dyDescent="0.25">
      <c r="A514" s="112" t="s">
        <v>682</v>
      </c>
      <c r="B514" s="78"/>
      <c r="C514" s="114"/>
      <c r="D514" s="78"/>
      <c r="E514" s="78"/>
      <c r="F514" s="78"/>
      <c r="G514" s="78"/>
      <c r="H514" s="78"/>
      <c r="I514" s="78"/>
      <c r="J514" s="78"/>
      <c r="K514" s="78"/>
      <c r="L514" s="78"/>
      <c r="M514" s="78"/>
      <c r="N514" s="78"/>
      <c r="O514" s="78"/>
      <c r="P514" s="78"/>
      <c r="Q514" s="78"/>
      <c r="R514" s="78"/>
      <c r="S514" s="78"/>
      <c r="T514" s="78"/>
      <c r="U514" s="78"/>
      <c r="V514" s="78"/>
      <c r="W514" s="78"/>
      <c r="X514" s="78"/>
      <c r="Y514" s="78"/>
    </row>
    <row r="515" spans="1:25" x14ac:dyDescent="0.25">
      <c r="A515" s="112" t="s">
        <v>682</v>
      </c>
      <c r="B515" s="78"/>
      <c r="C515" s="114"/>
      <c r="D515" s="78"/>
      <c r="E515" s="78"/>
      <c r="F515" s="78"/>
      <c r="G515" s="78"/>
      <c r="H515" s="78"/>
      <c r="I515" s="78"/>
      <c r="J515" s="78"/>
      <c r="K515" s="78"/>
      <c r="L515" s="78"/>
      <c r="M515" s="78"/>
      <c r="N515" s="78"/>
      <c r="O515" s="78"/>
      <c r="P515" s="78"/>
      <c r="Q515" s="78"/>
      <c r="R515" s="78"/>
      <c r="S515" s="78"/>
      <c r="T515" s="78"/>
      <c r="U515" s="78"/>
      <c r="V515" s="78"/>
      <c r="W515" s="78"/>
      <c r="X515" s="78"/>
      <c r="Y515" s="78"/>
    </row>
    <row r="516" spans="1:25" x14ac:dyDescent="0.25">
      <c r="A516" s="112" t="s">
        <v>682</v>
      </c>
      <c r="B516" s="78"/>
      <c r="C516" s="114"/>
      <c r="D516" s="78"/>
      <c r="E516" s="78"/>
      <c r="F516" s="78"/>
      <c r="G516" s="78"/>
      <c r="H516" s="78"/>
      <c r="I516" s="78"/>
      <c r="J516" s="78"/>
      <c r="K516" s="78"/>
      <c r="L516" s="78"/>
      <c r="M516" s="78"/>
      <c r="N516" s="78"/>
      <c r="O516" s="78"/>
      <c r="P516" s="78"/>
      <c r="Q516" s="78"/>
      <c r="R516" s="78"/>
      <c r="S516" s="78"/>
      <c r="T516" s="78"/>
      <c r="U516" s="78"/>
      <c r="V516" s="78"/>
      <c r="W516" s="78"/>
      <c r="X516" s="78"/>
      <c r="Y516" s="78"/>
    </row>
    <row r="517" spans="1:25" x14ac:dyDescent="0.25">
      <c r="A517" s="112" t="s">
        <v>682</v>
      </c>
      <c r="B517" s="78"/>
      <c r="C517" s="114"/>
      <c r="D517" s="78"/>
      <c r="E517" s="78"/>
      <c r="F517" s="78"/>
      <c r="G517" s="78"/>
      <c r="H517" s="78"/>
      <c r="I517" s="78"/>
      <c r="J517" s="78"/>
      <c r="K517" s="78"/>
      <c r="L517" s="78"/>
      <c r="M517" s="78"/>
      <c r="N517" s="78"/>
      <c r="O517" s="78"/>
      <c r="P517" s="78"/>
      <c r="Q517" s="78"/>
      <c r="R517" s="78"/>
      <c r="S517" s="78"/>
      <c r="T517" s="78"/>
      <c r="U517" s="78"/>
      <c r="V517" s="78"/>
      <c r="W517" s="78"/>
      <c r="X517" s="78"/>
      <c r="Y517" s="78"/>
    </row>
    <row r="518" spans="1:25" x14ac:dyDescent="0.25">
      <c r="A518" s="112" t="s">
        <v>682</v>
      </c>
      <c r="B518" s="78"/>
      <c r="C518" s="114"/>
      <c r="D518" s="78"/>
      <c r="E518" s="78"/>
      <c r="F518" s="78"/>
      <c r="G518" s="78"/>
      <c r="H518" s="78"/>
      <c r="I518" s="78"/>
      <c r="J518" s="78"/>
      <c r="K518" s="78"/>
      <c r="L518" s="78"/>
      <c r="M518" s="78"/>
      <c r="N518" s="78"/>
      <c r="O518" s="78"/>
      <c r="P518" s="78"/>
      <c r="Q518" s="78"/>
      <c r="R518" s="78"/>
      <c r="S518" s="78"/>
      <c r="T518" s="78"/>
      <c r="U518" s="78"/>
      <c r="V518" s="78"/>
      <c r="W518" s="78"/>
      <c r="X518" s="78"/>
      <c r="Y518" s="78"/>
    </row>
    <row r="519" spans="1:25" x14ac:dyDescent="0.25">
      <c r="A519" s="112" t="s">
        <v>682</v>
      </c>
      <c r="B519" s="78"/>
      <c r="C519" s="114"/>
      <c r="D519" s="78"/>
      <c r="E519" s="78"/>
      <c r="F519" s="78"/>
      <c r="G519" s="78"/>
      <c r="H519" s="78"/>
      <c r="I519" s="78"/>
      <c r="J519" s="78"/>
      <c r="K519" s="78"/>
      <c r="L519" s="78"/>
      <c r="M519" s="78"/>
      <c r="N519" s="78"/>
      <c r="O519" s="78"/>
      <c r="P519" s="78"/>
      <c r="Q519" s="78"/>
      <c r="R519" s="78"/>
      <c r="S519" s="78"/>
      <c r="T519" s="78"/>
      <c r="U519" s="78"/>
      <c r="V519" s="78"/>
      <c r="W519" s="78"/>
      <c r="X519" s="78"/>
      <c r="Y519" s="78"/>
    </row>
    <row r="520" spans="1:25" x14ac:dyDescent="0.25">
      <c r="A520" s="112" t="s">
        <v>682</v>
      </c>
      <c r="B520" s="78"/>
      <c r="C520" s="114"/>
      <c r="D520" s="78"/>
      <c r="E520" s="78"/>
      <c r="F520" s="78"/>
      <c r="G520" s="78"/>
      <c r="H520" s="78"/>
      <c r="I520" s="78"/>
      <c r="J520" s="78"/>
      <c r="K520" s="78"/>
      <c r="L520" s="78"/>
      <c r="M520" s="78"/>
      <c r="N520" s="78"/>
      <c r="O520" s="78"/>
      <c r="P520" s="78"/>
      <c r="Q520" s="78"/>
      <c r="R520" s="78"/>
      <c r="S520" s="78"/>
      <c r="T520" s="78"/>
      <c r="U520" s="78"/>
      <c r="V520" s="78"/>
      <c r="W520" s="78"/>
      <c r="X520" s="78"/>
      <c r="Y520" s="78"/>
    </row>
    <row r="521" spans="1:25" x14ac:dyDescent="0.25">
      <c r="A521" s="112" t="s">
        <v>682</v>
      </c>
      <c r="B521" s="78"/>
      <c r="C521" s="114"/>
      <c r="D521" s="78"/>
      <c r="E521" s="78"/>
      <c r="F521" s="78"/>
      <c r="G521" s="78"/>
      <c r="H521" s="78"/>
      <c r="I521" s="78"/>
      <c r="J521" s="78"/>
      <c r="K521" s="78"/>
      <c r="L521" s="78"/>
      <c r="M521" s="78"/>
      <c r="N521" s="78"/>
      <c r="O521" s="78"/>
      <c r="P521" s="78"/>
      <c r="Q521" s="78"/>
      <c r="R521" s="78"/>
      <c r="S521" s="78"/>
      <c r="T521" s="78"/>
      <c r="U521" s="78"/>
      <c r="V521" s="78"/>
      <c r="W521" s="78"/>
      <c r="X521" s="78"/>
      <c r="Y521" s="78"/>
    </row>
    <row r="522" spans="1:25" x14ac:dyDescent="0.25">
      <c r="A522" s="112" t="s">
        <v>682</v>
      </c>
      <c r="B522" s="78"/>
      <c r="C522" s="114"/>
      <c r="D522" s="78"/>
      <c r="E522" s="78"/>
      <c r="F522" s="78"/>
      <c r="G522" s="78"/>
      <c r="H522" s="78"/>
      <c r="I522" s="78"/>
      <c r="J522" s="78"/>
      <c r="K522" s="78"/>
      <c r="L522" s="78"/>
      <c r="M522" s="78"/>
      <c r="N522" s="78"/>
      <c r="O522" s="78"/>
      <c r="P522" s="78"/>
      <c r="Q522" s="78"/>
      <c r="R522" s="78"/>
      <c r="S522" s="78"/>
      <c r="T522" s="78"/>
      <c r="U522" s="78"/>
      <c r="V522" s="78"/>
      <c r="W522" s="78"/>
      <c r="X522" s="78"/>
      <c r="Y522" s="78"/>
    </row>
    <row r="523" spans="1:25" x14ac:dyDescent="0.25">
      <c r="A523" s="112" t="s">
        <v>682</v>
      </c>
      <c r="B523" s="78"/>
      <c r="C523" s="114"/>
      <c r="D523" s="78"/>
      <c r="E523" s="78"/>
      <c r="F523" s="78"/>
      <c r="G523" s="78"/>
      <c r="H523" s="78"/>
      <c r="I523" s="78"/>
      <c r="J523" s="78"/>
      <c r="K523" s="78"/>
      <c r="L523" s="78"/>
      <c r="M523" s="78"/>
      <c r="N523" s="78"/>
      <c r="O523" s="78"/>
      <c r="P523" s="78"/>
      <c r="Q523" s="78"/>
      <c r="R523" s="78"/>
      <c r="S523" s="78"/>
      <c r="T523" s="78"/>
      <c r="U523" s="78"/>
      <c r="V523" s="78"/>
      <c r="W523" s="78"/>
      <c r="X523" s="78"/>
      <c r="Y523" s="78"/>
    </row>
    <row r="524" spans="1:25" x14ac:dyDescent="0.25">
      <c r="A524" s="112" t="s">
        <v>682</v>
      </c>
      <c r="B524" s="78"/>
      <c r="C524" s="114"/>
      <c r="D524" s="78"/>
      <c r="E524" s="78"/>
      <c r="F524" s="78"/>
      <c r="G524" s="78"/>
      <c r="H524" s="78"/>
      <c r="I524" s="78"/>
      <c r="J524" s="78"/>
      <c r="K524" s="78"/>
      <c r="L524" s="78"/>
      <c r="M524" s="78"/>
      <c r="N524" s="78"/>
      <c r="O524" s="78"/>
      <c r="P524" s="78"/>
      <c r="Q524" s="78"/>
      <c r="R524" s="78"/>
      <c r="S524" s="78"/>
      <c r="T524" s="78"/>
      <c r="U524" s="78"/>
      <c r="V524" s="78"/>
      <c r="W524" s="78"/>
      <c r="X524" s="78"/>
      <c r="Y524" s="78"/>
    </row>
    <row r="525" spans="1:25" x14ac:dyDescent="0.25">
      <c r="A525" s="112" t="s">
        <v>682</v>
      </c>
      <c r="B525" s="78"/>
      <c r="C525" s="114"/>
      <c r="D525" s="78"/>
      <c r="E525" s="78"/>
      <c r="F525" s="78"/>
      <c r="G525" s="78"/>
      <c r="H525" s="78"/>
      <c r="I525" s="78"/>
      <c r="J525" s="78"/>
      <c r="K525" s="78"/>
      <c r="L525" s="78"/>
      <c r="M525" s="78"/>
      <c r="N525" s="78"/>
      <c r="O525" s="78"/>
      <c r="P525" s="78"/>
      <c r="Q525" s="78"/>
      <c r="R525" s="78"/>
      <c r="S525" s="78"/>
      <c r="T525" s="78"/>
      <c r="U525" s="78"/>
      <c r="V525" s="78"/>
      <c r="W525" s="78"/>
      <c r="X525" s="78"/>
      <c r="Y525" s="78"/>
    </row>
    <row r="526" spans="1:25" x14ac:dyDescent="0.25">
      <c r="A526" s="112" t="s">
        <v>682</v>
      </c>
      <c r="B526" s="78"/>
      <c r="C526" s="114"/>
      <c r="D526" s="78"/>
      <c r="E526" s="78"/>
      <c r="F526" s="78"/>
      <c r="G526" s="78"/>
      <c r="H526" s="78"/>
      <c r="I526" s="78"/>
      <c r="J526" s="78"/>
      <c r="K526" s="78"/>
      <c r="L526" s="78"/>
      <c r="M526" s="78"/>
      <c r="N526" s="78"/>
      <c r="O526" s="78"/>
      <c r="P526" s="78"/>
      <c r="Q526" s="78"/>
      <c r="R526" s="78"/>
      <c r="S526" s="78"/>
      <c r="T526" s="78"/>
      <c r="U526" s="78"/>
      <c r="V526" s="78"/>
      <c r="W526" s="78"/>
      <c r="X526" s="78"/>
      <c r="Y526" s="78"/>
    </row>
    <row r="527" spans="1:25" x14ac:dyDescent="0.25">
      <c r="A527" s="112" t="s">
        <v>682</v>
      </c>
      <c r="B527" s="78"/>
      <c r="C527" s="114"/>
      <c r="D527" s="78"/>
      <c r="E527" s="78"/>
      <c r="F527" s="78"/>
      <c r="G527" s="78"/>
      <c r="H527" s="78"/>
      <c r="I527" s="78"/>
      <c r="J527" s="78"/>
      <c r="K527" s="78"/>
      <c r="L527" s="78"/>
      <c r="M527" s="78"/>
      <c r="N527" s="78"/>
      <c r="O527" s="78"/>
      <c r="P527" s="78"/>
      <c r="Q527" s="78"/>
      <c r="R527" s="78"/>
      <c r="S527" s="78"/>
      <c r="T527" s="78"/>
      <c r="U527" s="78"/>
      <c r="V527" s="78"/>
      <c r="W527" s="78"/>
      <c r="X527" s="78"/>
      <c r="Y527" s="78"/>
    </row>
    <row r="528" spans="1:25" x14ac:dyDescent="0.25">
      <c r="A528" s="112" t="s">
        <v>682</v>
      </c>
      <c r="B528" s="78"/>
      <c r="C528" s="114"/>
      <c r="D528" s="78"/>
      <c r="E528" s="78"/>
      <c r="F528" s="78"/>
      <c r="G528" s="78"/>
      <c r="H528" s="78"/>
      <c r="I528" s="78"/>
      <c r="J528" s="78"/>
      <c r="K528" s="78"/>
      <c r="L528" s="78"/>
      <c r="M528" s="78"/>
      <c r="N528" s="78"/>
      <c r="O528" s="78"/>
      <c r="P528" s="78"/>
      <c r="Q528" s="78"/>
      <c r="R528" s="78"/>
      <c r="S528" s="78"/>
      <c r="T528" s="78"/>
      <c r="U528" s="78"/>
      <c r="V528" s="78"/>
      <c r="W528" s="78"/>
      <c r="X528" s="78"/>
      <c r="Y528" s="78"/>
    </row>
    <row r="529" spans="1:25" x14ac:dyDescent="0.25">
      <c r="A529" s="112" t="s">
        <v>682</v>
      </c>
      <c r="B529" s="78"/>
      <c r="C529" s="114"/>
      <c r="D529" s="78"/>
      <c r="E529" s="78"/>
      <c r="F529" s="78"/>
      <c r="G529" s="78"/>
      <c r="H529" s="78"/>
      <c r="I529" s="78"/>
      <c r="J529" s="78"/>
      <c r="K529" s="78"/>
      <c r="L529" s="78"/>
      <c r="M529" s="78"/>
      <c r="N529" s="78"/>
      <c r="O529" s="78"/>
      <c r="P529" s="78"/>
      <c r="Q529" s="78"/>
      <c r="R529" s="78"/>
      <c r="S529" s="78"/>
      <c r="T529" s="78"/>
      <c r="U529" s="78"/>
      <c r="V529" s="78"/>
      <c r="W529" s="78"/>
      <c r="X529" s="78"/>
      <c r="Y529" s="78"/>
    </row>
    <row r="530" spans="1:25" x14ac:dyDescent="0.25">
      <c r="A530" s="112" t="s">
        <v>682</v>
      </c>
      <c r="B530" s="78"/>
      <c r="C530" s="114"/>
      <c r="D530" s="78"/>
      <c r="E530" s="78"/>
      <c r="F530" s="78"/>
      <c r="G530" s="78"/>
      <c r="H530" s="78"/>
      <c r="I530" s="78"/>
      <c r="J530" s="78"/>
      <c r="K530" s="78"/>
      <c r="L530" s="78"/>
      <c r="M530" s="78"/>
      <c r="N530" s="78"/>
      <c r="O530" s="78"/>
      <c r="P530" s="78"/>
      <c r="Q530" s="78"/>
      <c r="R530" s="78"/>
      <c r="S530" s="78"/>
      <c r="T530" s="78"/>
      <c r="U530" s="78"/>
      <c r="V530" s="78"/>
      <c r="W530" s="78"/>
      <c r="X530" s="78"/>
      <c r="Y530" s="78"/>
    </row>
    <row r="531" spans="1:25" x14ac:dyDescent="0.25">
      <c r="A531" s="112" t="s">
        <v>682</v>
      </c>
      <c r="B531" s="78"/>
      <c r="C531" s="114"/>
      <c r="D531" s="78"/>
      <c r="E531" s="78"/>
      <c r="F531" s="78"/>
      <c r="G531" s="78"/>
      <c r="H531" s="78"/>
      <c r="I531" s="78"/>
      <c r="J531" s="78"/>
      <c r="K531" s="78"/>
      <c r="L531" s="78"/>
      <c r="M531" s="78"/>
      <c r="N531" s="78"/>
      <c r="O531" s="78"/>
      <c r="P531" s="78"/>
      <c r="Q531" s="78"/>
      <c r="R531" s="78"/>
      <c r="S531" s="78"/>
      <c r="T531" s="78"/>
      <c r="U531" s="78"/>
      <c r="V531" s="78"/>
      <c r="W531" s="78"/>
      <c r="X531" s="78"/>
      <c r="Y531" s="78"/>
    </row>
    <row r="532" spans="1:25" x14ac:dyDescent="0.25">
      <c r="A532" s="112" t="s">
        <v>682</v>
      </c>
      <c r="B532" s="78"/>
      <c r="C532" s="114"/>
      <c r="D532" s="78"/>
      <c r="E532" s="78"/>
      <c r="F532" s="78"/>
      <c r="G532" s="78"/>
      <c r="H532" s="78"/>
      <c r="I532" s="78"/>
      <c r="J532" s="78"/>
      <c r="K532" s="78"/>
      <c r="L532" s="78"/>
      <c r="M532" s="78"/>
      <c r="N532" s="78"/>
      <c r="O532" s="78"/>
      <c r="P532" s="78"/>
      <c r="Q532" s="78"/>
      <c r="R532" s="78"/>
      <c r="S532" s="78"/>
      <c r="T532" s="78"/>
      <c r="U532" s="78"/>
      <c r="V532" s="78"/>
      <c r="W532" s="78"/>
      <c r="X532" s="78"/>
      <c r="Y532" s="78"/>
    </row>
    <row r="533" spans="1:25" x14ac:dyDescent="0.25">
      <c r="A533" s="112" t="s">
        <v>682</v>
      </c>
      <c r="B533" s="78"/>
      <c r="C533" s="114"/>
      <c r="D533" s="78"/>
      <c r="E533" s="78"/>
      <c r="F533" s="78"/>
      <c r="G533" s="78"/>
      <c r="H533" s="78"/>
      <c r="I533" s="78"/>
      <c r="J533" s="78"/>
      <c r="K533" s="78"/>
      <c r="L533" s="78"/>
      <c r="M533" s="78"/>
      <c r="N533" s="78"/>
      <c r="O533" s="78"/>
      <c r="P533" s="78"/>
      <c r="Q533" s="78"/>
      <c r="R533" s="78"/>
      <c r="S533" s="78"/>
      <c r="T533" s="78"/>
      <c r="U533" s="78"/>
      <c r="V533" s="78"/>
      <c r="W533" s="78"/>
      <c r="X533" s="78"/>
      <c r="Y533" s="78"/>
    </row>
    <row r="534" spans="1:25" x14ac:dyDescent="0.25">
      <c r="A534" s="112" t="s">
        <v>682</v>
      </c>
      <c r="B534" s="78"/>
      <c r="C534" s="114"/>
      <c r="D534" s="78"/>
      <c r="E534" s="78"/>
      <c r="F534" s="78"/>
      <c r="G534" s="78"/>
      <c r="H534" s="78"/>
      <c r="I534" s="78"/>
      <c r="J534" s="78"/>
      <c r="K534" s="78"/>
      <c r="L534" s="78"/>
      <c r="M534" s="78"/>
      <c r="N534" s="78"/>
      <c r="O534" s="78"/>
      <c r="P534" s="78"/>
      <c r="Q534" s="78"/>
      <c r="R534" s="78"/>
      <c r="S534" s="78"/>
      <c r="T534" s="78"/>
      <c r="U534" s="78"/>
      <c r="V534" s="78"/>
      <c r="W534" s="78"/>
      <c r="X534" s="78"/>
      <c r="Y534" s="78"/>
    </row>
    <row r="535" spans="1:25" x14ac:dyDescent="0.25">
      <c r="A535" s="112" t="s">
        <v>682</v>
      </c>
      <c r="B535" s="78"/>
      <c r="C535" s="114"/>
      <c r="D535" s="78"/>
      <c r="E535" s="78"/>
      <c r="F535" s="78"/>
      <c r="G535" s="78"/>
      <c r="H535" s="78"/>
      <c r="I535" s="78"/>
      <c r="J535" s="78"/>
      <c r="K535" s="78"/>
      <c r="L535" s="78"/>
      <c r="M535" s="78"/>
      <c r="N535" s="78"/>
      <c r="O535" s="78"/>
      <c r="P535" s="78"/>
      <c r="Q535" s="78"/>
      <c r="R535" s="78"/>
      <c r="S535" s="78"/>
      <c r="T535" s="78"/>
      <c r="U535" s="78"/>
      <c r="V535" s="78"/>
      <c r="W535" s="78"/>
      <c r="X535" s="78"/>
      <c r="Y535" s="78"/>
    </row>
    <row r="536" spans="1:25" x14ac:dyDescent="0.25">
      <c r="A536" s="112" t="s">
        <v>682</v>
      </c>
      <c r="B536" s="78"/>
      <c r="C536" s="114"/>
      <c r="D536" s="78"/>
      <c r="E536" s="78"/>
      <c r="F536" s="78"/>
      <c r="G536" s="78"/>
      <c r="H536" s="78"/>
      <c r="I536" s="78"/>
      <c r="J536" s="78"/>
      <c r="K536" s="78"/>
      <c r="L536" s="78"/>
      <c r="M536" s="78"/>
      <c r="N536" s="78"/>
      <c r="O536" s="78"/>
      <c r="P536" s="78"/>
      <c r="Q536" s="78"/>
      <c r="R536" s="78"/>
      <c r="S536" s="78"/>
      <c r="T536" s="78"/>
      <c r="U536" s="78"/>
      <c r="V536" s="78"/>
      <c r="W536" s="78"/>
      <c r="X536" s="78"/>
      <c r="Y536" s="78"/>
    </row>
    <row r="537" spans="1:25" x14ac:dyDescent="0.25">
      <c r="A537" s="112" t="s">
        <v>682</v>
      </c>
      <c r="B537" s="78"/>
      <c r="C537" s="114"/>
      <c r="D537" s="78"/>
      <c r="E537" s="78"/>
      <c r="F537" s="78"/>
      <c r="G537" s="78"/>
      <c r="H537" s="78"/>
      <c r="I537" s="78"/>
      <c r="J537" s="78"/>
      <c r="K537" s="78"/>
      <c r="L537" s="78"/>
      <c r="M537" s="78"/>
      <c r="N537" s="78"/>
      <c r="O537" s="78"/>
      <c r="P537" s="78"/>
      <c r="Q537" s="78"/>
      <c r="R537" s="78"/>
      <c r="S537" s="78"/>
      <c r="T537" s="78"/>
      <c r="U537" s="78"/>
      <c r="V537" s="78"/>
      <c r="W537" s="78"/>
      <c r="X537" s="78"/>
      <c r="Y537" s="78"/>
    </row>
    <row r="538" spans="1:25" x14ac:dyDescent="0.25">
      <c r="A538" s="112" t="s">
        <v>682</v>
      </c>
      <c r="B538" s="78"/>
      <c r="C538" s="114"/>
      <c r="D538" s="78"/>
      <c r="E538" s="78"/>
      <c r="F538" s="78"/>
      <c r="G538" s="78"/>
      <c r="H538" s="78"/>
      <c r="I538" s="78"/>
      <c r="J538" s="78"/>
      <c r="K538" s="78"/>
      <c r="L538" s="78"/>
      <c r="M538" s="78"/>
      <c r="N538" s="78"/>
      <c r="O538" s="78"/>
      <c r="P538" s="78"/>
      <c r="Q538" s="78"/>
      <c r="R538" s="78"/>
      <c r="S538" s="78"/>
      <c r="T538" s="78"/>
      <c r="U538" s="78"/>
      <c r="V538" s="78"/>
      <c r="W538" s="78"/>
      <c r="X538" s="78"/>
      <c r="Y538" s="78"/>
    </row>
    <row r="539" spans="1:25" x14ac:dyDescent="0.25">
      <c r="A539" s="112" t="s">
        <v>682</v>
      </c>
      <c r="B539" s="78"/>
      <c r="C539" s="114"/>
      <c r="D539" s="78"/>
      <c r="E539" s="78"/>
      <c r="F539" s="78"/>
      <c r="G539" s="78"/>
      <c r="H539" s="78"/>
      <c r="I539" s="78"/>
      <c r="J539" s="78"/>
      <c r="K539" s="78"/>
      <c r="L539" s="78"/>
      <c r="M539" s="78"/>
      <c r="N539" s="78"/>
      <c r="O539" s="78"/>
      <c r="P539" s="78"/>
      <c r="Q539" s="78"/>
      <c r="R539" s="78"/>
      <c r="S539" s="78"/>
      <c r="T539" s="78"/>
      <c r="U539" s="78"/>
      <c r="V539" s="78"/>
      <c r="W539" s="78"/>
      <c r="X539" s="78"/>
      <c r="Y539" s="78"/>
    </row>
    <row r="540" spans="1:25" x14ac:dyDescent="0.25">
      <c r="A540" s="112" t="s">
        <v>682</v>
      </c>
      <c r="B540" s="78"/>
      <c r="C540" s="114"/>
      <c r="D540" s="78"/>
      <c r="E540" s="78"/>
      <c r="F540" s="78"/>
      <c r="G540" s="78"/>
      <c r="H540" s="78"/>
      <c r="I540" s="78"/>
      <c r="J540" s="78"/>
      <c r="K540" s="78"/>
      <c r="L540" s="78"/>
      <c r="M540" s="78"/>
      <c r="N540" s="78"/>
      <c r="O540" s="78"/>
      <c r="P540" s="78"/>
      <c r="Q540" s="78"/>
      <c r="R540" s="78"/>
      <c r="S540" s="78"/>
      <c r="T540" s="78"/>
      <c r="U540" s="78"/>
      <c r="V540" s="78"/>
      <c r="W540" s="78"/>
      <c r="X540" s="78"/>
      <c r="Y540" s="78"/>
    </row>
    <row r="541" spans="1:25" x14ac:dyDescent="0.25">
      <c r="A541" s="112" t="s">
        <v>682</v>
      </c>
      <c r="B541" s="78"/>
      <c r="C541" s="114"/>
      <c r="D541" s="78"/>
      <c r="E541" s="78"/>
      <c r="F541" s="78"/>
      <c r="G541" s="78"/>
      <c r="H541" s="78"/>
      <c r="I541" s="78"/>
      <c r="J541" s="78"/>
      <c r="K541" s="78"/>
      <c r="L541" s="78"/>
      <c r="M541" s="78"/>
      <c r="N541" s="78"/>
      <c r="O541" s="78"/>
      <c r="P541" s="78"/>
      <c r="Q541" s="78"/>
      <c r="R541" s="78"/>
      <c r="S541" s="78"/>
      <c r="T541" s="78"/>
      <c r="U541" s="78"/>
      <c r="V541" s="78"/>
      <c r="W541" s="78"/>
      <c r="X541" s="78"/>
      <c r="Y541" s="78"/>
    </row>
    <row r="542" spans="1:25" x14ac:dyDescent="0.25">
      <c r="A542" s="112" t="s">
        <v>682</v>
      </c>
      <c r="B542" s="78"/>
      <c r="C542" s="114"/>
      <c r="D542" s="78"/>
      <c r="E542" s="78"/>
      <c r="F542" s="78"/>
      <c r="G542" s="78"/>
      <c r="H542" s="78"/>
      <c r="I542" s="78"/>
      <c r="J542" s="78"/>
      <c r="K542" s="78"/>
      <c r="L542" s="78"/>
      <c r="M542" s="78"/>
      <c r="N542" s="78"/>
      <c r="O542" s="78"/>
      <c r="P542" s="78"/>
      <c r="Q542" s="78"/>
      <c r="R542" s="78"/>
      <c r="S542" s="78"/>
      <c r="T542" s="78"/>
      <c r="U542" s="78"/>
      <c r="V542" s="78"/>
      <c r="W542" s="78"/>
      <c r="X542" s="78"/>
      <c r="Y542" s="78"/>
    </row>
    <row r="543" spans="1:25" x14ac:dyDescent="0.25">
      <c r="A543" s="112" t="s">
        <v>682</v>
      </c>
      <c r="B543" s="78"/>
      <c r="C543" s="114"/>
      <c r="D543" s="78"/>
      <c r="E543" s="78"/>
      <c r="F543" s="78"/>
      <c r="G543" s="78"/>
      <c r="H543" s="78"/>
      <c r="I543" s="78"/>
      <c r="J543" s="78"/>
      <c r="K543" s="78"/>
      <c r="L543" s="78"/>
      <c r="M543" s="78"/>
      <c r="N543" s="78"/>
      <c r="O543" s="78"/>
      <c r="P543" s="78"/>
      <c r="Q543" s="78"/>
      <c r="R543" s="78"/>
      <c r="S543" s="78"/>
      <c r="T543" s="78"/>
      <c r="U543" s="78"/>
      <c r="V543" s="78"/>
      <c r="W543" s="78"/>
      <c r="X543" s="78"/>
      <c r="Y543" s="78"/>
    </row>
    <row r="544" spans="1:25" x14ac:dyDescent="0.25">
      <c r="A544" s="112" t="s">
        <v>682</v>
      </c>
      <c r="B544" s="78"/>
      <c r="C544" s="114"/>
      <c r="D544" s="78"/>
      <c r="E544" s="78"/>
      <c r="F544" s="78"/>
      <c r="G544" s="78"/>
      <c r="H544" s="78"/>
      <c r="I544" s="78"/>
      <c r="J544" s="78"/>
      <c r="K544" s="78"/>
      <c r="L544" s="78"/>
      <c r="M544" s="78"/>
      <c r="N544" s="78"/>
      <c r="O544" s="78"/>
      <c r="P544" s="78"/>
      <c r="Q544" s="78"/>
      <c r="R544" s="78"/>
      <c r="S544" s="78"/>
      <c r="T544" s="78"/>
      <c r="U544" s="78"/>
      <c r="V544" s="78"/>
      <c r="W544" s="78"/>
      <c r="X544" s="78"/>
      <c r="Y544" s="78"/>
    </row>
    <row r="545" spans="1:25" x14ac:dyDescent="0.25">
      <c r="A545" s="112" t="s">
        <v>682</v>
      </c>
      <c r="B545" s="78"/>
      <c r="C545" s="114"/>
      <c r="D545" s="78"/>
      <c r="E545" s="78"/>
      <c r="F545" s="78"/>
      <c r="G545" s="78"/>
      <c r="H545" s="78"/>
      <c r="I545" s="78"/>
      <c r="J545" s="78"/>
      <c r="K545" s="78"/>
      <c r="L545" s="78"/>
      <c r="M545" s="78"/>
      <c r="N545" s="78"/>
      <c r="O545" s="78"/>
      <c r="P545" s="78"/>
      <c r="Q545" s="78"/>
      <c r="R545" s="78"/>
      <c r="S545" s="78"/>
      <c r="T545" s="78"/>
      <c r="U545" s="78"/>
      <c r="V545" s="78"/>
      <c r="W545" s="78"/>
      <c r="X545" s="78"/>
      <c r="Y545" s="78"/>
    </row>
    <row r="546" spans="1:25" x14ac:dyDescent="0.25">
      <c r="A546" s="112" t="s">
        <v>682</v>
      </c>
      <c r="B546" s="78"/>
      <c r="C546" s="114"/>
      <c r="D546" s="78"/>
      <c r="E546" s="78"/>
      <c r="F546" s="78"/>
      <c r="G546" s="78"/>
      <c r="H546" s="78"/>
      <c r="I546" s="78"/>
      <c r="J546" s="78"/>
      <c r="K546" s="78"/>
      <c r="L546" s="78"/>
      <c r="M546" s="78"/>
      <c r="N546" s="78"/>
      <c r="O546" s="78"/>
      <c r="P546" s="78"/>
      <c r="Q546" s="78"/>
      <c r="R546" s="78"/>
      <c r="S546" s="78"/>
      <c r="T546" s="78"/>
      <c r="U546" s="78"/>
      <c r="V546" s="78"/>
      <c r="W546" s="78"/>
      <c r="X546" s="78"/>
      <c r="Y546" s="78"/>
    </row>
    <row r="547" spans="1:25" x14ac:dyDescent="0.25">
      <c r="A547" s="112" t="s">
        <v>682</v>
      </c>
      <c r="B547" s="78"/>
      <c r="C547" s="114"/>
      <c r="D547" s="78"/>
      <c r="E547" s="78"/>
      <c r="F547" s="78"/>
      <c r="G547" s="78"/>
      <c r="H547" s="78"/>
      <c r="I547" s="78"/>
      <c r="J547" s="78"/>
      <c r="K547" s="78"/>
      <c r="L547" s="78"/>
      <c r="M547" s="78"/>
      <c r="N547" s="78"/>
      <c r="O547" s="78"/>
      <c r="P547" s="78"/>
      <c r="Q547" s="78"/>
      <c r="R547" s="78"/>
      <c r="S547" s="78"/>
      <c r="T547" s="78"/>
      <c r="U547" s="78"/>
      <c r="V547" s="78"/>
      <c r="W547" s="78"/>
      <c r="X547" s="78"/>
      <c r="Y547" s="78"/>
    </row>
    <row r="548" spans="1:25" x14ac:dyDescent="0.25">
      <c r="A548" s="112" t="s">
        <v>682</v>
      </c>
      <c r="B548" s="78"/>
      <c r="C548" s="114"/>
      <c r="D548" s="78"/>
      <c r="E548" s="78"/>
      <c r="F548" s="78"/>
      <c r="G548" s="78"/>
      <c r="H548" s="78"/>
      <c r="I548" s="78"/>
      <c r="J548" s="78"/>
      <c r="K548" s="78"/>
      <c r="L548" s="78"/>
      <c r="M548" s="78"/>
      <c r="N548" s="78"/>
      <c r="O548" s="78"/>
      <c r="P548" s="78"/>
      <c r="Q548" s="78"/>
      <c r="R548" s="78"/>
      <c r="S548" s="78"/>
      <c r="T548" s="78"/>
      <c r="U548" s="78"/>
      <c r="V548" s="78"/>
      <c r="W548" s="78"/>
      <c r="X548" s="78"/>
      <c r="Y548" s="78"/>
    </row>
    <row r="549" spans="1:25" x14ac:dyDescent="0.25">
      <c r="A549" s="112" t="s">
        <v>682</v>
      </c>
      <c r="B549" s="78"/>
      <c r="C549" s="114"/>
      <c r="D549" s="78"/>
      <c r="E549" s="78"/>
      <c r="F549" s="78"/>
      <c r="G549" s="78"/>
      <c r="H549" s="78"/>
      <c r="I549" s="78"/>
      <c r="J549" s="78"/>
      <c r="K549" s="78"/>
      <c r="L549" s="78"/>
      <c r="M549" s="78"/>
      <c r="N549" s="78"/>
      <c r="O549" s="78"/>
      <c r="P549" s="78"/>
      <c r="Q549" s="78"/>
      <c r="R549" s="78"/>
      <c r="S549" s="78"/>
      <c r="T549" s="78"/>
      <c r="U549" s="78"/>
      <c r="V549" s="78"/>
      <c r="W549" s="78"/>
      <c r="X549" s="78"/>
      <c r="Y549" s="78"/>
    </row>
    <row r="550" spans="1:25" x14ac:dyDescent="0.25">
      <c r="A550" s="112" t="s">
        <v>682</v>
      </c>
      <c r="B550" s="78"/>
      <c r="C550" s="114"/>
      <c r="D550" s="78"/>
      <c r="E550" s="78"/>
      <c r="F550" s="78"/>
      <c r="G550" s="78"/>
      <c r="H550" s="78"/>
      <c r="I550" s="78"/>
      <c r="J550" s="78"/>
      <c r="K550" s="78"/>
      <c r="L550" s="78"/>
      <c r="M550" s="78"/>
      <c r="N550" s="78"/>
      <c r="O550" s="78"/>
      <c r="P550" s="78"/>
      <c r="Q550" s="78"/>
      <c r="R550" s="78"/>
      <c r="S550" s="78"/>
      <c r="T550" s="78"/>
      <c r="U550" s="78"/>
      <c r="V550" s="78"/>
      <c r="W550" s="78"/>
      <c r="X550" s="78"/>
      <c r="Y550" s="78"/>
    </row>
    <row r="551" spans="1:25" x14ac:dyDescent="0.25">
      <c r="A551" s="112" t="s">
        <v>682</v>
      </c>
      <c r="B551" s="78"/>
      <c r="C551" s="114"/>
      <c r="D551" s="78"/>
      <c r="E551" s="78"/>
      <c r="F551" s="78"/>
      <c r="G551" s="78"/>
      <c r="H551" s="78"/>
      <c r="I551" s="78"/>
      <c r="J551" s="78"/>
      <c r="K551" s="78"/>
      <c r="L551" s="78"/>
      <c r="M551" s="78"/>
      <c r="N551" s="78"/>
      <c r="O551" s="78"/>
      <c r="P551" s="78"/>
      <c r="Q551" s="78"/>
      <c r="R551" s="78"/>
      <c r="S551" s="78"/>
      <c r="T551" s="78"/>
      <c r="U551" s="78"/>
      <c r="V551" s="78"/>
      <c r="W551" s="78"/>
      <c r="X551" s="78"/>
      <c r="Y551" s="78"/>
    </row>
    <row r="552" spans="1:25" x14ac:dyDescent="0.25">
      <c r="A552" s="112" t="s">
        <v>682</v>
      </c>
      <c r="B552" s="78"/>
      <c r="C552" s="114"/>
      <c r="D552" s="78"/>
      <c r="E552" s="78"/>
      <c r="F552" s="78"/>
      <c r="G552" s="78"/>
      <c r="H552" s="78"/>
      <c r="I552" s="78"/>
      <c r="J552" s="78"/>
      <c r="K552" s="78"/>
      <c r="L552" s="78"/>
      <c r="M552" s="78"/>
      <c r="N552" s="78"/>
      <c r="O552" s="78"/>
      <c r="P552" s="78"/>
      <c r="Q552" s="78"/>
      <c r="R552" s="78"/>
      <c r="S552" s="78"/>
      <c r="T552" s="78"/>
      <c r="U552" s="78"/>
      <c r="V552" s="78"/>
      <c r="W552" s="78"/>
      <c r="X552" s="78"/>
      <c r="Y552" s="78"/>
    </row>
    <row r="553" spans="1:25" x14ac:dyDescent="0.25">
      <c r="A553" s="112" t="s">
        <v>682</v>
      </c>
      <c r="B553" s="78"/>
      <c r="C553" s="114"/>
      <c r="D553" s="78"/>
      <c r="E553" s="78"/>
      <c r="F553" s="78"/>
      <c r="G553" s="78"/>
      <c r="H553" s="78"/>
      <c r="I553" s="78"/>
      <c r="J553" s="78"/>
      <c r="K553" s="78"/>
      <c r="L553" s="78"/>
      <c r="M553" s="78"/>
      <c r="N553" s="78"/>
      <c r="O553" s="78"/>
      <c r="P553" s="78"/>
      <c r="Q553" s="78"/>
      <c r="R553" s="78"/>
      <c r="S553" s="78"/>
      <c r="T553" s="78"/>
      <c r="U553" s="78"/>
      <c r="V553" s="78"/>
      <c r="W553" s="78"/>
      <c r="X553" s="78"/>
      <c r="Y553" s="78"/>
    </row>
    <row r="554" spans="1:25" x14ac:dyDescent="0.25">
      <c r="A554" s="112" t="s">
        <v>682</v>
      </c>
      <c r="B554" s="78"/>
      <c r="C554" s="114"/>
      <c r="D554" s="78"/>
      <c r="E554" s="78"/>
      <c r="F554" s="78"/>
      <c r="G554" s="78"/>
      <c r="H554" s="78"/>
      <c r="I554" s="78"/>
      <c r="J554" s="78"/>
      <c r="K554" s="78"/>
      <c r="L554" s="78"/>
      <c r="M554" s="78"/>
      <c r="N554" s="78"/>
      <c r="O554" s="78"/>
      <c r="P554" s="78"/>
      <c r="Q554" s="78"/>
      <c r="R554" s="78"/>
      <c r="S554" s="78"/>
      <c r="T554" s="78"/>
      <c r="U554" s="78"/>
      <c r="V554" s="78"/>
      <c r="W554" s="78"/>
      <c r="X554" s="78"/>
      <c r="Y554" s="78"/>
    </row>
    <row r="555" spans="1:25" x14ac:dyDescent="0.25">
      <c r="A555" s="112" t="s">
        <v>682</v>
      </c>
      <c r="B555" s="78"/>
      <c r="C555" s="114"/>
      <c r="D555" s="78"/>
      <c r="E555" s="78"/>
      <c r="F555" s="78"/>
      <c r="G555" s="78"/>
      <c r="H555" s="78"/>
      <c r="I555" s="78"/>
      <c r="J555" s="78"/>
      <c r="K555" s="78"/>
      <c r="L555" s="78"/>
      <c r="M555" s="78"/>
      <c r="N555" s="78"/>
      <c r="O555" s="78"/>
      <c r="P555" s="78"/>
      <c r="Q555" s="78"/>
      <c r="R555" s="78"/>
      <c r="S555" s="78"/>
      <c r="T555" s="78"/>
      <c r="U555" s="78"/>
      <c r="V555" s="78"/>
      <c r="W555" s="78"/>
      <c r="X555" s="78"/>
      <c r="Y555" s="78"/>
    </row>
    <row r="556" spans="1:25" x14ac:dyDescent="0.25">
      <c r="A556" s="112" t="s">
        <v>682</v>
      </c>
      <c r="B556" s="78"/>
      <c r="C556" s="114"/>
      <c r="D556" s="78"/>
      <c r="E556" s="78"/>
      <c r="F556" s="78"/>
      <c r="G556" s="78"/>
      <c r="H556" s="78"/>
      <c r="I556" s="78"/>
      <c r="J556" s="78"/>
      <c r="K556" s="78"/>
      <c r="L556" s="78"/>
      <c r="M556" s="78"/>
      <c r="N556" s="78"/>
      <c r="O556" s="78"/>
      <c r="P556" s="78"/>
      <c r="Q556" s="78"/>
      <c r="R556" s="78"/>
      <c r="S556" s="78"/>
      <c r="T556" s="78"/>
      <c r="U556" s="78"/>
      <c r="V556" s="78"/>
      <c r="W556" s="78"/>
      <c r="X556" s="78"/>
      <c r="Y556" s="78"/>
    </row>
    <row r="557" spans="1:25" x14ac:dyDescent="0.25">
      <c r="A557" s="112" t="s">
        <v>682</v>
      </c>
      <c r="B557" s="78"/>
      <c r="C557" s="114"/>
      <c r="D557" s="78"/>
      <c r="E557" s="78"/>
      <c r="F557" s="78"/>
      <c r="G557" s="78"/>
      <c r="H557" s="78"/>
      <c r="I557" s="78"/>
      <c r="J557" s="78"/>
      <c r="K557" s="78"/>
      <c r="L557" s="78"/>
      <c r="M557" s="78"/>
      <c r="N557" s="78"/>
      <c r="O557" s="78"/>
      <c r="P557" s="78"/>
      <c r="Q557" s="78"/>
      <c r="R557" s="78"/>
      <c r="S557" s="78"/>
      <c r="T557" s="78"/>
      <c r="U557" s="78"/>
      <c r="V557" s="78"/>
      <c r="W557" s="78"/>
      <c r="X557" s="78"/>
      <c r="Y557" s="78"/>
    </row>
    <row r="558" spans="1:25" x14ac:dyDescent="0.25">
      <c r="A558" s="112" t="s">
        <v>682</v>
      </c>
      <c r="B558" s="78"/>
      <c r="C558" s="114"/>
      <c r="D558" s="78"/>
      <c r="E558" s="78"/>
      <c r="F558" s="78"/>
      <c r="G558" s="78"/>
      <c r="H558" s="78"/>
      <c r="I558" s="78"/>
      <c r="J558" s="78"/>
      <c r="K558" s="78"/>
      <c r="L558" s="78"/>
      <c r="M558" s="78"/>
      <c r="N558" s="78"/>
      <c r="O558" s="78"/>
      <c r="P558" s="78"/>
      <c r="Q558" s="78"/>
      <c r="R558" s="78"/>
      <c r="S558" s="78"/>
      <c r="T558" s="78"/>
      <c r="U558" s="78"/>
      <c r="V558" s="78"/>
      <c r="W558" s="78"/>
      <c r="X558" s="78"/>
      <c r="Y558" s="78"/>
    </row>
    <row r="559" spans="1:25" x14ac:dyDescent="0.25">
      <c r="A559" s="112" t="s">
        <v>682</v>
      </c>
      <c r="B559" s="78"/>
      <c r="C559" s="114"/>
      <c r="D559" s="78"/>
      <c r="E559" s="78"/>
      <c r="F559" s="78"/>
      <c r="G559" s="78"/>
      <c r="H559" s="78"/>
      <c r="I559" s="78"/>
      <c r="J559" s="78"/>
      <c r="K559" s="78"/>
      <c r="L559" s="78"/>
      <c r="M559" s="78"/>
      <c r="N559" s="78"/>
      <c r="O559" s="78"/>
      <c r="P559" s="78"/>
      <c r="Q559" s="78"/>
      <c r="R559" s="78"/>
      <c r="S559" s="78"/>
      <c r="T559" s="78"/>
      <c r="U559" s="78"/>
      <c r="V559" s="78"/>
      <c r="W559" s="78"/>
      <c r="X559" s="78"/>
      <c r="Y559" s="78"/>
    </row>
    <row r="560" spans="1:25" x14ac:dyDescent="0.25">
      <c r="A560" s="112" t="s">
        <v>682</v>
      </c>
      <c r="B560" s="78"/>
      <c r="C560" s="114"/>
      <c r="D560" s="78"/>
      <c r="E560" s="78"/>
      <c r="F560" s="78"/>
      <c r="G560" s="78"/>
      <c r="H560" s="78"/>
      <c r="I560" s="78"/>
      <c r="J560" s="78"/>
      <c r="K560" s="78"/>
      <c r="L560" s="78"/>
      <c r="M560" s="78"/>
      <c r="N560" s="78"/>
      <c r="O560" s="78"/>
      <c r="P560" s="78"/>
      <c r="Q560" s="78"/>
      <c r="R560" s="78"/>
      <c r="S560" s="78"/>
      <c r="T560" s="78"/>
      <c r="U560" s="78"/>
      <c r="V560" s="78"/>
      <c r="W560" s="78"/>
      <c r="X560" s="78"/>
      <c r="Y560" s="78"/>
    </row>
    <row r="561" spans="1:25" x14ac:dyDescent="0.25">
      <c r="A561" s="112" t="s">
        <v>682</v>
      </c>
      <c r="B561" s="78"/>
      <c r="C561" s="114"/>
      <c r="D561" s="78"/>
      <c r="E561" s="78"/>
      <c r="F561" s="78"/>
      <c r="G561" s="78"/>
      <c r="H561" s="78"/>
      <c r="I561" s="78"/>
      <c r="J561" s="78"/>
      <c r="K561" s="78"/>
      <c r="L561" s="78"/>
      <c r="M561" s="78"/>
      <c r="N561" s="78"/>
      <c r="O561" s="78"/>
      <c r="P561" s="78"/>
      <c r="Q561" s="78"/>
      <c r="R561" s="78"/>
      <c r="S561" s="78"/>
      <c r="T561" s="78"/>
      <c r="U561" s="78"/>
      <c r="V561" s="78"/>
      <c r="W561" s="78"/>
      <c r="X561" s="78"/>
      <c r="Y561" s="78"/>
    </row>
    <row r="562" spans="1:25" x14ac:dyDescent="0.25">
      <c r="A562" s="112" t="s">
        <v>682</v>
      </c>
      <c r="B562" s="78"/>
      <c r="C562" s="114"/>
      <c r="D562" s="78"/>
      <c r="E562" s="78"/>
      <c r="F562" s="78"/>
      <c r="G562" s="78"/>
      <c r="H562" s="78"/>
      <c r="I562" s="78"/>
      <c r="J562" s="78"/>
      <c r="K562" s="78"/>
      <c r="L562" s="78"/>
      <c r="M562" s="78"/>
      <c r="N562" s="78"/>
      <c r="O562" s="78"/>
      <c r="P562" s="78"/>
      <c r="Q562" s="78"/>
      <c r="R562" s="78"/>
      <c r="S562" s="78"/>
      <c r="T562" s="78"/>
      <c r="U562" s="78"/>
      <c r="V562" s="78"/>
      <c r="W562" s="78"/>
      <c r="X562" s="78"/>
      <c r="Y562" s="78"/>
    </row>
    <row r="563" spans="1:25" x14ac:dyDescent="0.25">
      <c r="A563" s="112" t="s">
        <v>682</v>
      </c>
      <c r="B563" s="78"/>
      <c r="C563" s="114"/>
      <c r="D563" s="78"/>
      <c r="E563" s="78"/>
      <c r="F563" s="78"/>
      <c r="G563" s="78"/>
      <c r="H563" s="78"/>
      <c r="I563" s="78"/>
      <c r="J563" s="78"/>
      <c r="K563" s="78"/>
      <c r="L563" s="78"/>
      <c r="M563" s="78"/>
      <c r="N563" s="78"/>
      <c r="O563" s="78"/>
      <c r="P563" s="78"/>
      <c r="Q563" s="78"/>
      <c r="R563" s="78"/>
      <c r="S563" s="78"/>
      <c r="T563" s="78"/>
      <c r="U563" s="78"/>
      <c r="V563" s="78"/>
      <c r="W563" s="78"/>
      <c r="X563" s="78"/>
      <c r="Y563" s="78"/>
    </row>
    <row r="564" spans="1:25" x14ac:dyDescent="0.25">
      <c r="A564" s="112" t="s">
        <v>682</v>
      </c>
      <c r="B564" s="78"/>
      <c r="C564" s="114"/>
      <c r="D564" s="78"/>
      <c r="E564" s="78"/>
      <c r="F564" s="78"/>
      <c r="G564" s="78"/>
      <c r="H564" s="78"/>
      <c r="I564" s="78"/>
      <c r="J564" s="78"/>
      <c r="K564" s="78"/>
      <c r="L564" s="78"/>
      <c r="M564" s="78"/>
      <c r="N564" s="78"/>
      <c r="O564" s="78"/>
      <c r="P564" s="78"/>
      <c r="Q564" s="78"/>
      <c r="R564" s="78"/>
      <c r="S564" s="78"/>
      <c r="T564" s="78"/>
      <c r="U564" s="78"/>
      <c r="V564" s="78"/>
      <c r="W564" s="78"/>
      <c r="X564" s="78"/>
      <c r="Y564" s="78"/>
    </row>
    <row r="565" spans="1:25" x14ac:dyDescent="0.25">
      <c r="A565" s="112" t="s">
        <v>682</v>
      </c>
      <c r="B565" s="78"/>
      <c r="C565" s="114"/>
      <c r="D565" s="78"/>
      <c r="E565" s="78"/>
      <c r="F565" s="78"/>
      <c r="G565" s="78"/>
      <c r="H565" s="78"/>
      <c r="I565" s="78"/>
      <c r="J565" s="78"/>
      <c r="K565" s="78"/>
      <c r="L565" s="78"/>
      <c r="M565" s="78"/>
      <c r="N565" s="78"/>
      <c r="O565" s="78"/>
      <c r="P565" s="78"/>
      <c r="Q565" s="78"/>
      <c r="R565" s="78"/>
      <c r="S565" s="78"/>
      <c r="T565" s="78"/>
      <c r="U565" s="78"/>
      <c r="V565" s="78"/>
      <c r="W565" s="78"/>
      <c r="X565" s="78"/>
      <c r="Y565" s="78"/>
    </row>
    <row r="566" spans="1:25" x14ac:dyDescent="0.25">
      <c r="A566" s="112" t="s">
        <v>682</v>
      </c>
      <c r="B566" s="78"/>
      <c r="C566" s="114"/>
      <c r="D566" s="78"/>
      <c r="E566" s="78"/>
      <c r="F566" s="78"/>
      <c r="G566" s="78"/>
      <c r="H566" s="78"/>
      <c r="I566" s="78"/>
      <c r="J566" s="78"/>
      <c r="K566" s="78"/>
      <c r="L566" s="78"/>
      <c r="M566" s="78"/>
      <c r="N566" s="78"/>
      <c r="O566" s="78"/>
      <c r="P566" s="78"/>
      <c r="Q566" s="78"/>
      <c r="R566" s="78"/>
      <c r="S566" s="78"/>
      <c r="T566" s="78"/>
      <c r="U566" s="78"/>
      <c r="V566" s="78"/>
      <c r="W566" s="78"/>
      <c r="X566" s="78"/>
      <c r="Y566" s="78"/>
    </row>
    <row r="567" spans="1:25" x14ac:dyDescent="0.25">
      <c r="A567" s="112" t="s">
        <v>682</v>
      </c>
      <c r="B567" s="78"/>
      <c r="C567" s="114"/>
      <c r="D567" s="78"/>
      <c r="E567" s="78"/>
      <c r="F567" s="78"/>
      <c r="G567" s="78"/>
      <c r="H567" s="78"/>
      <c r="I567" s="78"/>
      <c r="J567" s="78"/>
      <c r="K567" s="78"/>
      <c r="L567" s="78"/>
      <c r="M567" s="78"/>
      <c r="N567" s="78"/>
      <c r="O567" s="78"/>
      <c r="P567" s="78"/>
      <c r="Q567" s="78"/>
      <c r="R567" s="78"/>
      <c r="S567" s="78"/>
      <c r="T567" s="78"/>
      <c r="U567" s="78"/>
      <c r="V567" s="78"/>
      <c r="W567" s="78"/>
      <c r="X567" s="78"/>
      <c r="Y567" s="78"/>
    </row>
    <row r="568" spans="1:25" x14ac:dyDescent="0.25">
      <c r="A568" s="112" t="s">
        <v>682</v>
      </c>
      <c r="B568" s="78"/>
      <c r="C568" s="114"/>
      <c r="D568" s="78"/>
      <c r="E568" s="78"/>
      <c r="F568" s="78"/>
      <c r="G568" s="78"/>
      <c r="H568" s="78"/>
      <c r="I568" s="78"/>
      <c r="J568" s="78"/>
      <c r="K568" s="78"/>
      <c r="L568" s="78"/>
      <c r="M568" s="78"/>
      <c r="N568" s="78"/>
      <c r="O568" s="78"/>
      <c r="P568" s="78"/>
      <c r="Q568" s="78"/>
      <c r="R568" s="78"/>
      <c r="S568" s="78"/>
      <c r="T568" s="78"/>
      <c r="U568" s="78"/>
      <c r="V568" s="78"/>
      <c r="W568" s="78"/>
      <c r="X568" s="78"/>
      <c r="Y568" s="78"/>
    </row>
    <row r="569" spans="1:25" x14ac:dyDescent="0.25">
      <c r="A569" s="112" t="s">
        <v>682</v>
      </c>
      <c r="B569" s="78"/>
      <c r="C569" s="114"/>
      <c r="D569" s="78"/>
      <c r="E569" s="78"/>
      <c r="F569" s="78"/>
      <c r="G569" s="78"/>
      <c r="H569" s="78"/>
      <c r="I569" s="78"/>
      <c r="J569" s="78"/>
      <c r="K569" s="78"/>
      <c r="L569" s="78"/>
      <c r="M569" s="78"/>
      <c r="N569" s="78"/>
      <c r="O569" s="78"/>
      <c r="P569" s="78"/>
      <c r="Q569" s="78"/>
      <c r="R569" s="78"/>
      <c r="S569" s="78"/>
      <c r="T569" s="78"/>
      <c r="U569" s="78"/>
      <c r="V569" s="78"/>
      <c r="W569" s="78"/>
      <c r="X569" s="78"/>
      <c r="Y569" s="78"/>
    </row>
    <row r="570" spans="1:25" x14ac:dyDescent="0.25">
      <c r="A570" s="112" t="s">
        <v>682</v>
      </c>
      <c r="B570" s="78"/>
      <c r="C570" s="114"/>
      <c r="D570" s="78"/>
      <c r="E570" s="78"/>
      <c r="F570" s="78"/>
      <c r="G570" s="78"/>
      <c r="H570" s="78"/>
      <c r="I570" s="78"/>
      <c r="J570" s="78"/>
      <c r="K570" s="78"/>
      <c r="L570" s="78"/>
      <c r="M570" s="78"/>
      <c r="N570" s="78"/>
      <c r="O570" s="78"/>
      <c r="P570" s="78"/>
      <c r="Q570" s="78"/>
      <c r="R570" s="78"/>
      <c r="S570" s="78"/>
      <c r="T570" s="78"/>
      <c r="U570" s="78"/>
      <c r="V570" s="78"/>
      <c r="W570" s="78"/>
      <c r="X570" s="78"/>
      <c r="Y570" s="78"/>
    </row>
    <row r="571" spans="1:25" x14ac:dyDescent="0.25">
      <c r="A571" s="112" t="s">
        <v>682</v>
      </c>
      <c r="B571" s="78"/>
      <c r="C571" s="114"/>
      <c r="D571" s="78"/>
      <c r="E571" s="78"/>
      <c r="F571" s="78"/>
      <c r="G571" s="78"/>
      <c r="H571" s="78"/>
      <c r="I571" s="78"/>
      <c r="J571" s="78"/>
      <c r="K571" s="78"/>
      <c r="L571" s="78"/>
      <c r="M571" s="78"/>
      <c r="N571" s="78"/>
      <c r="O571" s="78"/>
      <c r="P571" s="78"/>
      <c r="Q571" s="78"/>
      <c r="R571" s="78"/>
      <c r="S571" s="78"/>
      <c r="T571" s="78"/>
      <c r="U571" s="78"/>
      <c r="V571" s="78"/>
      <c r="W571" s="78"/>
      <c r="X571" s="78"/>
      <c r="Y571" s="78"/>
    </row>
    <row r="572" spans="1:25" x14ac:dyDescent="0.25">
      <c r="A572" s="112" t="s">
        <v>682</v>
      </c>
      <c r="B572" s="78"/>
      <c r="C572" s="114"/>
      <c r="D572" s="78"/>
      <c r="E572" s="78"/>
      <c r="F572" s="78"/>
      <c r="G572" s="78"/>
      <c r="H572" s="78"/>
      <c r="I572" s="78"/>
      <c r="J572" s="78"/>
      <c r="K572" s="78"/>
      <c r="L572" s="78"/>
      <c r="M572" s="78"/>
      <c r="N572" s="78"/>
      <c r="O572" s="78"/>
      <c r="P572" s="78"/>
      <c r="Q572" s="78"/>
      <c r="R572" s="78"/>
      <c r="S572" s="78"/>
      <c r="T572" s="78"/>
      <c r="U572" s="78"/>
      <c r="V572" s="78"/>
      <c r="W572" s="78"/>
      <c r="X572" s="78"/>
      <c r="Y572" s="78"/>
    </row>
    <row r="573" spans="1:25" x14ac:dyDescent="0.25">
      <c r="A573" s="112" t="s">
        <v>682</v>
      </c>
      <c r="B573" s="78"/>
      <c r="C573" s="114"/>
      <c r="D573" s="78"/>
      <c r="E573" s="78"/>
      <c r="F573" s="78"/>
      <c r="G573" s="78"/>
      <c r="H573" s="78"/>
      <c r="I573" s="78"/>
      <c r="J573" s="78"/>
      <c r="K573" s="78"/>
      <c r="L573" s="78"/>
      <c r="M573" s="78"/>
      <c r="N573" s="78"/>
      <c r="O573" s="78"/>
      <c r="P573" s="78"/>
      <c r="Q573" s="78"/>
      <c r="R573" s="78"/>
      <c r="S573" s="78"/>
      <c r="T573" s="78"/>
      <c r="U573" s="78"/>
      <c r="V573" s="78"/>
      <c r="W573" s="78"/>
      <c r="X573" s="78"/>
      <c r="Y573" s="78"/>
    </row>
    <row r="574" spans="1:25" x14ac:dyDescent="0.25">
      <c r="A574" s="112" t="s">
        <v>682</v>
      </c>
      <c r="B574" s="78"/>
      <c r="C574" s="114"/>
      <c r="D574" s="78"/>
      <c r="E574" s="78"/>
      <c r="F574" s="78"/>
      <c r="G574" s="78"/>
      <c r="H574" s="78"/>
      <c r="I574" s="78"/>
      <c r="J574" s="78"/>
      <c r="K574" s="78"/>
      <c r="L574" s="78"/>
      <c r="M574" s="78"/>
      <c r="N574" s="78"/>
      <c r="O574" s="78"/>
      <c r="P574" s="78"/>
      <c r="Q574" s="78"/>
      <c r="R574" s="78"/>
      <c r="S574" s="78"/>
      <c r="T574" s="78"/>
      <c r="U574" s="78"/>
      <c r="V574" s="78"/>
      <c r="W574" s="78"/>
      <c r="X574" s="78"/>
      <c r="Y574" s="78"/>
    </row>
    <row r="575" spans="1:25" x14ac:dyDescent="0.25">
      <c r="A575" s="112" t="s">
        <v>682</v>
      </c>
      <c r="B575" s="78"/>
      <c r="C575" s="114"/>
      <c r="D575" s="78"/>
      <c r="E575" s="78"/>
      <c r="F575" s="78"/>
      <c r="G575" s="78"/>
      <c r="H575" s="78"/>
      <c r="I575" s="78"/>
      <c r="J575" s="78"/>
      <c r="K575" s="78"/>
      <c r="L575" s="78"/>
      <c r="M575" s="78"/>
      <c r="N575" s="78"/>
      <c r="O575" s="78"/>
      <c r="P575" s="78"/>
      <c r="Q575" s="78"/>
      <c r="R575" s="78"/>
      <c r="S575" s="78"/>
      <c r="T575" s="78"/>
      <c r="U575" s="78"/>
      <c r="V575" s="78"/>
      <c r="W575" s="78"/>
      <c r="X575" s="78"/>
      <c r="Y575" s="78"/>
    </row>
    <row r="576" spans="1:25" x14ac:dyDescent="0.25">
      <c r="A576" s="112" t="s">
        <v>682</v>
      </c>
      <c r="B576" s="78"/>
      <c r="C576" s="114"/>
      <c r="D576" s="78"/>
      <c r="E576" s="78"/>
      <c r="F576" s="78"/>
      <c r="G576" s="78"/>
      <c r="H576" s="78"/>
      <c r="I576" s="78"/>
      <c r="J576" s="78"/>
      <c r="K576" s="78"/>
      <c r="L576" s="78"/>
      <c r="M576" s="78"/>
      <c r="N576" s="78"/>
      <c r="O576" s="78"/>
      <c r="P576" s="78"/>
      <c r="Q576" s="78"/>
      <c r="R576" s="78"/>
      <c r="S576" s="78"/>
      <c r="T576" s="78"/>
      <c r="U576" s="78"/>
      <c r="V576" s="78"/>
      <c r="W576" s="78"/>
      <c r="X576" s="78"/>
      <c r="Y576" s="78"/>
    </row>
    <row r="577" spans="1:25" x14ac:dyDescent="0.25">
      <c r="A577" s="112" t="s">
        <v>682</v>
      </c>
      <c r="B577" s="78"/>
      <c r="C577" s="114"/>
      <c r="D577" s="78"/>
      <c r="E577" s="78"/>
      <c r="F577" s="78"/>
      <c r="G577" s="78"/>
      <c r="H577" s="78"/>
      <c r="I577" s="78"/>
      <c r="J577" s="78"/>
      <c r="K577" s="78"/>
      <c r="L577" s="78"/>
      <c r="M577" s="78"/>
      <c r="N577" s="78"/>
      <c r="O577" s="78"/>
      <c r="P577" s="78"/>
      <c r="Q577" s="78"/>
      <c r="R577" s="78"/>
      <c r="S577" s="78"/>
      <c r="T577" s="78"/>
      <c r="U577" s="78"/>
      <c r="V577" s="78"/>
      <c r="W577" s="78"/>
      <c r="X577" s="78"/>
      <c r="Y577" s="78"/>
    </row>
    <row r="578" spans="1:25" x14ac:dyDescent="0.25">
      <c r="A578" s="112" t="s">
        <v>682</v>
      </c>
      <c r="B578" s="78"/>
      <c r="C578" s="114"/>
      <c r="D578" s="78"/>
      <c r="E578" s="78"/>
      <c r="F578" s="78"/>
      <c r="G578" s="78"/>
      <c r="H578" s="78"/>
      <c r="I578" s="78"/>
      <c r="J578" s="78"/>
      <c r="K578" s="78"/>
      <c r="L578" s="78"/>
      <c r="M578" s="78"/>
      <c r="N578" s="78"/>
      <c r="O578" s="78"/>
      <c r="P578" s="78"/>
      <c r="Q578" s="78"/>
      <c r="R578" s="78"/>
      <c r="S578" s="78"/>
      <c r="T578" s="78"/>
      <c r="U578" s="78"/>
      <c r="V578" s="78"/>
      <c r="W578" s="78"/>
      <c r="X578" s="78"/>
      <c r="Y578" s="78"/>
    </row>
    <row r="579" spans="1:25" x14ac:dyDescent="0.25">
      <c r="A579" s="112" t="s">
        <v>682</v>
      </c>
      <c r="B579" s="78"/>
      <c r="C579" s="114"/>
      <c r="D579" s="78"/>
      <c r="E579" s="78"/>
      <c r="F579" s="78"/>
      <c r="G579" s="78"/>
      <c r="H579" s="78"/>
      <c r="I579" s="78"/>
      <c r="J579" s="78"/>
      <c r="K579" s="78"/>
      <c r="L579" s="78"/>
      <c r="M579" s="78"/>
      <c r="N579" s="78"/>
      <c r="O579" s="78"/>
      <c r="P579" s="78"/>
      <c r="Q579" s="78"/>
      <c r="R579" s="78"/>
      <c r="S579" s="78"/>
      <c r="T579" s="78"/>
      <c r="U579" s="78"/>
      <c r="V579" s="78"/>
      <c r="W579" s="78"/>
      <c r="X579" s="78"/>
      <c r="Y579" s="78"/>
    </row>
    <row r="580" spans="1:25" x14ac:dyDescent="0.25">
      <c r="A580" s="112" t="s">
        <v>682</v>
      </c>
      <c r="B580" s="78"/>
      <c r="C580" s="114"/>
      <c r="D580" s="78"/>
      <c r="E580" s="78"/>
      <c r="F580" s="78"/>
      <c r="G580" s="78"/>
      <c r="H580" s="78"/>
      <c r="I580" s="78"/>
      <c r="J580" s="78"/>
      <c r="K580" s="78"/>
      <c r="L580" s="78"/>
      <c r="M580" s="78"/>
      <c r="N580" s="78"/>
      <c r="O580" s="78"/>
      <c r="P580" s="78"/>
      <c r="Q580" s="78"/>
      <c r="R580" s="78"/>
      <c r="S580" s="78"/>
      <c r="T580" s="78"/>
      <c r="U580" s="78"/>
      <c r="V580" s="78"/>
      <c r="W580" s="78"/>
      <c r="X580" s="78"/>
      <c r="Y580" s="78"/>
    </row>
    <row r="581" spans="1:25" x14ac:dyDescent="0.25">
      <c r="A581" s="112" t="s">
        <v>682</v>
      </c>
      <c r="B581" s="78"/>
      <c r="C581" s="114"/>
      <c r="D581" s="78"/>
      <c r="E581" s="78"/>
      <c r="F581" s="78"/>
      <c r="G581" s="78"/>
      <c r="H581" s="78"/>
      <c r="I581" s="78"/>
      <c r="J581" s="78"/>
      <c r="K581" s="78"/>
      <c r="L581" s="78"/>
      <c r="M581" s="78"/>
      <c r="N581" s="78"/>
      <c r="O581" s="78"/>
      <c r="P581" s="78"/>
      <c r="Q581" s="78"/>
      <c r="R581" s="78"/>
      <c r="S581" s="78"/>
      <c r="T581" s="78"/>
      <c r="U581" s="78"/>
      <c r="V581" s="78"/>
      <c r="W581" s="78"/>
      <c r="X581" s="78"/>
      <c r="Y581" s="78"/>
    </row>
    <row r="582" spans="1:25" x14ac:dyDescent="0.25">
      <c r="A582" s="112" t="s">
        <v>682</v>
      </c>
      <c r="B582" s="78"/>
      <c r="C582" s="114"/>
      <c r="D582" s="78"/>
      <c r="E582" s="78"/>
      <c r="F582" s="78"/>
      <c r="G582" s="78"/>
      <c r="H582" s="78"/>
      <c r="I582" s="78"/>
      <c r="J582" s="78"/>
      <c r="K582" s="78"/>
      <c r="L582" s="78"/>
      <c r="M582" s="78"/>
      <c r="N582" s="78"/>
      <c r="O582" s="78"/>
      <c r="P582" s="78"/>
      <c r="Q582" s="78"/>
      <c r="R582" s="78"/>
      <c r="S582" s="78"/>
      <c r="T582" s="78"/>
      <c r="U582" s="78"/>
      <c r="V582" s="78"/>
      <c r="W582" s="78"/>
      <c r="X582" s="78"/>
      <c r="Y582" s="78"/>
    </row>
    <row r="583" spans="1:25" x14ac:dyDescent="0.25">
      <c r="A583" s="112" t="s">
        <v>682</v>
      </c>
      <c r="B583" s="78"/>
      <c r="C583" s="114"/>
      <c r="D583" s="78"/>
      <c r="E583" s="78"/>
      <c r="F583" s="78"/>
      <c r="G583" s="78"/>
      <c r="H583" s="78"/>
      <c r="I583" s="78"/>
      <c r="J583" s="78"/>
      <c r="K583" s="78"/>
      <c r="L583" s="78"/>
      <c r="M583" s="78"/>
      <c r="N583" s="78"/>
      <c r="O583" s="78"/>
      <c r="P583" s="78"/>
      <c r="Q583" s="78"/>
      <c r="R583" s="78"/>
      <c r="S583" s="78"/>
      <c r="T583" s="78"/>
      <c r="U583" s="78"/>
      <c r="V583" s="78"/>
      <c r="W583" s="78"/>
      <c r="X583" s="78"/>
      <c r="Y583" s="78"/>
    </row>
    <row r="584" spans="1:25" x14ac:dyDescent="0.25">
      <c r="A584" s="112" t="s">
        <v>682</v>
      </c>
      <c r="B584" s="78"/>
      <c r="C584" s="114"/>
      <c r="D584" s="78"/>
      <c r="E584" s="78"/>
      <c r="F584" s="78"/>
      <c r="G584" s="78"/>
      <c r="H584" s="78"/>
      <c r="I584" s="78"/>
      <c r="J584" s="78"/>
      <c r="K584" s="78"/>
      <c r="L584" s="78"/>
      <c r="M584" s="78"/>
      <c r="N584" s="78"/>
      <c r="O584" s="78"/>
      <c r="P584" s="78"/>
      <c r="Q584" s="78"/>
      <c r="R584" s="78"/>
      <c r="S584" s="78"/>
      <c r="T584" s="78"/>
      <c r="U584" s="78"/>
      <c r="V584" s="78"/>
      <c r="W584" s="78"/>
      <c r="X584" s="78"/>
      <c r="Y584" s="78"/>
    </row>
    <row r="585" spans="1:25" x14ac:dyDescent="0.25">
      <c r="A585" s="112" t="s">
        <v>682</v>
      </c>
      <c r="B585" s="78"/>
      <c r="C585" s="114"/>
      <c r="D585" s="78"/>
      <c r="E585" s="78"/>
      <c r="F585" s="78"/>
      <c r="G585" s="78"/>
      <c r="H585" s="78"/>
      <c r="I585" s="78"/>
      <c r="J585" s="78"/>
      <c r="K585" s="78"/>
      <c r="L585" s="78"/>
      <c r="M585" s="78"/>
      <c r="N585" s="78"/>
      <c r="O585" s="78"/>
      <c r="P585" s="78"/>
      <c r="Q585" s="78"/>
      <c r="R585" s="78"/>
      <c r="S585" s="78"/>
      <c r="T585" s="78"/>
      <c r="U585" s="78"/>
      <c r="V585" s="78"/>
      <c r="W585" s="78"/>
      <c r="X585" s="78"/>
      <c r="Y585" s="78"/>
    </row>
    <row r="586" spans="1:25" x14ac:dyDescent="0.25">
      <c r="A586" s="112" t="s">
        <v>682</v>
      </c>
      <c r="B586" s="78"/>
      <c r="C586" s="114"/>
      <c r="D586" s="78"/>
      <c r="E586" s="78"/>
      <c r="F586" s="78"/>
      <c r="G586" s="78"/>
      <c r="H586" s="78"/>
      <c r="I586" s="78"/>
      <c r="J586" s="78"/>
      <c r="K586" s="78"/>
      <c r="L586" s="78"/>
      <c r="M586" s="78"/>
      <c r="N586" s="78"/>
      <c r="O586" s="78"/>
      <c r="P586" s="78"/>
      <c r="Q586" s="78"/>
      <c r="R586" s="78"/>
      <c r="S586" s="78"/>
      <c r="T586" s="78"/>
      <c r="U586" s="78"/>
      <c r="V586" s="78"/>
      <c r="W586" s="78"/>
      <c r="X586" s="78"/>
      <c r="Y586" s="78"/>
    </row>
    <row r="587" spans="1:25" x14ac:dyDescent="0.25">
      <c r="A587" s="112" t="s">
        <v>682</v>
      </c>
      <c r="B587" s="78"/>
      <c r="C587" s="114"/>
      <c r="D587" s="78"/>
      <c r="E587" s="78"/>
      <c r="F587" s="78"/>
      <c r="G587" s="78"/>
      <c r="H587" s="78"/>
      <c r="I587" s="78"/>
      <c r="J587" s="78"/>
      <c r="K587" s="78"/>
      <c r="L587" s="78"/>
      <c r="M587" s="78"/>
      <c r="N587" s="78"/>
      <c r="O587" s="78"/>
      <c r="P587" s="78"/>
      <c r="Q587" s="78"/>
      <c r="R587" s="78"/>
      <c r="S587" s="78"/>
      <c r="T587" s="78"/>
      <c r="U587" s="78"/>
      <c r="V587" s="78"/>
      <c r="W587" s="78"/>
      <c r="X587" s="78"/>
      <c r="Y587" s="78"/>
    </row>
    <row r="588" spans="1:25" x14ac:dyDescent="0.25">
      <c r="A588" s="112" t="s">
        <v>682</v>
      </c>
      <c r="B588" s="78"/>
      <c r="C588" s="114"/>
      <c r="D588" s="78"/>
      <c r="E588" s="78"/>
      <c r="F588" s="78"/>
      <c r="G588" s="78"/>
      <c r="H588" s="78"/>
      <c r="I588" s="78"/>
      <c r="J588" s="78"/>
      <c r="K588" s="78"/>
      <c r="L588" s="78"/>
      <c r="M588" s="78"/>
      <c r="N588" s="78"/>
      <c r="O588" s="78"/>
      <c r="P588" s="78"/>
      <c r="Q588" s="78"/>
      <c r="R588" s="78"/>
      <c r="S588" s="78"/>
      <c r="T588" s="78"/>
      <c r="U588" s="78"/>
      <c r="V588" s="78"/>
      <c r="W588" s="78"/>
      <c r="X588" s="78"/>
      <c r="Y588" s="78"/>
    </row>
    <row r="589" spans="1:25" x14ac:dyDescent="0.25">
      <c r="A589" s="112" t="s">
        <v>682</v>
      </c>
      <c r="B589" s="78"/>
      <c r="C589" s="114"/>
      <c r="D589" s="78"/>
      <c r="E589" s="78"/>
      <c r="F589" s="78"/>
      <c r="G589" s="78"/>
      <c r="H589" s="78"/>
      <c r="I589" s="78"/>
      <c r="J589" s="78"/>
      <c r="K589" s="78"/>
      <c r="L589" s="78"/>
      <c r="M589" s="78"/>
      <c r="N589" s="78"/>
      <c r="O589" s="78"/>
      <c r="P589" s="78"/>
      <c r="Q589" s="78"/>
      <c r="R589" s="78"/>
      <c r="S589" s="78"/>
      <c r="T589" s="78"/>
      <c r="U589" s="78"/>
      <c r="V589" s="78"/>
      <c r="W589" s="78"/>
      <c r="X589" s="78"/>
      <c r="Y589" s="78"/>
    </row>
    <row r="590" spans="1:25" x14ac:dyDescent="0.25">
      <c r="A590" s="112" t="s">
        <v>682</v>
      </c>
      <c r="B590" s="78"/>
      <c r="C590" s="114"/>
      <c r="D590" s="78"/>
      <c r="E590" s="78"/>
      <c r="F590" s="78"/>
      <c r="G590" s="78"/>
      <c r="H590" s="78"/>
      <c r="I590" s="78"/>
      <c r="J590" s="78"/>
      <c r="K590" s="78"/>
      <c r="L590" s="78"/>
      <c r="M590" s="78"/>
      <c r="N590" s="78"/>
      <c r="O590" s="78"/>
      <c r="P590" s="78"/>
      <c r="Q590" s="78"/>
      <c r="R590" s="78"/>
      <c r="S590" s="78"/>
      <c r="T590" s="78"/>
      <c r="U590" s="78"/>
      <c r="V590" s="78"/>
      <c r="W590" s="78"/>
      <c r="X590" s="78"/>
      <c r="Y590" s="78"/>
    </row>
    <row r="591" spans="1:25" x14ac:dyDescent="0.25">
      <c r="A591" s="112" t="s">
        <v>682</v>
      </c>
      <c r="B591" s="78"/>
      <c r="C591" s="114"/>
      <c r="D591" s="78"/>
      <c r="E591" s="78"/>
      <c r="F591" s="78"/>
      <c r="G591" s="78"/>
      <c r="H591" s="78"/>
      <c r="I591" s="78"/>
      <c r="J591" s="78"/>
      <c r="K591" s="78"/>
      <c r="L591" s="78"/>
      <c r="M591" s="78"/>
      <c r="N591" s="78"/>
      <c r="O591" s="78"/>
      <c r="P591" s="78"/>
      <c r="Q591" s="78"/>
      <c r="R591" s="78"/>
      <c r="S591" s="78"/>
      <c r="T591" s="78"/>
      <c r="U591" s="78"/>
      <c r="V591" s="78"/>
      <c r="W591" s="78"/>
      <c r="X591" s="78"/>
      <c r="Y591" s="78"/>
    </row>
    <row r="592" spans="1:25" x14ac:dyDescent="0.25">
      <c r="A592" s="112" t="s">
        <v>682</v>
      </c>
      <c r="B592" s="78"/>
      <c r="C592" s="114"/>
      <c r="D592" s="78"/>
      <c r="E592" s="78"/>
      <c r="F592" s="78"/>
      <c r="G592" s="78"/>
      <c r="H592" s="78"/>
      <c r="I592" s="78"/>
      <c r="J592" s="78"/>
      <c r="K592" s="78"/>
      <c r="L592" s="78"/>
      <c r="M592" s="78"/>
      <c r="N592" s="78"/>
      <c r="O592" s="78"/>
      <c r="P592" s="78"/>
      <c r="Q592" s="78"/>
      <c r="R592" s="78"/>
      <c r="S592" s="78"/>
      <c r="T592" s="78"/>
      <c r="U592" s="78"/>
      <c r="V592" s="78"/>
      <c r="W592" s="78"/>
      <c r="X592" s="78"/>
      <c r="Y592" s="78"/>
    </row>
    <row r="593" spans="1:25" x14ac:dyDescent="0.25">
      <c r="A593" s="112" t="s">
        <v>682</v>
      </c>
      <c r="B593" s="78"/>
      <c r="C593" s="114"/>
      <c r="D593" s="78"/>
      <c r="E593" s="78"/>
      <c r="F593" s="78"/>
      <c r="G593" s="78"/>
      <c r="H593" s="78"/>
      <c r="I593" s="78"/>
      <c r="J593" s="78"/>
      <c r="K593" s="78"/>
      <c r="L593" s="78"/>
      <c r="M593" s="78"/>
      <c r="N593" s="78"/>
      <c r="O593" s="78"/>
      <c r="P593" s="78"/>
      <c r="Q593" s="78"/>
      <c r="R593" s="78"/>
      <c r="S593" s="78"/>
      <c r="T593" s="78"/>
      <c r="U593" s="78"/>
      <c r="V593" s="78"/>
      <c r="W593" s="78"/>
      <c r="X593" s="78"/>
      <c r="Y593" s="78"/>
    </row>
    <row r="594" spans="1:25" x14ac:dyDescent="0.25">
      <c r="A594" s="112" t="s">
        <v>682</v>
      </c>
      <c r="B594" s="78"/>
      <c r="C594" s="114"/>
      <c r="D594" s="78"/>
      <c r="E594" s="78"/>
      <c r="F594" s="78"/>
      <c r="G594" s="78"/>
      <c r="H594" s="78"/>
      <c r="I594" s="78"/>
      <c r="J594" s="78"/>
      <c r="K594" s="78"/>
      <c r="L594" s="78"/>
      <c r="M594" s="78"/>
      <c r="N594" s="78"/>
      <c r="O594" s="78"/>
      <c r="P594" s="78"/>
      <c r="Q594" s="78"/>
      <c r="R594" s="78"/>
      <c r="S594" s="78"/>
      <c r="T594" s="78"/>
      <c r="U594" s="78"/>
      <c r="V594" s="78"/>
      <c r="W594" s="78"/>
      <c r="X594" s="78"/>
      <c r="Y594" s="78"/>
    </row>
    <row r="595" spans="1:25" x14ac:dyDescent="0.25">
      <c r="A595" s="112" t="s">
        <v>682</v>
      </c>
      <c r="B595" s="78"/>
      <c r="C595" s="114"/>
      <c r="D595" s="78"/>
      <c r="E595" s="78"/>
      <c r="F595" s="78"/>
      <c r="G595" s="78"/>
      <c r="H595" s="78"/>
      <c r="I595" s="78"/>
      <c r="J595" s="78"/>
      <c r="K595" s="78"/>
      <c r="L595" s="78"/>
      <c r="M595" s="78"/>
      <c r="N595" s="78"/>
      <c r="O595" s="78"/>
      <c r="P595" s="78"/>
      <c r="Q595" s="78"/>
      <c r="R595" s="78"/>
      <c r="S595" s="78"/>
      <c r="T595" s="78"/>
      <c r="U595" s="78"/>
      <c r="V595" s="78"/>
      <c r="W595" s="78"/>
      <c r="X595" s="78"/>
      <c r="Y595" s="78"/>
    </row>
    <row r="596" spans="1:25" x14ac:dyDescent="0.25">
      <c r="A596" s="112" t="s">
        <v>682</v>
      </c>
      <c r="B596" s="78"/>
      <c r="C596" s="114"/>
      <c r="D596" s="78"/>
      <c r="E596" s="78"/>
      <c r="F596" s="78"/>
      <c r="G596" s="78"/>
      <c r="H596" s="78"/>
      <c r="I596" s="78"/>
      <c r="J596" s="78"/>
      <c r="K596" s="78"/>
      <c r="L596" s="78"/>
      <c r="M596" s="78"/>
      <c r="N596" s="78"/>
      <c r="O596" s="78"/>
      <c r="P596" s="78"/>
      <c r="Q596" s="78"/>
      <c r="R596" s="78"/>
      <c r="S596" s="78"/>
      <c r="T596" s="78"/>
      <c r="U596" s="78"/>
      <c r="V596" s="78"/>
      <c r="W596" s="78"/>
      <c r="X596" s="78"/>
      <c r="Y596" s="78"/>
    </row>
    <row r="597" spans="1:25" x14ac:dyDescent="0.25">
      <c r="A597" s="112" t="s">
        <v>682</v>
      </c>
      <c r="B597" s="78"/>
      <c r="C597" s="114"/>
      <c r="D597" s="78"/>
      <c r="E597" s="78"/>
      <c r="F597" s="78"/>
      <c r="G597" s="78"/>
      <c r="H597" s="78"/>
      <c r="I597" s="78"/>
      <c r="J597" s="78"/>
      <c r="K597" s="78"/>
      <c r="L597" s="78"/>
      <c r="M597" s="78"/>
      <c r="N597" s="78"/>
      <c r="O597" s="78"/>
      <c r="P597" s="78"/>
      <c r="Q597" s="78"/>
      <c r="R597" s="78"/>
      <c r="S597" s="78"/>
      <c r="T597" s="78"/>
      <c r="U597" s="78"/>
      <c r="V597" s="78"/>
      <c r="W597" s="78"/>
      <c r="X597" s="78"/>
      <c r="Y597" s="78"/>
    </row>
    <row r="598" spans="1:25" x14ac:dyDescent="0.25">
      <c r="A598" s="112" t="s">
        <v>682</v>
      </c>
      <c r="B598" s="78"/>
      <c r="C598" s="114"/>
      <c r="D598" s="78"/>
      <c r="E598" s="78"/>
      <c r="F598" s="78"/>
      <c r="G598" s="78"/>
      <c r="H598" s="78"/>
      <c r="I598" s="78"/>
      <c r="J598" s="78"/>
      <c r="K598" s="78"/>
      <c r="L598" s="78"/>
      <c r="M598" s="78"/>
      <c r="N598" s="78"/>
      <c r="O598" s="78"/>
      <c r="P598" s="78"/>
      <c r="Q598" s="78"/>
      <c r="R598" s="78"/>
      <c r="S598" s="78"/>
      <c r="T598" s="78"/>
      <c r="U598" s="78"/>
      <c r="V598" s="78"/>
      <c r="W598" s="78"/>
      <c r="X598" s="78"/>
      <c r="Y598" s="78"/>
    </row>
    <row r="599" spans="1:25" x14ac:dyDescent="0.25">
      <c r="A599" s="112" t="s">
        <v>682</v>
      </c>
      <c r="B599" s="78"/>
      <c r="C599" s="114"/>
      <c r="D599" s="78"/>
      <c r="E599" s="78"/>
      <c r="F599" s="78"/>
      <c r="G599" s="78"/>
      <c r="H599" s="78"/>
      <c r="I599" s="78"/>
      <c r="J599" s="78"/>
      <c r="K599" s="78"/>
      <c r="L599" s="78"/>
      <c r="M599" s="78"/>
      <c r="N599" s="78"/>
      <c r="O599" s="78"/>
      <c r="P599" s="78"/>
      <c r="Q599" s="78"/>
      <c r="R599" s="78"/>
      <c r="S599" s="78"/>
      <c r="T599" s="78"/>
      <c r="U599" s="78"/>
      <c r="V599" s="78"/>
      <c r="W599" s="78"/>
      <c r="X599" s="78"/>
      <c r="Y599" s="78"/>
    </row>
    <row r="600" spans="1:25" x14ac:dyDescent="0.25">
      <c r="A600" s="112" t="s">
        <v>682</v>
      </c>
      <c r="B600" s="78"/>
      <c r="C600" s="114"/>
      <c r="D600" s="78"/>
      <c r="E600" s="78"/>
      <c r="F600" s="78"/>
      <c r="G600" s="78"/>
      <c r="H600" s="78"/>
      <c r="I600" s="78"/>
      <c r="J600" s="78"/>
      <c r="K600" s="78"/>
      <c r="L600" s="78"/>
      <c r="M600" s="78"/>
      <c r="N600" s="78"/>
      <c r="O600" s="78"/>
      <c r="P600" s="78"/>
      <c r="Q600" s="78"/>
      <c r="R600" s="78"/>
      <c r="S600" s="78"/>
      <c r="T600" s="78"/>
      <c r="U600" s="78"/>
      <c r="V600" s="78"/>
      <c r="W600" s="78"/>
      <c r="X600" s="78"/>
      <c r="Y600" s="78"/>
    </row>
    <row r="601" spans="1:25" x14ac:dyDescent="0.25">
      <c r="A601" s="112" t="s">
        <v>682</v>
      </c>
      <c r="B601" s="78"/>
      <c r="C601" s="114"/>
      <c r="D601" s="78"/>
      <c r="E601" s="78"/>
      <c r="F601" s="78"/>
      <c r="G601" s="78"/>
      <c r="H601" s="78"/>
      <c r="I601" s="78"/>
      <c r="J601" s="78"/>
      <c r="K601" s="78"/>
      <c r="L601" s="78"/>
      <c r="M601" s="78"/>
      <c r="N601" s="78"/>
      <c r="O601" s="78"/>
      <c r="P601" s="78"/>
      <c r="Q601" s="78"/>
      <c r="R601" s="78"/>
      <c r="S601" s="78"/>
      <c r="T601" s="78"/>
      <c r="U601" s="78"/>
      <c r="V601" s="78"/>
      <c r="W601" s="78"/>
      <c r="X601" s="78"/>
      <c r="Y601" s="78"/>
    </row>
    <row r="602" spans="1:25" x14ac:dyDescent="0.25">
      <c r="A602" s="112" t="s">
        <v>682</v>
      </c>
      <c r="B602" s="78"/>
      <c r="C602" s="114"/>
      <c r="D602" s="78"/>
      <c r="E602" s="78"/>
      <c r="F602" s="78"/>
      <c r="G602" s="78"/>
      <c r="H602" s="78"/>
      <c r="I602" s="78"/>
      <c r="J602" s="78"/>
      <c r="K602" s="78"/>
      <c r="L602" s="78"/>
      <c r="M602" s="78"/>
      <c r="N602" s="78"/>
      <c r="O602" s="78"/>
      <c r="P602" s="78"/>
      <c r="Q602" s="78"/>
      <c r="R602" s="78"/>
      <c r="S602" s="78"/>
      <c r="T602" s="78"/>
      <c r="U602" s="78"/>
      <c r="V602" s="78"/>
      <c r="W602" s="78"/>
      <c r="X602" s="78"/>
      <c r="Y602" s="78"/>
    </row>
    <row r="603" spans="1:25" x14ac:dyDescent="0.25">
      <c r="A603" s="112" t="s">
        <v>682</v>
      </c>
      <c r="B603" s="78"/>
      <c r="C603" s="114"/>
      <c r="D603" s="78"/>
      <c r="E603" s="78"/>
      <c r="F603" s="78"/>
      <c r="G603" s="78"/>
      <c r="H603" s="78"/>
      <c r="I603" s="78"/>
      <c r="J603" s="78"/>
      <c r="K603" s="78"/>
      <c r="L603" s="78"/>
      <c r="M603" s="78"/>
      <c r="N603" s="78"/>
      <c r="O603" s="78"/>
      <c r="P603" s="78"/>
      <c r="Q603" s="78"/>
      <c r="R603" s="78"/>
      <c r="S603" s="78"/>
      <c r="T603" s="78"/>
      <c r="U603" s="78"/>
      <c r="V603" s="78"/>
      <c r="W603" s="78"/>
      <c r="X603" s="78"/>
      <c r="Y603" s="78"/>
    </row>
    <row r="604" spans="1:25" x14ac:dyDescent="0.25">
      <c r="A604" s="112" t="s">
        <v>682</v>
      </c>
      <c r="B604" s="78"/>
      <c r="C604" s="114"/>
      <c r="D604" s="78"/>
      <c r="E604" s="78"/>
      <c r="F604" s="78"/>
      <c r="G604" s="78"/>
      <c r="H604" s="78"/>
      <c r="I604" s="78"/>
      <c r="J604" s="78"/>
      <c r="K604" s="78"/>
      <c r="L604" s="78"/>
      <c r="M604" s="78"/>
      <c r="N604" s="78"/>
      <c r="O604" s="78"/>
      <c r="P604" s="78"/>
      <c r="Q604" s="78"/>
      <c r="R604" s="78"/>
      <c r="S604" s="78"/>
      <c r="T604" s="78"/>
      <c r="U604" s="78"/>
      <c r="V604" s="78"/>
      <c r="W604" s="78"/>
      <c r="X604" s="78"/>
      <c r="Y604" s="78"/>
    </row>
    <row r="605" spans="1:25" x14ac:dyDescent="0.25">
      <c r="A605" s="112" t="s">
        <v>682</v>
      </c>
      <c r="B605" s="78"/>
      <c r="C605" s="114"/>
      <c r="D605" s="78"/>
      <c r="E605" s="78"/>
      <c r="F605" s="78"/>
      <c r="G605" s="78"/>
      <c r="H605" s="78"/>
      <c r="I605" s="78"/>
      <c r="J605" s="78"/>
      <c r="K605" s="78"/>
      <c r="L605" s="78"/>
      <c r="M605" s="78"/>
      <c r="N605" s="78"/>
      <c r="O605" s="78"/>
      <c r="P605" s="78"/>
      <c r="Q605" s="78"/>
      <c r="R605" s="78"/>
      <c r="S605" s="78"/>
      <c r="T605" s="78"/>
      <c r="U605" s="78"/>
      <c r="V605" s="78"/>
      <c r="W605" s="78"/>
      <c r="X605" s="78"/>
      <c r="Y605" s="78"/>
    </row>
    <row r="606" spans="1:25" x14ac:dyDescent="0.25">
      <c r="A606" s="112" t="s">
        <v>682</v>
      </c>
      <c r="B606" s="78"/>
      <c r="C606" s="114"/>
      <c r="D606" s="78"/>
      <c r="E606" s="78"/>
      <c r="F606" s="78"/>
      <c r="G606" s="78"/>
      <c r="H606" s="78"/>
      <c r="I606" s="78"/>
      <c r="J606" s="78"/>
      <c r="K606" s="78"/>
      <c r="L606" s="78"/>
      <c r="M606" s="78"/>
      <c r="N606" s="78"/>
      <c r="O606" s="78"/>
      <c r="P606" s="78"/>
      <c r="Q606" s="78"/>
      <c r="R606" s="78"/>
      <c r="S606" s="78"/>
      <c r="T606" s="78"/>
      <c r="U606" s="78"/>
      <c r="V606" s="78"/>
      <c r="W606" s="78"/>
      <c r="X606" s="78"/>
      <c r="Y606" s="78"/>
    </row>
    <row r="607" spans="1:25" x14ac:dyDescent="0.25">
      <c r="A607" s="112" t="s">
        <v>682</v>
      </c>
      <c r="B607" s="78"/>
      <c r="C607" s="114"/>
      <c r="D607" s="78"/>
      <c r="E607" s="78"/>
      <c r="F607" s="78"/>
      <c r="G607" s="78"/>
      <c r="H607" s="78"/>
      <c r="I607" s="78"/>
      <c r="J607" s="78"/>
      <c r="K607" s="78"/>
      <c r="L607" s="78"/>
      <c r="M607" s="78"/>
      <c r="N607" s="78"/>
      <c r="O607" s="78"/>
      <c r="P607" s="78"/>
      <c r="Q607" s="78"/>
      <c r="R607" s="78"/>
      <c r="S607" s="78"/>
      <c r="T607" s="78"/>
      <c r="U607" s="78"/>
      <c r="V607" s="78"/>
      <c r="W607" s="78"/>
      <c r="X607" s="78"/>
      <c r="Y607" s="78"/>
    </row>
    <row r="608" spans="1:25" x14ac:dyDescent="0.25">
      <c r="A608" s="112" t="s">
        <v>682</v>
      </c>
      <c r="B608" s="78"/>
      <c r="C608" s="114"/>
      <c r="D608" s="78"/>
      <c r="E608" s="78"/>
      <c r="F608" s="78"/>
      <c r="G608" s="78"/>
      <c r="H608" s="78"/>
      <c r="I608" s="78"/>
      <c r="J608" s="78"/>
      <c r="K608" s="78"/>
      <c r="L608" s="78"/>
      <c r="M608" s="78"/>
      <c r="N608" s="78"/>
      <c r="O608" s="78"/>
      <c r="P608" s="78"/>
      <c r="Q608" s="78"/>
      <c r="R608" s="78"/>
      <c r="S608" s="78"/>
      <c r="T608" s="78"/>
      <c r="U608" s="78"/>
      <c r="V608" s="78"/>
      <c r="W608" s="78"/>
      <c r="X608" s="78"/>
      <c r="Y608" s="78"/>
    </row>
    <row r="609" spans="1:25" x14ac:dyDescent="0.25">
      <c r="A609" s="112" t="s">
        <v>682</v>
      </c>
      <c r="B609" s="78"/>
      <c r="C609" s="114"/>
      <c r="D609" s="78"/>
      <c r="E609" s="78"/>
      <c r="F609" s="78"/>
      <c r="G609" s="78"/>
      <c r="H609" s="78"/>
      <c r="I609" s="78"/>
      <c r="J609" s="78"/>
      <c r="K609" s="78"/>
      <c r="L609" s="78"/>
      <c r="M609" s="78"/>
      <c r="N609" s="78"/>
      <c r="O609" s="78"/>
      <c r="P609" s="78"/>
      <c r="Q609" s="78"/>
      <c r="R609" s="78"/>
      <c r="S609" s="78"/>
      <c r="T609" s="78"/>
      <c r="U609" s="78"/>
      <c r="V609" s="78"/>
      <c r="W609" s="78"/>
      <c r="X609" s="78"/>
      <c r="Y609" s="78"/>
    </row>
    <row r="610" spans="1:25" x14ac:dyDescent="0.25">
      <c r="A610" s="112" t="s">
        <v>682</v>
      </c>
      <c r="B610" s="78"/>
      <c r="C610" s="114"/>
      <c r="D610" s="78"/>
      <c r="E610" s="78"/>
      <c r="F610" s="78"/>
      <c r="G610" s="78"/>
      <c r="H610" s="78"/>
      <c r="I610" s="78"/>
      <c r="J610" s="78"/>
      <c r="K610" s="78"/>
      <c r="L610" s="78"/>
      <c r="M610" s="78"/>
      <c r="N610" s="78"/>
      <c r="O610" s="78"/>
      <c r="P610" s="78"/>
      <c r="Q610" s="78"/>
      <c r="R610" s="78"/>
      <c r="S610" s="78"/>
      <c r="T610" s="78"/>
      <c r="U610" s="78"/>
      <c r="V610" s="78"/>
      <c r="W610" s="78"/>
      <c r="X610" s="78"/>
      <c r="Y610" s="78"/>
    </row>
    <row r="611" spans="1:25" x14ac:dyDescent="0.25">
      <c r="A611" s="112" t="s">
        <v>682</v>
      </c>
      <c r="B611" s="78"/>
      <c r="C611" s="114"/>
      <c r="D611" s="78"/>
      <c r="E611" s="78"/>
      <c r="F611" s="78"/>
      <c r="G611" s="78"/>
      <c r="H611" s="78"/>
      <c r="I611" s="78"/>
      <c r="J611" s="78"/>
      <c r="K611" s="78"/>
      <c r="L611" s="78"/>
      <c r="M611" s="78"/>
      <c r="N611" s="78"/>
      <c r="O611" s="78"/>
      <c r="P611" s="78"/>
      <c r="Q611" s="78"/>
      <c r="R611" s="78"/>
      <c r="S611" s="78"/>
      <c r="T611" s="78"/>
      <c r="U611" s="78"/>
      <c r="V611" s="78"/>
      <c r="W611" s="78"/>
      <c r="X611" s="78"/>
      <c r="Y611" s="78"/>
    </row>
    <row r="612" spans="1:25" x14ac:dyDescent="0.25">
      <c r="A612" s="112" t="s">
        <v>682</v>
      </c>
      <c r="B612" s="78"/>
      <c r="C612" s="114"/>
      <c r="D612" s="78"/>
      <c r="E612" s="78"/>
      <c r="F612" s="78"/>
      <c r="G612" s="78"/>
      <c r="H612" s="78"/>
      <c r="I612" s="78"/>
      <c r="J612" s="78"/>
      <c r="K612" s="78"/>
      <c r="L612" s="78"/>
      <c r="M612" s="78"/>
      <c r="N612" s="78"/>
      <c r="O612" s="78"/>
      <c r="P612" s="78"/>
      <c r="Q612" s="78"/>
      <c r="R612" s="78"/>
      <c r="S612" s="78"/>
      <c r="T612" s="78"/>
      <c r="U612" s="78"/>
      <c r="V612" s="78"/>
      <c r="W612" s="78"/>
      <c r="X612" s="78"/>
      <c r="Y612" s="78"/>
    </row>
    <row r="613" spans="1:25" x14ac:dyDescent="0.25">
      <c r="A613" s="112" t="s">
        <v>682</v>
      </c>
      <c r="B613" s="78"/>
      <c r="C613" s="114"/>
      <c r="D613" s="78"/>
      <c r="E613" s="78"/>
      <c r="F613" s="78"/>
      <c r="G613" s="78"/>
      <c r="H613" s="78"/>
      <c r="I613" s="78"/>
      <c r="J613" s="78"/>
      <c r="K613" s="78"/>
      <c r="L613" s="78"/>
      <c r="M613" s="78"/>
      <c r="N613" s="78"/>
      <c r="O613" s="78"/>
      <c r="P613" s="78"/>
      <c r="Q613" s="78"/>
      <c r="R613" s="78"/>
      <c r="S613" s="78"/>
      <c r="T613" s="78"/>
      <c r="U613" s="78"/>
      <c r="V613" s="78"/>
      <c r="W613" s="78"/>
      <c r="X613" s="78"/>
      <c r="Y613" s="78"/>
    </row>
    <row r="614" spans="1:25" x14ac:dyDescent="0.25">
      <c r="A614" s="112" t="s">
        <v>682</v>
      </c>
      <c r="B614" s="78"/>
      <c r="C614" s="114"/>
      <c r="D614" s="78"/>
      <c r="E614" s="78"/>
      <c r="F614" s="78"/>
      <c r="G614" s="78"/>
      <c r="H614" s="78"/>
      <c r="I614" s="78"/>
      <c r="J614" s="78"/>
      <c r="K614" s="78"/>
      <c r="L614" s="78"/>
      <c r="M614" s="78"/>
      <c r="N614" s="78"/>
      <c r="O614" s="78"/>
      <c r="P614" s="78"/>
      <c r="Q614" s="78"/>
      <c r="R614" s="78"/>
      <c r="S614" s="78"/>
      <c r="T614" s="78"/>
      <c r="U614" s="78"/>
      <c r="V614" s="78"/>
      <c r="W614" s="78"/>
      <c r="X614" s="78"/>
      <c r="Y614" s="78"/>
    </row>
    <row r="615" spans="1:25" x14ac:dyDescent="0.25">
      <c r="A615" s="112" t="s">
        <v>682</v>
      </c>
      <c r="B615" s="78"/>
      <c r="C615" s="114"/>
      <c r="D615" s="78"/>
      <c r="E615" s="78"/>
      <c r="F615" s="78"/>
      <c r="G615" s="78"/>
      <c r="H615" s="78"/>
      <c r="I615" s="78"/>
      <c r="J615" s="78"/>
      <c r="K615" s="78"/>
      <c r="L615" s="78"/>
      <c r="M615" s="78"/>
      <c r="N615" s="78"/>
      <c r="O615" s="78"/>
      <c r="P615" s="78"/>
      <c r="Q615" s="78"/>
      <c r="R615" s="78"/>
      <c r="S615" s="78"/>
      <c r="T615" s="78"/>
      <c r="U615" s="78"/>
      <c r="V615" s="78"/>
      <c r="W615" s="78"/>
      <c r="X615" s="78"/>
      <c r="Y615" s="78"/>
    </row>
    <row r="616" spans="1:25" x14ac:dyDescent="0.25">
      <c r="A616" s="112" t="s">
        <v>682</v>
      </c>
      <c r="B616" s="78"/>
      <c r="C616" s="114"/>
      <c r="D616" s="78"/>
      <c r="E616" s="78"/>
      <c r="F616" s="78"/>
      <c r="G616" s="78"/>
      <c r="H616" s="78"/>
      <c r="I616" s="78"/>
      <c r="J616" s="78"/>
      <c r="K616" s="78"/>
      <c r="L616" s="78"/>
      <c r="M616" s="78"/>
      <c r="N616" s="78"/>
      <c r="O616" s="78"/>
      <c r="P616" s="78"/>
      <c r="Q616" s="78"/>
      <c r="R616" s="78"/>
      <c r="S616" s="78"/>
      <c r="T616" s="78"/>
      <c r="U616" s="78"/>
      <c r="V616" s="78"/>
      <c r="W616" s="78"/>
      <c r="X616" s="78"/>
      <c r="Y616" s="78"/>
    </row>
    <row r="617" spans="1:25" x14ac:dyDescent="0.25">
      <c r="A617" s="112" t="s">
        <v>682</v>
      </c>
      <c r="B617" s="78"/>
      <c r="C617" s="114"/>
      <c r="D617" s="78"/>
      <c r="E617" s="78"/>
      <c r="F617" s="78"/>
      <c r="G617" s="78"/>
      <c r="H617" s="78"/>
      <c r="I617" s="78"/>
      <c r="J617" s="78"/>
      <c r="K617" s="78"/>
      <c r="L617" s="78"/>
      <c r="M617" s="78"/>
      <c r="N617" s="78"/>
      <c r="O617" s="78"/>
      <c r="P617" s="78"/>
      <c r="Q617" s="78"/>
      <c r="R617" s="78"/>
      <c r="S617" s="78"/>
      <c r="T617" s="78"/>
      <c r="U617" s="78"/>
      <c r="V617" s="78"/>
      <c r="W617" s="78"/>
      <c r="X617" s="78"/>
      <c r="Y617" s="78"/>
    </row>
    <row r="618" spans="1:25" x14ac:dyDescent="0.25">
      <c r="A618" s="112" t="s">
        <v>682</v>
      </c>
      <c r="B618" s="78"/>
      <c r="C618" s="114"/>
      <c r="D618" s="78"/>
      <c r="E618" s="78"/>
      <c r="F618" s="78"/>
      <c r="G618" s="78"/>
      <c r="H618" s="78"/>
      <c r="I618" s="78"/>
      <c r="J618" s="78"/>
      <c r="K618" s="78"/>
      <c r="L618" s="78"/>
      <c r="M618" s="78"/>
      <c r="N618" s="78"/>
      <c r="O618" s="78"/>
      <c r="P618" s="78"/>
      <c r="Q618" s="78"/>
      <c r="R618" s="78"/>
      <c r="S618" s="78"/>
      <c r="T618" s="78"/>
      <c r="U618" s="78"/>
      <c r="V618" s="78"/>
      <c r="W618" s="78"/>
      <c r="X618" s="78"/>
      <c r="Y618" s="78"/>
    </row>
    <row r="619" spans="1:25" x14ac:dyDescent="0.25">
      <c r="A619" s="112" t="s">
        <v>682</v>
      </c>
      <c r="B619" s="78"/>
      <c r="C619" s="114"/>
      <c r="D619" s="78"/>
      <c r="E619" s="78"/>
      <c r="F619" s="78"/>
      <c r="G619" s="78"/>
      <c r="H619" s="78"/>
      <c r="I619" s="78"/>
      <c r="J619" s="78"/>
      <c r="K619" s="78"/>
      <c r="L619" s="78"/>
      <c r="M619" s="78"/>
      <c r="N619" s="78"/>
      <c r="O619" s="78"/>
      <c r="P619" s="78"/>
      <c r="Q619" s="78"/>
      <c r="R619" s="78"/>
      <c r="S619" s="78"/>
      <c r="T619" s="78"/>
      <c r="U619" s="78"/>
      <c r="V619" s="78"/>
      <c r="W619" s="78"/>
      <c r="X619" s="78"/>
      <c r="Y619" s="78"/>
    </row>
    <row r="620" spans="1:25" x14ac:dyDescent="0.25">
      <c r="A620" s="112" t="s">
        <v>682</v>
      </c>
      <c r="B620" s="78"/>
      <c r="C620" s="114"/>
      <c r="D620" s="78"/>
      <c r="E620" s="78"/>
      <c r="F620" s="78"/>
      <c r="G620" s="78"/>
      <c r="H620" s="78"/>
      <c r="I620" s="78"/>
      <c r="J620" s="78"/>
      <c r="K620" s="78"/>
      <c r="L620" s="78"/>
      <c r="M620" s="78"/>
      <c r="N620" s="78"/>
      <c r="O620" s="78"/>
      <c r="P620" s="78"/>
      <c r="Q620" s="78"/>
      <c r="R620" s="78"/>
      <c r="S620" s="78"/>
      <c r="T620" s="78"/>
      <c r="U620" s="78"/>
      <c r="V620" s="78"/>
      <c r="W620" s="78"/>
      <c r="X620" s="78"/>
      <c r="Y620" s="78"/>
    </row>
    <row r="621" spans="1:25" x14ac:dyDescent="0.25">
      <c r="A621" s="112" t="s">
        <v>682</v>
      </c>
      <c r="B621" s="78"/>
      <c r="C621" s="114"/>
      <c r="D621" s="78"/>
      <c r="E621" s="78"/>
      <c r="F621" s="78"/>
      <c r="G621" s="78"/>
      <c r="H621" s="78"/>
      <c r="I621" s="78"/>
      <c r="J621" s="78"/>
      <c r="K621" s="78"/>
      <c r="L621" s="78"/>
      <c r="M621" s="78"/>
      <c r="N621" s="78"/>
      <c r="O621" s="78"/>
      <c r="P621" s="78"/>
      <c r="Q621" s="78"/>
      <c r="R621" s="78"/>
      <c r="S621" s="78"/>
      <c r="T621" s="78"/>
      <c r="U621" s="78"/>
      <c r="V621" s="78"/>
      <c r="W621" s="78"/>
      <c r="X621" s="78"/>
      <c r="Y621" s="78"/>
    </row>
    <row r="622" spans="1:25" x14ac:dyDescent="0.25">
      <c r="A622" s="112" t="s">
        <v>682</v>
      </c>
      <c r="B622" s="78"/>
      <c r="C622" s="114"/>
      <c r="D622" s="78"/>
      <c r="E622" s="78"/>
      <c r="F622" s="78"/>
      <c r="G622" s="78"/>
      <c r="H622" s="78"/>
      <c r="I622" s="78"/>
      <c r="J622" s="78"/>
      <c r="K622" s="78"/>
      <c r="L622" s="78"/>
      <c r="M622" s="78"/>
      <c r="N622" s="78"/>
      <c r="O622" s="78"/>
      <c r="P622" s="78"/>
      <c r="Q622" s="78"/>
      <c r="R622" s="78"/>
      <c r="S622" s="78"/>
      <c r="T622" s="78"/>
      <c r="U622" s="78"/>
      <c r="V622" s="78"/>
      <c r="W622" s="78"/>
      <c r="X622" s="78"/>
      <c r="Y622" s="78"/>
    </row>
    <row r="623" spans="1:25" x14ac:dyDescent="0.25">
      <c r="A623" s="112" t="s">
        <v>682</v>
      </c>
      <c r="B623" s="78"/>
      <c r="C623" s="114"/>
      <c r="D623" s="78"/>
      <c r="E623" s="78"/>
      <c r="F623" s="78"/>
      <c r="G623" s="78"/>
      <c r="H623" s="78"/>
      <c r="I623" s="78"/>
      <c r="J623" s="78"/>
      <c r="K623" s="78"/>
      <c r="L623" s="78"/>
      <c r="M623" s="78"/>
      <c r="N623" s="78"/>
      <c r="O623" s="78"/>
      <c r="P623" s="78"/>
      <c r="Q623" s="78"/>
      <c r="R623" s="78"/>
      <c r="S623" s="78"/>
      <c r="T623" s="78"/>
      <c r="U623" s="78"/>
      <c r="V623" s="78"/>
      <c r="W623" s="78"/>
      <c r="X623" s="78"/>
      <c r="Y623" s="78"/>
    </row>
    <row r="624" spans="1:25" x14ac:dyDescent="0.25">
      <c r="A624" s="112" t="s">
        <v>682</v>
      </c>
      <c r="B624" s="78"/>
      <c r="C624" s="114"/>
      <c r="D624" s="78"/>
      <c r="E624" s="78"/>
      <c r="F624" s="78"/>
      <c r="G624" s="78"/>
      <c r="H624" s="78"/>
      <c r="I624" s="78"/>
      <c r="J624" s="78"/>
      <c r="K624" s="78"/>
      <c r="L624" s="78"/>
      <c r="M624" s="78"/>
      <c r="N624" s="78"/>
      <c r="O624" s="78"/>
      <c r="P624" s="78"/>
      <c r="Q624" s="78"/>
      <c r="R624" s="78"/>
      <c r="S624" s="78"/>
      <c r="T624" s="78"/>
      <c r="U624" s="78"/>
      <c r="V624" s="78"/>
      <c r="W624" s="78"/>
      <c r="X624" s="78"/>
      <c r="Y624" s="78"/>
    </row>
    <row r="625" spans="1:25" x14ac:dyDescent="0.25">
      <c r="A625" s="112" t="s">
        <v>682</v>
      </c>
      <c r="B625" s="78"/>
      <c r="C625" s="114"/>
      <c r="D625" s="78"/>
      <c r="E625" s="78"/>
      <c r="F625" s="78"/>
      <c r="G625" s="78"/>
      <c r="H625" s="78"/>
      <c r="I625" s="78"/>
      <c r="J625" s="78"/>
      <c r="K625" s="78"/>
      <c r="L625" s="78"/>
      <c r="M625" s="78"/>
      <c r="N625" s="78"/>
      <c r="O625" s="78"/>
      <c r="P625" s="78"/>
      <c r="Q625" s="78"/>
      <c r="R625" s="78"/>
      <c r="S625" s="78"/>
      <c r="T625" s="78"/>
      <c r="U625" s="78"/>
      <c r="V625" s="78"/>
      <c r="W625" s="78"/>
      <c r="X625" s="78"/>
      <c r="Y625" s="78"/>
    </row>
    <row r="626" spans="1:25" x14ac:dyDescent="0.25">
      <c r="A626" s="112" t="s">
        <v>682</v>
      </c>
      <c r="B626" s="78"/>
      <c r="C626" s="114"/>
      <c r="D626" s="78"/>
      <c r="E626" s="78"/>
      <c r="F626" s="78"/>
      <c r="G626" s="78"/>
      <c r="H626" s="78"/>
      <c r="I626" s="78"/>
      <c r="J626" s="78"/>
      <c r="K626" s="78"/>
      <c r="L626" s="78"/>
      <c r="M626" s="78"/>
      <c r="N626" s="78"/>
      <c r="O626" s="78"/>
      <c r="P626" s="78"/>
      <c r="Q626" s="78"/>
      <c r="R626" s="78"/>
      <c r="S626" s="78"/>
      <c r="T626" s="78"/>
      <c r="U626" s="78"/>
      <c r="V626" s="78"/>
      <c r="W626" s="78"/>
      <c r="X626" s="78"/>
      <c r="Y626" s="78"/>
    </row>
    <row r="627" spans="1:25" x14ac:dyDescent="0.25">
      <c r="A627" s="112" t="s">
        <v>682</v>
      </c>
      <c r="B627" s="78"/>
      <c r="C627" s="114"/>
      <c r="D627" s="78"/>
      <c r="E627" s="78"/>
      <c r="F627" s="78"/>
      <c r="G627" s="78"/>
      <c r="H627" s="78"/>
      <c r="I627" s="78"/>
      <c r="J627" s="78"/>
      <c r="K627" s="78"/>
      <c r="L627" s="78"/>
      <c r="M627" s="78"/>
      <c r="N627" s="78"/>
      <c r="O627" s="78"/>
      <c r="P627" s="78"/>
      <c r="Q627" s="78"/>
      <c r="R627" s="78"/>
      <c r="S627" s="78"/>
      <c r="T627" s="78"/>
      <c r="U627" s="78"/>
      <c r="V627" s="78"/>
      <c r="W627" s="78"/>
      <c r="X627" s="78"/>
      <c r="Y627" s="78"/>
    </row>
    <row r="628" spans="1:25" x14ac:dyDescent="0.25">
      <c r="A628" s="112" t="s">
        <v>682</v>
      </c>
      <c r="B628" s="78"/>
      <c r="C628" s="114"/>
      <c r="D628" s="78"/>
      <c r="E628" s="78"/>
      <c r="F628" s="78"/>
      <c r="G628" s="78"/>
      <c r="H628" s="78"/>
      <c r="I628" s="78"/>
      <c r="J628" s="78"/>
      <c r="K628" s="78"/>
      <c r="L628" s="78"/>
      <c r="M628" s="78"/>
      <c r="N628" s="78"/>
      <c r="O628" s="78"/>
      <c r="P628" s="78"/>
      <c r="Q628" s="78"/>
      <c r="R628" s="78"/>
      <c r="S628" s="78"/>
      <c r="T628" s="78"/>
      <c r="U628" s="78"/>
      <c r="V628" s="78"/>
      <c r="W628" s="78"/>
      <c r="X628" s="78"/>
      <c r="Y628" s="78"/>
    </row>
    <row r="629" spans="1:25" x14ac:dyDescent="0.25">
      <c r="A629" s="112" t="s">
        <v>682</v>
      </c>
      <c r="B629" s="78"/>
      <c r="C629" s="114"/>
      <c r="D629" s="78"/>
      <c r="E629" s="78"/>
      <c r="F629" s="78"/>
      <c r="G629" s="78"/>
      <c r="H629" s="78"/>
      <c r="I629" s="78"/>
      <c r="J629" s="78"/>
      <c r="K629" s="78"/>
      <c r="L629" s="78"/>
      <c r="M629" s="78"/>
      <c r="N629" s="78"/>
      <c r="O629" s="78"/>
      <c r="P629" s="78"/>
      <c r="Q629" s="78"/>
      <c r="R629" s="78"/>
      <c r="S629" s="78"/>
      <c r="T629" s="78"/>
      <c r="U629" s="78"/>
      <c r="V629" s="78"/>
      <c r="W629" s="78"/>
      <c r="X629" s="78"/>
      <c r="Y629" s="78"/>
    </row>
    <row r="630" spans="1:25" x14ac:dyDescent="0.25">
      <c r="A630" s="112" t="s">
        <v>682</v>
      </c>
      <c r="B630" s="78"/>
      <c r="C630" s="114"/>
      <c r="D630" s="78"/>
      <c r="E630" s="78"/>
      <c r="F630" s="78"/>
      <c r="G630" s="78"/>
      <c r="H630" s="78"/>
      <c r="I630" s="78"/>
      <c r="J630" s="78"/>
      <c r="K630" s="78"/>
      <c r="L630" s="78"/>
      <c r="M630" s="78"/>
      <c r="N630" s="78"/>
      <c r="O630" s="78"/>
      <c r="P630" s="78"/>
      <c r="Q630" s="78"/>
      <c r="R630" s="78"/>
      <c r="S630" s="78"/>
      <c r="T630" s="78"/>
      <c r="U630" s="78"/>
      <c r="V630" s="78"/>
      <c r="W630" s="78"/>
      <c r="X630" s="78"/>
      <c r="Y630" s="78"/>
    </row>
    <row r="631" spans="1:25" x14ac:dyDescent="0.25">
      <c r="A631" s="112" t="s">
        <v>682</v>
      </c>
      <c r="B631" s="78"/>
      <c r="C631" s="114"/>
      <c r="D631" s="78"/>
      <c r="E631" s="78"/>
      <c r="F631" s="78"/>
      <c r="G631" s="78"/>
      <c r="H631" s="78"/>
      <c r="I631" s="78"/>
      <c r="J631" s="78"/>
      <c r="K631" s="78"/>
      <c r="L631" s="78"/>
      <c r="M631" s="78"/>
      <c r="N631" s="78"/>
      <c r="O631" s="78"/>
      <c r="P631" s="78"/>
      <c r="Q631" s="78"/>
      <c r="R631" s="78"/>
      <c r="S631" s="78"/>
      <c r="T631" s="78"/>
      <c r="U631" s="78"/>
      <c r="V631" s="78"/>
      <c r="W631" s="78"/>
      <c r="X631" s="78"/>
      <c r="Y631" s="78"/>
    </row>
    <row r="632" spans="1:25" x14ac:dyDescent="0.25">
      <c r="A632" s="112" t="s">
        <v>682</v>
      </c>
      <c r="B632" s="78"/>
      <c r="C632" s="114"/>
      <c r="D632" s="78"/>
      <c r="E632" s="78"/>
      <c r="F632" s="78"/>
      <c r="G632" s="78"/>
      <c r="H632" s="78"/>
      <c r="I632" s="78"/>
      <c r="J632" s="78"/>
      <c r="K632" s="78"/>
      <c r="L632" s="78"/>
      <c r="M632" s="78"/>
      <c r="N632" s="78"/>
      <c r="O632" s="78"/>
      <c r="P632" s="78"/>
      <c r="Q632" s="78"/>
      <c r="R632" s="78"/>
      <c r="S632" s="78"/>
      <c r="T632" s="78"/>
      <c r="U632" s="78"/>
      <c r="V632" s="78"/>
      <c r="W632" s="78"/>
      <c r="X632" s="78"/>
      <c r="Y632" s="78"/>
    </row>
    <row r="633" spans="1:25" x14ac:dyDescent="0.25">
      <c r="A633" s="112" t="s">
        <v>682</v>
      </c>
      <c r="B633" s="78"/>
      <c r="C633" s="114"/>
      <c r="D633" s="78"/>
      <c r="E633" s="78"/>
      <c r="F633" s="78"/>
      <c r="G633" s="78"/>
      <c r="H633" s="78"/>
      <c r="I633" s="78"/>
      <c r="J633" s="78"/>
      <c r="K633" s="78"/>
      <c r="L633" s="78"/>
      <c r="M633" s="78"/>
      <c r="N633" s="78"/>
      <c r="O633" s="78"/>
      <c r="P633" s="78"/>
      <c r="Q633" s="78"/>
      <c r="R633" s="78"/>
      <c r="S633" s="78"/>
      <c r="T633" s="78"/>
      <c r="U633" s="78"/>
      <c r="V633" s="78"/>
      <c r="W633" s="78"/>
      <c r="X633" s="78"/>
      <c r="Y633" s="78"/>
    </row>
    <row r="634" spans="1:25" x14ac:dyDescent="0.25">
      <c r="A634" s="112" t="s">
        <v>682</v>
      </c>
      <c r="B634" s="78"/>
      <c r="C634" s="114"/>
      <c r="D634" s="78"/>
      <c r="E634" s="78"/>
      <c r="F634" s="78"/>
      <c r="G634" s="78"/>
      <c r="H634" s="78"/>
      <c r="I634" s="78"/>
      <c r="J634" s="78"/>
      <c r="K634" s="78"/>
      <c r="L634" s="78"/>
      <c r="M634" s="78"/>
      <c r="N634" s="78"/>
      <c r="O634" s="78"/>
      <c r="P634" s="78"/>
      <c r="Q634" s="78"/>
      <c r="R634" s="78"/>
      <c r="S634" s="78"/>
      <c r="T634" s="78"/>
      <c r="U634" s="78"/>
      <c r="V634" s="78"/>
      <c r="W634" s="78"/>
      <c r="X634" s="78"/>
      <c r="Y634" s="78"/>
    </row>
    <row r="635" spans="1:25" x14ac:dyDescent="0.25">
      <c r="A635" s="112" t="s">
        <v>682</v>
      </c>
      <c r="B635" s="78"/>
      <c r="C635" s="114"/>
      <c r="D635" s="78"/>
      <c r="E635" s="78"/>
      <c r="F635" s="78"/>
      <c r="G635" s="78"/>
      <c r="H635" s="78"/>
      <c r="I635" s="78"/>
      <c r="J635" s="78"/>
      <c r="K635" s="78"/>
      <c r="L635" s="78"/>
      <c r="M635" s="78"/>
      <c r="N635" s="78"/>
      <c r="O635" s="78"/>
      <c r="P635" s="78"/>
      <c r="Q635" s="78"/>
      <c r="R635" s="78"/>
      <c r="S635" s="78"/>
      <c r="T635" s="78"/>
      <c r="U635" s="78"/>
      <c r="V635" s="78"/>
      <c r="W635" s="78"/>
      <c r="X635" s="78"/>
      <c r="Y635" s="78"/>
    </row>
    <row r="636" spans="1:25" x14ac:dyDescent="0.25">
      <c r="A636" s="112" t="s">
        <v>682</v>
      </c>
      <c r="B636" s="78"/>
      <c r="C636" s="114"/>
      <c r="D636" s="78"/>
      <c r="E636" s="78"/>
      <c r="F636" s="78"/>
      <c r="G636" s="78"/>
      <c r="H636" s="78"/>
      <c r="I636" s="78"/>
      <c r="J636" s="78"/>
      <c r="K636" s="78"/>
      <c r="L636" s="78"/>
      <c r="M636" s="78"/>
      <c r="N636" s="78"/>
      <c r="O636" s="78"/>
      <c r="P636" s="78"/>
      <c r="Q636" s="78"/>
      <c r="R636" s="78"/>
      <c r="S636" s="78"/>
      <c r="T636" s="78"/>
      <c r="U636" s="78"/>
      <c r="V636" s="78"/>
      <c r="W636" s="78"/>
      <c r="X636" s="78"/>
      <c r="Y636" s="78"/>
    </row>
    <row r="637" spans="1:25" x14ac:dyDescent="0.25">
      <c r="A637" s="112" t="s">
        <v>682</v>
      </c>
      <c r="B637" s="78"/>
      <c r="C637" s="114"/>
      <c r="D637" s="78"/>
      <c r="E637" s="78"/>
      <c r="F637" s="78"/>
      <c r="G637" s="78"/>
      <c r="H637" s="78"/>
      <c r="I637" s="78"/>
      <c r="J637" s="78"/>
      <c r="K637" s="78"/>
      <c r="L637" s="78"/>
      <c r="M637" s="78"/>
      <c r="N637" s="78"/>
      <c r="O637" s="78"/>
      <c r="P637" s="78"/>
      <c r="Q637" s="78"/>
      <c r="R637" s="78"/>
      <c r="S637" s="78"/>
      <c r="T637" s="78"/>
      <c r="U637" s="78"/>
      <c r="V637" s="78"/>
      <c r="W637" s="78"/>
      <c r="X637" s="78"/>
      <c r="Y637" s="78"/>
    </row>
    <row r="638" spans="1:25" x14ac:dyDescent="0.25">
      <c r="A638" s="112" t="s">
        <v>682</v>
      </c>
      <c r="B638" s="78"/>
      <c r="C638" s="114"/>
      <c r="D638" s="78"/>
      <c r="E638" s="78"/>
      <c r="F638" s="78"/>
      <c r="G638" s="78"/>
      <c r="H638" s="78"/>
      <c r="I638" s="78"/>
      <c r="J638" s="78"/>
      <c r="K638" s="78"/>
      <c r="L638" s="78"/>
      <c r="M638" s="78"/>
      <c r="N638" s="78"/>
      <c r="O638" s="78"/>
      <c r="P638" s="78"/>
      <c r="Q638" s="78"/>
      <c r="R638" s="78"/>
      <c r="S638" s="78"/>
      <c r="T638" s="78"/>
      <c r="U638" s="78"/>
      <c r="V638" s="78"/>
      <c r="W638" s="78"/>
      <c r="X638" s="78"/>
      <c r="Y638" s="78"/>
    </row>
    <row r="639" spans="1:25" x14ac:dyDescent="0.25">
      <c r="A639" s="112" t="s">
        <v>682</v>
      </c>
      <c r="B639" s="78"/>
      <c r="C639" s="114"/>
      <c r="D639" s="78"/>
      <c r="E639" s="78"/>
      <c r="F639" s="78"/>
      <c r="G639" s="78"/>
      <c r="H639" s="78"/>
      <c r="I639" s="78"/>
      <c r="J639" s="78"/>
      <c r="K639" s="78"/>
      <c r="L639" s="78"/>
      <c r="M639" s="78"/>
      <c r="N639" s="78"/>
      <c r="O639" s="78"/>
      <c r="P639" s="78"/>
      <c r="Q639" s="78"/>
      <c r="R639" s="78"/>
      <c r="S639" s="78"/>
      <c r="T639" s="78"/>
      <c r="U639" s="78"/>
      <c r="V639" s="78"/>
      <c r="W639" s="78"/>
      <c r="X639" s="78"/>
      <c r="Y639" s="78"/>
    </row>
    <row r="640" spans="1:25" x14ac:dyDescent="0.25">
      <c r="A640" s="112" t="s">
        <v>682</v>
      </c>
      <c r="B640" s="78"/>
      <c r="C640" s="114"/>
      <c r="D640" s="78"/>
      <c r="E640" s="78"/>
      <c r="F640" s="78"/>
      <c r="G640" s="78"/>
      <c r="H640" s="78"/>
      <c r="I640" s="78"/>
      <c r="J640" s="78"/>
      <c r="K640" s="78"/>
      <c r="L640" s="78"/>
      <c r="M640" s="78"/>
      <c r="N640" s="78"/>
      <c r="O640" s="78"/>
      <c r="P640" s="78"/>
      <c r="Q640" s="78"/>
      <c r="R640" s="78"/>
      <c r="S640" s="78"/>
      <c r="T640" s="78"/>
      <c r="U640" s="78"/>
      <c r="V640" s="78"/>
      <c r="W640" s="78"/>
      <c r="X640" s="78"/>
      <c r="Y640" s="78"/>
    </row>
    <row r="641" spans="1:25" x14ac:dyDescent="0.25">
      <c r="A641" s="112" t="s">
        <v>682</v>
      </c>
      <c r="B641" s="78"/>
      <c r="C641" s="114"/>
      <c r="D641" s="78"/>
      <c r="E641" s="78"/>
      <c r="F641" s="78"/>
      <c r="G641" s="78"/>
      <c r="H641" s="78"/>
      <c r="I641" s="78"/>
      <c r="J641" s="78"/>
      <c r="K641" s="78"/>
      <c r="L641" s="78"/>
      <c r="M641" s="78"/>
      <c r="N641" s="78"/>
      <c r="O641" s="78"/>
      <c r="P641" s="78"/>
      <c r="Q641" s="78"/>
      <c r="R641" s="78"/>
      <c r="S641" s="78"/>
      <c r="T641" s="78"/>
      <c r="U641" s="78"/>
      <c r="V641" s="78"/>
      <c r="W641" s="78"/>
      <c r="X641" s="78"/>
      <c r="Y641" s="78"/>
    </row>
    <row r="642" spans="1:25" x14ac:dyDescent="0.25">
      <c r="A642" s="112" t="s">
        <v>682</v>
      </c>
      <c r="B642" s="78"/>
      <c r="C642" s="114"/>
      <c r="D642" s="78"/>
      <c r="E642" s="78"/>
      <c r="F642" s="78"/>
      <c r="G642" s="78"/>
      <c r="H642" s="78"/>
      <c r="I642" s="78"/>
      <c r="J642" s="78"/>
      <c r="K642" s="78"/>
      <c r="L642" s="78"/>
      <c r="M642" s="78"/>
      <c r="N642" s="78"/>
      <c r="O642" s="78"/>
      <c r="P642" s="78"/>
      <c r="Q642" s="78"/>
      <c r="R642" s="78"/>
      <c r="S642" s="78"/>
      <c r="T642" s="78"/>
      <c r="U642" s="78"/>
      <c r="V642" s="78"/>
      <c r="W642" s="78"/>
      <c r="X642" s="78"/>
      <c r="Y642" s="78"/>
    </row>
    <row r="643" spans="1:25" x14ac:dyDescent="0.25">
      <c r="A643" s="112" t="s">
        <v>682</v>
      </c>
      <c r="B643" s="78"/>
      <c r="C643" s="114"/>
      <c r="D643" s="78"/>
      <c r="E643" s="78"/>
      <c r="F643" s="78"/>
      <c r="G643" s="78"/>
      <c r="H643" s="78"/>
      <c r="I643" s="78"/>
      <c r="J643" s="78"/>
      <c r="K643" s="78"/>
      <c r="L643" s="78"/>
      <c r="M643" s="78"/>
      <c r="N643" s="78"/>
      <c r="O643" s="78"/>
      <c r="P643" s="78"/>
      <c r="Q643" s="78"/>
      <c r="R643" s="78"/>
      <c r="S643" s="78"/>
      <c r="T643" s="78"/>
      <c r="U643" s="78"/>
      <c r="V643" s="78"/>
      <c r="W643" s="78"/>
      <c r="X643" s="78"/>
      <c r="Y643" s="78"/>
    </row>
    <row r="644" spans="1:25" x14ac:dyDescent="0.25">
      <c r="A644" s="112" t="s">
        <v>682</v>
      </c>
      <c r="B644" s="78"/>
      <c r="C644" s="114"/>
      <c r="D644" s="78"/>
      <c r="E644" s="78"/>
      <c r="F644" s="78"/>
      <c r="G644" s="78"/>
      <c r="H644" s="78"/>
      <c r="I644" s="78"/>
      <c r="J644" s="78"/>
      <c r="K644" s="78"/>
      <c r="L644" s="78"/>
      <c r="M644" s="78"/>
      <c r="N644" s="78"/>
      <c r="O644" s="78"/>
      <c r="P644" s="78"/>
      <c r="Q644" s="78"/>
      <c r="R644" s="78"/>
      <c r="S644" s="78"/>
      <c r="T644" s="78"/>
      <c r="U644" s="78"/>
      <c r="V644" s="78"/>
      <c r="W644" s="78"/>
      <c r="X644" s="78"/>
      <c r="Y644" s="78"/>
    </row>
    <row r="645" spans="1:25" x14ac:dyDescent="0.25">
      <c r="A645" s="112" t="s">
        <v>682</v>
      </c>
      <c r="B645" s="78"/>
      <c r="C645" s="114"/>
      <c r="D645" s="78"/>
      <c r="E645" s="78"/>
      <c r="F645" s="78"/>
      <c r="G645" s="78"/>
      <c r="H645" s="78"/>
      <c r="I645" s="78"/>
      <c r="J645" s="78"/>
      <c r="K645" s="78"/>
      <c r="L645" s="78"/>
      <c r="M645" s="78"/>
      <c r="N645" s="78"/>
      <c r="O645" s="78"/>
      <c r="P645" s="78"/>
      <c r="Q645" s="78"/>
      <c r="R645" s="78"/>
      <c r="S645" s="78"/>
      <c r="T645" s="78"/>
      <c r="U645" s="78"/>
      <c r="V645" s="78"/>
      <c r="W645" s="78"/>
      <c r="X645" s="78"/>
      <c r="Y645" s="78"/>
    </row>
    <row r="646" spans="1:25" x14ac:dyDescent="0.25">
      <c r="A646" s="112" t="s">
        <v>682</v>
      </c>
      <c r="B646" s="78"/>
      <c r="C646" s="114"/>
      <c r="D646" s="78"/>
      <c r="E646" s="78"/>
      <c r="F646" s="78"/>
      <c r="G646" s="78"/>
      <c r="H646" s="78"/>
      <c r="I646" s="78"/>
      <c r="J646" s="78"/>
      <c r="K646" s="78"/>
      <c r="L646" s="78"/>
      <c r="M646" s="78"/>
      <c r="N646" s="78"/>
      <c r="O646" s="78"/>
      <c r="P646" s="78"/>
      <c r="Q646" s="78"/>
      <c r="R646" s="78"/>
      <c r="S646" s="78"/>
      <c r="T646" s="78"/>
      <c r="U646" s="78"/>
      <c r="V646" s="78"/>
      <c r="W646" s="78"/>
      <c r="X646" s="78"/>
      <c r="Y646" s="78"/>
    </row>
    <row r="647" spans="1:25" x14ac:dyDescent="0.25">
      <c r="A647" s="112" t="s">
        <v>682</v>
      </c>
      <c r="B647" s="78"/>
      <c r="C647" s="114"/>
      <c r="D647" s="78"/>
      <c r="E647" s="78"/>
      <c r="F647" s="78"/>
      <c r="G647" s="78"/>
      <c r="H647" s="78"/>
      <c r="I647" s="78"/>
      <c r="J647" s="78"/>
      <c r="K647" s="78"/>
      <c r="L647" s="78"/>
      <c r="M647" s="78"/>
      <c r="N647" s="78"/>
      <c r="O647" s="78"/>
      <c r="P647" s="78"/>
      <c r="Q647" s="78"/>
      <c r="R647" s="78"/>
      <c r="S647" s="78"/>
      <c r="T647" s="78"/>
      <c r="U647" s="78"/>
      <c r="V647" s="78"/>
      <c r="W647" s="78"/>
      <c r="X647" s="78"/>
      <c r="Y647" s="78"/>
    </row>
    <row r="648" spans="1:25" x14ac:dyDescent="0.25">
      <c r="A648" s="112" t="s">
        <v>682</v>
      </c>
      <c r="B648" s="78"/>
      <c r="C648" s="114"/>
      <c r="D648" s="78"/>
      <c r="E648" s="78"/>
      <c r="F648" s="78"/>
      <c r="G648" s="78"/>
      <c r="H648" s="78"/>
      <c r="I648" s="78"/>
      <c r="J648" s="78"/>
      <c r="K648" s="78"/>
      <c r="L648" s="78"/>
      <c r="M648" s="78"/>
      <c r="N648" s="78"/>
      <c r="O648" s="78"/>
      <c r="P648" s="78"/>
      <c r="Q648" s="78"/>
      <c r="R648" s="78"/>
      <c r="S648" s="78"/>
      <c r="T648" s="78"/>
      <c r="U648" s="78"/>
      <c r="V648" s="78"/>
      <c r="W648" s="78"/>
      <c r="X648" s="78"/>
      <c r="Y648" s="78"/>
    </row>
    <row r="649" spans="1:25" x14ac:dyDescent="0.25">
      <c r="A649" s="112" t="s">
        <v>682</v>
      </c>
      <c r="B649" s="78"/>
      <c r="C649" s="114"/>
      <c r="D649" s="78"/>
      <c r="E649" s="78"/>
      <c r="F649" s="78"/>
      <c r="G649" s="78"/>
      <c r="H649" s="78"/>
      <c r="I649" s="78"/>
      <c r="J649" s="78"/>
      <c r="K649" s="78"/>
      <c r="L649" s="78"/>
      <c r="M649" s="78"/>
      <c r="N649" s="78"/>
      <c r="O649" s="78"/>
      <c r="P649" s="78"/>
      <c r="Q649" s="78"/>
      <c r="R649" s="78"/>
      <c r="S649" s="78"/>
      <c r="T649" s="78"/>
      <c r="U649" s="78"/>
      <c r="V649" s="78"/>
      <c r="W649" s="78"/>
      <c r="X649" s="78"/>
      <c r="Y649" s="78"/>
    </row>
    <row r="650" spans="1:25" x14ac:dyDescent="0.25">
      <c r="A650" s="112" t="s">
        <v>682</v>
      </c>
      <c r="B650" s="78"/>
      <c r="C650" s="114"/>
      <c r="D650" s="78"/>
      <c r="E650" s="78"/>
      <c r="F650" s="78"/>
      <c r="G650" s="78"/>
      <c r="H650" s="78"/>
      <c r="I650" s="78"/>
      <c r="J650" s="78"/>
      <c r="K650" s="78"/>
      <c r="L650" s="78"/>
      <c r="M650" s="78"/>
      <c r="N650" s="78"/>
      <c r="O650" s="78"/>
      <c r="P650" s="78"/>
      <c r="Q650" s="78"/>
      <c r="R650" s="78"/>
      <c r="S650" s="78"/>
      <c r="T650" s="78"/>
      <c r="U650" s="78"/>
      <c r="V650" s="78"/>
      <c r="W650" s="78"/>
      <c r="X650" s="78"/>
      <c r="Y650" s="78"/>
    </row>
    <row r="651" spans="1:25" x14ac:dyDescent="0.25">
      <c r="A651" s="112" t="s">
        <v>682</v>
      </c>
      <c r="B651" s="78"/>
      <c r="C651" s="114"/>
      <c r="D651" s="78"/>
      <c r="E651" s="78"/>
      <c r="F651" s="78"/>
      <c r="G651" s="78"/>
      <c r="H651" s="78"/>
      <c r="I651" s="78"/>
      <c r="J651" s="78"/>
      <c r="K651" s="78"/>
      <c r="L651" s="78"/>
      <c r="M651" s="78"/>
      <c r="N651" s="78"/>
      <c r="O651" s="78"/>
      <c r="P651" s="78"/>
      <c r="Q651" s="78"/>
      <c r="R651" s="78"/>
      <c r="S651" s="78"/>
      <c r="T651" s="78"/>
      <c r="U651" s="78"/>
      <c r="V651" s="78"/>
      <c r="W651" s="78"/>
      <c r="X651" s="78"/>
      <c r="Y651" s="78"/>
    </row>
    <row r="652" spans="1:25" x14ac:dyDescent="0.25">
      <c r="A652" s="112" t="s">
        <v>682</v>
      </c>
      <c r="B652" s="78"/>
      <c r="C652" s="114"/>
      <c r="D652" s="78"/>
      <c r="E652" s="78"/>
      <c r="F652" s="78"/>
      <c r="G652" s="78"/>
      <c r="H652" s="78"/>
      <c r="I652" s="78"/>
      <c r="J652" s="78"/>
      <c r="K652" s="78"/>
      <c r="L652" s="78"/>
      <c r="M652" s="78"/>
      <c r="N652" s="78"/>
      <c r="O652" s="78"/>
      <c r="P652" s="78"/>
      <c r="Q652" s="78"/>
      <c r="R652" s="78"/>
      <c r="S652" s="78"/>
      <c r="T652" s="78"/>
      <c r="U652" s="78"/>
      <c r="V652" s="78"/>
      <c r="W652" s="78"/>
      <c r="X652" s="78"/>
      <c r="Y652" s="78"/>
    </row>
    <row r="653" spans="1:25" x14ac:dyDescent="0.25">
      <c r="A653" s="112" t="s">
        <v>682</v>
      </c>
      <c r="B653" s="78"/>
      <c r="C653" s="114"/>
      <c r="D653" s="78"/>
      <c r="E653" s="78"/>
      <c r="F653" s="78"/>
      <c r="G653" s="78"/>
      <c r="H653" s="78"/>
      <c r="I653" s="78"/>
      <c r="J653" s="78"/>
      <c r="K653" s="78"/>
      <c r="L653" s="78"/>
      <c r="M653" s="78"/>
      <c r="N653" s="78"/>
      <c r="O653" s="78"/>
      <c r="P653" s="78"/>
      <c r="Q653" s="78"/>
      <c r="R653" s="78"/>
      <c r="S653" s="78"/>
      <c r="T653" s="78"/>
      <c r="U653" s="78"/>
      <c r="V653" s="78"/>
      <c r="W653" s="78"/>
      <c r="X653" s="78"/>
      <c r="Y653" s="78"/>
    </row>
    <row r="654" spans="1:25" x14ac:dyDescent="0.25">
      <c r="A654" s="112" t="s">
        <v>682</v>
      </c>
      <c r="B654" s="78"/>
      <c r="C654" s="114"/>
      <c r="D654" s="78"/>
      <c r="E654" s="78"/>
      <c r="F654" s="78"/>
      <c r="G654" s="78"/>
      <c r="H654" s="78"/>
      <c r="I654" s="78"/>
      <c r="J654" s="78"/>
      <c r="K654" s="78"/>
      <c r="L654" s="78"/>
      <c r="M654" s="78"/>
      <c r="N654" s="78"/>
      <c r="O654" s="78"/>
      <c r="P654" s="78"/>
      <c r="Q654" s="78"/>
      <c r="R654" s="78"/>
      <c r="S654" s="78"/>
      <c r="T654" s="78"/>
      <c r="U654" s="78"/>
      <c r="V654" s="78"/>
      <c r="W654" s="78"/>
      <c r="X654" s="78"/>
      <c r="Y654" s="78"/>
    </row>
    <row r="655" spans="1:25" x14ac:dyDescent="0.25">
      <c r="A655" s="112" t="s">
        <v>682</v>
      </c>
      <c r="B655" s="78"/>
      <c r="C655" s="114"/>
      <c r="D655" s="78"/>
      <c r="E655" s="78"/>
      <c r="F655" s="78"/>
      <c r="G655" s="78"/>
      <c r="H655" s="78"/>
      <c r="I655" s="78"/>
      <c r="J655" s="78"/>
      <c r="K655" s="78"/>
      <c r="L655" s="78"/>
      <c r="M655" s="78"/>
      <c r="N655" s="78"/>
      <c r="O655" s="78"/>
      <c r="P655" s="78"/>
      <c r="Q655" s="78"/>
      <c r="R655" s="78"/>
      <c r="S655" s="78"/>
      <c r="T655" s="78"/>
      <c r="U655" s="78"/>
      <c r="V655" s="78"/>
      <c r="W655" s="78"/>
      <c r="X655" s="78"/>
      <c r="Y655" s="78"/>
    </row>
    <row r="656" spans="1:25" x14ac:dyDescent="0.25">
      <c r="A656" s="112" t="s">
        <v>682</v>
      </c>
      <c r="B656" s="78"/>
      <c r="C656" s="114"/>
      <c r="D656" s="78"/>
      <c r="E656" s="78"/>
      <c r="F656" s="78"/>
      <c r="G656" s="78"/>
      <c r="H656" s="78"/>
      <c r="I656" s="78"/>
      <c r="J656" s="78"/>
      <c r="K656" s="78"/>
      <c r="L656" s="78"/>
      <c r="M656" s="78"/>
      <c r="N656" s="78"/>
      <c r="O656" s="78"/>
      <c r="P656" s="78"/>
      <c r="Q656" s="78"/>
      <c r="R656" s="78"/>
      <c r="S656" s="78"/>
      <c r="T656" s="78"/>
      <c r="U656" s="78"/>
      <c r="V656" s="78"/>
      <c r="W656" s="78"/>
      <c r="X656" s="78"/>
      <c r="Y656" s="78"/>
    </row>
    <row r="657" spans="1:25" x14ac:dyDescent="0.25">
      <c r="A657" s="112" t="s">
        <v>682</v>
      </c>
      <c r="B657" s="78"/>
      <c r="C657" s="114"/>
      <c r="D657" s="78"/>
      <c r="E657" s="78"/>
      <c r="F657" s="78"/>
      <c r="G657" s="78"/>
      <c r="H657" s="78"/>
      <c r="I657" s="78"/>
      <c r="J657" s="78"/>
      <c r="K657" s="78"/>
      <c r="L657" s="78"/>
      <c r="M657" s="78"/>
      <c r="N657" s="78"/>
      <c r="O657" s="78"/>
      <c r="P657" s="78"/>
      <c r="Q657" s="78"/>
      <c r="R657" s="78"/>
      <c r="S657" s="78"/>
      <c r="T657" s="78"/>
      <c r="U657" s="78"/>
      <c r="V657" s="78"/>
      <c r="W657" s="78"/>
      <c r="X657" s="78"/>
      <c r="Y657" s="78"/>
    </row>
    <row r="658" spans="1:25" x14ac:dyDescent="0.25">
      <c r="A658" s="112" t="s">
        <v>682</v>
      </c>
      <c r="B658" s="78"/>
      <c r="C658" s="114"/>
      <c r="D658" s="78"/>
      <c r="E658" s="78"/>
      <c r="F658" s="78"/>
      <c r="G658" s="78"/>
      <c r="H658" s="78"/>
      <c r="I658" s="78"/>
      <c r="J658" s="78"/>
      <c r="K658" s="78"/>
      <c r="L658" s="78"/>
      <c r="M658" s="78"/>
      <c r="N658" s="78"/>
      <c r="O658" s="78"/>
      <c r="P658" s="78"/>
      <c r="Q658" s="78"/>
      <c r="R658" s="78"/>
      <c r="S658" s="78"/>
      <c r="T658" s="78"/>
      <c r="U658" s="78"/>
      <c r="V658" s="78"/>
      <c r="W658" s="78"/>
      <c r="X658" s="78"/>
      <c r="Y658" s="78"/>
    </row>
    <row r="659" spans="1:25" x14ac:dyDescent="0.25">
      <c r="A659" s="112" t="s">
        <v>682</v>
      </c>
      <c r="B659" s="78"/>
      <c r="C659" s="114"/>
      <c r="D659" s="78"/>
      <c r="E659" s="78"/>
      <c r="F659" s="78"/>
      <c r="G659" s="78"/>
      <c r="H659" s="78"/>
      <c r="I659" s="78"/>
      <c r="J659" s="78"/>
      <c r="K659" s="78"/>
      <c r="L659" s="78"/>
      <c r="M659" s="78"/>
      <c r="N659" s="78"/>
      <c r="O659" s="78"/>
      <c r="P659" s="78"/>
      <c r="Q659" s="78"/>
      <c r="R659" s="78"/>
      <c r="S659" s="78"/>
      <c r="T659" s="78"/>
      <c r="U659" s="78"/>
      <c r="V659" s="78"/>
      <c r="W659" s="78"/>
      <c r="X659" s="78"/>
      <c r="Y659" s="78"/>
    </row>
    <row r="660" spans="1:25" x14ac:dyDescent="0.25">
      <c r="A660" s="112" t="s">
        <v>682</v>
      </c>
      <c r="B660" s="78"/>
      <c r="C660" s="114"/>
      <c r="D660" s="78"/>
      <c r="E660" s="78"/>
      <c r="F660" s="78"/>
      <c r="G660" s="78"/>
      <c r="H660" s="78"/>
      <c r="I660" s="78"/>
      <c r="J660" s="78"/>
      <c r="K660" s="78"/>
      <c r="L660" s="78"/>
      <c r="M660" s="78"/>
      <c r="N660" s="78"/>
      <c r="O660" s="78"/>
      <c r="P660" s="78"/>
      <c r="Q660" s="78"/>
      <c r="R660" s="78"/>
      <c r="S660" s="78"/>
      <c r="T660" s="78"/>
      <c r="U660" s="78"/>
      <c r="V660" s="78"/>
      <c r="W660" s="78"/>
      <c r="X660" s="78"/>
      <c r="Y660" s="78"/>
    </row>
    <row r="661" spans="1:25" x14ac:dyDescent="0.25">
      <c r="A661" s="112" t="s">
        <v>682</v>
      </c>
      <c r="B661" s="78"/>
      <c r="C661" s="114"/>
      <c r="D661" s="78"/>
      <c r="E661" s="78"/>
      <c r="F661" s="78"/>
      <c r="G661" s="78"/>
      <c r="H661" s="78"/>
      <c r="I661" s="78"/>
      <c r="J661" s="78"/>
      <c r="K661" s="78"/>
      <c r="L661" s="78"/>
      <c r="M661" s="78"/>
      <c r="N661" s="78"/>
      <c r="O661" s="78"/>
      <c r="P661" s="78"/>
      <c r="Q661" s="78"/>
      <c r="R661" s="78"/>
      <c r="S661" s="78"/>
      <c r="T661" s="78"/>
      <c r="U661" s="78"/>
      <c r="V661" s="78"/>
      <c r="W661" s="78"/>
      <c r="X661" s="78"/>
      <c r="Y661" s="78"/>
    </row>
    <row r="662" spans="1:25" x14ac:dyDescent="0.25">
      <c r="A662" s="112" t="s">
        <v>682</v>
      </c>
      <c r="B662" s="78"/>
      <c r="C662" s="114"/>
      <c r="D662" s="78"/>
      <c r="E662" s="78"/>
      <c r="F662" s="78"/>
      <c r="G662" s="78"/>
      <c r="H662" s="78"/>
      <c r="I662" s="78"/>
      <c r="J662" s="78"/>
      <c r="K662" s="78"/>
      <c r="L662" s="78"/>
      <c r="M662" s="78"/>
      <c r="N662" s="78"/>
      <c r="O662" s="78"/>
      <c r="P662" s="78"/>
      <c r="Q662" s="78"/>
      <c r="R662" s="78"/>
      <c r="S662" s="78"/>
      <c r="T662" s="78"/>
      <c r="U662" s="78"/>
      <c r="V662" s="78"/>
      <c r="W662" s="78"/>
      <c r="X662" s="78"/>
      <c r="Y662" s="78"/>
    </row>
    <row r="663" spans="1:25" x14ac:dyDescent="0.25">
      <c r="A663" s="112" t="s">
        <v>682</v>
      </c>
      <c r="B663" s="78"/>
      <c r="C663" s="114"/>
      <c r="D663" s="78"/>
      <c r="E663" s="78"/>
      <c r="F663" s="78"/>
      <c r="G663" s="78"/>
      <c r="H663" s="78"/>
      <c r="I663" s="78"/>
      <c r="J663" s="78"/>
      <c r="K663" s="78"/>
      <c r="L663" s="78"/>
      <c r="M663" s="78"/>
      <c r="N663" s="78"/>
      <c r="O663" s="78"/>
      <c r="P663" s="78"/>
      <c r="Q663" s="78"/>
      <c r="R663" s="78"/>
      <c r="S663" s="78"/>
      <c r="T663" s="78"/>
      <c r="U663" s="78"/>
      <c r="V663" s="78"/>
      <c r="W663" s="78"/>
      <c r="X663" s="78"/>
      <c r="Y663" s="78"/>
    </row>
    <row r="664" spans="1:25" x14ac:dyDescent="0.25">
      <c r="A664" s="112" t="s">
        <v>682</v>
      </c>
      <c r="B664" s="78"/>
      <c r="C664" s="114"/>
      <c r="D664" s="78"/>
      <c r="E664" s="78"/>
      <c r="F664" s="78"/>
      <c r="G664" s="78"/>
      <c r="H664" s="78"/>
      <c r="I664" s="78"/>
      <c r="J664" s="78"/>
      <c r="K664" s="78"/>
      <c r="L664" s="78"/>
      <c r="M664" s="78"/>
      <c r="N664" s="78"/>
      <c r="O664" s="78"/>
      <c r="P664" s="78"/>
      <c r="Q664" s="78"/>
      <c r="R664" s="78"/>
      <c r="S664" s="78"/>
      <c r="T664" s="78"/>
      <c r="U664" s="78"/>
      <c r="V664" s="78"/>
      <c r="W664" s="78"/>
      <c r="X664" s="78"/>
      <c r="Y664" s="78"/>
    </row>
    <row r="665" spans="1:25" x14ac:dyDescent="0.25">
      <c r="A665" s="112" t="s">
        <v>682</v>
      </c>
      <c r="B665" s="78"/>
      <c r="C665" s="114"/>
      <c r="D665" s="78"/>
      <c r="E665" s="78"/>
      <c r="F665" s="78"/>
      <c r="G665" s="78"/>
      <c r="H665" s="78"/>
      <c r="I665" s="78"/>
      <c r="J665" s="78"/>
      <c r="K665" s="78"/>
      <c r="L665" s="78"/>
      <c r="M665" s="78"/>
      <c r="N665" s="78"/>
      <c r="O665" s="78"/>
      <c r="P665" s="78"/>
      <c r="Q665" s="78"/>
      <c r="R665" s="78"/>
      <c r="S665" s="78"/>
      <c r="T665" s="78"/>
      <c r="U665" s="78"/>
      <c r="V665" s="78"/>
      <c r="W665" s="78"/>
      <c r="X665" s="78"/>
      <c r="Y665" s="78"/>
    </row>
    <row r="666" spans="1:25" x14ac:dyDescent="0.25">
      <c r="A666" s="112" t="s">
        <v>682</v>
      </c>
      <c r="B666" s="78"/>
      <c r="C666" s="114"/>
      <c r="D666" s="78"/>
      <c r="E666" s="78"/>
      <c r="F666" s="78"/>
      <c r="G666" s="78"/>
      <c r="H666" s="78"/>
      <c r="I666" s="78"/>
      <c r="J666" s="78"/>
      <c r="K666" s="78"/>
      <c r="L666" s="78"/>
      <c r="M666" s="78"/>
      <c r="N666" s="78"/>
      <c r="O666" s="78"/>
      <c r="P666" s="78"/>
      <c r="Q666" s="78"/>
      <c r="R666" s="78"/>
      <c r="S666" s="78"/>
      <c r="T666" s="78"/>
      <c r="U666" s="78"/>
      <c r="V666" s="78"/>
      <c r="W666" s="78"/>
      <c r="X666" s="78"/>
      <c r="Y666" s="78"/>
    </row>
    <row r="667" spans="1:25" x14ac:dyDescent="0.25">
      <c r="A667" s="112" t="s">
        <v>682</v>
      </c>
      <c r="B667" s="78"/>
      <c r="C667" s="114"/>
      <c r="D667" s="78"/>
      <c r="E667" s="78"/>
      <c r="F667" s="78"/>
      <c r="G667" s="78"/>
      <c r="H667" s="78"/>
      <c r="I667" s="78"/>
      <c r="J667" s="78"/>
      <c r="K667" s="78"/>
      <c r="L667" s="78"/>
      <c r="M667" s="78"/>
      <c r="N667" s="78"/>
      <c r="O667" s="78"/>
      <c r="P667" s="78"/>
      <c r="Q667" s="78"/>
      <c r="R667" s="78"/>
      <c r="S667" s="78"/>
      <c r="T667" s="78"/>
      <c r="U667" s="78"/>
      <c r="V667" s="78"/>
      <c r="W667" s="78"/>
      <c r="X667" s="78"/>
      <c r="Y667" s="78"/>
    </row>
    <row r="668" spans="1:25" x14ac:dyDescent="0.25">
      <c r="A668" s="112" t="s">
        <v>682</v>
      </c>
      <c r="B668" s="78"/>
      <c r="C668" s="114"/>
      <c r="D668" s="78"/>
      <c r="E668" s="78"/>
      <c r="F668" s="78"/>
      <c r="G668" s="78"/>
      <c r="H668" s="78"/>
      <c r="I668" s="78"/>
      <c r="J668" s="78"/>
      <c r="K668" s="78"/>
      <c r="L668" s="78"/>
      <c r="M668" s="78"/>
      <c r="N668" s="78"/>
      <c r="O668" s="78"/>
      <c r="P668" s="78"/>
      <c r="Q668" s="78"/>
      <c r="R668" s="78"/>
      <c r="S668" s="78"/>
      <c r="T668" s="78"/>
      <c r="U668" s="78"/>
      <c r="V668" s="78"/>
      <c r="W668" s="78"/>
      <c r="X668" s="78"/>
      <c r="Y668" s="78"/>
    </row>
    <row r="669" spans="1:25" x14ac:dyDescent="0.25">
      <c r="A669" s="112" t="s">
        <v>682</v>
      </c>
      <c r="B669" s="78"/>
      <c r="C669" s="114"/>
      <c r="D669" s="78"/>
      <c r="E669" s="78"/>
      <c r="F669" s="78"/>
      <c r="G669" s="78"/>
      <c r="H669" s="78"/>
      <c r="I669" s="78"/>
      <c r="J669" s="78"/>
      <c r="K669" s="78"/>
      <c r="L669" s="78"/>
      <c r="M669" s="78"/>
      <c r="N669" s="78"/>
      <c r="O669" s="78"/>
      <c r="P669" s="78"/>
      <c r="Q669" s="78"/>
      <c r="R669" s="78"/>
      <c r="S669" s="78"/>
      <c r="T669" s="78"/>
      <c r="U669" s="78"/>
      <c r="V669" s="78"/>
      <c r="W669" s="78"/>
      <c r="X669" s="78"/>
      <c r="Y669" s="78"/>
    </row>
    <row r="670" spans="1:25" x14ac:dyDescent="0.25">
      <c r="A670" s="112" t="s">
        <v>682</v>
      </c>
      <c r="B670" s="78"/>
      <c r="C670" s="114"/>
      <c r="D670" s="78"/>
      <c r="E670" s="78"/>
      <c r="F670" s="78"/>
      <c r="G670" s="78"/>
      <c r="H670" s="78"/>
      <c r="I670" s="78"/>
      <c r="J670" s="78"/>
      <c r="K670" s="78"/>
      <c r="L670" s="78"/>
      <c r="M670" s="78"/>
      <c r="N670" s="78"/>
      <c r="O670" s="78"/>
      <c r="P670" s="78"/>
      <c r="Q670" s="78"/>
      <c r="R670" s="78"/>
      <c r="S670" s="78"/>
      <c r="T670" s="78"/>
      <c r="U670" s="78"/>
      <c r="V670" s="78"/>
      <c r="W670" s="78"/>
      <c r="X670" s="78"/>
      <c r="Y670" s="78"/>
    </row>
    <row r="671" spans="1:25" x14ac:dyDescent="0.25">
      <c r="A671" s="112" t="s">
        <v>682</v>
      </c>
      <c r="B671" s="78"/>
      <c r="C671" s="114"/>
      <c r="D671" s="78"/>
      <c r="E671" s="78"/>
      <c r="F671" s="78"/>
      <c r="G671" s="78"/>
      <c r="H671" s="78"/>
      <c r="I671" s="78"/>
      <c r="J671" s="78"/>
      <c r="K671" s="78"/>
      <c r="L671" s="78"/>
      <c r="M671" s="78"/>
      <c r="N671" s="78"/>
      <c r="O671" s="78"/>
      <c r="P671" s="78"/>
      <c r="Q671" s="78"/>
      <c r="R671" s="78"/>
      <c r="S671" s="78"/>
      <c r="T671" s="78"/>
      <c r="U671" s="78"/>
      <c r="V671" s="78"/>
      <c r="W671" s="78"/>
      <c r="X671" s="78"/>
      <c r="Y671" s="78"/>
    </row>
    <row r="672" spans="1:25" x14ac:dyDescent="0.25">
      <c r="A672" s="112" t="s">
        <v>682</v>
      </c>
      <c r="B672" s="78"/>
      <c r="C672" s="114"/>
      <c r="D672" s="78"/>
      <c r="E672" s="78"/>
      <c r="F672" s="78"/>
      <c r="G672" s="78"/>
      <c r="H672" s="78"/>
      <c r="I672" s="78"/>
      <c r="J672" s="78"/>
      <c r="K672" s="78"/>
      <c r="L672" s="78"/>
      <c r="M672" s="78"/>
      <c r="N672" s="78"/>
      <c r="O672" s="78"/>
      <c r="P672" s="78"/>
      <c r="Q672" s="78"/>
      <c r="R672" s="78"/>
      <c r="S672" s="78"/>
      <c r="T672" s="78"/>
      <c r="U672" s="78"/>
      <c r="V672" s="78"/>
      <c r="W672" s="78"/>
      <c r="X672" s="78"/>
      <c r="Y672" s="78"/>
    </row>
    <row r="673" spans="1:25" x14ac:dyDescent="0.25">
      <c r="A673" s="112" t="s">
        <v>682</v>
      </c>
      <c r="B673" s="78"/>
      <c r="C673" s="114"/>
      <c r="D673" s="78"/>
      <c r="E673" s="78"/>
      <c r="F673" s="78"/>
      <c r="G673" s="78"/>
      <c r="H673" s="78"/>
      <c r="I673" s="78"/>
      <c r="J673" s="78"/>
      <c r="K673" s="78"/>
      <c r="L673" s="78"/>
      <c r="M673" s="78"/>
      <c r="N673" s="78"/>
      <c r="O673" s="78"/>
      <c r="P673" s="78"/>
      <c r="Q673" s="78"/>
      <c r="R673" s="78"/>
      <c r="S673" s="78"/>
      <c r="T673" s="78"/>
      <c r="U673" s="78"/>
      <c r="V673" s="78"/>
      <c r="W673" s="78"/>
      <c r="X673" s="78"/>
      <c r="Y673" s="78"/>
    </row>
    <row r="674" spans="1:25" x14ac:dyDescent="0.25">
      <c r="A674" s="112" t="s">
        <v>682</v>
      </c>
      <c r="B674" s="78"/>
      <c r="C674" s="114"/>
      <c r="D674" s="78"/>
      <c r="E674" s="78"/>
      <c r="F674" s="78"/>
      <c r="G674" s="78"/>
      <c r="H674" s="78"/>
      <c r="I674" s="78"/>
      <c r="J674" s="78"/>
      <c r="K674" s="78"/>
      <c r="L674" s="78"/>
      <c r="M674" s="78"/>
      <c r="N674" s="78"/>
      <c r="O674" s="78"/>
      <c r="P674" s="78"/>
      <c r="Q674" s="78"/>
      <c r="R674" s="78"/>
      <c r="S674" s="78"/>
      <c r="T674" s="78"/>
      <c r="U674" s="78"/>
      <c r="V674" s="78"/>
      <c r="W674" s="78"/>
      <c r="X674" s="78"/>
      <c r="Y674" s="78"/>
    </row>
    <row r="675" spans="1:25" x14ac:dyDescent="0.25">
      <c r="A675" s="112" t="s">
        <v>682</v>
      </c>
      <c r="B675" s="78"/>
      <c r="C675" s="114"/>
      <c r="D675" s="78"/>
      <c r="E675" s="78"/>
      <c r="F675" s="78"/>
      <c r="G675" s="78"/>
      <c r="H675" s="78"/>
      <c r="I675" s="78"/>
      <c r="J675" s="78"/>
      <c r="K675" s="78"/>
      <c r="L675" s="78"/>
      <c r="M675" s="78"/>
      <c r="N675" s="78"/>
      <c r="O675" s="78"/>
      <c r="P675" s="78"/>
      <c r="Q675" s="78"/>
      <c r="R675" s="78"/>
      <c r="S675" s="78"/>
      <c r="T675" s="78"/>
      <c r="U675" s="78"/>
      <c r="V675" s="78"/>
      <c r="W675" s="78"/>
      <c r="X675" s="78"/>
      <c r="Y675" s="78"/>
    </row>
    <row r="676" spans="1:25" x14ac:dyDescent="0.25">
      <c r="A676" s="112" t="s">
        <v>682</v>
      </c>
      <c r="B676" s="78"/>
      <c r="C676" s="114"/>
      <c r="D676" s="78"/>
      <c r="E676" s="78"/>
      <c r="F676" s="78"/>
      <c r="G676" s="78"/>
      <c r="H676" s="78"/>
      <c r="I676" s="78"/>
      <c r="J676" s="78"/>
      <c r="K676" s="78"/>
      <c r="L676" s="78"/>
      <c r="M676" s="78"/>
      <c r="N676" s="78"/>
      <c r="O676" s="78"/>
      <c r="P676" s="78"/>
      <c r="Q676" s="78"/>
      <c r="R676" s="78"/>
      <c r="S676" s="78"/>
      <c r="T676" s="78"/>
      <c r="U676" s="78"/>
      <c r="V676" s="78"/>
      <c r="W676" s="78"/>
      <c r="X676" s="78"/>
      <c r="Y676" s="78"/>
    </row>
    <row r="677" spans="1:25" x14ac:dyDescent="0.25">
      <c r="A677" s="112" t="s">
        <v>682</v>
      </c>
      <c r="B677" s="78"/>
      <c r="C677" s="114"/>
      <c r="D677" s="78"/>
      <c r="E677" s="78"/>
      <c r="F677" s="78"/>
      <c r="G677" s="78"/>
      <c r="H677" s="78"/>
      <c r="I677" s="78"/>
      <c r="J677" s="78"/>
      <c r="K677" s="78"/>
      <c r="L677" s="78"/>
      <c r="M677" s="78"/>
      <c r="N677" s="78"/>
      <c r="O677" s="78"/>
      <c r="P677" s="78"/>
      <c r="Q677" s="78"/>
      <c r="R677" s="78"/>
      <c r="S677" s="78"/>
      <c r="T677" s="78"/>
      <c r="U677" s="78"/>
      <c r="V677" s="78"/>
      <c r="W677" s="78"/>
      <c r="X677" s="78"/>
      <c r="Y677" s="78"/>
    </row>
    <row r="678" spans="1:25" x14ac:dyDescent="0.25">
      <c r="A678" s="112" t="s">
        <v>682</v>
      </c>
      <c r="B678" s="78"/>
      <c r="C678" s="114"/>
      <c r="D678" s="78"/>
      <c r="E678" s="78"/>
      <c r="F678" s="78"/>
      <c r="G678" s="78"/>
      <c r="H678" s="78"/>
      <c r="I678" s="78"/>
      <c r="J678" s="78"/>
      <c r="K678" s="78"/>
      <c r="L678" s="78"/>
      <c r="M678" s="78"/>
      <c r="N678" s="78"/>
      <c r="O678" s="78"/>
      <c r="P678" s="78"/>
      <c r="Q678" s="78"/>
      <c r="R678" s="78"/>
      <c r="S678" s="78"/>
      <c r="T678" s="78"/>
      <c r="U678" s="78"/>
      <c r="V678" s="78"/>
      <c r="W678" s="78"/>
      <c r="X678" s="78"/>
      <c r="Y678" s="78"/>
    </row>
    <row r="679" spans="1:25" x14ac:dyDescent="0.25">
      <c r="A679" s="112" t="s">
        <v>682</v>
      </c>
      <c r="B679" s="78"/>
      <c r="C679" s="114"/>
      <c r="D679" s="78"/>
      <c r="E679" s="78"/>
      <c r="F679" s="78"/>
      <c r="G679" s="78"/>
      <c r="H679" s="78"/>
      <c r="I679" s="78"/>
      <c r="J679" s="78"/>
      <c r="K679" s="78"/>
      <c r="L679" s="78"/>
      <c r="M679" s="78"/>
      <c r="N679" s="78"/>
      <c r="O679" s="78"/>
      <c r="P679" s="78"/>
      <c r="Q679" s="78"/>
      <c r="R679" s="78"/>
      <c r="S679" s="78"/>
      <c r="T679" s="78"/>
      <c r="U679" s="78"/>
      <c r="V679" s="78"/>
      <c r="W679" s="78"/>
      <c r="X679" s="78"/>
      <c r="Y679" s="78"/>
    </row>
    <row r="680" spans="1:25" x14ac:dyDescent="0.25">
      <c r="A680" s="112" t="s">
        <v>682</v>
      </c>
      <c r="B680" s="78"/>
      <c r="C680" s="114"/>
      <c r="D680" s="78"/>
      <c r="E680" s="78"/>
      <c r="F680" s="78"/>
      <c r="G680" s="78"/>
      <c r="H680" s="78"/>
      <c r="I680" s="78"/>
      <c r="J680" s="78"/>
      <c r="K680" s="78"/>
      <c r="L680" s="78"/>
      <c r="M680" s="78"/>
      <c r="N680" s="78"/>
      <c r="O680" s="78"/>
      <c r="P680" s="78"/>
      <c r="Q680" s="78"/>
      <c r="R680" s="78"/>
      <c r="S680" s="78"/>
      <c r="T680" s="78"/>
      <c r="U680" s="78"/>
      <c r="V680" s="78"/>
      <c r="W680" s="78"/>
      <c r="X680" s="78"/>
      <c r="Y680" s="78"/>
    </row>
    <row r="681" spans="1:25" x14ac:dyDescent="0.25">
      <c r="A681" s="112" t="s">
        <v>682</v>
      </c>
      <c r="B681" s="78"/>
      <c r="C681" s="114"/>
      <c r="D681" s="78"/>
      <c r="E681" s="78"/>
      <c r="F681" s="78"/>
      <c r="G681" s="78"/>
      <c r="H681" s="78"/>
      <c r="I681" s="78"/>
      <c r="J681" s="78"/>
      <c r="K681" s="78"/>
      <c r="L681" s="78"/>
      <c r="M681" s="78"/>
      <c r="N681" s="78"/>
      <c r="O681" s="78"/>
      <c r="P681" s="78"/>
      <c r="Q681" s="78"/>
      <c r="R681" s="78"/>
      <c r="S681" s="78"/>
      <c r="T681" s="78"/>
      <c r="U681" s="78"/>
      <c r="V681" s="78"/>
      <c r="W681" s="78"/>
      <c r="X681" s="78"/>
      <c r="Y681" s="78"/>
    </row>
    <row r="682" spans="1:25" x14ac:dyDescent="0.25">
      <c r="A682" s="112" t="s">
        <v>682</v>
      </c>
      <c r="B682" s="78"/>
      <c r="C682" s="114"/>
      <c r="D682" s="78"/>
      <c r="E682" s="78"/>
      <c r="F682" s="78"/>
      <c r="G682" s="78"/>
      <c r="H682" s="78"/>
      <c r="I682" s="78"/>
      <c r="J682" s="78"/>
      <c r="K682" s="78"/>
      <c r="L682" s="78"/>
      <c r="M682" s="78"/>
      <c r="N682" s="78"/>
      <c r="O682" s="78"/>
      <c r="P682" s="78"/>
      <c r="Q682" s="78"/>
      <c r="R682" s="78"/>
      <c r="S682" s="78"/>
      <c r="T682" s="78"/>
      <c r="U682" s="78"/>
      <c r="V682" s="78"/>
      <c r="W682" s="78"/>
      <c r="X682" s="78"/>
      <c r="Y682" s="78"/>
    </row>
    <row r="683" spans="1:25" x14ac:dyDescent="0.25">
      <c r="A683" s="112" t="s">
        <v>682</v>
      </c>
      <c r="B683" s="78"/>
      <c r="C683" s="114"/>
      <c r="D683" s="78"/>
      <c r="E683" s="78"/>
      <c r="F683" s="78"/>
      <c r="G683" s="78"/>
      <c r="H683" s="78"/>
      <c r="I683" s="78"/>
      <c r="J683" s="78"/>
      <c r="K683" s="78"/>
      <c r="L683" s="78"/>
      <c r="M683" s="78"/>
      <c r="N683" s="78"/>
      <c r="O683" s="78"/>
      <c r="P683" s="78"/>
      <c r="Q683" s="78"/>
      <c r="R683" s="78"/>
      <c r="S683" s="78"/>
      <c r="T683" s="78"/>
      <c r="U683" s="78"/>
      <c r="V683" s="78"/>
      <c r="W683" s="78"/>
      <c r="X683" s="78"/>
      <c r="Y683" s="78"/>
    </row>
    <row r="684" spans="1:25" x14ac:dyDescent="0.25">
      <c r="A684" s="112" t="s">
        <v>682</v>
      </c>
      <c r="B684" s="78"/>
      <c r="C684" s="114"/>
      <c r="D684" s="78"/>
      <c r="E684" s="78"/>
      <c r="F684" s="78"/>
      <c r="G684" s="78"/>
      <c r="H684" s="78"/>
      <c r="I684" s="78"/>
      <c r="J684" s="78"/>
      <c r="K684" s="78"/>
      <c r="L684" s="78"/>
      <c r="M684" s="78"/>
      <c r="N684" s="78"/>
      <c r="O684" s="78"/>
      <c r="P684" s="78"/>
      <c r="Q684" s="78"/>
      <c r="R684" s="78"/>
      <c r="S684" s="78"/>
      <c r="T684" s="78"/>
      <c r="U684" s="78"/>
      <c r="V684" s="78"/>
      <c r="W684" s="78"/>
      <c r="X684" s="78"/>
      <c r="Y684" s="78"/>
    </row>
    <row r="685" spans="1:25" x14ac:dyDescent="0.25">
      <c r="A685" s="112" t="s">
        <v>682</v>
      </c>
      <c r="B685" s="78"/>
      <c r="C685" s="114"/>
      <c r="D685" s="78"/>
      <c r="E685" s="78"/>
      <c r="F685" s="78"/>
      <c r="G685" s="78"/>
      <c r="H685" s="78"/>
      <c r="I685" s="78"/>
      <c r="J685" s="78"/>
      <c r="K685" s="78"/>
      <c r="L685" s="78"/>
      <c r="M685" s="78"/>
      <c r="N685" s="78"/>
      <c r="O685" s="78"/>
      <c r="P685" s="78"/>
      <c r="Q685" s="78"/>
      <c r="R685" s="78"/>
      <c r="S685" s="78"/>
      <c r="T685" s="78"/>
      <c r="U685" s="78"/>
      <c r="V685" s="78"/>
      <c r="W685" s="78"/>
      <c r="X685" s="78"/>
      <c r="Y685" s="78"/>
    </row>
    <row r="686" spans="1:25" x14ac:dyDescent="0.25">
      <c r="A686" s="112" t="s">
        <v>682</v>
      </c>
      <c r="B686" s="78"/>
      <c r="C686" s="114"/>
      <c r="D686" s="78"/>
      <c r="E686" s="78"/>
      <c r="F686" s="78"/>
      <c r="G686" s="78"/>
      <c r="H686" s="78"/>
      <c r="I686" s="78"/>
      <c r="J686" s="78"/>
      <c r="K686" s="78"/>
      <c r="L686" s="78"/>
      <c r="M686" s="78"/>
      <c r="N686" s="78"/>
      <c r="O686" s="78"/>
      <c r="P686" s="78"/>
      <c r="Q686" s="78"/>
      <c r="R686" s="78"/>
      <c r="S686" s="78"/>
      <c r="T686" s="78"/>
      <c r="U686" s="78"/>
      <c r="V686" s="78"/>
      <c r="W686" s="78"/>
      <c r="X686" s="78"/>
      <c r="Y686" s="78"/>
    </row>
    <row r="687" spans="1:25" x14ac:dyDescent="0.25">
      <c r="A687" s="112" t="s">
        <v>682</v>
      </c>
      <c r="B687" s="78"/>
      <c r="C687" s="114"/>
      <c r="D687" s="78"/>
      <c r="E687" s="78"/>
      <c r="F687" s="78"/>
      <c r="G687" s="78"/>
      <c r="H687" s="78"/>
      <c r="I687" s="78"/>
      <c r="J687" s="78"/>
      <c r="K687" s="78"/>
      <c r="L687" s="78"/>
      <c r="M687" s="78"/>
      <c r="N687" s="78"/>
      <c r="O687" s="78"/>
      <c r="P687" s="78"/>
      <c r="Q687" s="78"/>
      <c r="R687" s="78"/>
      <c r="S687" s="78"/>
      <c r="T687" s="78"/>
      <c r="U687" s="78"/>
      <c r="V687" s="78"/>
      <c r="W687" s="78"/>
      <c r="X687" s="78"/>
      <c r="Y687" s="78"/>
    </row>
    <row r="688" spans="1:25" x14ac:dyDescent="0.25">
      <c r="A688" s="112" t="s">
        <v>682</v>
      </c>
      <c r="B688" s="78"/>
      <c r="C688" s="114"/>
      <c r="D688" s="78"/>
      <c r="E688" s="78"/>
      <c r="F688" s="78"/>
      <c r="G688" s="78"/>
      <c r="H688" s="78"/>
      <c r="I688" s="78"/>
      <c r="J688" s="78"/>
      <c r="K688" s="78"/>
      <c r="L688" s="78"/>
      <c r="M688" s="78"/>
      <c r="N688" s="78"/>
      <c r="O688" s="78"/>
      <c r="P688" s="78"/>
      <c r="Q688" s="78"/>
      <c r="R688" s="78"/>
      <c r="S688" s="78"/>
      <c r="T688" s="78"/>
      <c r="U688" s="78"/>
      <c r="V688" s="78"/>
      <c r="W688" s="78"/>
      <c r="X688" s="78"/>
      <c r="Y688" s="78"/>
    </row>
    <row r="689" spans="1:25" x14ac:dyDescent="0.25">
      <c r="A689" s="112" t="s">
        <v>682</v>
      </c>
      <c r="B689" s="78"/>
      <c r="C689" s="114"/>
      <c r="D689" s="78"/>
      <c r="E689" s="78"/>
      <c r="F689" s="78"/>
      <c r="G689" s="78"/>
      <c r="H689" s="78"/>
      <c r="I689" s="78"/>
      <c r="J689" s="78"/>
      <c r="K689" s="78"/>
      <c r="L689" s="78"/>
      <c r="M689" s="78"/>
      <c r="N689" s="78"/>
      <c r="O689" s="78"/>
      <c r="P689" s="78"/>
      <c r="Q689" s="78"/>
      <c r="R689" s="78"/>
      <c r="S689" s="78"/>
      <c r="T689" s="78"/>
      <c r="U689" s="78"/>
      <c r="V689" s="78"/>
      <c r="W689" s="78"/>
      <c r="X689" s="78"/>
      <c r="Y689" s="78"/>
    </row>
    <row r="690" spans="1:25" x14ac:dyDescent="0.25">
      <c r="A690" s="112" t="s">
        <v>682</v>
      </c>
      <c r="B690" s="78"/>
      <c r="C690" s="114"/>
      <c r="D690" s="78"/>
      <c r="E690" s="78"/>
      <c r="F690" s="78"/>
      <c r="G690" s="78"/>
      <c r="H690" s="78"/>
      <c r="I690" s="78"/>
      <c r="J690" s="78"/>
      <c r="K690" s="78"/>
      <c r="L690" s="78"/>
      <c r="M690" s="78"/>
      <c r="N690" s="78"/>
      <c r="O690" s="78"/>
      <c r="P690" s="78"/>
      <c r="Q690" s="78"/>
      <c r="R690" s="78"/>
      <c r="S690" s="78"/>
      <c r="T690" s="78"/>
      <c r="U690" s="78"/>
      <c r="V690" s="78"/>
      <c r="W690" s="78"/>
      <c r="X690" s="78"/>
      <c r="Y690" s="78"/>
    </row>
    <row r="691" spans="1:25" x14ac:dyDescent="0.25">
      <c r="A691" s="112" t="s">
        <v>682</v>
      </c>
      <c r="B691" s="78"/>
      <c r="C691" s="114"/>
      <c r="D691" s="78"/>
      <c r="E691" s="78"/>
      <c r="F691" s="78"/>
      <c r="G691" s="78"/>
      <c r="H691" s="78"/>
      <c r="I691" s="78"/>
      <c r="J691" s="78"/>
      <c r="K691" s="78"/>
      <c r="L691" s="78"/>
      <c r="M691" s="78"/>
      <c r="N691" s="78"/>
      <c r="O691" s="78"/>
      <c r="P691" s="78"/>
      <c r="Q691" s="78"/>
      <c r="R691" s="78"/>
      <c r="S691" s="78"/>
      <c r="T691" s="78"/>
      <c r="U691" s="78"/>
      <c r="V691" s="78"/>
      <c r="W691" s="78"/>
      <c r="X691" s="78"/>
      <c r="Y691" s="78"/>
    </row>
    <row r="692" spans="1:25" x14ac:dyDescent="0.25">
      <c r="A692" s="112" t="s">
        <v>682</v>
      </c>
      <c r="B692" s="78"/>
      <c r="C692" s="114"/>
      <c r="D692" s="78"/>
      <c r="E692" s="78"/>
      <c r="F692" s="78"/>
      <c r="G692" s="78"/>
      <c r="H692" s="78"/>
      <c r="I692" s="78"/>
      <c r="J692" s="78"/>
      <c r="K692" s="78"/>
      <c r="L692" s="78"/>
      <c r="M692" s="78"/>
      <c r="N692" s="78"/>
      <c r="O692" s="78"/>
      <c r="P692" s="78"/>
      <c r="Q692" s="78"/>
      <c r="R692" s="78"/>
      <c r="S692" s="78"/>
      <c r="T692" s="78"/>
      <c r="U692" s="78"/>
      <c r="V692" s="78"/>
      <c r="W692" s="78"/>
      <c r="X692" s="78"/>
      <c r="Y692" s="78"/>
    </row>
    <row r="693" spans="1:25" x14ac:dyDescent="0.25">
      <c r="A693" s="112" t="s">
        <v>682</v>
      </c>
      <c r="B693" s="78"/>
      <c r="C693" s="114"/>
      <c r="D693" s="78"/>
      <c r="E693" s="78"/>
      <c r="F693" s="78"/>
      <c r="G693" s="78"/>
      <c r="H693" s="78"/>
      <c r="I693" s="78"/>
      <c r="J693" s="78"/>
      <c r="K693" s="78"/>
      <c r="L693" s="78"/>
      <c r="M693" s="78"/>
      <c r="N693" s="78"/>
      <c r="O693" s="78"/>
      <c r="P693" s="78"/>
      <c r="Q693" s="78"/>
      <c r="R693" s="78"/>
      <c r="S693" s="78"/>
      <c r="T693" s="78"/>
      <c r="U693" s="78"/>
      <c r="V693" s="78"/>
      <c r="W693" s="78"/>
      <c r="X693" s="78"/>
      <c r="Y693" s="78"/>
    </row>
    <row r="694" spans="1:25" x14ac:dyDescent="0.25">
      <c r="A694" s="112" t="s">
        <v>682</v>
      </c>
      <c r="B694" s="78"/>
      <c r="C694" s="114"/>
      <c r="D694" s="78"/>
      <c r="E694" s="78"/>
      <c r="F694" s="78"/>
      <c r="G694" s="78"/>
      <c r="H694" s="78"/>
      <c r="I694" s="78"/>
      <c r="J694" s="78"/>
      <c r="K694" s="78"/>
      <c r="L694" s="78"/>
      <c r="M694" s="78"/>
      <c r="N694" s="78"/>
      <c r="O694" s="78"/>
      <c r="P694" s="78"/>
      <c r="Q694" s="78"/>
      <c r="R694" s="78"/>
      <c r="S694" s="78"/>
      <c r="T694" s="78"/>
      <c r="U694" s="78"/>
      <c r="V694" s="78"/>
      <c r="W694" s="78"/>
      <c r="X694" s="78"/>
      <c r="Y694" s="78"/>
    </row>
    <row r="695" spans="1:25" x14ac:dyDescent="0.25">
      <c r="A695" s="112" t="s">
        <v>682</v>
      </c>
      <c r="B695" s="78"/>
      <c r="C695" s="114"/>
      <c r="D695" s="78"/>
      <c r="E695" s="78"/>
      <c r="F695" s="78"/>
      <c r="G695" s="78"/>
      <c r="H695" s="78"/>
      <c r="I695" s="78"/>
      <c r="J695" s="78"/>
      <c r="K695" s="78"/>
      <c r="L695" s="78"/>
      <c r="M695" s="78"/>
      <c r="N695" s="78"/>
      <c r="O695" s="78"/>
      <c r="P695" s="78"/>
      <c r="Q695" s="78"/>
      <c r="R695" s="78"/>
      <c r="S695" s="78"/>
      <c r="T695" s="78"/>
      <c r="U695" s="78"/>
      <c r="V695" s="78"/>
      <c r="W695" s="78"/>
      <c r="X695" s="78"/>
      <c r="Y695" s="78"/>
    </row>
    <row r="696" spans="1:25" x14ac:dyDescent="0.25">
      <c r="A696" s="112" t="s">
        <v>682</v>
      </c>
      <c r="B696" s="78"/>
      <c r="C696" s="114"/>
      <c r="D696" s="78"/>
      <c r="E696" s="78"/>
      <c r="F696" s="78"/>
      <c r="G696" s="78"/>
      <c r="H696" s="78"/>
      <c r="I696" s="78"/>
      <c r="J696" s="78"/>
      <c r="K696" s="78"/>
      <c r="L696" s="78"/>
      <c r="M696" s="78"/>
      <c r="N696" s="78"/>
      <c r="O696" s="78"/>
      <c r="P696" s="78"/>
      <c r="Q696" s="78"/>
      <c r="R696" s="78"/>
      <c r="S696" s="78"/>
      <c r="T696" s="78"/>
      <c r="U696" s="78"/>
      <c r="V696" s="78"/>
      <c r="W696" s="78"/>
      <c r="X696" s="78"/>
      <c r="Y696" s="78"/>
    </row>
    <row r="697" spans="1:25" x14ac:dyDescent="0.25">
      <c r="A697" s="112" t="s">
        <v>682</v>
      </c>
      <c r="B697" s="78"/>
      <c r="C697" s="114"/>
      <c r="D697" s="78"/>
      <c r="E697" s="78"/>
      <c r="F697" s="78"/>
      <c r="G697" s="78"/>
      <c r="H697" s="78"/>
      <c r="I697" s="78"/>
      <c r="J697" s="78"/>
      <c r="K697" s="78"/>
      <c r="L697" s="78"/>
      <c r="M697" s="78"/>
      <c r="N697" s="78"/>
      <c r="O697" s="78"/>
      <c r="P697" s="78"/>
      <c r="Q697" s="78"/>
      <c r="R697" s="78"/>
      <c r="S697" s="78"/>
      <c r="T697" s="78"/>
      <c r="U697" s="78"/>
      <c r="V697" s="78"/>
      <c r="W697" s="78"/>
      <c r="X697" s="78"/>
      <c r="Y697" s="78"/>
    </row>
    <row r="698" spans="1:25" x14ac:dyDescent="0.25">
      <c r="A698" s="112" t="s">
        <v>682</v>
      </c>
      <c r="B698" s="78"/>
      <c r="C698" s="114"/>
      <c r="D698" s="78"/>
      <c r="E698" s="78"/>
      <c r="F698" s="78"/>
      <c r="G698" s="78"/>
      <c r="H698" s="78"/>
      <c r="I698" s="78"/>
      <c r="J698" s="78"/>
      <c r="K698" s="78"/>
      <c r="L698" s="78"/>
      <c r="M698" s="78"/>
      <c r="N698" s="78"/>
      <c r="O698" s="78"/>
      <c r="P698" s="78"/>
      <c r="Q698" s="78"/>
      <c r="R698" s="78"/>
      <c r="S698" s="78"/>
      <c r="T698" s="78"/>
      <c r="U698" s="78"/>
      <c r="V698" s="78"/>
      <c r="W698" s="78"/>
      <c r="X698" s="78"/>
      <c r="Y698" s="78"/>
    </row>
    <row r="699" spans="1:25" x14ac:dyDescent="0.25">
      <c r="A699" s="112" t="s">
        <v>682</v>
      </c>
      <c r="B699" s="78"/>
      <c r="C699" s="114"/>
      <c r="D699" s="78"/>
      <c r="E699" s="78"/>
      <c r="F699" s="78"/>
      <c r="G699" s="78"/>
      <c r="H699" s="78"/>
      <c r="I699" s="78"/>
      <c r="J699" s="78"/>
      <c r="K699" s="78"/>
      <c r="L699" s="78"/>
      <c r="M699" s="78"/>
      <c r="N699" s="78"/>
      <c r="O699" s="78"/>
      <c r="P699" s="78"/>
      <c r="Q699" s="78"/>
      <c r="R699" s="78"/>
      <c r="S699" s="78"/>
      <c r="T699" s="78"/>
      <c r="U699" s="78"/>
      <c r="V699" s="78"/>
      <c r="W699" s="78"/>
      <c r="X699" s="78"/>
      <c r="Y699" s="78"/>
    </row>
    <row r="700" spans="1:25" x14ac:dyDescent="0.25">
      <c r="A700" s="112" t="s">
        <v>682</v>
      </c>
      <c r="B700" s="78"/>
      <c r="C700" s="114"/>
      <c r="D700" s="78"/>
      <c r="E700" s="78"/>
      <c r="F700" s="78"/>
      <c r="G700" s="78"/>
      <c r="H700" s="78"/>
      <c r="I700" s="78"/>
      <c r="J700" s="78"/>
      <c r="K700" s="78"/>
      <c r="L700" s="78"/>
      <c r="M700" s="78"/>
      <c r="N700" s="78"/>
      <c r="O700" s="78"/>
      <c r="P700" s="78"/>
      <c r="Q700" s="78"/>
      <c r="R700" s="78"/>
      <c r="S700" s="78"/>
      <c r="T700" s="78"/>
      <c r="U700" s="78"/>
      <c r="V700" s="78"/>
      <c r="W700" s="78"/>
      <c r="X700" s="78"/>
      <c r="Y700" s="78"/>
    </row>
    <row r="701" spans="1:25" x14ac:dyDescent="0.25">
      <c r="A701" s="112" t="s">
        <v>682</v>
      </c>
      <c r="B701" s="78"/>
      <c r="C701" s="114"/>
      <c r="D701" s="78"/>
      <c r="E701" s="78"/>
      <c r="F701" s="78"/>
      <c r="G701" s="78"/>
      <c r="H701" s="78"/>
      <c r="I701" s="78"/>
      <c r="J701" s="78"/>
      <c r="K701" s="78"/>
      <c r="L701" s="78"/>
      <c r="M701" s="78"/>
      <c r="N701" s="78"/>
      <c r="O701" s="78"/>
      <c r="P701" s="78"/>
      <c r="Q701" s="78"/>
      <c r="R701" s="78"/>
      <c r="S701" s="78"/>
      <c r="T701" s="78"/>
      <c r="U701" s="78"/>
      <c r="V701" s="78"/>
      <c r="W701" s="78"/>
      <c r="X701" s="78"/>
      <c r="Y701" s="78"/>
    </row>
    <row r="702" spans="1:25" x14ac:dyDescent="0.25">
      <c r="A702" s="112" t="s">
        <v>682</v>
      </c>
      <c r="B702" s="78"/>
      <c r="C702" s="114"/>
      <c r="D702" s="78"/>
      <c r="E702" s="78"/>
      <c r="F702" s="78"/>
      <c r="G702" s="78"/>
      <c r="H702" s="78"/>
      <c r="I702" s="78"/>
      <c r="J702" s="78"/>
      <c r="K702" s="78"/>
      <c r="L702" s="78"/>
      <c r="M702" s="78"/>
      <c r="N702" s="78"/>
      <c r="O702" s="78"/>
      <c r="P702" s="78"/>
      <c r="Q702" s="78"/>
      <c r="R702" s="78"/>
      <c r="S702" s="78"/>
      <c r="T702" s="78"/>
      <c r="U702" s="78"/>
      <c r="V702" s="78"/>
      <c r="W702" s="78"/>
      <c r="X702" s="78"/>
      <c r="Y702" s="78"/>
    </row>
    <row r="703" spans="1:25" x14ac:dyDescent="0.25">
      <c r="A703" s="112" t="s">
        <v>682</v>
      </c>
      <c r="B703" s="78"/>
      <c r="C703" s="114"/>
      <c r="D703" s="78"/>
      <c r="E703" s="78"/>
      <c r="F703" s="78"/>
      <c r="G703" s="78"/>
      <c r="H703" s="78"/>
      <c r="I703" s="78"/>
      <c r="J703" s="78"/>
      <c r="K703" s="78"/>
      <c r="L703" s="78"/>
      <c r="M703" s="78"/>
      <c r="N703" s="78"/>
      <c r="O703" s="78"/>
      <c r="P703" s="78"/>
      <c r="Q703" s="78"/>
      <c r="R703" s="78"/>
      <c r="S703" s="78"/>
      <c r="T703" s="78"/>
      <c r="U703" s="78"/>
      <c r="V703" s="78"/>
      <c r="W703" s="78"/>
      <c r="X703" s="78"/>
      <c r="Y703" s="78"/>
    </row>
    <row r="704" spans="1:25" x14ac:dyDescent="0.25">
      <c r="A704" s="112" t="s">
        <v>682</v>
      </c>
      <c r="B704" s="78"/>
      <c r="C704" s="114"/>
      <c r="D704" s="78"/>
      <c r="E704" s="78"/>
      <c r="F704" s="78"/>
      <c r="G704" s="78"/>
      <c r="H704" s="78"/>
      <c r="I704" s="78"/>
      <c r="J704" s="78"/>
      <c r="K704" s="78"/>
      <c r="L704" s="78"/>
      <c r="M704" s="78"/>
      <c r="N704" s="78"/>
      <c r="O704" s="78"/>
      <c r="P704" s="78"/>
      <c r="Q704" s="78"/>
      <c r="R704" s="78"/>
      <c r="S704" s="78"/>
      <c r="T704" s="78"/>
      <c r="U704" s="78"/>
      <c r="V704" s="78"/>
      <c r="W704" s="78"/>
      <c r="X704" s="78"/>
      <c r="Y704" s="78"/>
    </row>
    <row r="705" spans="1:25" x14ac:dyDescent="0.25">
      <c r="A705" s="112" t="s">
        <v>682</v>
      </c>
      <c r="B705" s="78"/>
      <c r="C705" s="114"/>
      <c r="D705" s="78"/>
      <c r="E705" s="78"/>
      <c r="F705" s="78"/>
      <c r="G705" s="78"/>
      <c r="H705" s="78"/>
      <c r="I705" s="78"/>
      <c r="J705" s="78"/>
      <c r="K705" s="78"/>
      <c r="L705" s="78"/>
      <c r="M705" s="78"/>
      <c r="N705" s="78"/>
      <c r="O705" s="78"/>
      <c r="P705" s="78"/>
      <c r="Q705" s="78"/>
      <c r="R705" s="78"/>
      <c r="S705" s="78"/>
      <c r="T705" s="78"/>
      <c r="U705" s="78"/>
      <c r="V705" s="78"/>
      <c r="W705" s="78"/>
      <c r="X705" s="78"/>
      <c r="Y705" s="78"/>
    </row>
    <row r="706" spans="1:25" x14ac:dyDescent="0.25">
      <c r="A706" s="112" t="s">
        <v>682</v>
      </c>
      <c r="B706" s="78"/>
      <c r="C706" s="114"/>
      <c r="D706" s="78"/>
      <c r="E706" s="78"/>
      <c r="F706" s="78"/>
      <c r="G706" s="78"/>
      <c r="H706" s="78"/>
      <c r="I706" s="78"/>
      <c r="J706" s="78"/>
      <c r="K706" s="78"/>
      <c r="L706" s="78"/>
      <c r="M706" s="78"/>
      <c r="N706" s="78"/>
      <c r="O706" s="78"/>
      <c r="P706" s="78"/>
      <c r="Q706" s="78"/>
      <c r="R706" s="78"/>
      <c r="S706" s="78"/>
      <c r="T706" s="78"/>
      <c r="U706" s="78"/>
      <c r="V706" s="78"/>
      <c r="W706" s="78"/>
      <c r="X706" s="78"/>
      <c r="Y706" s="78"/>
    </row>
    <row r="707" spans="1:25" x14ac:dyDescent="0.25">
      <c r="A707" s="112" t="s">
        <v>682</v>
      </c>
      <c r="B707" s="78"/>
      <c r="C707" s="114"/>
      <c r="D707" s="78"/>
      <c r="E707" s="78"/>
      <c r="F707" s="78"/>
      <c r="G707" s="78"/>
      <c r="H707" s="78"/>
      <c r="I707" s="78"/>
      <c r="J707" s="78"/>
      <c r="K707" s="78"/>
      <c r="L707" s="78"/>
      <c r="M707" s="78"/>
      <c r="N707" s="78"/>
      <c r="O707" s="78"/>
      <c r="P707" s="78"/>
      <c r="Q707" s="78"/>
      <c r="R707" s="78"/>
      <c r="S707" s="78"/>
      <c r="T707" s="78"/>
      <c r="U707" s="78"/>
      <c r="V707" s="78"/>
      <c r="W707" s="78"/>
      <c r="X707" s="78"/>
      <c r="Y707" s="78"/>
    </row>
    <row r="708" spans="1:25" x14ac:dyDescent="0.25">
      <c r="A708" s="112" t="s">
        <v>682</v>
      </c>
      <c r="B708" s="78"/>
      <c r="C708" s="114"/>
      <c r="D708" s="78"/>
      <c r="E708" s="78"/>
      <c r="F708" s="78"/>
      <c r="G708" s="78"/>
      <c r="H708" s="78"/>
      <c r="I708" s="78"/>
      <c r="J708" s="78"/>
      <c r="K708" s="78"/>
      <c r="L708" s="78"/>
      <c r="M708" s="78"/>
      <c r="N708" s="78"/>
      <c r="O708" s="78"/>
      <c r="P708" s="78"/>
      <c r="Q708" s="78"/>
      <c r="R708" s="78"/>
      <c r="S708" s="78"/>
      <c r="T708" s="78"/>
      <c r="U708" s="78"/>
      <c r="V708" s="78"/>
      <c r="W708" s="78"/>
      <c r="X708" s="78"/>
      <c r="Y708" s="78"/>
    </row>
    <row r="709" spans="1:25" x14ac:dyDescent="0.25">
      <c r="A709" s="112" t="s">
        <v>682</v>
      </c>
      <c r="B709" s="78"/>
      <c r="C709" s="114"/>
      <c r="D709" s="78"/>
      <c r="E709" s="78"/>
      <c r="F709" s="78"/>
      <c r="G709" s="78"/>
      <c r="H709" s="78"/>
      <c r="I709" s="78"/>
      <c r="J709" s="78"/>
      <c r="K709" s="78"/>
      <c r="L709" s="78"/>
      <c r="M709" s="78"/>
      <c r="N709" s="78"/>
      <c r="O709" s="78"/>
      <c r="P709" s="78"/>
      <c r="Q709" s="78"/>
      <c r="R709" s="78"/>
      <c r="S709" s="78"/>
      <c r="T709" s="78"/>
      <c r="U709" s="78"/>
      <c r="V709" s="78"/>
      <c r="W709" s="78"/>
      <c r="X709" s="78"/>
      <c r="Y709" s="78"/>
    </row>
    <row r="710" spans="1:25" x14ac:dyDescent="0.25">
      <c r="A710" s="112" t="s">
        <v>682</v>
      </c>
      <c r="B710" s="78"/>
      <c r="C710" s="114"/>
      <c r="D710" s="78"/>
      <c r="E710" s="78"/>
      <c r="F710" s="78"/>
      <c r="G710" s="78"/>
      <c r="H710" s="78"/>
      <c r="I710" s="78"/>
      <c r="J710" s="78"/>
      <c r="K710" s="78"/>
      <c r="L710" s="78"/>
      <c r="M710" s="78"/>
      <c r="N710" s="78"/>
      <c r="O710" s="78"/>
      <c r="P710" s="78"/>
      <c r="Q710" s="78"/>
      <c r="R710" s="78"/>
      <c r="S710" s="78"/>
      <c r="T710" s="78"/>
      <c r="U710" s="78"/>
      <c r="V710" s="78"/>
      <c r="W710" s="78"/>
      <c r="X710" s="78"/>
      <c r="Y710" s="78"/>
    </row>
    <row r="711" spans="1:25" x14ac:dyDescent="0.25">
      <c r="A711" s="112" t="s">
        <v>682</v>
      </c>
      <c r="B711" s="78"/>
      <c r="C711" s="114"/>
      <c r="D711" s="78"/>
      <c r="E711" s="78"/>
      <c r="F711" s="78"/>
      <c r="G711" s="78"/>
      <c r="H711" s="78"/>
      <c r="I711" s="78"/>
      <c r="J711" s="78"/>
      <c r="K711" s="78"/>
      <c r="L711" s="78"/>
      <c r="M711" s="78"/>
      <c r="N711" s="78"/>
      <c r="O711" s="78"/>
      <c r="P711" s="78"/>
      <c r="Q711" s="78"/>
      <c r="R711" s="78"/>
      <c r="S711" s="78"/>
      <c r="T711" s="78"/>
      <c r="U711" s="78"/>
      <c r="V711" s="78"/>
      <c r="W711" s="78"/>
      <c r="X711" s="78"/>
      <c r="Y711" s="78"/>
    </row>
    <row r="712" spans="1:25" x14ac:dyDescent="0.25">
      <c r="A712" s="112" t="s">
        <v>682</v>
      </c>
      <c r="B712" s="78"/>
      <c r="C712" s="114"/>
      <c r="D712" s="78"/>
      <c r="E712" s="78"/>
      <c r="F712" s="78"/>
      <c r="G712" s="78"/>
      <c r="H712" s="78"/>
      <c r="I712" s="78"/>
      <c r="J712" s="78"/>
      <c r="K712" s="78"/>
      <c r="L712" s="78"/>
      <c r="M712" s="78"/>
      <c r="N712" s="78"/>
      <c r="O712" s="78"/>
      <c r="P712" s="78"/>
      <c r="Q712" s="78"/>
      <c r="R712" s="78"/>
      <c r="S712" s="78"/>
      <c r="T712" s="78"/>
      <c r="U712" s="78"/>
      <c r="V712" s="78"/>
      <c r="W712" s="78"/>
      <c r="X712" s="78"/>
      <c r="Y712" s="78"/>
    </row>
    <row r="713" spans="1:25" x14ac:dyDescent="0.25">
      <c r="A713" s="112" t="s">
        <v>682</v>
      </c>
      <c r="B713" s="78"/>
      <c r="C713" s="114"/>
      <c r="D713" s="78"/>
      <c r="E713" s="78"/>
      <c r="F713" s="78"/>
      <c r="G713" s="78"/>
      <c r="H713" s="78"/>
      <c r="I713" s="78"/>
      <c r="J713" s="78"/>
      <c r="K713" s="78"/>
      <c r="L713" s="78"/>
      <c r="M713" s="78"/>
      <c r="N713" s="78"/>
      <c r="O713" s="78"/>
      <c r="P713" s="78"/>
      <c r="Q713" s="78"/>
      <c r="R713" s="78"/>
      <c r="S713" s="78"/>
      <c r="T713" s="78"/>
      <c r="U713" s="78"/>
      <c r="V713" s="78"/>
      <c r="W713" s="78"/>
      <c r="X713" s="78"/>
      <c r="Y713" s="78"/>
    </row>
    <row r="714" spans="1:25" x14ac:dyDescent="0.25">
      <c r="A714" s="112" t="s">
        <v>682</v>
      </c>
      <c r="B714" s="78"/>
      <c r="C714" s="114"/>
      <c r="D714" s="78"/>
      <c r="E714" s="78"/>
      <c r="F714" s="78"/>
      <c r="G714" s="78"/>
      <c r="H714" s="78"/>
      <c r="I714" s="78"/>
      <c r="J714" s="78"/>
      <c r="K714" s="78"/>
      <c r="L714" s="78"/>
      <c r="M714" s="78"/>
      <c r="N714" s="78"/>
      <c r="O714" s="78"/>
      <c r="P714" s="78"/>
      <c r="Q714" s="78"/>
      <c r="R714" s="78"/>
      <c r="S714" s="78"/>
      <c r="T714" s="78"/>
      <c r="U714" s="78"/>
      <c r="V714" s="78"/>
      <c r="W714" s="78"/>
      <c r="X714" s="78"/>
      <c r="Y714" s="78"/>
    </row>
    <row r="715" spans="1:25" x14ac:dyDescent="0.25">
      <c r="A715" s="112" t="s">
        <v>682</v>
      </c>
      <c r="B715" s="78"/>
      <c r="C715" s="114"/>
      <c r="D715" s="78"/>
      <c r="E715" s="78"/>
      <c r="F715" s="78"/>
      <c r="G715" s="78"/>
      <c r="H715" s="78"/>
      <c r="I715" s="78"/>
      <c r="J715" s="78"/>
      <c r="K715" s="78"/>
      <c r="L715" s="78"/>
      <c r="M715" s="78"/>
      <c r="N715" s="78"/>
      <c r="O715" s="78"/>
      <c r="P715" s="78"/>
      <c r="Q715" s="78"/>
      <c r="R715" s="78"/>
      <c r="S715" s="78"/>
      <c r="T715" s="78"/>
      <c r="U715" s="78"/>
      <c r="V715" s="78"/>
      <c r="W715" s="78"/>
      <c r="X715" s="78"/>
      <c r="Y715" s="78"/>
    </row>
    <row r="716" spans="1:25" x14ac:dyDescent="0.25">
      <c r="A716" s="112" t="s">
        <v>682</v>
      </c>
      <c r="B716" s="78"/>
      <c r="C716" s="114"/>
      <c r="D716" s="78"/>
      <c r="E716" s="78"/>
      <c r="F716" s="78"/>
      <c r="G716" s="78"/>
      <c r="H716" s="78"/>
      <c r="I716" s="78"/>
      <c r="J716" s="78"/>
      <c r="K716" s="78"/>
      <c r="L716" s="78"/>
      <c r="M716" s="78"/>
      <c r="N716" s="78"/>
      <c r="O716" s="78"/>
      <c r="P716" s="78"/>
      <c r="Q716" s="78"/>
      <c r="R716" s="78"/>
      <c r="S716" s="78"/>
      <c r="T716" s="78"/>
      <c r="U716" s="78"/>
      <c r="V716" s="78"/>
      <c r="W716" s="78"/>
      <c r="X716" s="78"/>
      <c r="Y716" s="78"/>
    </row>
    <row r="717" spans="1:25" x14ac:dyDescent="0.25">
      <c r="A717" s="112" t="s">
        <v>682</v>
      </c>
      <c r="B717" s="78"/>
      <c r="C717" s="114"/>
      <c r="D717" s="78"/>
      <c r="E717" s="78"/>
      <c r="F717" s="78"/>
      <c r="G717" s="78"/>
      <c r="H717" s="78"/>
      <c r="I717" s="78"/>
      <c r="J717" s="78"/>
      <c r="K717" s="78"/>
      <c r="L717" s="78"/>
      <c r="M717" s="78"/>
      <c r="N717" s="78"/>
      <c r="O717" s="78"/>
      <c r="P717" s="78"/>
      <c r="Q717" s="78"/>
      <c r="R717" s="78"/>
      <c r="S717" s="78"/>
      <c r="T717" s="78"/>
      <c r="U717" s="78"/>
      <c r="V717" s="78"/>
      <c r="W717" s="78"/>
      <c r="X717" s="78"/>
      <c r="Y717" s="78"/>
    </row>
    <row r="718" spans="1:25" x14ac:dyDescent="0.25">
      <c r="A718" s="112" t="s">
        <v>682</v>
      </c>
      <c r="B718" s="78"/>
      <c r="C718" s="114"/>
      <c r="D718" s="78"/>
      <c r="E718" s="78"/>
      <c r="F718" s="78"/>
      <c r="G718" s="78"/>
      <c r="H718" s="78"/>
      <c r="I718" s="78"/>
      <c r="J718" s="78"/>
      <c r="K718" s="78"/>
      <c r="L718" s="78"/>
      <c r="M718" s="78"/>
      <c r="N718" s="78"/>
      <c r="O718" s="78"/>
      <c r="P718" s="78"/>
      <c r="Q718" s="78"/>
      <c r="R718" s="78"/>
      <c r="S718" s="78"/>
      <c r="T718" s="78"/>
      <c r="U718" s="78"/>
      <c r="V718" s="78"/>
      <c r="W718" s="78"/>
      <c r="X718" s="78"/>
      <c r="Y718" s="78"/>
    </row>
    <row r="719" spans="1:25" x14ac:dyDescent="0.25">
      <c r="A719" s="112" t="s">
        <v>682</v>
      </c>
      <c r="B719" s="78"/>
      <c r="C719" s="114"/>
      <c r="D719" s="78"/>
      <c r="E719" s="78"/>
      <c r="F719" s="78"/>
      <c r="G719" s="78"/>
      <c r="H719" s="78"/>
      <c r="I719" s="78"/>
      <c r="J719" s="78"/>
      <c r="K719" s="78"/>
      <c r="L719" s="78"/>
      <c r="M719" s="78"/>
      <c r="N719" s="78"/>
      <c r="O719" s="78"/>
      <c r="P719" s="78"/>
      <c r="Q719" s="78"/>
      <c r="R719" s="78"/>
      <c r="S719" s="78"/>
      <c r="T719" s="78"/>
      <c r="U719" s="78"/>
      <c r="V719" s="78"/>
      <c r="W719" s="78"/>
      <c r="X719" s="78"/>
      <c r="Y719" s="78"/>
    </row>
    <row r="720" spans="1:25" x14ac:dyDescent="0.25">
      <c r="A720" s="112" t="s">
        <v>682</v>
      </c>
      <c r="B720" s="78"/>
      <c r="C720" s="114"/>
      <c r="D720" s="78"/>
      <c r="E720" s="78"/>
      <c r="F720" s="78"/>
      <c r="G720" s="78"/>
      <c r="H720" s="78"/>
      <c r="I720" s="78"/>
      <c r="J720" s="78"/>
      <c r="K720" s="78"/>
      <c r="L720" s="78"/>
      <c r="M720" s="78"/>
      <c r="N720" s="78"/>
      <c r="O720" s="78"/>
      <c r="P720" s="78"/>
      <c r="Q720" s="78"/>
      <c r="R720" s="78"/>
      <c r="S720" s="78"/>
      <c r="T720" s="78"/>
      <c r="U720" s="78"/>
      <c r="V720" s="78"/>
      <c r="W720" s="78"/>
      <c r="X720" s="78"/>
      <c r="Y720" s="78"/>
    </row>
    <row r="721" spans="1:25" x14ac:dyDescent="0.25">
      <c r="A721" s="112" t="s">
        <v>682</v>
      </c>
      <c r="B721" s="78"/>
      <c r="C721" s="114"/>
      <c r="D721" s="78"/>
      <c r="E721" s="78"/>
      <c r="F721" s="78"/>
      <c r="G721" s="78"/>
      <c r="H721" s="78"/>
      <c r="I721" s="78"/>
      <c r="J721" s="78"/>
      <c r="K721" s="78"/>
      <c r="L721" s="78"/>
      <c r="M721" s="78"/>
      <c r="N721" s="78"/>
      <c r="O721" s="78"/>
      <c r="P721" s="78"/>
      <c r="Q721" s="78"/>
      <c r="R721" s="78"/>
      <c r="S721" s="78"/>
      <c r="T721" s="78"/>
      <c r="U721" s="78"/>
      <c r="V721" s="78"/>
      <c r="W721" s="78"/>
      <c r="X721" s="78"/>
      <c r="Y721" s="78"/>
    </row>
    <row r="722" spans="1:25" x14ac:dyDescent="0.25">
      <c r="A722" s="112" t="s">
        <v>682</v>
      </c>
      <c r="B722" s="78"/>
      <c r="C722" s="114"/>
      <c r="D722" s="78"/>
      <c r="E722" s="78"/>
      <c r="F722" s="78"/>
      <c r="G722" s="78"/>
      <c r="H722" s="78"/>
      <c r="I722" s="78"/>
      <c r="J722" s="78"/>
      <c r="K722" s="78"/>
      <c r="L722" s="78"/>
      <c r="M722" s="78"/>
      <c r="N722" s="78"/>
      <c r="O722" s="78"/>
      <c r="P722" s="78"/>
      <c r="Q722" s="78"/>
      <c r="R722" s="78"/>
      <c r="S722" s="78"/>
      <c r="T722" s="78"/>
      <c r="U722" s="78"/>
      <c r="V722" s="78"/>
      <c r="W722" s="78"/>
      <c r="X722" s="78"/>
      <c r="Y722" s="78"/>
    </row>
    <row r="723" spans="1:25" x14ac:dyDescent="0.25">
      <c r="A723" s="112" t="s">
        <v>682</v>
      </c>
      <c r="B723" s="78"/>
      <c r="C723" s="114"/>
      <c r="D723" s="78"/>
      <c r="E723" s="78"/>
      <c r="F723" s="78"/>
      <c r="G723" s="78"/>
      <c r="H723" s="78"/>
      <c r="I723" s="78"/>
      <c r="J723" s="78"/>
      <c r="K723" s="78"/>
      <c r="L723" s="78"/>
      <c r="M723" s="78"/>
      <c r="N723" s="78"/>
      <c r="O723" s="78"/>
      <c r="P723" s="78"/>
      <c r="Q723" s="78"/>
      <c r="R723" s="78"/>
      <c r="S723" s="78"/>
      <c r="T723" s="78"/>
      <c r="U723" s="78"/>
      <c r="V723" s="78"/>
      <c r="W723" s="78"/>
      <c r="X723" s="78"/>
      <c r="Y723" s="78"/>
    </row>
    <row r="724" spans="1:25" x14ac:dyDescent="0.25">
      <c r="A724" s="112" t="s">
        <v>682</v>
      </c>
      <c r="B724" s="78"/>
      <c r="C724" s="114"/>
      <c r="D724" s="78"/>
      <c r="E724" s="78"/>
      <c r="F724" s="78"/>
      <c r="G724" s="78"/>
      <c r="H724" s="78"/>
      <c r="I724" s="78"/>
      <c r="J724" s="78"/>
      <c r="K724" s="78"/>
      <c r="L724" s="78"/>
      <c r="M724" s="78"/>
      <c r="N724" s="78"/>
      <c r="O724" s="78"/>
      <c r="P724" s="78"/>
      <c r="Q724" s="78"/>
      <c r="R724" s="78"/>
      <c r="S724" s="78"/>
      <c r="T724" s="78"/>
      <c r="U724" s="78"/>
      <c r="V724" s="78"/>
      <c r="W724" s="78"/>
      <c r="X724" s="78"/>
      <c r="Y724" s="78"/>
    </row>
    <row r="725" spans="1:25" x14ac:dyDescent="0.25">
      <c r="A725" s="112" t="s">
        <v>682</v>
      </c>
      <c r="B725" s="78"/>
      <c r="C725" s="114"/>
      <c r="D725" s="78"/>
      <c r="E725" s="78"/>
      <c r="F725" s="78"/>
      <c r="G725" s="78"/>
      <c r="H725" s="78"/>
      <c r="I725" s="78"/>
      <c r="J725" s="78"/>
      <c r="K725" s="78"/>
      <c r="L725" s="78"/>
      <c r="M725" s="78"/>
      <c r="N725" s="78"/>
      <c r="O725" s="78"/>
      <c r="P725" s="78"/>
      <c r="Q725" s="78"/>
      <c r="R725" s="78"/>
      <c r="S725" s="78"/>
      <c r="T725" s="78"/>
      <c r="U725" s="78"/>
      <c r="V725" s="78"/>
      <c r="W725" s="78"/>
      <c r="X725" s="78"/>
      <c r="Y725" s="78"/>
    </row>
    <row r="726" spans="1:25" x14ac:dyDescent="0.25">
      <c r="A726" s="112" t="s">
        <v>682</v>
      </c>
      <c r="B726" s="78"/>
      <c r="C726" s="114"/>
      <c r="D726" s="78"/>
      <c r="E726" s="78"/>
      <c r="F726" s="78"/>
      <c r="G726" s="78"/>
      <c r="H726" s="78"/>
      <c r="I726" s="78"/>
      <c r="J726" s="78"/>
      <c r="K726" s="78"/>
      <c r="L726" s="78"/>
      <c r="M726" s="78"/>
      <c r="N726" s="78"/>
      <c r="O726" s="78"/>
      <c r="P726" s="78"/>
      <c r="Q726" s="78"/>
      <c r="R726" s="78"/>
      <c r="S726" s="78"/>
      <c r="T726" s="78"/>
      <c r="U726" s="78"/>
      <c r="V726" s="78"/>
      <c r="W726" s="78"/>
      <c r="X726" s="78"/>
      <c r="Y726" s="78"/>
    </row>
    <row r="727" spans="1:25" x14ac:dyDescent="0.25">
      <c r="A727" s="112" t="s">
        <v>682</v>
      </c>
      <c r="B727" s="78"/>
      <c r="C727" s="114"/>
      <c r="D727" s="78"/>
      <c r="E727" s="78"/>
      <c r="F727" s="78"/>
      <c r="G727" s="78"/>
      <c r="H727" s="78"/>
      <c r="I727" s="78"/>
      <c r="J727" s="78"/>
      <c r="K727" s="78"/>
      <c r="L727" s="78"/>
      <c r="M727" s="78"/>
      <c r="N727" s="78"/>
      <c r="O727" s="78"/>
      <c r="P727" s="78"/>
      <c r="Q727" s="78"/>
      <c r="R727" s="78"/>
      <c r="S727" s="78"/>
      <c r="T727" s="78"/>
      <c r="U727" s="78"/>
      <c r="V727" s="78"/>
      <c r="W727" s="78"/>
      <c r="X727" s="78"/>
      <c r="Y727" s="78"/>
    </row>
    <row r="728" spans="1:25" x14ac:dyDescent="0.25">
      <c r="A728" s="112" t="s">
        <v>682</v>
      </c>
      <c r="B728" s="78"/>
      <c r="C728" s="114"/>
      <c r="D728" s="78"/>
      <c r="E728" s="78"/>
      <c r="F728" s="78"/>
      <c r="G728" s="78"/>
      <c r="H728" s="78"/>
      <c r="I728" s="78"/>
      <c r="J728" s="78"/>
      <c r="K728" s="78"/>
      <c r="L728" s="78"/>
      <c r="M728" s="78"/>
      <c r="N728" s="78"/>
      <c r="O728" s="78"/>
      <c r="P728" s="78"/>
      <c r="Q728" s="78"/>
      <c r="R728" s="78"/>
      <c r="S728" s="78"/>
      <c r="T728" s="78"/>
      <c r="U728" s="78"/>
      <c r="V728" s="78"/>
      <c r="W728" s="78"/>
      <c r="X728" s="78"/>
      <c r="Y728" s="78"/>
    </row>
    <row r="729" spans="1:25" x14ac:dyDescent="0.25">
      <c r="A729" s="112" t="s">
        <v>682</v>
      </c>
      <c r="B729" s="78"/>
      <c r="C729" s="114"/>
      <c r="D729" s="78"/>
      <c r="E729" s="78"/>
      <c r="F729" s="78"/>
      <c r="G729" s="78"/>
      <c r="H729" s="78"/>
      <c r="I729" s="78"/>
      <c r="J729" s="78"/>
      <c r="K729" s="78"/>
      <c r="L729" s="78"/>
      <c r="M729" s="78"/>
      <c r="N729" s="78"/>
      <c r="O729" s="78"/>
      <c r="P729" s="78"/>
      <c r="Q729" s="78"/>
      <c r="R729" s="78"/>
      <c r="S729" s="78"/>
      <c r="T729" s="78"/>
      <c r="U729" s="78"/>
      <c r="V729" s="78"/>
      <c r="W729" s="78"/>
      <c r="X729" s="78"/>
      <c r="Y729" s="78"/>
    </row>
    <row r="730" spans="1:25" x14ac:dyDescent="0.25">
      <c r="A730" s="112" t="s">
        <v>682</v>
      </c>
      <c r="B730" s="78"/>
      <c r="C730" s="114"/>
      <c r="D730" s="78"/>
      <c r="E730" s="78"/>
      <c r="F730" s="78"/>
      <c r="G730" s="78"/>
      <c r="H730" s="78"/>
      <c r="I730" s="78"/>
      <c r="J730" s="78"/>
      <c r="K730" s="78"/>
      <c r="L730" s="78"/>
      <c r="M730" s="78"/>
      <c r="N730" s="78"/>
      <c r="O730" s="78"/>
      <c r="P730" s="78"/>
      <c r="Q730" s="78"/>
      <c r="R730" s="78"/>
      <c r="S730" s="78"/>
      <c r="T730" s="78"/>
      <c r="U730" s="78"/>
      <c r="V730" s="78"/>
      <c r="W730" s="78"/>
      <c r="X730" s="78"/>
      <c r="Y730" s="78"/>
    </row>
    <row r="731" spans="1:25" x14ac:dyDescent="0.25">
      <c r="A731" s="112" t="s">
        <v>682</v>
      </c>
      <c r="B731" s="78"/>
      <c r="C731" s="114"/>
      <c r="D731" s="78"/>
      <c r="E731" s="78"/>
      <c r="F731" s="78"/>
      <c r="G731" s="78"/>
      <c r="H731" s="78"/>
      <c r="I731" s="78"/>
      <c r="J731" s="78"/>
      <c r="K731" s="78"/>
      <c r="L731" s="78"/>
      <c r="M731" s="78"/>
      <c r="N731" s="78"/>
      <c r="O731" s="78"/>
      <c r="P731" s="78"/>
      <c r="Q731" s="78"/>
      <c r="R731" s="78"/>
      <c r="S731" s="78"/>
      <c r="T731" s="78"/>
      <c r="U731" s="78"/>
      <c r="V731" s="78"/>
      <c r="W731" s="78"/>
      <c r="X731" s="78"/>
      <c r="Y731" s="78"/>
    </row>
    <row r="732" spans="1:25" x14ac:dyDescent="0.25">
      <c r="A732" s="112" t="s">
        <v>682</v>
      </c>
      <c r="B732" s="78"/>
      <c r="C732" s="114"/>
      <c r="D732" s="78"/>
      <c r="E732" s="78"/>
      <c r="F732" s="78"/>
      <c r="G732" s="78"/>
      <c r="H732" s="78"/>
      <c r="I732" s="78"/>
      <c r="J732" s="78"/>
      <c r="K732" s="78"/>
      <c r="L732" s="78"/>
      <c r="M732" s="78"/>
      <c r="N732" s="78"/>
      <c r="O732" s="78"/>
      <c r="P732" s="78"/>
      <c r="Q732" s="78"/>
      <c r="R732" s="78"/>
      <c r="S732" s="78"/>
      <c r="T732" s="78"/>
      <c r="U732" s="78"/>
      <c r="V732" s="78"/>
      <c r="W732" s="78"/>
      <c r="X732" s="78"/>
      <c r="Y732" s="78"/>
    </row>
    <row r="733" spans="1:25" x14ac:dyDescent="0.25">
      <c r="A733" s="112" t="s">
        <v>682</v>
      </c>
      <c r="B733" s="78"/>
      <c r="C733" s="114"/>
      <c r="D733" s="78"/>
      <c r="E733" s="78"/>
      <c r="F733" s="78"/>
      <c r="G733" s="78"/>
      <c r="H733" s="78"/>
      <c r="I733" s="78"/>
      <c r="J733" s="78"/>
      <c r="K733" s="78"/>
      <c r="L733" s="78"/>
      <c r="M733" s="78"/>
      <c r="N733" s="78"/>
      <c r="O733" s="78"/>
      <c r="P733" s="78"/>
      <c r="Q733" s="78"/>
      <c r="R733" s="78"/>
      <c r="S733" s="78"/>
      <c r="T733" s="78"/>
      <c r="U733" s="78"/>
      <c r="V733" s="78"/>
      <c r="W733" s="78"/>
      <c r="X733" s="78"/>
      <c r="Y733" s="78"/>
    </row>
    <row r="734" spans="1:25" x14ac:dyDescent="0.25">
      <c r="A734" s="112" t="s">
        <v>682</v>
      </c>
      <c r="B734" s="78"/>
      <c r="C734" s="114"/>
      <c r="D734" s="78"/>
      <c r="E734" s="78"/>
      <c r="F734" s="78"/>
      <c r="G734" s="78"/>
      <c r="H734" s="78"/>
      <c r="I734" s="78"/>
      <c r="J734" s="78"/>
      <c r="K734" s="78"/>
      <c r="L734" s="78"/>
      <c r="M734" s="78"/>
      <c r="N734" s="78"/>
      <c r="O734" s="78"/>
      <c r="P734" s="78"/>
      <c r="Q734" s="78"/>
      <c r="R734" s="78"/>
      <c r="S734" s="78"/>
      <c r="T734" s="78"/>
      <c r="U734" s="78"/>
      <c r="V734" s="78"/>
      <c r="W734" s="78"/>
      <c r="X734" s="78"/>
      <c r="Y734" s="78"/>
    </row>
    <row r="735" spans="1:25" x14ac:dyDescent="0.25">
      <c r="A735" s="112" t="s">
        <v>682</v>
      </c>
      <c r="B735" s="78"/>
      <c r="C735" s="114"/>
      <c r="D735" s="78"/>
      <c r="E735" s="78"/>
      <c r="F735" s="78"/>
      <c r="G735" s="78"/>
      <c r="H735" s="78"/>
      <c r="I735" s="78"/>
      <c r="J735" s="78"/>
      <c r="K735" s="78"/>
      <c r="L735" s="78"/>
      <c r="M735" s="78"/>
      <c r="N735" s="78"/>
      <c r="O735" s="78"/>
      <c r="P735" s="78"/>
      <c r="Q735" s="78"/>
      <c r="R735" s="78"/>
      <c r="S735" s="78"/>
      <c r="T735" s="78"/>
      <c r="U735" s="78"/>
      <c r="V735" s="78"/>
      <c r="W735" s="78"/>
      <c r="X735" s="78"/>
      <c r="Y735" s="78"/>
    </row>
    <row r="736" spans="1:25" x14ac:dyDescent="0.25">
      <c r="A736" s="112" t="s">
        <v>682</v>
      </c>
      <c r="B736" s="78"/>
      <c r="C736" s="114"/>
      <c r="D736" s="78"/>
      <c r="E736" s="78"/>
      <c r="F736" s="78"/>
      <c r="G736" s="78"/>
      <c r="H736" s="78"/>
      <c r="I736" s="78"/>
      <c r="J736" s="78"/>
      <c r="K736" s="78"/>
      <c r="L736" s="78"/>
      <c r="M736" s="78"/>
      <c r="N736" s="78"/>
      <c r="O736" s="78"/>
      <c r="P736" s="78"/>
      <c r="Q736" s="78"/>
      <c r="R736" s="78"/>
      <c r="S736" s="78"/>
      <c r="T736" s="78"/>
      <c r="U736" s="78"/>
      <c r="V736" s="78"/>
      <c r="W736" s="78"/>
      <c r="X736" s="78"/>
      <c r="Y736" s="78"/>
    </row>
    <row r="737" spans="1:25" x14ac:dyDescent="0.25">
      <c r="A737" s="112" t="s">
        <v>682</v>
      </c>
      <c r="B737" s="78"/>
      <c r="C737" s="114"/>
      <c r="D737" s="78"/>
      <c r="E737" s="78"/>
      <c r="F737" s="78"/>
      <c r="G737" s="78"/>
      <c r="H737" s="78"/>
      <c r="I737" s="78"/>
      <c r="J737" s="78"/>
      <c r="K737" s="78"/>
      <c r="L737" s="78"/>
      <c r="M737" s="78"/>
      <c r="N737" s="78"/>
      <c r="O737" s="78"/>
      <c r="P737" s="78"/>
      <c r="Q737" s="78"/>
      <c r="R737" s="78"/>
      <c r="S737" s="78"/>
      <c r="T737" s="78"/>
      <c r="U737" s="78"/>
      <c r="V737" s="78"/>
      <c r="W737" s="78"/>
      <c r="X737" s="78"/>
      <c r="Y737" s="78"/>
    </row>
    <row r="738" spans="1:25" x14ac:dyDescent="0.25">
      <c r="A738" s="112" t="s">
        <v>682</v>
      </c>
      <c r="B738" s="78"/>
      <c r="C738" s="114"/>
      <c r="D738" s="78"/>
      <c r="E738" s="78"/>
      <c r="F738" s="78"/>
      <c r="G738" s="78"/>
      <c r="H738" s="78"/>
      <c r="I738" s="78"/>
      <c r="J738" s="78"/>
      <c r="K738" s="78"/>
      <c r="L738" s="78"/>
      <c r="M738" s="78"/>
      <c r="N738" s="78"/>
      <c r="O738" s="78"/>
      <c r="P738" s="78"/>
      <c r="Q738" s="78"/>
      <c r="R738" s="78"/>
      <c r="S738" s="78"/>
      <c r="T738" s="78"/>
      <c r="U738" s="78"/>
      <c r="V738" s="78"/>
      <c r="W738" s="78"/>
      <c r="X738" s="78"/>
      <c r="Y738" s="78"/>
    </row>
    <row r="739" spans="1:25" x14ac:dyDescent="0.25">
      <c r="A739" s="112" t="s">
        <v>682</v>
      </c>
      <c r="B739" s="78"/>
      <c r="C739" s="114"/>
      <c r="D739" s="78"/>
      <c r="E739" s="78"/>
      <c r="F739" s="78"/>
      <c r="G739" s="78"/>
      <c r="H739" s="78"/>
      <c r="I739" s="78"/>
      <c r="J739" s="78"/>
      <c r="K739" s="78"/>
      <c r="L739" s="78"/>
      <c r="M739" s="78"/>
      <c r="N739" s="78"/>
      <c r="O739" s="78"/>
      <c r="P739" s="78"/>
      <c r="Q739" s="78"/>
      <c r="R739" s="78"/>
      <c r="S739" s="78"/>
      <c r="T739" s="78"/>
      <c r="U739" s="78"/>
      <c r="V739" s="78"/>
      <c r="W739" s="78"/>
      <c r="X739" s="78"/>
      <c r="Y739" s="78"/>
    </row>
    <row r="740" spans="1:25" x14ac:dyDescent="0.25">
      <c r="A740" s="112" t="s">
        <v>682</v>
      </c>
      <c r="B740" s="78"/>
      <c r="C740" s="114"/>
      <c r="D740" s="78"/>
      <c r="E740" s="78"/>
      <c r="F740" s="78"/>
      <c r="G740" s="78"/>
      <c r="H740" s="78"/>
      <c r="I740" s="78"/>
      <c r="J740" s="78"/>
      <c r="K740" s="78"/>
      <c r="L740" s="78"/>
      <c r="M740" s="78"/>
      <c r="N740" s="78"/>
      <c r="O740" s="78"/>
      <c r="P740" s="78"/>
      <c r="Q740" s="78"/>
      <c r="R740" s="78"/>
      <c r="S740" s="78"/>
      <c r="T740" s="78"/>
      <c r="U740" s="78"/>
      <c r="V740" s="78"/>
      <c r="W740" s="78"/>
      <c r="X740" s="78"/>
      <c r="Y740" s="78"/>
    </row>
    <row r="741" spans="1:25" x14ac:dyDescent="0.25">
      <c r="A741" s="112" t="s">
        <v>682</v>
      </c>
      <c r="B741" s="78"/>
      <c r="C741" s="114"/>
      <c r="D741" s="78"/>
      <c r="E741" s="78"/>
      <c r="F741" s="78"/>
      <c r="G741" s="78"/>
      <c r="H741" s="78"/>
      <c r="I741" s="78"/>
      <c r="J741" s="78"/>
      <c r="K741" s="78"/>
      <c r="L741" s="78"/>
      <c r="M741" s="78"/>
      <c r="N741" s="78"/>
      <c r="O741" s="78"/>
      <c r="P741" s="78"/>
      <c r="Q741" s="78"/>
      <c r="R741" s="78"/>
      <c r="S741" s="78"/>
      <c r="T741" s="78"/>
      <c r="U741" s="78"/>
      <c r="V741" s="78"/>
      <c r="W741" s="78"/>
      <c r="X741" s="78"/>
      <c r="Y741" s="78"/>
    </row>
    <row r="742" spans="1:25" x14ac:dyDescent="0.25">
      <c r="A742" s="112" t="s">
        <v>682</v>
      </c>
      <c r="B742" s="78"/>
      <c r="C742" s="114"/>
      <c r="D742" s="78"/>
      <c r="E742" s="78"/>
      <c r="F742" s="78"/>
      <c r="G742" s="78"/>
      <c r="H742" s="78"/>
      <c r="I742" s="78"/>
      <c r="J742" s="78"/>
      <c r="K742" s="78"/>
      <c r="L742" s="78"/>
      <c r="M742" s="78"/>
      <c r="N742" s="78"/>
      <c r="O742" s="78"/>
      <c r="P742" s="78"/>
      <c r="Q742" s="78"/>
      <c r="R742" s="78"/>
      <c r="S742" s="78"/>
      <c r="T742" s="78"/>
      <c r="U742" s="78"/>
      <c r="V742" s="78"/>
      <c r="W742" s="78"/>
      <c r="X742" s="78"/>
      <c r="Y742" s="78"/>
    </row>
    <row r="743" spans="1:25" x14ac:dyDescent="0.25">
      <c r="A743" s="112" t="s">
        <v>682</v>
      </c>
      <c r="B743" s="78"/>
      <c r="C743" s="114"/>
      <c r="D743" s="78"/>
      <c r="E743" s="78"/>
      <c r="F743" s="78"/>
      <c r="G743" s="78"/>
      <c r="H743" s="78"/>
      <c r="I743" s="78"/>
      <c r="J743" s="78"/>
      <c r="K743" s="78"/>
      <c r="L743" s="78"/>
      <c r="M743" s="78"/>
      <c r="N743" s="78"/>
      <c r="O743" s="78"/>
      <c r="P743" s="78"/>
      <c r="Q743" s="78"/>
      <c r="R743" s="78"/>
      <c r="S743" s="78"/>
      <c r="T743" s="78"/>
      <c r="U743" s="78"/>
      <c r="V743" s="78"/>
      <c r="W743" s="78"/>
      <c r="X743" s="78"/>
      <c r="Y743" s="78"/>
    </row>
    <row r="744" spans="1:25" x14ac:dyDescent="0.25">
      <c r="A744" s="112" t="s">
        <v>682</v>
      </c>
      <c r="B744" s="78"/>
      <c r="C744" s="114"/>
      <c r="D744" s="78"/>
      <c r="E744" s="78"/>
      <c r="F744" s="78"/>
      <c r="G744" s="78"/>
      <c r="H744" s="78"/>
      <c r="I744" s="78"/>
      <c r="J744" s="78"/>
      <c r="K744" s="78"/>
      <c r="L744" s="78"/>
      <c r="M744" s="78"/>
      <c r="N744" s="78"/>
      <c r="O744" s="78"/>
      <c r="P744" s="78"/>
      <c r="Q744" s="78"/>
      <c r="R744" s="78"/>
      <c r="S744" s="78"/>
      <c r="T744" s="78"/>
      <c r="U744" s="78"/>
      <c r="V744" s="78"/>
      <c r="W744" s="78"/>
      <c r="X744" s="78"/>
      <c r="Y744" s="78"/>
    </row>
    <row r="745" spans="1:25" x14ac:dyDescent="0.25">
      <c r="A745" s="112" t="s">
        <v>682</v>
      </c>
      <c r="B745" s="78"/>
      <c r="C745" s="114"/>
      <c r="D745" s="78"/>
      <c r="E745" s="78"/>
      <c r="F745" s="78"/>
      <c r="G745" s="78"/>
      <c r="H745" s="78"/>
      <c r="I745" s="78"/>
      <c r="J745" s="78"/>
      <c r="K745" s="78"/>
      <c r="L745" s="78"/>
      <c r="M745" s="78"/>
      <c r="N745" s="78"/>
      <c r="O745" s="78"/>
      <c r="P745" s="78"/>
      <c r="Q745" s="78"/>
      <c r="R745" s="78"/>
      <c r="S745" s="78"/>
      <c r="T745" s="78"/>
      <c r="U745" s="78"/>
      <c r="V745" s="78"/>
      <c r="W745" s="78"/>
      <c r="X745" s="78"/>
      <c r="Y745" s="78"/>
    </row>
    <row r="746" spans="1:25" x14ac:dyDescent="0.25">
      <c r="A746" s="112" t="s">
        <v>682</v>
      </c>
      <c r="B746" s="78"/>
      <c r="C746" s="114"/>
      <c r="D746" s="78"/>
      <c r="E746" s="78"/>
      <c r="F746" s="78"/>
      <c r="G746" s="78"/>
      <c r="H746" s="78"/>
      <c r="I746" s="78"/>
      <c r="J746" s="78"/>
      <c r="K746" s="78"/>
      <c r="L746" s="78"/>
      <c r="M746" s="78"/>
      <c r="N746" s="78"/>
      <c r="O746" s="78"/>
      <c r="P746" s="78"/>
      <c r="Q746" s="78"/>
      <c r="R746" s="78"/>
      <c r="S746" s="78"/>
      <c r="T746" s="78"/>
      <c r="U746" s="78"/>
      <c r="V746" s="78"/>
      <c r="W746" s="78"/>
      <c r="X746" s="78"/>
      <c r="Y746" s="78"/>
    </row>
    <row r="747" spans="1:25" x14ac:dyDescent="0.25">
      <c r="A747" s="112" t="s">
        <v>682</v>
      </c>
      <c r="B747" s="78"/>
      <c r="C747" s="114"/>
      <c r="D747" s="78"/>
      <c r="E747" s="78"/>
      <c r="F747" s="78"/>
      <c r="G747" s="78"/>
      <c r="H747" s="78"/>
      <c r="I747" s="78"/>
      <c r="J747" s="78"/>
      <c r="K747" s="78"/>
      <c r="L747" s="78"/>
      <c r="M747" s="78"/>
      <c r="N747" s="78"/>
      <c r="O747" s="78"/>
      <c r="P747" s="78"/>
      <c r="Q747" s="78"/>
      <c r="R747" s="78"/>
      <c r="S747" s="78"/>
      <c r="T747" s="78"/>
      <c r="U747" s="78"/>
      <c r="V747" s="78"/>
      <c r="W747" s="78"/>
      <c r="X747" s="78"/>
      <c r="Y747" s="78"/>
    </row>
    <row r="748" spans="1:25" x14ac:dyDescent="0.25">
      <c r="A748" s="112" t="s">
        <v>682</v>
      </c>
      <c r="B748" s="78"/>
      <c r="C748" s="114"/>
      <c r="D748" s="78"/>
      <c r="E748" s="78"/>
      <c r="F748" s="78"/>
      <c r="G748" s="78"/>
      <c r="H748" s="78"/>
      <c r="I748" s="78"/>
      <c r="J748" s="78"/>
      <c r="K748" s="78"/>
      <c r="L748" s="78"/>
      <c r="M748" s="78"/>
      <c r="N748" s="78"/>
      <c r="O748" s="78"/>
      <c r="P748" s="78"/>
      <c r="Q748" s="78"/>
      <c r="R748" s="78"/>
      <c r="S748" s="78"/>
      <c r="T748" s="78"/>
      <c r="U748" s="78"/>
      <c r="V748" s="78"/>
      <c r="W748" s="78"/>
      <c r="X748" s="78"/>
      <c r="Y748" s="78"/>
    </row>
    <row r="749" spans="1:25" x14ac:dyDescent="0.25">
      <c r="A749" s="112" t="s">
        <v>682</v>
      </c>
      <c r="B749" s="78"/>
      <c r="C749" s="114"/>
      <c r="D749" s="78"/>
      <c r="E749" s="78"/>
      <c r="F749" s="78"/>
      <c r="G749" s="78"/>
      <c r="H749" s="78"/>
      <c r="I749" s="78"/>
      <c r="J749" s="78"/>
      <c r="K749" s="78"/>
      <c r="L749" s="78"/>
      <c r="M749" s="78"/>
      <c r="N749" s="78"/>
      <c r="O749" s="78"/>
      <c r="P749" s="78"/>
      <c r="Q749" s="78"/>
      <c r="R749" s="78"/>
      <c r="S749" s="78"/>
      <c r="T749" s="78"/>
      <c r="U749" s="78"/>
      <c r="V749" s="78"/>
      <c r="W749" s="78"/>
      <c r="X749" s="78"/>
      <c r="Y749" s="78"/>
    </row>
    <row r="750" spans="1:25" x14ac:dyDescent="0.25">
      <c r="A750" s="112" t="s">
        <v>682</v>
      </c>
      <c r="B750" s="78"/>
      <c r="C750" s="114"/>
      <c r="D750" s="78"/>
      <c r="E750" s="78"/>
      <c r="F750" s="78"/>
      <c r="G750" s="78"/>
      <c r="H750" s="78"/>
      <c r="I750" s="78"/>
      <c r="J750" s="78"/>
      <c r="K750" s="78"/>
      <c r="L750" s="78"/>
      <c r="M750" s="78"/>
      <c r="N750" s="78"/>
      <c r="O750" s="78"/>
      <c r="P750" s="78"/>
      <c r="Q750" s="78"/>
      <c r="R750" s="78"/>
      <c r="S750" s="78"/>
      <c r="T750" s="78"/>
      <c r="U750" s="78"/>
      <c r="V750" s="78"/>
      <c r="W750" s="78"/>
      <c r="X750" s="78"/>
      <c r="Y750" s="78"/>
    </row>
    <row r="751" spans="1:25" x14ac:dyDescent="0.25">
      <c r="A751" s="112" t="s">
        <v>682</v>
      </c>
      <c r="B751" s="78"/>
      <c r="C751" s="114"/>
      <c r="D751" s="78"/>
      <c r="E751" s="78"/>
      <c r="F751" s="78"/>
      <c r="G751" s="78"/>
      <c r="H751" s="78"/>
      <c r="I751" s="78"/>
      <c r="J751" s="78"/>
      <c r="K751" s="78"/>
      <c r="L751" s="78"/>
      <c r="M751" s="78"/>
      <c r="N751" s="78"/>
      <c r="O751" s="78"/>
      <c r="P751" s="78"/>
      <c r="Q751" s="78"/>
      <c r="R751" s="78"/>
      <c r="S751" s="78"/>
      <c r="T751" s="78"/>
      <c r="U751" s="78"/>
      <c r="V751" s="78"/>
      <c r="W751" s="78"/>
      <c r="X751" s="78"/>
      <c r="Y751" s="78"/>
    </row>
    <row r="752" spans="1:25" x14ac:dyDescent="0.25">
      <c r="A752" s="112" t="s">
        <v>682</v>
      </c>
      <c r="B752" s="78"/>
      <c r="C752" s="114"/>
      <c r="D752" s="78"/>
      <c r="E752" s="78"/>
      <c r="F752" s="78"/>
      <c r="G752" s="78"/>
      <c r="H752" s="78"/>
      <c r="I752" s="78"/>
      <c r="J752" s="78"/>
      <c r="K752" s="78"/>
      <c r="L752" s="78"/>
      <c r="M752" s="78"/>
      <c r="N752" s="78"/>
      <c r="O752" s="78"/>
      <c r="P752" s="78"/>
      <c r="Q752" s="78"/>
      <c r="R752" s="78"/>
      <c r="S752" s="78"/>
      <c r="T752" s="78"/>
      <c r="U752" s="78"/>
      <c r="V752" s="78"/>
      <c r="W752" s="78"/>
      <c r="X752" s="78"/>
      <c r="Y752" s="78"/>
    </row>
    <row r="753" spans="1:25" x14ac:dyDescent="0.25">
      <c r="A753" s="112" t="s">
        <v>682</v>
      </c>
      <c r="B753" s="78"/>
      <c r="C753" s="114"/>
      <c r="D753" s="78"/>
      <c r="E753" s="78"/>
      <c r="F753" s="78"/>
      <c r="G753" s="78"/>
      <c r="H753" s="78"/>
      <c r="I753" s="78"/>
      <c r="J753" s="78"/>
      <c r="K753" s="78"/>
      <c r="L753" s="78"/>
      <c r="M753" s="78"/>
      <c r="N753" s="78"/>
      <c r="O753" s="78"/>
      <c r="P753" s="78"/>
      <c r="Q753" s="78"/>
      <c r="R753" s="78"/>
      <c r="S753" s="78"/>
      <c r="T753" s="78"/>
      <c r="U753" s="78"/>
      <c r="V753" s="78"/>
      <c r="W753" s="78"/>
      <c r="X753" s="78"/>
      <c r="Y753" s="78"/>
    </row>
    <row r="754" spans="1:25" x14ac:dyDescent="0.25">
      <c r="A754" s="112" t="s">
        <v>682</v>
      </c>
      <c r="B754" s="78"/>
      <c r="C754" s="114"/>
      <c r="D754" s="78"/>
      <c r="E754" s="78"/>
      <c r="F754" s="78"/>
      <c r="G754" s="78"/>
      <c r="H754" s="78"/>
      <c r="I754" s="78"/>
      <c r="J754" s="78"/>
      <c r="K754" s="78"/>
      <c r="L754" s="78"/>
      <c r="M754" s="78"/>
      <c r="N754" s="78"/>
      <c r="O754" s="78"/>
      <c r="P754" s="78"/>
      <c r="Q754" s="78"/>
      <c r="R754" s="78"/>
      <c r="S754" s="78"/>
      <c r="T754" s="78"/>
      <c r="U754" s="78"/>
      <c r="V754" s="78"/>
      <c r="W754" s="78"/>
      <c r="X754" s="78"/>
      <c r="Y754" s="78"/>
    </row>
    <row r="755" spans="1:25" x14ac:dyDescent="0.25">
      <c r="A755" s="112" t="s">
        <v>682</v>
      </c>
      <c r="B755" s="78"/>
      <c r="C755" s="114"/>
      <c r="D755" s="78"/>
      <c r="E755" s="78"/>
      <c r="F755" s="78"/>
      <c r="G755" s="78"/>
      <c r="H755" s="78"/>
      <c r="I755" s="78"/>
      <c r="J755" s="78"/>
      <c r="K755" s="78"/>
      <c r="L755" s="78"/>
      <c r="M755" s="78"/>
      <c r="N755" s="78"/>
      <c r="O755" s="78"/>
      <c r="P755" s="78"/>
      <c r="Q755" s="78"/>
      <c r="R755" s="78"/>
      <c r="S755" s="78"/>
      <c r="T755" s="78"/>
      <c r="U755" s="78"/>
      <c r="V755" s="78"/>
      <c r="W755" s="78"/>
      <c r="X755" s="78"/>
      <c r="Y755" s="78"/>
    </row>
    <row r="756" spans="1:25" x14ac:dyDescent="0.25">
      <c r="A756" s="112" t="s">
        <v>682</v>
      </c>
      <c r="B756" s="78"/>
      <c r="C756" s="114"/>
      <c r="D756" s="78"/>
      <c r="E756" s="78"/>
      <c r="F756" s="78"/>
      <c r="G756" s="78"/>
      <c r="H756" s="78"/>
      <c r="I756" s="78"/>
      <c r="J756" s="78"/>
      <c r="K756" s="78"/>
      <c r="L756" s="78"/>
      <c r="M756" s="78"/>
      <c r="N756" s="78"/>
      <c r="O756" s="78"/>
      <c r="P756" s="78"/>
      <c r="Q756" s="78"/>
      <c r="R756" s="78"/>
      <c r="S756" s="78"/>
      <c r="T756" s="78"/>
      <c r="U756" s="78"/>
      <c r="V756" s="78"/>
      <c r="W756" s="78"/>
      <c r="X756" s="78"/>
      <c r="Y756" s="78"/>
    </row>
    <row r="757" spans="1:25" x14ac:dyDescent="0.25">
      <c r="A757" s="112" t="s">
        <v>682</v>
      </c>
      <c r="B757" s="78"/>
      <c r="C757" s="114"/>
      <c r="D757" s="78"/>
      <c r="E757" s="78"/>
      <c r="F757" s="78"/>
      <c r="G757" s="78"/>
      <c r="H757" s="78"/>
      <c r="I757" s="78"/>
      <c r="J757" s="78"/>
      <c r="K757" s="78"/>
      <c r="L757" s="78"/>
      <c r="M757" s="78"/>
      <c r="N757" s="78"/>
      <c r="O757" s="78"/>
      <c r="P757" s="78"/>
      <c r="Q757" s="78"/>
      <c r="R757" s="78"/>
      <c r="S757" s="78"/>
      <c r="T757" s="78"/>
      <c r="U757" s="78"/>
      <c r="V757" s="78"/>
      <c r="W757" s="78"/>
      <c r="X757" s="78"/>
      <c r="Y757" s="78"/>
    </row>
    <row r="758" spans="1:25" x14ac:dyDescent="0.25">
      <c r="A758" s="112" t="s">
        <v>682</v>
      </c>
      <c r="B758" s="78"/>
      <c r="C758" s="114"/>
      <c r="D758" s="78"/>
      <c r="E758" s="78"/>
      <c r="F758" s="78"/>
      <c r="G758" s="78"/>
      <c r="H758" s="78"/>
      <c r="I758" s="78"/>
      <c r="J758" s="78"/>
      <c r="K758" s="78"/>
      <c r="L758" s="78"/>
      <c r="M758" s="78"/>
      <c r="N758" s="78"/>
      <c r="O758" s="78"/>
      <c r="P758" s="78"/>
      <c r="Q758" s="78"/>
      <c r="R758" s="78"/>
      <c r="S758" s="78"/>
      <c r="T758" s="78"/>
      <c r="U758" s="78"/>
      <c r="V758" s="78"/>
      <c r="W758" s="78"/>
      <c r="X758" s="78"/>
      <c r="Y758" s="78"/>
    </row>
    <row r="759" spans="1:25" x14ac:dyDescent="0.25">
      <c r="A759" s="112" t="s">
        <v>682</v>
      </c>
      <c r="B759" s="78"/>
      <c r="C759" s="114"/>
      <c r="D759" s="78"/>
      <c r="E759" s="78"/>
      <c r="F759" s="78"/>
      <c r="G759" s="78"/>
      <c r="H759" s="78"/>
      <c r="I759" s="78"/>
      <c r="J759" s="78"/>
      <c r="K759" s="78"/>
      <c r="L759" s="78"/>
      <c r="M759" s="78"/>
      <c r="N759" s="78"/>
      <c r="O759" s="78"/>
      <c r="P759" s="78"/>
      <c r="Q759" s="78"/>
      <c r="R759" s="78"/>
      <c r="S759" s="78"/>
      <c r="T759" s="78"/>
      <c r="U759" s="78"/>
      <c r="V759" s="78"/>
      <c r="W759" s="78"/>
      <c r="X759" s="78"/>
      <c r="Y759" s="78"/>
    </row>
    <row r="760" spans="1:25" x14ac:dyDescent="0.25">
      <c r="A760" s="112" t="s">
        <v>682</v>
      </c>
      <c r="B760" s="78"/>
      <c r="C760" s="114"/>
      <c r="D760" s="78"/>
      <c r="E760" s="78"/>
      <c r="F760" s="78"/>
      <c r="G760" s="78"/>
      <c r="H760" s="78"/>
      <c r="I760" s="78"/>
      <c r="J760" s="78"/>
      <c r="K760" s="78"/>
      <c r="L760" s="78"/>
      <c r="M760" s="78"/>
      <c r="N760" s="78"/>
      <c r="O760" s="78"/>
      <c r="P760" s="78"/>
      <c r="Q760" s="78"/>
      <c r="R760" s="78"/>
      <c r="S760" s="78"/>
      <c r="T760" s="78"/>
      <c r="U760" s="78"/>
      <c r="V760" s="78"/>
      <c r="W760" s="78"/>
      <c r="X760" s="78"/>
      <c r="Y760" s="78"/>
    </row>
    <row r="761" spans="1:25" x14ac:dyDescent="0.25">
      <c r="A761" s="112" t="s">
        <v>682</v>
      </c>
      <c r="B761" s="78"/>
      <c r="C761" s="114"/>
      <c r="D761" s="78"/>
      <c r="E761" s="78"/>
      <c r="F761" s="78"/>
      <c r="G761" s="78"/>
      <c r="H761" s="78"/>
      <c r="I761" s="78"/>
      <c r="J761" s="78"/>
      <c r="K761" s="78"/>
      <c r="L761" s="78"/>
      <c r="M761" s="78"/>
      <c r="N761" s="78"/>
      <c r="O761" s="78"/>
      <c r="P761" s="78"/>
      <c r="Q761" s="78"/>
      <c r="R761" s="78"/>
      <c r="S761" s="78"/>
      <c r="T761" s="78"/>
      <c r="U761" s="78"/>
      <c r="V761" s="78"/>
      <c r="W761" s="78"/>
      <c r="X761" s="78"/>
      <c r="Y761" s="78"/>
    </row>
    <row r="762" spans="1:25" x14ac:dyDescent="0.25">
      <c r="A762" s="112" t="s">
        <v>682</v>
      </c>
      <c r="B762" s="78"/>
      <c r="C762" s="114"/>
      <c r="D762" s="78"/>
      <c r="E762" s="78"/>
      <c r="F762" s="78"/>
      <c r="G762" s="78"/>
      <c r="H762" s="78"/>
      <c r="I762" s="78"/>
      <c r="J762" s="78"/>
      <c r="K762" s="78"/>
      <c r="L762" s="78"/>
      <c r="M762" s="78"/>
      <c r="N762" s="78"/>
      <c r="O762" s="78"/>
      <c r="P762" s="78"/>
      <c r="Q762" s="78"/>
      <c r="R762" s="78"/>
      <c r="S762" s="78"/>
      <c r="T762" s="78"/>
      <c r="U762" s="78"/>
      <c r="V762" s="78"/>
      <c r="W762" s="78"/>
      <c r="X762" s="78"/>
      <c r="Y762" s="78"/>
    </row>
    <row r="763" spans="1:25" x14ac:dyDescent="0.25">
      <c r="A763" s="112" t="s">
        <v>682</v>
      </c>
      <c r="B763" s="78"/>
      <c r="C763" s="114"/>
      <c r="D763" s="78"/>
      <c r="E763" s="78"/>
      <c r="F763" s="78"/>
      <c r="G763" s="78"/>
      <c r="H763" s="78"/>
      <c r="I763" s="78"/>
      <c r="J763" s="78"/>
      <c r="K763" s="78"/>
      <c r="L763" s="78"/>
      <c r="M763" s="78"/>
      <c r="N763" s="78"/>
      <c r="O763" s="78"/>
      <c r="P763" s="78"/>
      <c r="Q763" s="78"/>
      <c r="R763" s="78"/>
      <c r="S763" s="78"/>
      <c r="T763" s="78"/>
      <c r="U763" s="78"/>
      <c r="V763" s="78"/>
      <c r="W763" s="78"/>
      <c r="X763" s="78"/>
      <c r="Y763" s="78"/>
    </row>
    <row r="764" spans="1:25" x14ac:dyDescent="0.25">
      <c r="A764" s="112" t="s">
        <v>682</v>
      </c>
      <c r="B764" s="78"/>
      <c r="C764" s="114"/>
      <c r="D764" s="78"/>
      <c r="E764" s="78"/>
      <c r="F764" s="78"/>
      <c r="G764" s="78"/>
      <c r="H764" s="78"/>
      <c r="I764" s="78"/>
      <c r="J764" s="78"/>
      <c r="K764" s="78"/>
      <c r="L764" s="78"/>
      <c r="M764" s="78"/>
      <c r="N764" s="78"/>
      <c r="O764" s="78"/>
      <c r="P764" s="78"/>
      <c r="Q764" s="78"/>
      <c r="R764" s="78"/>
      <c r="S764" s="78"/>
      <c r="T764" s="78"/>
      <c r="U764" s="78"/>
      <c r="V764" s="78"/>
      <c r="W764" s="78"/>
      <c r="X764" s="78"/>
      <c r="Y764" s="78"/>
    </row>
    <row r="765" spans="1:25" x14ac:dyDescent="0.25">
      <c r="A765" s="112" t="s">
        <v>682</v>
      </c>
      <c r="B765" s="78"/>
      <c r="C765" s="114"/>
      <c r="D765" s="78"/>
      <c r="E765" s="78"/>
      <c r="F765" s="78"/>
      <c r="G765" s="78"/>
      <c r="H765" s="78"/>
      <c r="I765" s="78"/>
      <c r="J765" s="78"/>
      <c r="K765" s="78"/>
      <c r="L765" s="78"/>
      <c r="M765" s="78"/>
      <c r="N765" s="78"/>
      <c r="O765" s="78"/>
      <c r="P765" s="78"/>
      <c r="Q765" s="78"/>
      <c r="R765" s="78"/>
      <c r="S765" s="78"/>
      <c r="T765" s="78"/>
      <c r="U765" s="78"/>
      <c r="V765" s="78"/>
      <c r="W765" s="78"/>
      <c r="X765" s="78"/>
      <c r="Y765" s="78"/>
    </row>
    <row r="766" spans="1:25" x14ac:dyDescent="0.25">
      <c r="A766" s="112" t="s">
        <v>682</v>
      </c>
      <c r="B766" s="78"/>
      <c r="C766" s="114"/>
      <c r="D766" s="78"/>
      <c r="E766" s="78"/>
      <c r="F766" s="78"/>
      <c r="G766" s="78"/>
      <c r="H766" s="78"/>
      <c r="I766" s="78"/>
      <c r="J766" s="78"/>
      <c r="K766" s="78"/>
      <c r="L766" s="78"/>
      <c r="M766" s="78"/>
      <c r="N766" s="78"/>
      <c r="O766" s="78"/>
      <c r="P766" s="78"/>
      <c r="Q766" s="78"/>
      <c r="R766" s="78"/>
      <c r="S766" s="78"/>
      <c r="T766" s="78"/>
      <c r="U766" s="78"/>
      <c r="V766" s="78"/>
      <c r="W766" s="78"/>
      <c r="X766" s="78"/>
      <c r="Y766" s="78"/>
    </row>
    <row r="767" spans="1:25" x14ac:dyDescent="0.25">
      <c r="A767" s="112" t="s">
        <v>682</v>
      </c>
      <c r="B767" s="78"/>
      <c r="C767" s="114"/>
      <c r="D767" s="78"/>
      <c r="E767" s="78"/>
      <c r="F767" s="78"/>
      <c r="G767" s="78"/>
      <c r="H767" s="78"/>
      <c r="I767" s="78"/>
      <c r="J767" s="78"/>
      <c r="K767" s="78"/>
      <c r="L767" s="78"/>
      <c r="M767" s="78"/>
      <c r="N767" s="78"/>
      <c r="O767" s="78"/>
      <c r="P767" s="78"/>
      <c r="Q767" s="78"/>
      <c r="R767" s="78"/>
      <c r="S767" s="78"/>
      <c r="T767" s="78"/>
      <c r="U767" s="78"/>
      <c r="V767" s="78"/>
      <c r="W767" s="78"/>
      <c r="X767" s="78"/>
      <c r="Y767" s="78"/>
    </row>
    <row r="768" spans="1:25" x14ac:dyDescent="0.25">
      <c r="A768" s="112" t="s">
        <v>682</v>
      </c>
      <c r="B768" s="78"/>
      <c r="C768" s="114"/>
      <c r="D768" s="78"/>
      <c r="E768" s="78"/>
      <c r="F768" s="78"/>
      <c r="G768" s="78"/>
      <c r="H768" s="78"/>
      <c r="I768" s="78"/>
      <c r="J768" s="78"/>
      <c r="K768" s="78"/>
      <c r="L768" s="78"/>
      <c r="M768" s="78"/>
      <c r="N768" s="78"/>
      <c r="O768" s="78"/>
      <c r="P768" s="78"/>
      <c r="Q768" s="78"/>
      <c r="R768" s="78"/>
      <c r="S768" s="78"/>
      <c r="T768" s="78"/>
      <c r="U768" s="78"/>
      <c r="V768" s="78"/>
      <c r="W768" s="78"/>
      <c r="X768" s="78"/>
      <c r="Y768" s="78"/>
    </row>
    <row r="769" spans="1:25" x14ac:dyDescent="0.25">
      <c r="A769" s="112" t="s">
        <v>682</v>
      </c>
      <c r="B769" s="78"/>
      <c r="C769" s="114"/>
      <c r="D769" s="78"/>
      <c r="E769" s="78"/>
      <c r="F769" s="78"/>
      <c r="G769" s="78"/>
      <c r="H769" s="78"/>
      <c r="I769" s="78"/>
      <c r="J769" s="78"/>
      <c r="K769" s="78"/>
      <c r="L769" s="78"/>
      <c r="M769" s="78"/>
      <c r="N769" s="78"/>
      <c r="O769" s="78"/>
      <c r="P769" s="78"/>
      <c r="Q769" s="78"/>
      <c r="R769" s="78"/>
      <c r="S769" s="78"/>
      <c r="T769" s="78"/>
      <c r="U769" s="78"/>
      <c r="V769" s="78"/>
      <c r="W769" s="78"/>
      <c r="X769" s="78"/>
      <c r="Y769" s="78"/>
    </row>
    <row r="770" spans="1:25" x14ac:dyDescent="0.25">
      <c r="A770" s="112" t="s">
        <v>682</v>
      </c>
      <c r="B770" s="78"/>
      <c r="C770" s="114"/>
      <c r="D770" s="78"/>
      <c r="E770" s="78"/>
      <c r="F770" s="78"/>
      <c r="G770" s="78"/>
      <c r="H770" s="78"/>
      <c r="I770" s="78"/>
      <c r="J770" s="78"/>
      <c r="K770" s="78"/>
      <c r="L770" s="78"/>
      <c r="M770" s="78"/>
      <c r="N770" s="78"/>
      <c r="O770" s="78"/>
      <c r="P770" s="78"/>
      <c r="Q770" s="78"/>
      <c r="R770" s="78"/>
      <c r="S770" s="78"/>
      <c r="T770" s="78"/>
      <c r="U770" s="78"/>
      <c r="V770" s="78"/>
      <c r="W770" s="78"/>
      <c r="X770" s="78"/>
      <c r="Y770" s="78"/>
    </row>
    <row r="771" spans="1:25" x14ac:dyDescent="0.25">
      <c r="A771" s="112" t="s">
        <v>682</v>
      </c>
      <c r="B771" s="78"/>
      <c r="C771" s="114"/>
      <c r="D771" s="78"/>
      <c r="E771" s="78"/>
      <c r="F771" s="78"/>
      <c r="G771" s="78"/>
      <c r="H771" s="78"/>
      <c r="I771" s="78"/>
      <c r="J771" s="78"/>
      <c r="K771" s="78"/>
      <c r="L771" s="78"/>
      <c r="M771" s="78"/>
      <c r="N771" s="78"/>
      <c r="O771" s="78"/>
      <c r="P771" s="78"/>
      <c r="Q771" s="78"/>
      <c r="R771" s="78"/>
      <c r="S771" s="78"/>
      <c r="T771" s="78"/>
      <c r="U771" s="78"/>
      <c r="V771" s="78"/>
      <c r="W771" s="78"/>
      <c r="X771" s="78"/>
      <c r="Y771" s="78"/>
    </row>
    <row r="772" spans="1:25" x14ac:dyDescent="0.25">
      <c r="A772" s="112" t="s">
        <v>682</v>
      </c>
      <c r="B772" s="78"/>
      <c r="C772" s="114"/>
      <c r="D772" s="78"/>
      <c r="E772" s="78"/>
      <c r="F772" s="78"/>
      <c r="G772" s="78"/>
      <c r="H772" s="78"/>
      <c r="I772" s="78"/>
      <c r="J772" s="78"/>
      <c r="K772" s="78"/>
      <c r="L772" s="78"/>
      <c r="M772" s="78"/>
      <c r="N772" s="78"/>
      <c r="O772" s="78"/>
      <c r="P772" s="78"/>
      <c r="Q772" s="78"/>
      <c r="R772" s="78"/>
      <c r="S772" s="78"/>
      <c r="T772" s="78"/>
      <c r="U772" s="78"/>
      <c r="V772" s="78"/>
      <c r="W772" s="78"/>
      <c r="X772" s="78"/>
      <c r="Y772" s="78"/>
    </row>
    <row r="773" spans="1:25" x14ac:dyDescent="0.25">
      <c r="A773" s="112" t="s">
        <v>682</v>
      </c>
      <c r="B773" s="78"/>
      <c r="C773" s="114"/>
      <c r="D773" s="78"/>
      <c r="E773" s="78"/>
      <c r="F773" s="78"/>
      <c r="G773" s="78"/>
      <c r="H773" s="78"/>
      <c r="I773" s="78"/>
      <c r="J773" s="78"/>
      <c r="K773" s="78"/>
      <c r="L773" s="78"/>
      <c r="M773" s="78"/>
      <c r="N773" s="78"/>
      <c r="O773" s="78"/>
      <c r="P773" s="78"/>
      <c r="Q773" s="78"/>
      <c r="R773" s="78"/>
      <c r="S773" s="78"/>
      <c r="T773" s="78"/>
      <c r="U773" s="78"/>
      <c r="V773" s="78"/>
      <c r="W773" s="78"/>
      <c r="X773" s="78"/>
      <c r="Y773" s="78"/>
    </row>
    <row r="774" spans="1:25" x14ac:dyDescent="0.25">
      <c r="A774" s="112" t="s">
        <v>682</v>
      </c>
      <c r="B774" s="78"/>
      <c r="C774" s="114"/>
      <c r="D774" s="78"/>
      <c r="E774" s="78"/>
      <c r="F774" s="78"/>
      <c r="G774" s="78"/>
      <c r="H774" s="78"/>
      <c r="I774" s="78"/>
      <c r="J774" s="78"/>
      <c r="K774" s="78"/>
      <c r="L774" s="78"/>
      <c r="M774" s="78"/>
      <c r="N774" s="78"/>
      <c r="O774" s="78"/>
      <c r="P774" s="78"/>
      <c r="Q774" s="78"/>
      <c r="R774" s="78"/>
      <c r="S774" s="78"/>
      <c r="T774" s="78"/>
      <c r="U774" s="78"/>
      <c r="V774" s="78"/>
      <c r="W774" s="78"/>
      <c r="X774" s="78"/>
      <c r="Y774" s="78"/>
    </row>
    <row r="775" spans="1:25" x14ac:dyDescent="0.25">
      <c r="A775" s="112" t="s">
        <v>682</v>
      </c>
      <c r="B775" s="78"/>
      <c r="C775" s="114"/>
      <c r="D775" s="78"/>
      <c r="E775" s="78"/>
      <c r="F775" s="78"/>
      <c r="G775" s="78"/>
      <c r="H775" s="78"/>
      <c r="I775" s="78"/>
      <c r="J775" s="78"/>
      <c r="K775" s="78"/>
      <c r="L775" s="78"/>
      <c r="M775" s="78"/>
      <c r="N775" s="78"/>
      <c r="O775" s="78"/>
      <c r="P775" s="78"/>
      <c r="Q775" s="78"/>
      <c r="R775" s="78"/>
      <c r="S775" s="78"/>
      <c r="T775" s="78"/>
      <c r="U775" s="78"/>
      <c r="V775" s="78"/>
      <c r="W775" s="78"/>
      <c r="X775" s="78"/>
      <c r="Y775" s="78"/>
    </row>
    <row r="776" spans="1:25" x14ac:dyDescent="0.25">
      <c r="A776" s="112" t="s">
        <v>682</v>
      </c>
      <c r="B776" s="78"/>
      <c r="C776" s="114"/>
      <c r="D776" s="78"/>
      <c r="E776" s="78"/>
      <c r="F776" s="78"/>
      <c r="G776" s="78"/>
      <c r="H776" s="78"/>
      <c r="I776" s="78"/>
      <c r="J776" s="78"/>
      <c r="K776" s="78"/>
      <c r="L776" s="78"/>
      <c r="M776" s="78"/>
      <c r="N776" s="78"/>
      <c r="O776" s="78"/>
      <c r="P776" s="78"/>
      <c r="Q776" s="78"/>
      <c r="R776" s="78"/>
      <c r="S776" s="78"/>
      <c r="T776" s="78"/>
      <c r="U776" s="78"/>
      <c r="V776" s="78"/>
      <c r="W776" s="78"/>
      <c r="X776" s="78"/>
      <c r="Y776" s="78"/>
    </row>
    <row r="777" spans="1:25" x14ac:dyDescent="0.25">
      <c r="A777" s="112" t="s">
        <v>682</v>
      </c>
      <c r="B777" s="78"/>
      <c r="C777" s="114"/>
      <c r="D777" s="78"/>
      <c r="E777" s="78"/>
      <c r="F777" s="78"/>
      <c r="G777" s="78"/>
      <c r="H777" s="78"/>
      <c r="I777" s="78"/>
      <c r="J777" s="78"/>
      <c r="K777" s="78"/>
      <c r="L777" s="78"/>
      <c r="M777" s="78"/>
      <c r="N777" s="78"/>
      <c r="O777" s="78"/>
      <c r="P777" s="78"/>
      <c r="Q777" s="78"/>
      <c r="R777" s="78"/>
      <c r="S777" s="78"/>
      <c r="T777" s="78"/>
      <c r="U777" s="78"/>
      <c r="V777" s="78"/>
      <c r="W777" s="78"/>
      <c r="X777" s="78"/>
      <c r="Y777" s="78"/>
    </row>
    <row r="778" spans="1:25" x14ac:dyDescent="0.25">
      <c r="A778" s="112" t="s">
        <v>682</v>
      </c>
      <c r="B778" s="78"/>
      <c r="C778" s="114"/>
      <c r="D778" s="78"/>
      <c r="E778" s="78"/>
      <c r="F778" s="78"/>
      <c r="G778" s="78"/>
      <c r="H778" s="78"/>
      <c r="I778" s="78"/>
      <c r="J778" s="78"/>
      <c r="K778" s="78"/>
      <c r="L778" s="78"/>
      <c r="M778" s="78"/>
      <c r="N778" s="78"/>
      <c r="O778" s="78"/>
      <c r="P778" s="78"/>
      <c r="Q778" s="78"/>
      <c r="R778" s="78"/>
      <c r="S778" s="78"/>
      <c r="T778" s="78"/>
      <c r="U778" s="78"/>
      <c r="V778" s="78"/>
      <c r="W778" s="78"/>
      <c r="X778" s="78"/>
      <c r="Y778" s="78"/>
    </row>
    <row r="779" spans="1:25" x14ac:dyDescent="0.25">
      <c r="A779" s="112" t="s">
        <v>682</v>
      </c>
      <c r="B779" s="78"/>
      <c r="C779" s="114"/>
      <c r="D779" s="78"/>
      <c r="E779" s="78"/>
      <c r="F779" s="78"/>
      <c r="G779" s="78"/>
      <c r="H779" s="78"/>
      <c r="I779" s="78"/>
      <c r="J779" s="78"/>
      <c r="K779" s="78"/>
      <c r="L779" s="78"/>
      <c r="M779" s="78"/>
      <c r="N779" s="78"/>
      <c r="O779" s="78"/>
      <c r="P779" s="78"/>
      <c r="Q779" s="78"/>
      <c r="R779" s="78"/>
      <c r="S779" s="78"/>
      <c r="T779" s="78"/>
      <c r="U779" s="78"/>
      <c r="V779" s="78"/>
      <c r="W779" s="78"/>
      <c r="X779" s="78"/>
      <c r="Y779" s="78"/>
    </row>
    <row r="780" spans="1:25" x14ac:dyDescent="0.25">
      <c r="A780" s="112" t="s">
        <v>682</v>
      </c>
      <c r="B780" s="78"/>
      <c r="C780" s="114"/>
      <c r="D780" s="78"/>
      <c r="E780" s="78"/>
      <c r="F780" s="78"/>
      <c r="G780" s="78"/>
      <c r="H780" s="78"/>
      <c r="I780" s="78"/>
      <c r="J780" s="78"/>
      <c r="K780" s="78"/>
      <c r="L780" s="78"/>
      <c r="M780" s="78"/>
      <c r="N780" s="78"/>
      <c r="O780" s="78"/>
      <c r="P780" s="78"/>
      <c r="Q780" s="78"/>
      <c r="R780" s="78"/>
      <c r="S780" s="78"/>
      <c r="T780" s="78"/>
      <c r="U780" s="78"/>
      <c r="V780" s="78"/>
      <c r="W780" s="78"/>
      <c r="X780" s="78"/>
      <c r="Y780" s="78"/>
    </row>
    <row r="781" spans="1:25" x14ac:dyDescent="0.25">
      <c r="A781" s="112" t="s">
        <v>682</v>
      </c>
      <c r="B781" s="78"/>
      <c r="C781" s="114"/>
      <c r="D781" s="78"/>
      <c r="E781" s="78"/>
      <c r="F781" s="78"/>
      <c r="G781" s="78"/>
      <c r="H781" s="78"/>
      <c r="I781" s="78"/>
      <c r="J781" s="78"/>
      <c r="K781" s="78"/>
      <c r="L781" s="78"/>
      <c r="M781" s="78"/>
      <c r="N781" s="78"/>
      <c r="O781" s="78"/>
      <c r="P781" s="78"/>
      <c r="Q781" s="78"/>
      <c r="R781" s="78"/>
      <c r="S781" s="78"/>
      <c r="T781" s="78"/>
      <c r="U781" s="78"/>
      <c r="V781" s="78"/>
      <c r="W781" s="78"/>
      <c r="X781" s="78"/>
      <c r="Y781" s="78"/>
    </row>
    <row r="782" spans="1:25" x14ac:dyDescent="0.25">
      <c r="A782" s="112" t="s">
        <v>682</v>
      </c>
      <c r="B782" s="78"/>
      <c r="C782" s="114"/>
      <c r="D782" s="78"/>
      <c r="E782" s="78"/>
      <c r="F782" s="78"/>
      <c r="G782" s="78"/>
      <c r="H782" s="78"/>
      <c r="I782" s="78"/>
      <c r="J782" s="78"/>
      <c r="K782" s="78"/>
      <c r="L782" s="78"/>
      <c r="M782" s="78"/>
      <c r="N782" s="78"/>
      <c r="O782" s="78"/>
      <c r="P782" s="78"/>
      <c r="Q782" s="78"/>
      <c r="R782" s="78"/>
      <c r="S782" s="78"/>
      <c r="T782" s="78"/>
      <c r="U782" s="78"/>
      <c r="V782" s="78"/>
      <c r="W782" s="78"/>
      <c r="X782" s="78"/>
      <c r="Y782" s="78"/>
    </row>
    <row r="783" spans="1:25" x14ac:dyDescent="0.25">
      <c r="A783" s="112" t="s">
        <v>682</v>
      </c>
      <c r="B783" s="78"/>
      <c r="C783" s="114"/>
      <c r="D783" s="78"/>
      <c r="E783" s="78"/>
      <c r="F783" s="78"/>
      <c r="G783" s="78"/>
      <c r="H783" s="78"/>
      <c r="I783" s="78"/>
      <c r="J783" s="78"/>
      <c r="K783" s="78"/>
      <c r="L783" s="78"/>
      <c r="M783" s="78"/>
      <c r="N783" s="78"/>
      <c r="O783" s="78"/>
      <c r="P783" s="78"/>
      <c r="Q783" s="78"/>
      <c r="R783" s="78"/>
      <c r="S783" s="78"/>
      <c r="T783" s="78"/>
      <c r="U783" s="78"/>
      <c r="V783" s="78"/>
      <c r="W783" s="78"/>
      <c r="X783" s="78"/>
      <c r="Y783" s="78"/>
    </row>
    <row r="784" spans="1:25" x14ac:dyDescent="0.25">
      <c r="A784" s="112" t="s">
        <v>682</v>
      </c>
      <c r="B784" s="78"/>
      <c r="C784" s="114"/>
      <c r="D784" s="78"/>
      <c r="E784" s="78"/>
      <c r="F784" s="78"/>
      <c r="G784" s="78"/>
      <c r="H784" s="78"/>
      <c r="I784" s="78"/>
      <c r="J784" s="78"/>
      <c r="K784" s="78"/>
      <c r="L784" s="78"/>
      <c r="M784" s="78"/>
      <c r="N784" s="78"/>
      <c r="O784" s="78"/>
      <c r="P784" s="78"/>
      <c r="Q784" s="78"/>
      <c r="R784" s="78"/>
      <c r="S784" s="78"/>
      <c r="T784" s="78"/>
      <c r="U784" s="78"/>
      <c r="V784" s="78"/>
      <c r="W784" s="78"/>
      <c r="X784" s="78"/>
      <c r="Y784" s="78"/>
    </row>
    <row r="785" spans="1:25" x14ac:dyDescent="0.25">
      <c r="A785" s="112" t="s">
        <v>682</v>
      </c>
      <c r="B785" s="78"/>
      <c r="C785" s="114"/>
      <c r="D785" s="78"/>
      <c r="E785" s="78"/>
      <c r="F785" s="78"/>
      <c r="G785" s="78"/>
      <c r="H785" s="78"/>
      <c r="I785" s="78"/>
      <c r="J785" s="78"/>
      <c r="K785" s="78"/>
      <c r="L785" s="78"/>
      <c r="M785" s="78"/>
      <c r="N785" s="78"/>
      <c r="O785" s="78"/>
      <c r="P785" s="78"/>
      <c r="Q785" s="78"/>
      <c r="R785" s="78"/>
      <c r="S785" s="78"/>
      <c r="T785" s="78"/>
      <c r="U785" s="78"/>
      <c r="V785" s="78"/>
      <c r="W785" s="78"/>
      <c r="X785" s="78"/>
      <c r="Y785" s="78"/>
    </row>
    <row r="786" spans="1:25" x14ac:dyDescent="0.25">
      <c r="A786" s="112" t="s">
        <v>682</v>
      </c>
      <c r="B786" s="78"/>
      <c r="C786" s="114"/>
      <c r="D786" s="78"/>
      <c r="E786" s="78"/>
      <c r="F786" s="78"/>
      <c r="G786" s="78"/>
      <c r="H786" s="78"/>
      <c r="I786" s="78"/>
      <c r="J786" s="78"/>
      <c r="K786" s="78"/>
      <c r="L786" s="78"/>
      <c r="M786" s="78"/>
      <c r="N786" s="78"/>
      <c r="O786" s="78"/>
      <c r="P786" s="78"/>
      <c r="Q786" s="78"/>
      <c r="R786" s="78"/>
      <c r="S786" s="78"/>
      <c r="T786" s="78"/>
      <c r="U786" s="78"/>
      <c r="V786" s="78"/>
      <c r="W786" s="78"/>
      <c r="X786" s="78"/>
      <c r="Y786" s="78"/>
    </row>
    <row r="787" spans="1:25" x14ac:dyDescent="0.25">
      <c r="A787" s="112" t="s">
        <v>682</v>
      </c>
      <c r="B787" s="78"/>
      <c r="C787" s="114"/>
      <c r="D787" s="78"/>
      <c r="E787" s="78"/>
      <c r="F787" s="78"/>
      <c r="G787" s="78"/>
      <c r="H787" s="78"/>
      <c r="I787" s="78"/>
      <c r="J787" s="78"/>
      <c r="K787" s="78"/>
      <c r="L787" s="78"/>
      <c r="M787" s="78"/>
      <c r="N787" s="78"/>
      <c r="O787" s="78"/>
      <c r="P787" s="78"/>
      <c r="Q787" s="78"/>
      <c r="R787" s="78"/>
      <c r="S787" s="78"/>
      <c r="T787" s="78"/>
      <c r="U787" s="78"/>
      <c r="V787" s="78"/>
      <c r="W787" s="78"/>
      <c r="X787" s="78"/>
      <c r="Y787" s="78"/>
    </row>
    <row r="788" spans="1:25" x14ac:dyDescent="0.25">
      <c r="A788" s="112" t="s">
        <v>682</v>
      </c>
      <c r="B788" s="78"/>
      <c r="C788" s="114"/>
      <c r="D788" s="78"/>
      <c r="E788" s="78"/>
      <c r="F788" s="78"/>
      <c r="G788" s="78"/>
      <c r="H788" s="78"/>
      <c r="I788" s="78"/>
      <c r="J788" s="78"/>
      <c r="K788" s="78"/>
      <c r="L788" s="78"/>
      <c r="M788" s="78"/>
      <c r="N788" s="78"/>
      <c r="O788" s="78"/>
      <c r="P788" s="78"/>
      <c r="Q788" s="78"/>
      <c r="R788" s="78"/>
      <c r="S788" s="78"/>
      <c r="T788" s="78"/>
      <c r="U788" s="78"/>
      <c r="V788" s="78"/>
      <c r="W788" s="78"/>
      <c r="X788" s="78"/>
      <c r="Y788" s="78"/>
    </row>
    <row r="789" spans="1:25" x14ac:dyDescent="0.25">
      <c r="A789" s="112" t="s">
        <v>682</v>
      </c>
      <c r="B789" s="78"/>
      <c r="C789" s="114"/>
      <c r="D789" s="78"/>
      <c r="E789" s="78"/>
      <c r="F789" s="78"/>
      <c r="G789" s="78"/>
      <c r="H789" s="78"/>
      <c r="I789" s="78"/>
      <c r="J789" s="78"/>
      <c r="K789" s="78"/>
      <c r="L789" s="78"/>
      <c r="M789" s="78"/>
      <c r="N789" s="78"/>
      <c r="O789" s="78"/>
      <c r="P789" s="78"/>
      <c r="Q789" s="78"/>
      <c r="R789" s="78"/>
      <c r="S789" s="78"/>
      <c r="T789" s="78"/>
      <c r="U789" s="78"/>
      <c r="V789" s="78"/>
      <c r="W789" s="78"/>
      <c r="X789" s="78"/>
      <c r="Y789" s="78"/>
    </row>
    <row r="790" spans="1:25" x14ac:dyDescent="0.25">
      <c r="A790" s="112" t="s">
        <v>682</v>
      </c>
      <c r="B790" s="78"/>
      <c r="C790" s="114"/>
      <c r="D790" s="78"/>
      <c r="E790" s="78"/>
      <c r="F790" s="78"/>
      <c r="G790" s="78"/>
      <c r="H790" s="78"/>
      <c r="I790" s="78"/>
      <c r="J790" s="78"/>
      <c r="K790" s="78"/>
      <c r="L790" s="78"/>
      <c r="M790" s="78"/>
      <c r="N790" s="78"/>
      <c r="O790" s="78"/>
      <c r="P790" s="78"/>
      <c r="Q790" s="78"/>
      <c r="R790" s="78"/>
      <c r="S790" s="78"/>
      <c r="T790" s="78"/>
      <c r="U790" s="78"/>
      <c r="V790" s="78"/>
      <c r="W790" s="78"/>
      <c r="X790" s="78"/>
      <c r="Y790" s="78"/>
    </row>
    <row r="791" spans="1:25" x14ac:dyDescent="0.25">
      <c r="A791" s="112" t="s">
        <v>682</v>
      </c>
      <c r="B791" s="78"/>
      <c r="C791" s="114"/>
      <c r="D791" s="78"/>
      <c r="E791" s="78"/>
      <c r="F791" s="78"/>
      <c r="G791" s="78"/>
      <c r="H791" s="78"/>
      <c r="I791" s="78"/>
      <c r="J791" s="78"/>
      <c r="K791" s="78"/>
      <c r="L791" s="78"/>
      <c r="M791" s="78"/>
      <c r="N791" s="78"/>
      <c r="O791" s="78"/>
      <c r="P791" s="78"/>
      <c r="Q791" s="78"/>
      <c r="R791" s="78"/>
      <c r="S791" s="78"/>
      <c r="T791" s="78"/>
      <c r="U791" s="78"/>
      <c r="V791" s="78"/>
      <c r="W791" s="78"/>
      <c r="X791" s="78"/>
      <c r="Y791" s="78"/>
    </row>
    <row r="792" spans="1:25" x14ac:dyDescent="0.25">
      <c r="A792" s="112" t="s">
        <v>682</v>
      </c>
      <c r="B792" s="78"/>
      <c r="C792" s="114"/>
      <c r="D792" s="78"/>
      <c r="E792" s="78"/>
      <c r="F792" s="78"/>
      <c r="G792" s="78"/>
      <c r="H792" s="78"/>
      <c r="I792" s="78"/>
      <c r="J792" s="78"/>
      <c r="K792" s="78"/>
      <c r="L792" s="78"/>
      <c r="M792" s="78"/>
      <c r="N792" s="78"/>
      <c r="O792" s="78"/>
      <c r="P792" s="78"/>
      <c r="Q792" s="78"/>
      <c r="R792" s="78"/>
      <c r="S792" s="78"/>
      <c r="T792" s="78"/>
      <c r="U792" s="78"/>
      <c r="V792" s="78"/>
      <c r="W792" s="78"/>
      <c r="X792" s="78"/>
      <c r="Y792" s="78"/>
    </row>
    <row r="793" spans="1:25" x14ac:dyDescent="0.25">
      <c r="A793" s="112" t="s">
        <v>682</v>
      </c>
      <c r="B793" s="78"/>
      <c r="C793" s="114"/>
      <c r="D793" s="78"/>
      <c r="E793" s="78"/>
      <c r="F793" s="78"/>
      <c r="G793" s="78"/>
      <c r="H793" s="78"/>
      <c r="I793" s="78"/>
      <c r="J793" s="78"/>
      <c r="K793" s="78"/>
      <c r="L793" s="78"/>
      <c r="M793" s="78"/>
      <c r="N793" s="78"/>
      <c r="O793" s="78"/>
      <c r="P793" s="78"/>
      <c r="Q793" s="78"/>
      <c r="R793" s="78"/>
      <c r="S793" s="78"/>
      <c r="T793" s="78"/>
      <c r="U793" s="78"/>
      <c r="V793" s="78"/>
      <c r="W793" s="78"/>
      <c r="X793" s="78"/>
      <c r="Y793" s="78"/>
    </row>
    <row r="794" spans="1:25" x14ac:dyDescent="0.25">
      <c r="A794" s="112" t="s">
        <v>682</v>
      </c>
      <c r="B794" s="78"/>
      <c r="C794" s="114"/>
      <c r="D794" s="78"/>
      <c r="E794" s="78"/>
      <c r="F794" s="78"/>
      <c r="G794" s="78"/>
      <c r="H794" s="78"/>
      <c r="I794" s="78"/>
      <c r="J794" s="78"/>
      <c r="K794" s="78"/>
      <c r="L794" s="78"/>
      <c r="M794" s="78"/>
      <c r="N794" s="78"/>
      <c r="O794" s="78"/>
      <c r="P794" s="78"/>
      <c r="Q794" s="78"/>
      <c r="R794" s="78"/>
      <c r="S794" s="78"/>
      <c r="T794" s="78"/>
      <c r="U794" s="78"/>
      <c r="V794" s="78"/>
      <c r="W794" s="78"/>
      <c r="X794" s="78"/>
      <c r="Y794" s="78"/>
    </row>
    <row r="795" spans="1:25" x14ac:dyDescent="0.25">
      <c r="A795" s="112" t="s">
        <v>682</v>
      </c>
      <c r="B795" s="78"/>
      <c r="C795" s="114"/>
      <c r="D795" s="78"/>
      <c r="E795" s="78"/>
      <c r="F795" s="78"/>
      <c r="G795" s="78"/>
      <c r="H795" s="78"/>
      <c r="I795" s="78"/>
      <c r="J795" s="78"/>
      <c r="K795" s="78"/>
      <c r="L795" s="78"/>
      <c r="M795" s="78"/>
      <c r="N795" s="78"/>
      <c r="O795" s="78"/>
      <c r="P795" s="78"/>
      <c r="Q795" s="78"/>
      <c r="R795" s="78"/>
      <c r="S795" s="78"/>
      <c r="T795" s="78"/>
      <c r="U795" s="78"/>
      <c r="V795" s="78"/>
      <c r="W795" s="78"/>
      <c r="X795" s="78"/>
      <c r="Y795" s="78"/>
    </row>
    <row r="796" spans="1:25" x14ac:dyDescent="0.25">
      <c r="A796" s="112" t="s">
        <v>682</v>
      </c>
      <c r="B796" s="78"/>
      <c r="C796" s="114"/>
      <c r="D796" s="78"/>
      <c r="E796" s="78"/>
      <c r="F796" s="78"/>
      <c r="G796" s="78"/>
      <c r="H796" s="78"/>
      <c r="I796" s="78"/>
      <c r="J796" s="78"/>
      <c r="K796" s="78"/>
      <c r="L796" s="78"/>
      <c r="M796" s="78"/>
      <c r="N796" s="78"/>
      <c r="O796" s="78"/>
      <c r="P796" s="78"/>
      <c r="Q796" s="78"/>
      <c r="R796" s="78"/>
      <c r="S796" s="78"/>
      <c r="T796" s="78"/>
      <c r="U796" s="78"/>
      <c r="V796" s="78"/>
      <c r="W796" s="78"/>
      <c r="X796" s="78"/>
      <c r="Y796" s="78"/>
    </row>
    <row r="797" spans="1:25" x14ac:dyDescent="0.25">
      <c r="A797" s="112" t="s">
        <v>682</v>
      </c>
      <c r="B797" s="78"/>
      <c r="C797" s="114"/>
      <c r="D797" s="78"/>
      <c r="E797" s="78"/>
      <c r="F797" s="78"/>
      <c r="G797" s="78"/>
      <c r="H797" s="78"/>
      <c r="I797" s="78"/>
      <c r="J797" s="78"/>
      <c r="K797" s="78"/>
      <c r="L797" s="78"/>
      <c r="M797" s="78"/>
      <c r="N797" s="78"/>
      <c r="O797" s="78"/>
      <c r="P797" s="78"/>
      <c r="Q797" s="78"/>
      <c r="R797" s="78"/>
      <c r="S797" s="78"/>
      <c r="T797" s="78"/>
      <c r="U797" s="78"/>
      <c r="V797" s="78"/>
      <c r="W797" s="78"/>
      <c r="X797" s="78"/>
      <c r="Y797" s="78"/>
    </row>
    <row r="798" spans="1:25" x14ac:dyDescent="0.25">
      <c r="A798" s="112" t="s">
        <v>682</v>
      </c>
      <c r="B798" s="78"/>
      <c r="C798" s="114"/>
      <c r="D798" s="78"/>
      <c r="E798" s="78"/>
      <c r="F798" s="78"/>
      <c r="G798" s="78"/>
      <c r="H798" s="78"/>
      <c r="I798" s="78"/>
      <c r="J798" s="78"/>
      <c r="K798" s="78"/>
      <c r="L798" s="78"/>
      <c r="M798" s="78"/>
      <c r="N798" s="78"/>
      <c r="O798" s="78"/>
      <c r="P798" s="78"/>
      <c r="Q798" s="78"/>
      <c r="R798" s="78"/>
      <c r="S798" s="78"/>
      <c r="T798" s="78"/>
      <c r="U798" s="78"/>
      <c r="V798" s="78"/>
      <c r="W798" s="78"/>
      <c r="X798" s="78"/>
      <c r="Y798" s="78"/>
    </row>
    <row r="799" spans="1:25" x14ac:dyDescent="0.25">
      <c r="A799" s="112" t="s">
        <v>682</v>
      </c>
      <c r="B799" s="78"/>
      <c r="C799" s="114"/>
      <c r="D799" s="78"/>
      <c r="E799" s="78"/>
      <c r="F799" s="78"/>
      <c r="G799" s="78"/>
      <c r="H799" s="78"/>
      <c r="I799" s="78"/>
      <c r="J799" s="78"/>
      <c r="K799" s="78"/>
      <c r="L799" s="78"/>
      <c r="M799" s="78"/>
      <c r="N799" s="78"/>
      <c r="O799" s="78"/>
      <c r="P799" s="78"/>
      <c r="Q799" s="78"/>
      <c r="R799" s="78"/>
      <c r="S799" s="78"/>
      <c r="T799" s="78"/>
      <c r="U799" s="78"/>
      <c r="V799" s="78"/>
      <c r="W799" s="78"/>
      <c r="X799" s="78"/>
      <c r="Y799" s="78"/>
    </row>
    <row r="800" spans="1:25" x14ac:dyDescent="0.25">
      <c r="A800" s="112" t="s">
        <v>682</v>
      </c>
      <c r="B800" s="78"/>
      <c r="C800" s="114"/>
      <c r="D800" s="78"/>
      <c r="E800" s="78"/>
      <c r="F800" s="78"/>
      <c r="G800" s="78"/>
      <c r="H800" s="78"/>
      <c r="I800" s="78"/>
      <c r="J800" s="78"/>
      <c r="K800" s="78"/>
      <c r="L800" s="78"/>
      <c r="M800" s="78"/>
      <c r="N800" s="78"/>
      <c r="O800" s="78"/>
      <c r="P800" s="78"/>
      <c r="Q800" s="78"/>
      <c r="R800" s="78"/>
      <c r="S800" s="78"/>
      <c r="T800" s="78"/>
      <c r="U800" s="78"/>
      <c r="V800" s="78"/>
      <c r="W800" s="78"/>
      <c r="X800" s="78"/>
      <c r="Y800" s="78"/>
    </row>
    <row r="801" spans="1:25" x14ac:dyDescent="0.25">
      <c r="A801" s="112" t="s">
        <v>682</v>
      </c>
      <c r="B801" s="78"/>
      <c r="C801" s="114"/>
      <c r="D801" s="78"/>
      <c r="E801" s="78"/>
      <c r="F801" s="78"/>
      <c r="G801" s="78"/>
      <c r="H801" s="78"/>
      <c r="I801" s="78"/>
      <c r="J801" s="78"/>
      <c r="K801" s="78"/>
      <c r="L801" s="78"/>
      <c r="M801" s="78"/>
      <c r="N801" s="78"/>
      <c r="O801" s="78"/>
      <c r="P801" s="78"/>
      <c r="Q801" s="78"/>
      <c r="R801" s="78"/>
      <c r="S801" s="78"/>
      <c r="T801" s="78"/>
      <c r="U801" s="78"/>
      <c r="V801" s="78"/>
      <c r="W801" s="78"/>
      <c r="X801" s="78"/>
      <c r="Y801" s="78"/>
    </row>
    <row r="802" spans="1:25" x14ac:dyDescent="0.25">
      <c r="A802" s="112" t="s">
        <v>682</v>
      </c>
      <c r="B802" s="78"/>
      <c r="C802" s="114"/>
      <c r="D802" s="78"/>
      <c r="E802" s="78"/>
      <c r="F802" s="78"/>
      <c r="G802" s="78"/>
      <c r="H802" s="78"/>
      <c r="I802" s="78"/>
      <c r="J802" s="78"/>
      <c r="K802" s="78"/>
      <c r="L802" s="78"/>
      <c r="M802" s="78"/>
      <c r="N802" s="78"/>
      <c r="O802" s="78"/>
      <c r="P802" s="78"/>
      <c r="Q802" s="78"/>
      <c r="R802" s="78"/>
      <c r="S802" s="78"/>
      <c r="T802" s="78"/>
      <c r="U802" s="78"/>
      <c r="V802" s="78"/>
      <c r="W802" s="78"/>
      <c r="X802" s="78"/>
      <c r="Y802" s="78"/>
    </row>
    <row r="803" spans="1:25" x14ac:dyDescent="0.25">
      <c r="A803" s="112" t="s">
        <v>682</v>
      </c>
      <c r="B803" s="78"/>
      <c r="C803" s="114"/>
      <c r="D803" s="78"/>
      <c r="E803" s="78"/>
      <c r="F803" s="78"/>
      <c r="G803" s="78"/>
      <c r="H803" s="78"/>
      <c r="I803" s="78"/>
      <c r="J803" s="78"/>
      <c r="K803" s="78"/>
      <c r="L803" s="78"/>
      <c r="M803" s="78"/>
      <c r="N803" s="78"/>
      <c r="O803" s="78"/>
      <c r="P803" s="78"/>
      <c r="Q803" s="78"/>
      <c r="R803" s="78"/>
      <c r="S803" s="78"/>
      <c r="T803" s="78"/>
      <c r="U803" s="78"/>
      <c r="V803" s="78"/>
      <c r="W803" s="78"/>
      <c r="X803" s="78"/>
      <c r="Y803" s="78"/>
    </row>
    <row r="804" spans="1:25" x14ac:dyDescent="0.25">
      <c r="A804" s="112" t="s">
        <v>682</v>
      </c>
      <c r="B804" s="78"/>
      <c r="C804" s="114"/>
      <c r="D804" s="78"/>
      <c r="E804" s="78"/>
      <c r="F804" s="78"/>
      <c r="G804" s="78"/>
      <c r="H804" s="78"/>
      <c r="I804" s="78"/>
      <c r="J804" s="78"/>
      <c r="K804" s="78"/>
      <c r="L804" s="78"/>
      <c r="M804" s="78"/>
      <c r="N804" s="78"/>
      <c r="O804" s="78"/>
      <c r="P804" s="78"/>
      <c r="Q804" s="78"/>
      <c r="R804" s="78"/>
      <c r="S804" s="78"/>
      <c r="T804" s="78"/>
      <c r="U804" s="78"/>
      <c r="V804" s="78"/>
      <c r="W804" s="78"/>
      <c r="X804" s="78"/>
      <c r="Y804" s="78"/>
    </row>
    <row r="805" spans="1:25" x14ac:dyDescent="0.25">
      <c r="A805" s="112" t="s">
        <v>682</v>
      </c>
      <c r="B805" s="78"/>
      <c r="C805" s="114"/>
      <c r="D805" s="78"/>
      <c r="E805" s="78"/>
      <c r="F805" s="78"/>
      <c r="G805" s="78"/>
      <c r="H805" s="78"/>
      <c r="I805" s="78"/>
      <c r="J805" s="78"/>
      <c r="K805" s="78"/>
      <c r="L805" s="78"/>
      <c r="M805" s="78"/>
      <c r="N805" s="78"/>
      <c r="O805" s="78"/>
      <c r="P805" s="78"/>
      <c r="Q805" s="78"/>
      <c r="R805" s="78"/>
      <c r="S805" s="78"/>
      <c r="T805" s="78"/>
      <c r="U805" s="78"/>
      <c r="V805" s="78"/>
      <c r="W805" s="78"/>
      <c r="X805" s="78"/>
      <c r="Y805" s="78"/>
    </row>
    <row r="806" spans="1:25" x14ac:dyDescent="0.25">
      <c r="A806" s="112" t="s">
        <v>682</v>
      </c>
      <c r="B806" s="78"/>
      <c r="C806" s="114"/>
      <c r="D806" s="78"/>
      <c r="E806" s="78"/>
      <c r="F806" s="78"/>
      <c r="G806" s="78"/>
      <c r="H806" s="78"/>
      <c r="I806" s="78"/>
      <c r="J806" s="78"/>
      <c r="K806" s="78"/>
      <c r="L806" s="78"/>
      <c r="M806" s="78"/>
      <c r="N806" s="78"/>
      <c r="O806" s="78"/>
      <c r="P806" s="78"/>
      <c r="Q806" s="78"/>
      <c r="R806" s="78"/>
      <c r="S806" s="78"/>
      <c r="T806" s="78"/>
      <c r="U806" s="78"/>
      <c r="V806" s="78"/>
      <c r="W806" s="78"/>
      <c r="X806" s="78"/>
      <c r="Y806" s="78"/>
    </row>
    <row r="807" spans="1:25" x14ac:dyDescent="0.25">
      <c r="A807" s="112" t="s">
        <v>682</v>
      </c>
      <c r="B807" s="78"/>
      <c r="C807" s="114"/>
      <c r="D807" s="78"/>
      <c r="E807" s="78"/>
      <c r="F807" s="78"/>
      <c r="G807" s="78"/>
      <c r="H807" s="78"/>
      <c r="I807" s="78"/>
      <c r="J807" s="78"/>
      <c r="K807" s="78"/>
      <c r="L807" s="78"/>
      <c r="M807" s="78"/>
      <c r="N807" s="78"/>
      <c r="O807" s="78"/>
      <c r="P807" s="78"/>
      <c r="Q807" s="78"/>
      <c r="R807" s="78"/>
      <c r="S807" s="78"/>
      <c r="T807" s="78"/>
      <c r="U807" s="78"/>
      <c r="V807" s="78"/>
      <c r="W807" s="78"/>
      <c r="X807" s="78"/>
      <c r="Y807" s="78"/>
    </row>
    <row r="808" spans="1:25" x14ac:dyDescent="0.25">
      <c r="A808" s="112" t="s">
        <v>682</v>
      </c>
      <c r="B808" s="78"/>
      <c r="C808" s="114"/>
      <c r="D808" s="78"/>
      <c r="E808" s="78"/>
      <c r="F808" s="78"/>
      <c r="G808" s="78"/>
      <c r="H808" s="78"/>
      <c r="I808" s="78"/>
      <c r="J808" s="78"/>
      <c r="K808" s="78"/>
      <c r="L808" s="78"/>
      <c r="M808" s="78"/>
      <c r="N808" s="78"/>
      <c r="O808" s="78"/>
      <c r="P808" s="78"/>
      <c r="Q808" s="78"/>
      <c r="R808" s="78"/>
      <c r="S808" s="78"/>
      <c r="T808" s="78"/>
      <c r="U808" s="78"/>
      <c r="V808" s="78"/>
      <c r="W808" s="78"/>
      <c r="X808" s="78"/>
      <c r="Y808" s="78"/>
    </row>
    <row r="809" spans="1:25" x14ac:dyDescent="0.25">
      <c r="A809" s="112" t="s">
        <v>682</v>
      </c>
      <c r="B809" s="78"/>
      <c r="C809" s="114"/>
      <c r="D809" s="78"/>
      <c r="E809" s="78"/>
      <c r="F809" s="78"/>
      <c r="G809" s="78"/>
      <c r="H809" s="78"/>
      <c r="I809" s="78"/>
      <c r="J809" s="78"/>
      <c r="K809" s="78"/>
      <c r="L809" s="78"/>
      <c r="M809" s="78"/>
      <c r="N809" s="78"/>
      <c r="O809" s="78"/>
      <c r="P809" s="78"/>
      <c r="Q809" s="78"/>
      <c r="R809" s="78"/>
      <c r="S809" s="78"/>
      <c r="T809" s="78"/>
      <c r="U809" s="78"/>
      <c r="V809" s="78"/>
      <c r="W809" s="78"/>
      <c r="X809" s="78"/>
      <c r="Y809" s="78"/>
    </row>
    <row r="810" spans="1:25" x14ac:dyDescent="0.25">
      <c r="A810" s="112" t="s">
        <v>682</v>
      </c>
      <c r="B810" s="78"/>
      <c r="C810" s="114"/>
      <c r="D810" s="78"/>
      <c r="E810" s="78"/>
      <c r="F810" s="78"/>
      <c r="G810" s="78"/>
      <c r="H810" s="78"/>
      <c r="I810" s="78"/>
      <c r="J810" s="78"/>
      <c r="K810" s="78"/>
      <c r="L810" s="78"/>
      <c r="M810" s="78"/>
      <c r="N810" s="78"/>
      <c r="O810" s="78"/>
      <c r="P810" s="78"/>
      <c r="Q810" s="78"/>
      <c r="R810" s="78"/>
      <c r="S810" s="78"/>
      <c r="T810" s="78"/>
      <c r="U810" s="78"/>
      <c r="V810" s="78"/>
      <c r="W810" s="78"/>
      <c r="X810" s="78"/>
      <c r="Y810" s="78"/>
    </row>
    <row r="811" spans="1:25" x14ac:dyDescent="0.25">
      <c r="A811" s="112" t="s">
        <v>682</v>
      </c>
      <c r="B811" s="78"/>
      <c r="C811" s="114"/>
      <c r="D811" s="78"/>
      <c r="E811" s="78"/>
      <c r="F811" s="78"/>
      <c r="G811" s="78"/>
      <c r="H811" s="78"/>
      <c r="I811" s="78"/>
      <c r="J811" s="78"/>
      <c r="K811" s="78"/>
      <c r="L811" s="78"/>
      <c r="M811" s="78"/>
      <c r="N811" s="78"/>
      <c r="O811" s="78"/>
      <c r="P811" s="78"/>
      <c r="Q811" s="78"/>
      <c r="R811" s="78"/>
      <c r="S811" s="78"/>
      <c r="T811" s="78"/>
      <c r="U811" s="78"/>
      <c r="V811" s="78"/>
      <c r="W811" s="78"/>
      <c r="X811" s="78"/>
      <c r="Y811" s="78"/>
    </row>
    <row r="812" spans="1:25" x14ac:dyDescent="0.25">
      <c r="A812" s="112" t="s">
        <v>682</v>
      </c>
      <c r="B812" s="78"/>
      <c r="C812" s="114"/>
      <c r="D812" s="78"/>
      <c r="E812" s="78"/>
      <c r="F812" s="78"/>
      <c r="G812" s="78"/>
      <c r="H812" s="78"/>
      <c r="I812" s="78"/>
      <c r="J812" s="78"/>
      <c r="K812" s="78"/>
      <c r="L812" s="78"/>
      <c r="M812" s="78"/>
      <c r="N812" s="78"/>
      <c r="O812" s="78"/>
      <c r="P812" s="78"/>
      <c r="Q812" s="78"/>
      <c r="R812" s="78"/>
      <c r="S812" s="78"/>
      <c r="T812" s="78"/>
      <c r="U812" s="78"/>
      <c r="V812" s="78"/>
      <c r="W812" s="78"/>
      <c r="X812" s="78"/>
      <c r="Y812" s="78"/>
    </row>
    <row r="813" spans="1:25" x14ac:dyDescent="0.25">
      <c r="A813" s="112" t="s">
        <v>682</v>
      </c>
      <c r="B813" s="78"/>
      <c r="C813" s="114"/>
      <c r="D813" s="78"/>
      <c r="E813" s="78"/>
      <c r="F813" s="78"/>
      <c r="G813" s="78"/>
      <c r="H813" s="78"/>
      <c r="I813" s="78"/>
      <c r="J813" s="78"/>
      <c r="K813" s="78"/>
      <c r="L813" s="78"/>
      <c r="M813" s="78"/>
      <c r="N813" s="78"/>
      <c r="O813" s="78"/>
      <c r="P813" s="78"/>
      <c r="Q813" s="78"/>
      <c r="R813" s="78"/>
      <c r="S813" s="78"/>
      <c r="T813" s="78"/>
      <c r="U813" s="78"/>
      <c r="V813" s="78"/>
      <c r="W813" s="78"/>
      <c r="X813" s="78"/>
      <c r="Y813" s="78"/>
    </row>
    <row r="814" spans="1:25" x14ac:dyDescent="0.25">
      <c r="A814" s="112" t="s">
        <v>682</v>
      </c>
      <c r="B814" s="78"/>
      <c r="C814" s="114"/>
      <c r="D814" s="78"/>
      <c r="E814" s="78"/>
      <c r="F814" s="78"/>
      <c r="G814" s="78"/>
      <c r="H814" s="78"/>
      <c r="I814" s="78"/>
      <c r="J814" s="78"/>
      <c r="K814" s="78"/>
      <c r="L814" s="78"/>
      <c r="M814" s="78"/>
      <c r="N814" s="78"/>
      <c r="O814" s="78"/>
      <c r="P814" s="78"/>
      <c r="Q814" s="78"/>
      <c r="R814" s="78"/>
      <c r="S814" s="78"/>
      <c r="T814" s="78"/>
      <c r="U814" s="78"/>
      <c r="V814" s="78"/>
      <c r="W814" s="78"/>
      <c r="X814" s="78"/>
      <c r="Y814" s="78"/>
    </row>
    <row r="815" spans="1:25" x14ac:dyDescent="0.25">
      <c r="A815" s="112" t="s">
        <v>682</v>
      </c>
      <c r="B815" s="78"/>
      <c r="C815" s="114"/>
      <c r="D815" s="78"/>
      <c r="E815" s="78"/>
      <c r="F815" s="78"/>
      <c r="G815" s="78"/>
      <c r="H815" s="78"/>
      <c r="I815" s="78"/>
      <c r="J815" s="78"/>
      <c r="K815" s="78"/>
      <c r="L815" s="78"/>
      <c r="M815" s="78"/>
      <c r="N815" s="78"/>
      <c r="O815" s="78"/>
      <c r="P815" s="78"/>
      <c r="Q815" s="78"/>
      <c r="R815" s="78"/>
      <c r="S815" s="78"/>
      <c r="T815" s="78"/>
      <c r="U815" s="78"/>
      <c r="V815" s="78"/>
      <c r="W815" s="78"/>
      <c r="X815" s="78"/>
      <c r="Y815" s="78"/>
    </row>
    <row r="816" spans="1:25" x14ac:dyDescent="0.25">
      <c r="A816" s="112" t="s">
        <v>682</v>
      </c>
      <c r="B816" s="78"/>
      <c r="C816" s="114"/>
      <c r="D816" s="78"/>
      <c r="E816" s="78"/>
      <c r="F816" s="78"/>
      <c r="G816" s="78"/>
      <c r="H816" s="78"/>
      <c r="I816" s="78"/>
      <c r="J816" s="78"/>
      <c r="K816" s="78"/>
      <c r="L816" s="78"/>
      <c r="M816" s="78"/>
      <c r="N816" s="78"/>
      <c r="O816" s="78"/>
      <c r="P816" s="78"/>
      <c r="Q816" s="78"/>
      <c r="R816" s="78"/>
      <c r="S816" s="78"/>
      <c r="T816" s="78"/>
      <c r="U816" s="78"/>
      <c r="V816" s="78"/>
      <c r="W816" s="78"/>
      <c r="X816" s="78"/>
      <c r="Y816" s="78"/>
    </row>
    <row r="817" spans="1:25" x14ac:dyDescent="0.25">
      <c r="A817" s="112" t="s">
        <v>682</v>
      </c>
      <c r="B817" s="78"/>
      <c r="C817" s="114"/>
      <c r="D817" s="78"/>
      <c r="E817" s="78"/>
      <c r="F817" s="78"/>
      <c r="G817" s="78"/>
      <c r="H817" s="78"/>
      <c r="I817" s="78"/>
      <c r="J817" s="78"/>
      <c r="K817" s="78"/>
      <c r="L817" s="78"/>
      <c r="M817" s="78"/>
      <c r="N817" s="78"/>
      <c r="O817" s="78"/>
      <c r="P817" s="78"/>
      <c r="Q817" s="78"/>
      <c r="R817" s="78"/>
      <c r="S817" s="78"/>
      <c r="T817" s="78"/>
      <c r="U817" s="78"/>
      <c r="V817" s="78"/>
      <c r="W817" s="78"/>
      <c r="X817" s="78"/>
      <c r="Y817" s="78"/>
    </row>
    <row r="818" spans="1:25" x14ac:dyDescent="0.25">
      <c r="A818" s="112" t="s">
        <v>682</v>
      </c>
      <c r="B818" s="78"/>
      <c r="C818" s="114"/>
      <c r="D818" s="78"/>
      <c r="E818" s="78"/>
      <c r="F818" s="78"/>
      <c r="G818" s="78"/>
      <c r="H818" s="78"/>
      <c r="I818" s="78"/>
      <c r="J818" s="78"/>
      <c r="K818" s="78"/>
      <c r="L818" s="78"/>
      <c r="M818" s="78"/>
      <c r="N818" s="78"/>
      <c r="O818" s="78"/>
      <c r="P818" s="78"/>
      <c r="Q818" s="78"/>
      <c r="R818" s="78"/>
      <c r="S818" s="78"/>
      <c r="T818" s="78"/>
      <c r="U818" s="78"/>
      <c r="V818" s="78"/>
      <c r="W818" s="78"/>
      <c r="X818" s="78"/>
      <c r="Y818" s="78"/>
    </row>
    <row r="819" spans="1:25" x14ac:dyDescent="0.25">
      <c r="A819" s="112" t="s">
        <v>682</v>
      </c>
      <c r="B819" s="78"/>
      <c r="C819" s="114"/>
      <c r="D819" s="78"/>
      <c r="E819" s="78"/>
      <c r="F819" s="78"/>
      <c r="G819" s="78"/>
      <c r="H819" s="78"/>
      <c r="I819" s="78"/>
      <c r="J819" s="78"/>
      <c r="K819" s="78"/>
      <c r="L819" s="78"/>
      <c r="M819" s="78"/>
      <c r="N819" s="78"/>
      <c r="O819" s="78"/>
      <c r="P819" s="78"/>
      <c r="Q819" s="78"/>
      <c r="R819" s="78"/>
      <c r="S819" s="78"/>
      <c r="T819" s="78"/>
      <c r="U819" s="78"/>
      <c r="V819" s="78"/>
      <c r="W819" s="78"/>
      <c r="X819" s="78"/>
      <c r="Y819" s="78"/>
    </row>
    <row r="820" spans="1:25" x14ac:dyDescent="0.25">
      <c r="A820" s="112" t="s">
        <v>682</v>
      </c>
      <c r="B820" s="78"/>
      <c r="C820" s="114"/>
      <c r="D820" s="78"/>
      <c r="E820" s="78"/>
      <c r="F820" s="78"/>
      <c r="G820" s="78"/>
      <c r="H820" s="78"/>
      <c r="I820" s="78"/>
      <c r="J820" s="78"/>
      <c r="K820" s="78"/>
      <c r="L820" s="78"/>
      <c r="M820" s="78"/>
      <c r="N820" s="78"/>
      <c r="O820" s="78"/>
      <c r="P820" s="78"/>
      <c r="Q820" s="78"/>
      <c r="R820" s="78"/>
      <c r="S820" s="78"/>
      <c r="T820" s="78"/>
      <c r="U820" s="78"/>
      <c r="V820" s="78"/>
      <c r="W820" s="78"/>
      <c r="X820" s="78"/>
      <c r="Y820" s="78"/>
    </row>
    <row r="821" spans="1:25" x14ac:dyDescent="0.25">
      <c r="A821" s="112" t="s">
        <v>682</v>
      </c>
      <c r="B821" s="78"/>
      <c r="C821" s="114"/>
      <c r="D821" s="78"/>
      <c r="E821" s="78"/>
      <c r="F821" s="78"/>
      <c r="G821" s="78"/>
      <c r="H821" s="78"/>
      <c r="I821" s="78"/>
      <c r="J821" s="78"/>
      <c r="K821" s="78"/>
      <c r="L821" s="78"/>
      <c r="M821" s="78"/>
      <c r="N821" s="78"/>
      <c r="O821" s="78"/>
      <c r="P821" s="78"/>
      <c r="Q821" s="78"/>
      <c r="R821" s="78"/>
      <c r="S821" s="78"/>
      <c r="T821" s="78"/>
      <c r="U821" s="78"/>
      <c r="V821" s="78"/>
      <c r="W821" s="78"/>
      <c r="X821" s="78"/>
      <c r="Y821" s="78"/>
    </row>
    <row r="822" spans="1:25" x14ac:dyDescent="0.25">
      <c r="A822" s="112" t="s">
        <v>682</v>
      </c>
      <c r="B822" s="78"/>
      <c r="C822" s="114"/>
      <c r="D822" s="78"/>
      <c r="E822" s="78"/>
      <c r="F822" s="78"/>
      <c r="G822" s="78"/>
      <c r="H822" s="78"/>
      <c r="I822" s="78"/>
      <c r="J822" s="78"/>
      <c r="K822" s="78"/>
      <c r="L822" s="78"/>
      <c r="M822" s="78"/>
      <c r="N822" s="78"/>
      <c r="O822" s="78"/>
      <c r="P822" s="78"/>
      <c r="Q822" s="78"/>
      <c r="R822" s="78"/>
      <c r="S822" s="78"/>
      <c r="T822" s="78"/>
      <c r="U822" s="78"/>
      <c r="V822" s="78"/>
      <c r="W822" s="78"/>
      <c r="X822" s="78"/>
      <c r="Y822" s="78"/>
    </row>
    <row r="823" spans="1:25" x14ac:dyDescent="0.25">
      <c r="A823" s="112" t="s">
        <v>682</v>
      </c>
      <c r="B823" s="78"/>
      <c r="C823" s="114"/>
      <c r="D823" s="78"/>
      <c r="E823" s="78"/>
      <c r="F823" s="78"/>
      <c r="G823" s="78"/>
      <c r="H823" s="78"/>
      <c r="I823" s="78"/>
      <c r="J823" s="78"/>
      <c r="K823" s="78"/>
      <c r="L823" s="78"/>
      <c r="M823" s="78"/>
      <c r="N823" s="78"/>
      <c r="O823" s="78"/>
      <c r="P823" s="78"/>
      <c r="Q823" s="78"/>
      <c r="R823" s="78"/>
      <c r="S823" s="78"/>
      <c r="T823" s="78"/>
      <c r="U823" s="78"/>
      <c r="V823" s="78"/>
      <c r="W823" s="78"/>
      <c r="X823" s="78"/>
      <c r="Y823" s="78"/>
    </row>
    <row r="824" spans="1:25" x14ac:dyDescent="0.25">
      <c r="A824" s="112" t="s">
        <v>682</v>
      </c>
      <c r="B824" s="78"/>
      <c r="C824" s="114"/>
      <c r="D824" s="78"/>
      <c r="E824" s="78"/>
      <c r="F824" s="78"/>
      <c r="G824" s="78"/>
      <c r="H824" s="78"/>
      <c r="I824" s="78"/>
      <c r="J824" s="78"/>
      <c r="K824" s="78"/>
      <c r="L824" s="78"/>
      <c r="M824" s="78"/>
      <c r="N824" s="78"/>
      <c r="O824" s="78"/>
      <c r="P824" s="78"/>
      <c r="Q824" s="78"/>
      <c r="R824" s="78"/>
      <c r="S824" s="78"/>
      <c r="T824" s="78"/>
      <c r="U824" s="78"/>
      <c r="V824" s="78"/>
      <c r="W824" s="78"/>
      <c r="X824" s="78"/>
      <c r="Y824" s="78"/>
    </row>
    <row r="825" spans="1:25" x14ac:dyDescent="0.25">
      <c r="A825" s="112" t="s">
        <v>682</v>
      </c>
      <c r="B825" s="78"/>
      <c r="C825" s="114"/>
      <c r="D825" s="78"/>
      <c r="E825" s="78"/>
      <c r="F825" s="78"/>
      <c r="G825" s="78"/>
      <c r="H825" s="78"/>
      <c r="I825" s="78"/>
      <c r="J825" s="78"/>
      <c r="K825" s="78"/>
      <c r="L825" s="78"/>
      <c r="M825" s="78"/>
      <c r="N825" s="78"/>
      <c r="O825" s="78"/>
      <c r="P825" s="78"/>
      <c r="Q825" s="78"/>
      <c r="R825" s="78"/>
      <c r="S825" s="78"/>
      <c r="T825" s="78"/>
      <c r="U825" s="78"/>
      <c r="V825" s="78"/>
      <c r="W825" s="78"/>
      <c r="X825" s="78"/>
      <c r="Y825" s="78"/>
    </row>
    <row r="826" spans="1:25" x14ac:dyDescent="0.25">
      <c r="A826" s="112" t="s">
        <v>682</v>
      </c>
      <c r="B826" s="78"/>
      <c r="C826" s="114"/>
      <c r="D826" s="78"/>
      <c r="E826" s="78"/>
      <c r="F826" s="78"/>
      <c r="G826" s="78"/>
      <c r="H826" s="78"/>
      <c r="I826" s="78"/>
      <c r="J826" s="78"/>
      <c r="K826" s="78"/>
      <c r="L826" s="78"/>
      <c r="M826" s="78"/>
      <c r="N826" s="78"/>
      <c r="O826" s="78"/>
      <c r="P826" s="78"/>
      <c r="Q826" s="78"/>
      <c r="R826" s="78"/>
      <c r="S826" s="78"/>
      <c r="T826" s="78"/>
      <c r="U826" s="78"/>
      <c r="V826" s="78"/>
      <c r="W826" s="78"/>
      <c r="X826" s="78"/>
      <c r="Y826" s="78"/>
    </row>
    <row r="827" spans="1:25" x14ac:dyDescent="0.25">
      <c r="A827" s="112" t="s">
        <v>682</v>
      </c>
      <c r="B827" s="78"/>
      <c r="C827" s="114"/>
      <c r="D827" s="78"/>
      <c r="E827" s="78"/>
      <c r="F827" s="78"/>
      <c r="G827" s="78"/>
      <c r="H827" s="78"/>
      <c r="I827" s="78"/>
      <c r="J827" s="78"/>
      <c r="K827" s="78"/>
      <c r="L827" s="78"/>
      <c r="M827" s="78"/>
      <c r="N827" s="78"/>
      <c r="O827" s="78"/>
      <c r="P827" s="78"/>
      <c r="Q827" s="78"/>
      <c r="R827" s="78"/>
      <c r="S827" s="78"/>
      <c r="T827" s="78"/>
      <c r="U827" s="78"/>
      <c r="V827" s="78"/>
      <c r="W827" s="78"/>
      <c r="X827" s="78"/>
      <c r="Y827" s="78"/>
    </row>
    <row r="828" spans="1:25" x14ac:dyDescent="0.25">
      <c r="A828" s="112" t="s">
        <v>682</v>
      </c>
      <c r="B828" s="78"/>
      <c r="C828" s="114"/>
      <c r="D828" s="78"/>
      <c r="E828" s="78"/>
      <c r="F828" s="78"/>
      <c r="G828" s="78"/>
      <c r="H828" s="78"/>
      <c r="I828" s="78"/>
      <c r="J828" s="78"/>
      <c r="K828" s="78"/>
      <c r="L828" s="78"/>
      <c r="M828" s="78"/>
      <c r="N828" s="78"/>
      <c r="O828" s="78"/>
      <c r="P828" s="78"/>
      <c r="Q828" s="78"/>
      <c r="R828" s="78"/>
      <c r="S828" s="78"/>
      <c r="T828" s="78"/>
      <c r="U828" s="78"/>
      <c r="V828" s="78"/>
      <c r="W828" s="78"/>
      <c r="X828" s="78"/>
      <c r="Y828" s="78"/>
    </row>
    <row r="829" spans="1:25" x14ac:dyDescent="0.25">
      <c r="A829" s="112" t="s">
        <v>682</v>
      </c>
      <c r="B829" s="78"/>
      <c r="C829" s="114"/>
      <c r="D829" s="78"/>
      <c r="E829" s="78"/>
      <c r="F829" s="78"/>
      <c r="G829" s="78"/>
      <c r="H829" s="78"/>
      <c r="I829" s="78"/>
      <c r="J829" s="78"/>
      <c r="K829" s="78"/>
      <c r="L829" s="78"/>
      <c r="M829" s="78"/>
      <c r="N829" s="78"/>
      <c r="O829" s="78"/>
      <c r="P829" s="78"/>
      <c r="Q829" s="78"/>
      <c r="R829" s="78"/>
      <c r="S829" s="78"/>
      <c r="T829" s="78"/>
      <c r="U829" s="78"/>
      <c r="V829" s="78"/>
      <c r="W829" s="78"/>
      <c r="X829" s="78"/>
      <c r="Y829" s="78"/>
    </row>
    <row r="830" spans="1:25" x14ac:dyDescent="0.25">
      <c r="A830" s="112" t="s">
        <v>682</v>
      </c>
      <c r="B830" s="78"/>
      <c r="C830" s="114"/>
      <c r="D830" s="78"/>
      <c r="E830" s="78"/>
      <c r="F830" s="78"/>
      <c r="G830" s="78"/>
      <c r="H830" s="78"/>
      <c r="I830" s="78"/>
      <c r="J830" s="78"/>
      <c r="K830" s="78"/>
      <c r="L830" s="78"/>
      <c r="M830" s="78"/>
      <c r="N830" s="78"/>
      <c r="O830" s="78"/>
      <c r="P830" s="78"/>
      <c r="Q830" s="78"/>
      <c r="R830" s="78"/>
      <c r="S830" s="78"/>
      <c r="T830" s="78"/>
      <c r="U830" s="78"/>
      <c r="V830" s="78"/>
      <c r="W830" s="78"/>
      <c r="X830" s="78"/>
      <c r="Y830" s="78"/>
    </row>
    <row r="831" spans="1:25" x14ac:dyDescent="0.25">
      <c r="A831" s="112" t="s">
        <v>682</v>
      </c>
      <c r="B831" s="78"/>
      <c r="C831" s="114"/>
      <c r="D831" s="78"/>
      <c r="E831" s="78"/>
      <c r="F831" s="78"/>
      <c r="G831" s="78"/>
      <c r="H831" s="78"/>
      <c r="I831" s="78"/>
      <c r="J831" s="78"/>
      <c r="K831" s="78"/>
      <c r="L831" s="78"/>
      <c r="M831" s="78"/>
      <c r="N831" s="78"/>
      <c r="O831" s="78"/>
      <c r="P831" s="78"/>
      <c r="Q831" s="78"/>
      <c r="R831" s="78"/>
      <c r="S831" s="78"/>
      <c r="T831" s="78"/>
      <c r="U831" s="78"/>
      <c r="V831" s="78"/>
      <c r="W831" s="78"/>
      <c r="X831" s="78"/>
      <c r="Y831" s="78"/>
    </row>
    <row r="832" spans="1:25" x14ac:dyDescent="0.25">
      <c r="A832" s="112" t="s">
        <v>682</v>
      </c>
      <c r="B832" s="78"/>
      <c r="C832" s="114"/>
      <c r="D832" s="78"/>
      <c r="E832" s="78"/>
      <c r="F832" s="78"/>
      <c r="G832" s="78"/>
      <c r="H832" s="78"/>
      <c r="I832" s="78"/>
      <c r="J832" s="78"/>
      <c r="K832" s="78"/>
      <c r="L832" s="78"/>
      <c r="M832" s="78"/>
      <c r="N832" s="78"/>
      <c r="O832" s="78"/>
      <c r="P832" s="78"/>
      <c r="Q832" s="78"/>
      <c r="R832" s="78"/>
      <c r="S832" s="78"/>
      <c r="T832" s="78"/>
      <c r="U832" s="78"/>
      <c r="V832" s="78"/>
      <c r="W832" s="78"/>
      <c r="X832" s="78"/>
      <c r="Y832" s="78"/>
    </row>
    <row r="833" spans="1:25" x14ac:dyDescent="0.25">
      <c r="A833" s="112" t="s">
        <v>682</v>
      </c>
      <c r="B833" s="78"/>
      <c r="C833" s="114"/>
      <c r="D833" s="78"/>
      <c r="E833" s="78"/>
      <c r="F833" s="78"/>
      <c r="G833" s="78"/>
      <c r="H833" s="78"/>
      <c r="I833" s="78"/>
      <c r="J833" s="78"/>
      <c r="K833" s="78"/>
      <c r="L833" s="78"/>
      <c r="M833" s="78"/>
      <c r="N833" s="78"/>
      <c r="O833" s="78"/>
      <c r="P833" s="78"/>
      <c r="Q833" s="78"/>
      <c r="R833" s="78"/>
      <c r="S833" s="78"/>
      <c r="T833" s="78"/>
      <c r="U833" s="78"/>
      <c r="V833" s="78"/>
      <c r="W833" s="78"/>
      <c r="X833" s="78"/>
      <c r="Y833" s="78"/>
    </row>
    <row r="834" spans="1:25" x14ac:dyDescent="0.25">
      <c r="A834" s="112" t="s">
        <v>682</v>
      </c>
      <c r="B834" s="78"/>
      <c r="C834" s="114"/>
      <c r="D834" s="78"/>
      <c r="E834" s="78"/>
      <c r="F834" s="78"/>
      <c r="G834" s="78"/>
      <c r="H834" s="78"/>
      <c r="I834" s="78"/>
      <c r="J834" s="78"/>
      <c r="K834" s="78"/>
      <c r="L834" s="78"/>
      <c r="M834" s="78"/>
      <c r="N834" s="78"/>
      <c r="O834" s="78"/>
      <c r="P834" s="78"/>
      <c r="Q834" s="78"/>
      <c r="R834" s="78"/>
      <c r="S834" s="78"/>
      <c r="T834" s="78"/>
      <c r="U834" s="78"/>
      <c r="V834" s="78"/>
      <c r="W834" s="78"/>
      <c r="X834" s="78"/>
      <c r="Y834" s="78"/>
    </row>
    <row r="835" spans="1:25" x14ac:dyDescent="0.25">
      <c r="A835" s="112" t="s">
        <v>682</v>
      </c>
      <c r="B835" s="78"/>
      <c r="C835" s="114"/>
      <c r="D835" s="78"/>
      <c r="E835" s="78"/>
      <c r="F835" s="78"/>
      <c r="G835" s="78"/>
      <c r="H835" s="78"/>
      <c r="I835" s="78"/>
      <c r="J835" s="78"/>
      <c r="K835" s="78"/>
      <c r="L835" s="78"/>
      <c r="M835" s="78"/>
      <c r="N835" s="78"/>
      <c r="O835" s="78"/>
      <c r="P835" s="78"/>
      <c r="Q835" s="78"/>
      <c r="R835" s="78"/>
      <c r="S835" s="78"/>
      <c r="T835" s="78"/>
      <c r="U835" s="78"/>
      <c r="V835" s="78"/>
      <c r="W835" s="78"/>
      <c r="X835" s="78"/>
      <c r="Y835" s="78"/>
    </row>
    <row r="836" spans="1:25" x14ac:dyDescent="0.25">
      <c r="A836" s="112" t="s">
        <v>682</v>
      </c>
      <c r="B836" s="78"/>
      <c r="C836" s="114"/>
      <c r="D836" s="78"/>
      <c r="E836" s="78"/>
      <c r="F836" s="78"/>
      <c r="G836" s="78"/>
      <c r="H836" s="78"/>
      <c r="I836" s="78"/>
      <c r="J836" s="78"/>
      <c r="K836" s="78"/>
      <c r="L836" s="78"/>
      <c r="M836" s="78"/>
      <c r="N836" s="78"/>
      <c r="O836" s="78"/>
      <c r="P836" s="78"/>
      <c r="Q836" s="78"/>
      <c r="R836" s="78"/>
      <c r="S836" s="78"/>
      <c r="T836" s="78"/>
      <c r="U836" s="78"/>
      <c r="V836" s="78"/>
      <c r="W836" s="78"/>
      <c r="X836" s="78"/>
      <c r="Y836" s="78"/>
    </row>
    <row r="837" spans="1:25" x14ac:dyDescent="0.25">
      <c r="A837" s="112" t="s">
        <v>682</v>
      </c>
      <c r="B837" s="78"/>
      <c r="C837" s="114"/>
      <c r="D837" s="78"/>
      <c r="E837" s="78"/>
      <c r="F837" s="78"/>
      <c r="G837" s="78"/>
      <c r="H837" s="78"/>
      <c r="I837" s="78"/>
      <c r="J837" s="78"/>
      <c r="K837" s="78"/>
      <c r="L837" s="78"/>
      <c r="M837" s="78"/>
      <c r="N837" s="78"/>
      <c r="O837" s="78"/>
      <c r="P837" s="78"/>
      <c r="Q837" s="78"/>
      <c r="R837" s="78"/>
      <c r="S837" s="78"/>
      <c r="T837" s="78"/>
      <c r="U837" s="78"/>
      <c r="V837" s="78"/>
      <c r="W837" s="78"/>
      <c r="X837" s="78"/>
      <c r="Y837" s="78"/>
    </row>
    <row r="838" spans="1:25" x14ac:dyDescent="0.25">
      <c r="A838" s="112" t="s">
        <v>682</v>
      </c>
      <c r="B838" s="78"/>
      <c r="C838" s="114"/>
      <c r="D838" s="78"/>
      <c r="E838" s="78"/>
      <c r="F838" s="78"/>
      <c r="G838" s="78"/>
      <c r="H838" s="78"/>
      <c r="I838" s="78"/>
      <c r="J838" s="78"/>
      <c r="K838" s="78"/>
      <c r="L838" s="78"/>
      <c r="M838" s="78"/>
      <c r="N838" s="78"/>
      <c r="O838" s="78"/>
      <c r="P838" s="78"/>
      <c r="Q838" s="78"/>
      <c r="R838" s="78"/>
      <c r="S838" s="78"/>
      <c r="T838" s="78"/>
      <c r="U838" s="78"/>
      <c r="V838" s="78"/>
      <c r="W838" s="78"/>
      <c r="X838" s="78"/>
      <c r="Y838" s="78"/>
    </row>
    <row r="839" spans="1:25" x14ac:dyDescent="0.25">
      <c r="A839" s="112" t="s">
        <v>682</v>
      </c>
      <c r="B839" s="78"/>
      <c r="C839" s="114"/>
      <c r="D839" s="78"/>
      <c r="E839" s="78"/>
      <c r="F839" s="78"/>
      <c r="G839" s="78"/>
      <c r="H839" s="78"/>
      <c r="I839" s="78"/>
      <c r="J839" s="78"/>
      <c r="K839" s="78"/>
      <c r="L839" s="78"/>
      <c r="M839" s="78"/>
      <c r="N839" s="78"/>
      <c r="O839" s="78"/>
      <c r="P839" s="78"/>
      <c r="Q839" s="78"/>
      <c r="R839" s="78"/>
      <c r="S839" s="78"/>
      <c r="T839" s="78"/>
      <c r="U839" s="78"/>
      <c r="V839" s="78"/>
      <c r="W839" s="78"/>
      <c r="X839" s="78"/>
      <c r="Y839" s="78"/>
    </row>
    <row r="840" spans="1:25" x14ac:dyDescent="0.25">
      <c r="A840" s="112" t="s">
        <v>682</v>
      </c>
      <c r="B840" s="78"/>
      <c r="C840" s="114"/>
      <c r="D840" s="78"/>
      <c r="E840" s="78"/>
      <c r="F840" s="78"/>
      <c r="G840" s="78"/>
      <c r="H840" s="78"/>
      <c r="I840" s="78"/>
      <c r="J840" s="78"/>
      <c r="K840" s="78"/>
      <c r="L840" s="78"/>
      <c r="M840" s="78"/>
      <c r="N840" s="78"/>
      <c r="O840" s="78"/>
      <c r="P840" s="78"/>
      <c r="Q840" s="78"/>
      <c r="R840" s="78"/>
      <c r="S840" s="78"/>
      <c r="T840" s="78"/>
      <c r="U840" s="78"/>
      <c r="V840" s="78"/>
      <c r="W840" s="78"/>
      <c r="X840" s="78"/>
      <c r="Y840" s="78"/>
    </row>
    <row r="841" spans="1:25" x14ac:dyDescent="0.25">
      <c r="A841" s="112" t="s">
        <v>682</v>
      </c>
      <c r="B841" s="78"/>
      <c r="C841" s="114"/>
      <c r="D841" s="78"/>
      <c r="E841" s="78"/>
      <c r="F841" s="78"/>
      <c r="G841" s="78"/>
      <c r="H841" s="78"/>
      <c r="I841" s="78"/>
      <c r="J841" s="78"/>
      <c r="K841" s="78"/>
      <c r="L841" s="78"/>
      <c r="M841" s="78"/>
      <c r="N841" s="78"/>
      <c r="O841" s="78"/>
      <c r="P841" s="78"/>
      <c r="Q841" s="78"/>
      <c r="R841" s="78"/>
      <c r="S841" s="78"/>
      <c r="T841" s="78"/>
      <c r="U841" s="78"/>
      <c r="V841" s="78"/>
      <c r="W841" s="78"/>
      <c r="X841" s="78"/>
      <c r="Y841" s="78"/>
    </row>
    <row r="842" spans="1:25" x14ac:dyDescent="0.25">
      <c r="A842" s="112" t="s">
        <v>682</v>
      </c>
      <c r="B842" s="78"/>
      <c r="C842" s="114"/>
      <c r="D842" s="78"/>
      <c r="E842" s="78"/>
      <c r="F842" s="78"/>
      <c r="G842" s="78"/>
      <c r="H842" s="78"/>
      <c r="I842" s="78"/>
      <c r="J842" s="78"/>
      <c r="K842" s="78"/>
      <c r="L842" s="78"/>
      <c r="M842" s="78"/>
      <c r="N842" s="78"/>
      <c r="O842" s="78"/>
      <c r="P842" s="78"/>
      <c r="Q842" s="78"/>
      <c r="R842" s="78"/>
      <c r="S842" s="78"/>
      <c r="T842" s="78"/>
      <c r="U842" s="78"/>
      <c r="V842" s="78"/>
      <c r="W842" s="78"/>
      <c r="X842" s="78"/>
      <c r="Y842" s="78"/>
    </row>
    <row r="843" spans="1:25" x14ac:dyDescent="0.25">
      <c r="A843" s="112" t="s">
        <v>682</v>
      </c>
      <c r="B843" s="78"/>
      <c r="C843" s="114"/>
      <c r="D843" s="78"/>
      <c r="E843" s="78"/>
      <c r="F843" s="78"/>
      <c r="G843" s="78"/>
      <c r="H843" s="78"/>
      <c r="I843" s="78"/>
      <c r="J843" s="78"/>
      <c r="K843" s="78"/>
      <c r="L843" s="78"/>
      <c r="M843" s="78"/>
      <c r="N843" s="78"/>
      <c r="O843" s="78"/>
      <c r="P843" s="78"/>
      <c r="Q843" s="78"/>
      <c r="R843" s="78"/>
      <c r="S843" s="78"/>
      <c r="T843" s="78"/>
      <c r="U843" s="78"/>
      <c r="V843" s="78"/>
      <c r="W843" s="78"/>
      <c r="X843" s="78"/>
      <c r="Y843" s="78"/>
    </row>
    <row r="844" spans="1:25" x14ac:dyDescent="0.25">
      <c r="A844" s="112" t="s">
        <v>682</v>
      </c>
      <c r="B844" s="78"/>
      <c r="C844" s="114"/>
      <c r="D844" s="78"/>
      <c r="E844" s="78"/>
      <c r="F844" s="78"/>
      <c r="G844" s="78"/>
      <c r="H844" s="78"/>
      <c r="I844" s="78"/>
      <c r="J844" s="78"/>
      <c r="K844" s="78"/>
      <c r="L844" s="78"/>
      <c r="M844" s="78"/>
      <c r="N844" s="78"/>
      <c r="O844" s="78"/>
      <c r="P844" s="78"/>
      <c r="Q844" s="78"/>
      <c r="R844" s="78"/>
      <c r="S844" s="78"/>
      <c r="T844" s="78"/>
      <c r="U844" s="78"/>
      <c r="V844" s="78"/>
      <c r="W844" s="78"/>
      <c r="X844" s="78"/>
      <c r="Y844" s="78"/>
    </row>
    <row r="845" spans="1:25" x14ac:dyDescent="0.25">
      <c r="A845" s="112" t="s">
        <v>682</v>
      </c>
      <c r="B845" s="78"/>
      <c r="C845" s="114"/>
      <c r="D845" s="78"/>
      <c r="E845" s="78"/>
      <c r="F845" s="78"/>
      <c r="G845" s="78"/>
      <c r="H845" s="78"/>
      <c r="I845" s="78"/>
      <c r="J845" s="78"/>
      <c r="K845" s="78"/>
      <c r="L845" s="78"/>
      <c r="M845" s="78"/>
      <c r="N845" s="78"/>
      <c r="O845" s="78"/>
      <c r="P845" s="78"/>
      <c r="Q845" s="78"/>
      <c r="R845" s="78"/>
      <c r="S845" s="78"/>
      <c r="T845" s="78"/>
      <c r="U845" s="78"/>
      <c r="V845" s="78"/>
      <c r="W845" s="78"/>
      <c r="X845" s="78"/>
      <c r="Y845" s="78"/>
    </row>
    <row r="846" spans="1:25" x14ac:dyDescent="0.25">
      <c r="A846" s="112" t="s">
        <v>682</v>
      </c>
      <c r="B846" s="78"/>
      <c r="C846" s="114"/>
      <c r="D846" s="78"/>
      <c r="E846" s="78"/>
      <c r="F846" s="78"/>
      <c r="G846" s="78"/>
      <c r="H846" s="78"/>
      <c r="I846" s="78"/>
      <c r="J846" s="78"/>
      <c r="K846" s="78"/>
      <c r="L846" s="78"/>
      <c r="M846" s="78"/>
      <c r="N846" s="78"/>
      <c r="O846" s="78"/>
      <c r="P846" s="78"/>
      <c r="Q846" s="78"/>
      <c r="R846" s="78"/>
      <c r="S846" s="78"/>
      <c r="T846" s="78"/>
      <c r="U846" s="78"/>
      <c r="V846" s="78"/>
      <c r="W846" s="78"/>
      <c r="X846" s="78"/>
      <c r="Y846" s="78"/>
    </row>
    <row r="847" spans="1:25" x14ac:dyDescent="0.25">
      <c r="A847" s="112" t="s">
        <v>682</v>
      </c>
      <c r="B847" s="78"/>
      <c r="C847" s="114"/>
      <c r="D847" s="78"/>
      <c r="E847" s="78"/>
      <c r="F847" s="78"/>
      <c r="G847" s="78"/>
      <c r="H847" s="78"/>
      <c r="I847" s="78"/>
      <c r="J847" s="78"/>
      <c r="K847" s="78"/>
      <c r="L847" s="78"/>
      <c r="M847" s="78"/>
      <c r="N847" s="78"/>
      <c r="O847" s="78"/>
      <c r="P847" s="78"/>
      <c r="Q847" s="78"/>
      <c r="R847" s="78"/>
      <c r="S847" s="78"/>
      <c r="T847" s="78"/>
      <c r="U847" s="78"/>
      <c r="V847" s="78"/>
      <c r="W847" s="78"/>
      <c r="X847" s="78"/>
      <c r="Y847" s="78"/>
    </row>
    <row r="848" spans="1:25" x14ac:dyDescent="0.25">
      <c r="A848" s="112" t="s">
        <v>682</v>
      </c>
      <c r="B848" s="78"/>
      <c r="C848" s="114"/>
      <c r="D848" s="78"/>
      <c r="E848" s="78"/>
      <c r="F848" s="78"/>
      <c r="G848" s="78"/>
      <c r="H848" s="78"/>
      <c r="I848" s="78"/>
      <c r="J848" s="78"/>
      <c r="K848" s="78"/>
      <c r="L848" s="78"/>
      <c r="M848" s="78"/>
      <c r="N848" s="78"/>
      <c r="O848" s="78"/>
      <c r="P848" s="78"/>
      <c r="Q848" s="78"/>
      <c r="R848" s="78"/>
      <c r="S848" s="78"/>
      <c r="T848" s="78"/>
      <c r="U848" s="78"/>
      <c r="V848" s="78"/>
      <c r="W848" s="78"/>
      <c r="X848" s="78"/>
      <c r="Y848" s="78"/>
    </row>
    <row r="849" spans="1:25" x14ac:dyDescent="0.25">
      <c r="A849" s="112" t="s">
        <v>682</v>
      </c>
      <c r="B849" s="78"/>
      <c r="C849" s="114"/>
      <c r="D849" s="78"/>
      <c r="E849" s="78"/>
      <c r="F849" s="78"/>
      <c r="G849" s="78"/>
      <c r="H849" s="78"/>
      <c r="I849" s="78"/>
      <c r="J849" s="78"/>
      <c r="K849" s="78"/>
      <c r="L849" s="78"/>
      <c r="M849" s="78"/>
      <c r="N849" s="78"/>
      <c r="O849" s="78"/>
      <c r="P849" s="78"/>
      <c r="Q849" s="78"/>
      <c r="R849" s="78"/>
      <c r="S849" s="78"/>
      <c r="T849" s="78"/>
      <c r="U849" s="78"/>
      <c r="V849" s="78"/>
      <c r="W849" s="78"/>
      <c r="X849" s="78"/>
      <c r="Y849" s="78"/>
    </row>
    <row r="850" spans="1:25" x14ac:dyDescent="0.25">
      <c r="A850" s="112" t="s">
        <v>682</v>
      </c>
      <c r="B850" s="78"/>
      <c r="C850" s="114"/>
      <c r="D850" s="78"/>
      <c r="E850" s="78"/>
      <c r="F850" s="78"/>
      <c r="G850" s="78"/>
      <c r="H850" s="78"/>
      <c r="I850" s="78"/>
      <c r="J850" s="78"/>
      <c r="K850" s="78"/>
      <c r="L850" s="78"/>
      <c r="M850" s="78"/>
      <c r="N850" s="78"/>
      <c r="O850" s="78"/>
      <c r="P850" s="78"/>
      <c r="Q850" s="78"/>
      <c r="R850" s="78"/>
      <c r="S850" s="78"/>
      <c r="T850" s="78"/>
      <c r="U850" s="78"/>
      <c r="V850" s="78"/>
      <c r="W850" s="78"/>
      <c r="X850" s="78"/>
      <c r="Y850" s="78"/>
    </row>
    <row r="851" spans="1:25" x14ac:dyDescent="0.25">
      <c r="A851" s="112" t="s">
        <v>682</v>
      </c>
      <c r="B851" s="78"/>
      <c r="C851" s="114"/>
      <c r="D851" s="78"/>
      <c r="E851" s="78"/>
      <c r="F851" s="78"/>
      <c r="G851" s="78"/>
      <c r="H851" s="78"/>
      <c r="I851" s="78"/>
      <c r="J851" s="78"/>
      <c r="K851" s="78"/>
      <c r="L851" s="78"/>
      <c r="M851" s="78"/>
      <c r="N851" s="78"/>
      <c r="O851" s="78"/>
      <c r="P851" s="78"/>
      <c r="Q851" s="78"/>
      <c r="R851" s="78"/>
      <c r="S851" s="78"/>
      <c r="T851" s="78"/>
      <c r="U851" s="78"/>
      <c r="V851" s="78"/>
      <c r="W851" s="78"/>
      <c r="X851" s="78"/>
      <c r="Y851" s="78"/>
    </row>
    <row r="852" spans="1:25" x14ac:dyDescent="0.25">
      <c r="A852" s="112" t="s">
        <v>682</v>
      </c>
      <c r="B852" s="78"/>
      <c r="C852" s="114"/>
      <c r="D852" s="78"/>
      <c r="E852" s="78"/>
      <c r="F852" s="78"/>
      <c r="G852" s="78"/>
      <c r="H852" s="78"/>
      <c r="I852" s="78"/>
      <c r="J852" s="78"/>
      <c r="K852" s="78"/>
      <c r="L852" s="78"/>
      <c r="M852" s="78"/>
      <c r="N852" s="78"/>
      <c r="O852" s="78"/>
      <c r="P852" s="78"/>
      <c r="Q852" s="78"/>
      <c r="R852" s="78"/>
      <c r="S852" s="78"/>
      <c r="T852" s="78"/>
      <c r="U852" s="78"/>
      <c r="V852" s="78"/>
      <c r="W852" s="78"/>
      <c r="X852" s="78"/>
      <c r="Y852" s="78"/>
    </row>
    <row r="853" spans="1:25" x14ac:dyDescent="0.25">
      <c r="A853" s="112" t="s">
        <v>682</v>
      </c>
      <c r="B853" s="78"/>
      <c r="C853" s="114"/>
      <c r="D853" s="78"/>
      <c r="E853" s="78"/>
      <c r="F853" s="78"/>
      <c r="G853" s="78"/>
      <c r="H853" s="78"/>
      <c r="I853" s="78"/>
      <c r="J853" s="78"/>
      <c r="K853" s="78"/>
      <c r="L853" s="78"/>
      <c r="M853" s="78"/>
      <c r="N853" s="78"/>
      <c r="O853" s="78"/>
      <c r="P853" s="78"/>
      <c r="Q853" s="78"/>
      <c r="R853" s="78"/>
      <c r="S853" s="78"/>
      <c r="T853" s="78"/>
      <c r="U853" s="78"/>
      <c r="V853" s="78"/>
      <c r="W853" s="78"/>
      <c r="X853" s="78"/>
      <c r="Y853" s="78"/>
    </row>
    <row r="854" spans="1:25" x14ac:dyDescent="0.25">
      <c r="A854" s="112" t="s">
        <v>682</v>
      </c>
      <c r="B854" s="78"/>
      <c r="C854" s="114"/>
      <c r="D854" s="78"/>
      <c r="E854" s="78"/>
      <c r="F854" s="78"/>
      <c r="G854" s="78"/>
      <c r="H854" s="78"/>
      <c r="I854" s="78"/>
      <c r="J854" s="78"/>
      <c r="K854" s="78"/>
      <c r="L854" s="78"/>
      <c r="M854" s="78"/>
      <c r="N854" s="78"/>
      <c r="O854" s="78"/>
      <c r="P854" s="78"/>
      <c r="Q854" s="78"/>
      <c r="R854" s="78"/>
      <c r="S854" s="78"/>
      <c r="T854" s="78"/>
      <c r="U854" s="78"/>
      <c r="V854" s="78"/>
      <c r="W854" s="78"/>
      <c r="X854" s="78"/>
      <c r="Y854" s="78"/>
    </row>
    <row r="855" spans="1:25" x14ac:dyDescent="0.25">
      <c r="A855" s="112" t="s">
        <v>682</v>
      </c>
      <c r="B855" s="78"/>
      <c r="C855" s="114"/>
      <c r="D855" s="78"/>
      <c r="E855" s="78"/>
      <c r="F855" s="78"/>
      <c r="G855" s="78"/>
      <c r="H855" s="78"/>
      <c r="I855" s="78"/>
      <c r="J855" s="78"/>
      <c r="K855" s="78"/>
      <c r="L855" s="78"/>
      <c r="M855" s="78"/>
      <c r="N855" s="78"/>
      <c r="O855" s="78"/>
      <c r="P855" s="78"/>
      <c r="Q855" s="78"/>
      <c r="R855" s="78"/>
      <c r="S855" s="78"/>
      <c r="T855" s="78"/>
      <c r="U855" s="78"/>
      <c r="V855" s="78"/>
      <c r="W855" s="78"/>
      <c r="X855" s="78"/>
      <c r="Y855" s="78"/>
    </row>
    <row r="856" spans="1:25" x14ac:dyDescent="0.25">
      <c r="A856" s="112" t="s">
        <v>682</v>
      </c>
      <c r="B856" s="78"/>
      <c r="C856" s="114"/>
      <c r="D856" s="78"/>
      <c r="E856" s="78"/>
      <c r="F856" s="78"/>
      <c r="G856" s="78"/>
      <c r="H856" s="78"/>
      <c r="I856" s="78"/>
      <c r="J856" s="78"/>
      <c r="K856" s="78"/>
      <c r="L856" s="78"/>
      <c r="M856" s="78"/>
      <c r="N856" s="78"/>
      <c r="O856" s="78"/>
      <c r="P856" s="78"/>
      <c r="Q856" s="78"/>
      <c r="R856" s="78"/>
      <c r="S856" s="78"/>
      <c r="T856" s="78"/>
      <c r="U856" s="78"/>
      <c r="V856" s="78"/>
      <c r="W856" s="78"/>
      <c r="X856" s="78"/>
      <c r="Y856" s="78"/>
    </row>
    <row r="857" spans="1:25" x14ac:dyDescent="0.25">
      <c r="A857" s="112" t="s">
        <v>682</v>
      </c>
      <c r="B857" s="78"/>
      <c r="C857" s="114"/>
      <c r="D857" s="78"/>
      <c r="E857" s="78"/>
      <c r="F857" s="78"/>
      <c r="G857" s="78"/>
      <c r="H857" s="78"/>
      <c r="I857" s="78"/>
      <c r="J857" s="78"/>
      <c r="K857" s="78"/>
      <c r="L857" s="78"/>
      <c r="M857" s="78"/>
      <c r="N857" s="78"/>
      <c r="O857" s="78"/>
      <c r="P857" s="78"/>
      <c r="Q857" s="78"/>
      <c r="R857" s="78"/>
      <c r="S857" s="78"/>
      <c r="T857" s="78"/>
      <c r="U857" s="78"/>
      <c r="V857" s="78"/>
      <c r="W857" s="78"/>
      <c r="X857" s="78"/>
      <c r="Y857" s="78"/>
    </row>
    <row r="858" spans="1:25" x14ac:dyDescent="0.25">
      <c r="A858" s="112" t="s">
        <v>682</v>
      </c>
      <c r="B858" s="78"/>
      <c r="C858" s="114"/>
      <c r="D858" s="78"/>
      <c r="E858" s="78"/>
      <c r="F858" s="78"/>
      <c r="G858" s="78"/>
      <c r="H858" s="78"/>
      <c r="I858" s="78"/>
      <c r="J858" s="78"/>
      <c r="K858" s="78"/>
      <c r="L858" s="78"/>
      <c r="M858" s="78"/>
      <c r="N858" s="78"/>
      <c r="O858" s="78"/>
      <c r="P858" s="78"/>
      <c r="Q858" s="78"/>
      <c r="R858" s="78"/>
      <c r="S858" s="78"/>
      <c r="T858" s="78"/>
      <c r="U858" s="78"/>
      <c r="V858" s="78"/>
      <c r="W858" s="78"/>
      <c r="X858" s="78"/>
      <c r="Y858" s="78"/>
    </row>
    <row r="859" spans="1:25" x14ac:dyDescent="0.25">
      <c r="A859" s="112" t="s">
        <v>682</v>
      </c>
      <c r="B859" s="78"/>
      <c r="C859" s="114"/>
      <c r="D859" s="78"/>
      <c r="E859" s="78"/>
      <c r="F859" s="78"/>
      <c r="G859" s="78"/>
      <c r="H859" s="78"/>
      <c r="I859" s="78"/>
      <c r="J859" s="78"/>
      <c r="K859" s="78"/>
      <c r="L859" s="78"/>
      <c r="M859" s="78"/>
      <c r="N859" s="78"/>
      <c r="O859" s="78"/>
      <c r="P859" s="78"/>
      <c r="Q859" s="78"/>
      <c r="R859" s="78"/>
      <c r="S859" s="78"/>
      <c r="T859" s="78"/>
      <c r="U859" s="78"/>
      <c r="V859" s="78"/>
      <c r="W859" s="78"/>
      <c r="X859" s="78"/>
      <c r="Y859" s="78"/>
    </row>
    <row r="860" spans="1:25" x14ac:dyDescent="0.25">
      <c r="A860" s="112" t="s">
        <v>682</v>
      </c>
      <c r="B860" s="78"/>
      <c r="C860" s="114"/>
      <c r="D860" s="78"/>
      <c r="E860" s="78"/>
      <c r="F860" s="78"/>
      <c r="G860" s="78"/>
      <c r="H860" s="78"/>
      <c r="I860" s="78"/>
      <c r="J860" s="78"/>
      <c r="K860" s="78"/>
      <c r="L860" s="78"/>
      <c r="M860" s="78"/>
      <c r="N860" s="78"/>
      <c r="O860" s="78"/>
      <c r="P860" s="78"/>
      <c r="Q860" s="78"/>
      <c r="R860" s="78"/>
      <c r="S860" s="78"/>
      <c r="T860" s="78"/>
      <c r="U860" s="78"/>
      <c r="V860" s="78"/>
      <c r="W860" s="78"/>
      <c r="X860" s="78"/>
      <c r="Y860" s="78"/>
    </row>
    <row r="861" spans="1:25" x14ac:dyDescent="0.25">
      <c r="A861" s="112" t="s">
        <v>682</v>
      </c>
      <c r="B861" s="78"/>
      <c r="C861" s="114"/>
      <c r="D861" s="78"/>
      <c r="E861" s="78"/>
      <c r="F861" s="78"/>
      <c r="G861" s="78"/>
      <c r="H861" s="78"/>
      <c r="I861" s="78"/>
      <c r="J861" s="78"/>
      <c r="K861" s="78"/>
      <c r="L861" s="78"/>
      <c r="M861" s="78"/>
      <c r="N861" s="78"/>
      <c r="O861" s="78"/>
      <c r="P861" s="78"/>
      <c r="Q861" s="78"/>
      <c r="R861" s="78"/>
      <c r="S861" s="78"/>
      <c r="T861" s="78"/>
      <c r="U861" s="78"/>
      <c r="V861" s="78"/>
      <c r="W861" s="78"/>
      <c r="X861" s="78"/>
      <c r="Y861" s="78"/>
    </row>
    <row r="862" spans="1:25" x14ac:dyDescent="0.25">
      <c r="A862" s="112" t="s">
        <v>682</v>
      </c>
      <c r="B862" s="78"/>
      <c r="C862" s="114"/>
      <c r="D862" s="78"/>
      <c r="E862" s="78"/>
      <c r="F862" s="78"/>
      <c r="G862" s="78"/>
      <c r="H862" s="78"/>
      <c r="I862" s="78"/>
      <c r="J862" s="78"/>
      <c r="K862" s="78"/>
      <c r="L862" s="78"/>
      <c r="M862" s="78"/>
      <c r="N862" s="78"/>
      <c r="O862" s="78"/>
      <c r="P862" s="78"/>
      <c r="Q862" s="78"/>
      <c r="R862" s="78"/>
      <c r="S862" s="78"/>
      <c r="T862" s="78"/>
      <c r="U862" s="78"/>
      <c r="V862" s="78"/>
      <c r="W862" s="78"/>
      <c r="X862" s="78"/>
      <c r="Y862" s="78"/>
    </row>
    <row r="863" spans="1:25" x14ac:dyDescent="0.25">
      <c r="A863" s="112" t="s">
        <v>682</v>
      </c>
      <c r="B863" s="78"/>
      <c r="C863" s="114"/>
      <c r="D863" s="78"/>
      <c r="E863" s="78"/>
      <c r="F863" s="78"/>
      <c r="G863" s="78"/>
      <c r="H863" s="78"/>
      <c r="I863" s="78"/>
      <c r="J863" s="78"/>
      <c r="K863" s="78"/>
      <c r="L863" s="78"/>
      <c r="M863" s="78"/>
      <c r="N863" s="78"/>
      <c r="O863" s="78"/>
      <c r="P863" s="78"/>
      <c r="Q863" s="78"/>
      <c r="R863" s="78"/>
      <c r="S863" s="78"/>
      <c r="T863" s="78"/>
      <c r="U863" s="78"/>
      <c r="V863" s="78"/>
      <c r="W863" s="78"/>
      <c r="X863" s="78"/>
      <c r="Y863" s="78"/>
    </row>
    <row r="864" spans="1:25" x14ac:dyDescent="0.25">
      <c r="A864" s="112" t="s">
        <v>682</v>
      </c>
      <c r="B864" s="78"/>
      <c r="C864" s="114"/>
      <c r="D864" s="78"/>
      <c r="E864" s="78"/>
      <c r="F864" s="78"/>
      <c r="G864" s="78"/>
      <c r="H864" s="78"/>
      <c r="I864" s="78"/>
      <c r="J864" s="78"/>
      <c r="K864" s="78"/>
      <c r="L864" s="78"/>
      <c r="M864" s="78"/>
      <c r="N864" s="78"/>
      <c r="O864" s="78"/>
      <c r="P864" s="78"/>
      <c r="Q864" s="78"/>
      <c r="R864" s="78"/>
      <c r="S864" s="78"/>
      <c r="T864" s="78"/>
      <c r="U864" s="78"/>
      <c r="V864" s="78"/>
      <c r="W864" s="78"/>
      <c r="X864" s="78"/>
      <c r="Y864" s="78"/>
    </row>
    <row r="865" spans="1:25" x14ac:dyDescent="0.25">
      <c r="A865" s="112" t="s">
        <v>682</v>
      </c>
      <c r="B865" s="78"/>
      <c r="C865" s="114"/>
      <c r="D865" s="78"/>
      <c r="E865" s="78"/>
      <c r="F865" s="78"/>
      <c r="G865" s="78"/>
      <c r="H865" s="78"/>
      <c r="I865" s="78"/>
      <c r="J865" s="78"/>
      <c r="K865" s="78"/>
      <c r="L865" s="78"/>
      <c r="M865" s="78"/>
      <c r="N865" s="78"/>
      <c r="O865" s="78"/>
      <c r="P865" s="78"/>
      <c r="Q865" s="78"/>
      <c r="R865" s="78"/>
      <c r="S865" s="78"/>
      <c r="T865" s="78"/>
      <c r="U865" s="78"/>
      <c r="V865" s="78"/>
      <c r="W865" s="78"/>
      <c r="X865" s="78"/>
      <c r="Y865" s="78"/>
    </row>
    <row r="866" spans="1:25" x14ac:dyDescent="0.25">
      <c r="A866" s="112" t="s">
        <v>682</v>
      </c>
      <c r="B866" s="78"/>
      <c r="C866" s="114"/>
      <c r="D866" s="78"/>
      <c r="E866" s="78"/>
      <c r="F866" s="78"/>
      <c r="G866" s="78"/>
      <c r="H866" s="78"/>
      <c r="I866" s="78"/>
      <c r="J866" s="78"/>
      <c r="K866" s="78"/>
      <c r="L866" s="78"/>
      <c r="M866" s="78"/>
      <c r="N866" s="78"/>
      <c r="O866" s="78"/>
      <c r="P866" s="78"/>
      <c r="Q866" s="78"/>
      <c r="R866" s="78"/>
      <c r="S866" s="78"/>
      <c r="T866" s="78"/>
      <c r="U866" s="78"/>
      <c r="V866" s="78"/>
      <c r="W866" s="78"/>
      <c r="X866" s="78"/>
      <c r="Y866" s="78"/>
    </row>
    <row r="867" spans="1:25" x14ac:dyDescent="0.25">
      <c r="A867" s="112" t="s">
        <v>682</v>
      </c>
      <c r="B867" s="78"/>
      <c r="C867" s="114"/>
      <c r="D867" s="78"/>
      <c r="E867" s="78"/>
      <c r="F867" s="78"/>
      <c r="G867" s="78"/>
      <c r="H867" s="78"/>
      <c r="I867" s="78"/>
      <c r="J867" s="78"/>
      <c r="K867" s="78"/>
      <c r="L867" s="78"/>
      <c r="M867" s="78"/>
      <c r="N867" s="78"/>
      <c r="O867" s="78"/>
      <c r="P867" s="78"/>
      <c r="Q867" s="78"/>
      <c r="R867" s="78"/>
      <c r="S867" s="78"/>
      <c r="T867" s="78"/>
      <c r="U867" s="78"/>
      <c r="V867" s="78"/>
      <c r="W867" s="78"/>
      <c r="X867" s="78"/>
      <c r="Y867" s="78"/>
    </row>
    <row r="868" spans="1:25" x14ac:dyDescent="0.25">
      <c r="A868" s="112" t="s">
        <v>682</v>
      </c>
      <c r="B868" s="78"/>
      <c r="C868" s="114"/>
      <c r="D868" s="78"/>
      <c r="E868" s="78"/>
      <c r="F868" s="78"/>
      <c r="G868" s="78"/>
      <c r="H868" s="78"/>
      <c r="I868" s="78"/>
      <c r="J868" s="78"/>
      <c r="K868" s="78"/>
      <c r="L868" s="78"/>
      <c r="M868" s="78"/>
      <c r="N868" s="78"/>
      <c r="O868" s="78"/>
      <c r="P868" s="78"/>
      <c r="Q868" s="78"/>
      <c r="R868" s="78"/>
      <c r="S868" s="78"/>
      <c r="T868" s="78"/>
      <c r="U868" s="78"/>
      <c r="V868" s="78"/>
      <c r="W868" s="78"/>
      <c r="X868" s="78"/>
      <c r="Y868" s="78"/>
    </row>
    <row r="869" spans="1:25" x14ac:dyDescent="0.25">
      <c r="A869" s="112" t="s">
        <v>682</v>
      </c>
      <c r="B869" s="78"/>
      <c r="C869" s="114"/>
      <c r="D869" s="78"/>
      <c r="E869" s="78"/>
      <c r="F869" s="78"/>
      <c r="G869" s="78"/>
      <c r="H869" s="78"/>
      <c r="I869" s="78"/>
      <c r="J869" s="78"/>
      <c r="K869" s="78"/>
      <c r="L869" s="78"/>
      <c r="M869" s="78"/>
      <c r="N869" s="78"/>
      <c r="O869" s="78"/>
      <c r="P869" s="78"/>
      <c r="Q869" s="78"/>
      <c r="R869" s="78"/>
      <c r="S869" s="78"/>
      <c r="T869" s="78"/>
      <c r="U869" s="78"/>
      <c r="V869" s="78"/>
      <c r="W869" s="78"/>
      <c r="X869" s="78"/>
      <c r="Y869" s="78"/>
    </row>
    <row r="870" spans="1:25" x14ac:dyDescent="0.25">
      <c r="A870" s="112" t="s">
        <v>682</v>
      </c>
      <c r="B870" s="78"/>
      <c r="C870" s="114"/>
      <c r="D870" s="78"/>
      <c r="E870" s="78"/>
      <c r="F870" s="78"/>
      <c r="G870" s="78"/>
      <c r="H870" s="78"/>
      <c r="I870" s="78"/>
      <c r="J870" s="78"/>
      <c r="K870" s="78"/>
      <c r="L870" s="78"/>
      <c r="M870" s="78"/>
      <c r="N870" s="78"/>
      <c r="O870" s="78"/>
      <c r="P870" s="78"/>
      <c r="Q870" s="78"/>
      <c r="R870" s="78"/>
      <c r="S870" s="78"/>
      <c r="T870" s="78"/>
      <c r="U870" s="78"/>
      <c r="V870" s="78"/>
      <c r="W870" s="78"/>
      <c r="X870" s="78"/>
      <c r="Y870" s="78"/>
    </row>
    <row r="871" spans="1:25" x14ac:dyDescent="0.25">
      <c r="A871" s="112" t="s">
        <v>682</v>
      </c>
      <c r="B871" s="78"/>
      <c r="C871" s="114"/>
      <c r="D871" s="78"/>
      <c r="E871" s="78"/>
      <c r="F871" s="78"/>
      <c r="G871" s="78"/>
      <c r="H871" s="78"/>
      <c r="I871" s="78"/>
      <c r="J871" s="78"/>
      <c r="K871" s="78"/>
      <c r="L871" s="78"/>
      <c r="M871" s="78"/>
      <c r="N871" s="78"/>
      <c r="O871" s="78"/>
      <c r="P871" s="78"/>
      <c r="Q871" s="78"/>
      <c r="R871" s="78"/>
      <c r="S871" s="78"/>
      <c r="T871" s="78"/>
      <c r="U871" s="78"/>
      <c r="V871" s="78"/>
      <c r="W871" s="78"/>
      <c r="X871" s="78"/>
      <c r="Y871" s="78"/>
    </row>
    <row r="872" spans="1:25" x14ac:dyDescent="0.25">
      <c r="A872" s="112" t="s">
        <v>682</v>
      </c>
      <c r="B872" s="78"/>
      <c r="C872" s="114"/>
      <c r="D872" s="78"/>
      <c r="E872" s="78"/>
      <c r="F872" s="78"/>
      <c r="G872" s="78"/>
      <c r="H872" s="78"/>
      <c r="I872" s="78"/>
      <c r="J872" s="78"/>
      <c r="K872" s="78"/>
      <c r="L872" s="78"/>
      <c r="M872" s="78"/>
      <c r="N872" s="78"/>
      <c r="O872" s="78"/>
      <c r="P872" s="78"/>
      <c r="Q872" s="78"/>
      <c r="R872" s="78"/>
      <c r="S872" s="78"/>
      <c r="T872" s="78"/>
      <c r="U872" s="78"/>
      <c r="V872" s="78"/>
      <c r="W872" s="78"/>
      <c r="X872" s="78"/>
      <c r="Y872" s="78"/>
    </row>
    <row r="873" spans="1:25" x14ac:dyDescent="0.25">
      <c r="A873" s="112" t="s">
        <v>682</v>
      </c>
      <c r="B873" s="78"/>
      <c r="C873" s="114"/>
      <c r="D873" s="78"/>
      <c r="E873" s="78"/>
      <c r="F873" s="78"/>
      <c r="G873" s="78"/>
      <c r="H873" s="78"/>
      <c r="I873" s="78"/>
      <c r="J873" s="78"/>
      <c r="K873" s="78"/>
      <c r="L873" s="78"/>
      <c r="M873" s="78"/>
      <c r="N873" s="78"/>
      <c r="O873" s="78"/>
      <c r="P873" s="78"/>
      <c r="Q873" s="78"/>
      <c r="R873" s="78"/>
      <c r="S873" s="78"/>
      <c r="T873" s="78"/>
      <c r="U873" s="78"/>
      <c r="V873" s="78"/>
      <c r="W873" s="78"/>
      <c r="X873" s="78"/>
      <c r="Y873" s="78"/>
    </row>
    <row r="874" spans="1:25" x14ac:dyDescent="0.25">
      <c r="A874" s="112" t="s">
        <v>682</v>
      </c>
      <c r="B874" s="78"/>
      <c r="C874" s="114"/>
      <c r="D874" s="78"/>
      <c r="E874" s="78"/>
      <c r="F874" s="78"/>
      <c r="G874" s="78"/>
      <c r="H874" s="78"/>
      <c r="I874" s="78"/>
      <c r="J874" s="78"/>
      <c r="K874" s="78"/>
      <c r="L874" s="78"/>
      <c r="M874" s="78"/>
      <c r="N874" s="78"/>
      <c r="O874" s="78"/>
      <c r="P874" s="78"/>
      <c r="Q874" s="78"/>
      <c r="R874" s="78"/>
      <c r="S874" s="78"/>
      <c r="T874" s="78"/>
      <c r="U874" s="78"/>
      <c r="V874" s="78"/>
      <c r="W874" s="78"/>
      <c r="X874" s="78"/>
      <c r="Y874" s="78"/>
    </row>
    <row r="875" spans="1:25" x14ac:dyDescent="0.25">
      <c r="A875" s="112" t="s">
        <v>682</v>
      </c>
      <c r="B875" s="78"/>
      <c r="C875" s="114"/>
      <c r="D875" s="78"/>
      <c r="E875" s="78"/>
      <c r="F875" s="78"/>
      <c r="G875" s="78"/>
      <c r="H875" s="78"/>
      <c r="I875" s="78"/>
      <c r="J875" s="78"/>
      <c r="K875" s="78"/>
      <c r="L875" s="78"/>
      <c r="M875" s="78"/>
      <c r="N875" s="78"/>
      <c r="O875" s="78"/>
      <c r="P875" s="78"/>
      <c r="Q875" s="78"/>
      <c r="R875" s="78"/>
      <c r="S875" s="78"/>
      <c r="T875" s="78"/>
      <c r="U875" s="78"/>
      <c r="V875" s="78"/>
      <c r="W875" s="78"/>
      <c r="X875" s="78"/>
      <c r="Y875" s="78"/>
    </row>
    <row r="876" spans="1:25" x14ac:dyDescent="0.25">
      <c r="A876" s="112" t="s">
        <v>682</v>
      </c>
      <c r="B876" s="78"/>
      <c r="C876" s="114"/>
      <c r="D876" s="78"/>
      <c r="E876" s="78"/>
      <c r="F876" s="78"/>
      <c r="G876" s="78"/>
      <c r="H876" s="78"/>
      <c r="I876" s="78"/>
      <c r="J876" s="78"/>
      <c r="K876" s="78"/>
      <c r="L876" s="78"/>
      <c r="M876" s="78"/>
      <c r="N876" s="78"/>
      <c r="O876" s="78"/>
      <c r="P876" s="78"/>
      <c r="Q876" s="78"/>
      <c r="R876" s="78"/>
      <c r="S876" s="78"/>
      <c r="T876" s="78"/>
      <c r="U876" s="78"/>
      <c r="V876" s="78"/>
      <c r="W876" s="78"/>
      <c r="X876" s="78"/>
      <c r="Y876" s="78"/>
    </row>
    <row r="877" spans="1:25" x14ac:dyDescent="0.25">
      <c r="A877" s="112" t="s">
        <v>682</v>
      </c>
      <c r="B877" s="78"/>
      <c r="C877" s="114"/>
      <c r="D877" s="78"/>
      <c r="E877" s="78"/>
      <c r="F877" s="78"/>
      <c r="G877" s="78"/>
      <c r="H877" s="78"/>
      <c r="I877" s="78"/>
      <c r="J877" s="78"/>
      <c r="K877" s="78"/>
      <c r="L877" s="78"/>
      <c r="M877" s="78"/>
      <c r="N877" s="78"/>
      <c r="O877" s="78"/>
      <c r="P877" s="78"/>
      <c r="Q877" s="78"/>
      <c r="R877" s="78"/>
      <c r="S877" s="78"/>
      <c r="T877" s="78"/>
      <c r="U877" s="78"/>
      <c r="V877" s="78"/>
      <c r="W877" s="78"/>
      <c r="X877" s="78"/>
      <c r="Y877" s="78"/>
    </row>
    <row r="878" spans="1:25" x14ac:dyDescent="0.25">
      <c r="A878" s="112" t="s">
        <v>682</v>
      </c>
      <c r="B878" s="78"/>
      <c r="C878" s="114"/>
      <c r="D878" s="78"/>
      <c r="E878" s="78"/>
      <c r="F878" s="78"/>
      <c r="G878" s="78"/>
      <c r="H878" s="78"/>
      <c r="I878" s="78"/>
      <c r="J878" s="78"/>
      <c r="K878" s="78"/>
      <c r="L878" s="78"/>
      <c r="M878" s="78"/>
      <c r="N878" s="78"/>
      <c r="O878" s="78"/>
      <c r="P878" s="78"/>
      <c r="Q878" s="78"/>
      <c r="R878" s="78"/>
      <c r="S878" s="78"/>
      <c r="T878" s="78"/>
      <c r="U878" s="78"/>
      <c r="V878" s="78"/>
      <c r="W878" s="78"/>
      <c r="X878" s="78"/>
      <c r="Y878" s="78"/>
    </row>
    <row r="879" spans="1:25" x14ac:dyDescent="0.25">
      <c r="A879" s="112" t="s">
        <v>682</v>
      </c>
      <c r="B879" s="78"/>
      <c r="C879" s="114"/>
      <c r="D879" s="78"/>
      <c r="E879" s="78"/>
      <c r="F879" s="78"/>
      <c r="G879" s="78"/>
      <c r="H879" s="78"/>
      <c r="I879" s="78"/>
      <c r="J879" s="78"/>
      <c r="K879" s="78"/>
      <c r="L879" s="78"/>
      <c r="M879" s="78"/>
      <c r="N879" s="78"/>
      <c r="O879" s="78"/>
      <c r="P879" s="78"/>
      <c r="Q879" s="78"/>
      <c r="R879" s="78"/>
      <c r="S879" s="78"/>
      <c r="T879" s="78"/>
      <c r="U879" s="78"/>
      <c r="V879" s="78"/>
      <c r="W879" s="78"/>
      <c r="X879" s="78"/>
      <c r="Y879" s="78"/>
    </row>
    <row r="880" spans="1:25" x14ac:dyDescent="0.25">
      <c r="A880" s="112" t="s">
        <v>682</v>
      </c>
      <c r="B880" s="78"/>
      <c r="C880" s="114"/>
      <c r="D880" s="78"/>
      <c r="E880" s="78"/>
      <c r="F880" s="78"/>
      <c r="G880" s="78"/>
      <c r="H880" s="78"/>
      <c r="I880" s="78"/>
      <c r="J880" s="78"/>
      <c r="K880" s="78"/>
      <c r="L880" s="78"/>
      <c r="M880" s="78"/>
      <c r="N880" s="78"/>
      <c r="O880" s="78"/>
      <c r="P880" s="78"/>
      <c r="Q880" s="78"/>
      <c r="R880" s="78"/>
      <c r="S880" s="78"/>
      <c r="T880" s="78"/>
      <c r="U880" s="78"/>
      <c r="V880" s="78"/>
      <c r="W880" s="78"/>
      <c r="X880" s="78"/>
      <c r="Y880" s="78"/>
    </row>
    <row r="881" spans="1:25" x14ac:dyDescent="0.25">
      <c r="A881" s="112" t="s">
        <v>682</v>
      </c>
      <c r="B881" s="78"/>
      <c r="C881" s="114"/>
      <c r="D881" s="78"/>
      <c r="E881" s="78"/>
      <c r="F881" s="78"/>
      <c r="G881" s="78"/>
      <c r="H881" s="78"/>
      <c r="I881" s="78"/>
      <c r="J881" s="78"/>
      <c r="K881" s="78"/>
      <c r="L881" s="78"/>
      <c r="M881" s="78"/>
      <c r="N881" s="78"/>
      <c r="O881" s="78"/>
      <c r="P881" s="78"/>
      <c r="Q881" s="78"/>
      <c r="R881" s="78"/>
      <c r="S881" s="78"/>
      <c r="T881" s="78"/>
      <c r="U881" s="78"/>
      <c r="V881" s="78"/>
      <c r="W881" s="78"/>
      <c r="X881" s="78"/>
      <c r="Y881" s="78"/>
    </row>
    <row r="882" spans="1:25" x14ac:dyDescent="0.25">
      <c r="A882" s="112" t="s">
        <v>682</v>
      </c>
      <c r="B882" s="78"/>
      <c r="C882" s="114"/>
      <c r="D882" s="78"/>
      <c r="E882" s="78"/>
      <c r="F882" s="78"/>
      <c r="G882" s="78"/>
      <c r="H882" s="78"/>
      <c r="I882" s="78"/>
      <c r="J882" s="78"/>
      <c r="K882" s="78"/>
      <c r="L882" s="78"/>
      <c r="M882" s="78"/>
      <c r="N882" s="78"/>
      <c r="O882" s="78"/>
      <c r="P882" s="78"/>
      <c r="Q882" s="78"/>
      <c r="R882" s="78"/>
      <c r="S882" s="78"/>
      <c r="T882" s="78"/>
      <c r="U882" s="78"/>
      <c r="V882" s="78"/>
      <c r="W882" s="78"/>
      <c r="X882" s="78"/>
      <c r="Y882" s="78"/>
    </row>
    <row r="883" spans="1:25" x14ac:dyDescent="0.25">
      <c r="A883" s="112" t="s">
        <v>682</v>
      </c>
      <c r="B883" s="78"/>
      <c r="C883" s="114"/>
      <c r="D883" s="78"/>
      <c r="E883" s="78"/>
      <c r="F883" s="78"/>
      <c r="G883" s="78"/>
      <c r="H883" s="78"/>
      <c r="I883" s="78"/>
      <c r="J883" s="78"/>
      <c r="K883" s="78"/>
      <c r="L883" s="78"/>
      <c r="M883" s="78"/>
      <c r="N883" s="78"/>
      <c r="O883" s="78"/>
      <c r="P883" s="78"/>
      <c r="Q883" s="78"/>
      <c r="R883" s="78"/>
      <c r="S883" s="78"/>
      <c r="T883" s="78"/>
      <c r="U883" s="78"/>
      <c r="V883" s="78"/>
      <c r="W883" s="78"/>
      <c r="X883" s="78"/>
      <c r="Y883" s="78"/>
    </row>
    <row r="884" spans="1:25" x14ac:dyDescent="0.25">
      <c r="A884" s="112" t="s">
        <v>682</v>
      </c>
      <c r="B884" s="78"/>
      <c r="C884" s="114"/>
      <c r="D884" s="78"/>
      <c r="E884" s="78"/>
      <c r="F884" s="78"/>
      <c r="G884" s="78"/>
      <c r="H884" s="78"/>
      <c r="I884" s="78"/>
      <c r="J884" s="78"/>
      <c r="K884" s="78"/>
      <c r="L884" s="78"/>
      <c r="M884" s="78"/>
      <c r="N884" s="78"/>
      <c r="O884" s="78"/>
      <c r="P884" s="78"/>
      <c r="Q884" s="78"/>
      <c r="R884" s="78"/>
      <c r="S884" s="78"/>
      <c r="T884" s="78"/>
      <c r="U884" s="78"/>
      <c r="V884" s="78"/>
      <c r="W884" s="78"/>
      <c r="X884" s="78"/>
      <c r="Y884" s="78"/>
    </row>
    <row r="885" spans="1:25" x14ac:dyDescent="0.25">
      <c r="A885" s="112" t="s">
        <v>682</v>
      </c>
      <c r="B885" s="78"/>
      <c r="C885" s="114"/>
      <c r="D885" s="78"/>
      <c r="E885" s="78"/>
      <c r="F885" s="78"/>
      <c r="G885" s="78"/>
      <c r="H885" s="78"/>
      <c r="I885" s="78"/>
      <c r="J885" s="78"/>
      <c r="K885" s="78"/>
      <c r="L885" s="78"/>
      <c r="M885" s="78"/>
      <c r="N885" s="78"/>
      <c r="O885" s="78"/>
      <c r="P885" s="78"/>
      <c r="Q885" s="78"/>
      <c r="R885" s="78"/>
      <c r="S885" s="78"/>
      <c r="T885" s="78"/>
      <c r="U885" s="78"/>
      <c r="V885" s="78"/>
      <c r="W885" s="78"/>
      <c r="X885" s="78"/>
      <c r="Y885" s="78"/>
    </row>
    <row r="886" spans="1:25" x14ac:dyDescent="0.25">
      <c r="A886" s="112" t="s">
        <v>682</v>
      </c>
      <c r="B886" s="78"/>
      <c r="C886" s="114"/>
      <c r="D886" s="78"/>
      <c r="E886" s="78"/>
      <c r="F886" s="78"/>
      <c r="G886" s="78"/>
      <c r="H886" s="78"/>
      <c r="I886" s="78"/>
      <c r="J886" s="78"/>
      <c r="K886" s="78"/>
      <c r="L886" s="78"/>
      <c r="M886" s="78"/>
      <c r="N886" s="78"/>
      <c r="O886" s="78"/>
      <c r="P886" s="78"/>
      <c r="Q886" s="78"/>
      <c r="R886" s="78"/>
      <c r="S886" s="78"/>
      <c r="T886" s="78"/>
      <c r="U886" s="78"/>
      <c r="V886" s="78"/>
      <c r="W886" s="78"/>
      <c r="X886" s="78"/>
      <c r="Y886" s="78"/>
    </row>
    <row r="887" spans="1:25" x14ac:dyDescent="0.25">
      <c r="A887" s="112" t="s">
        <v>682</v>
      </c>
      <c r="B887" s="78"/>
      <c r="C887" s="114"/>
      <c r="D887" s="78"/>
      <c r="E887" s="78"/>
      <c r="F887" s="78"/>
      <c r="G887" s="78"/>
      <c r="H887" s="78"/>
      <c r="I887" s="78"/>
      <c r="J887" s="78"/>
      <c r="K887" s="78"/>
      <c r="L887" s="78"/>
      <c r="M887" s="78"/>
      <c r="N887" s="78"/>
      <c r="O887" s="78"/>
      <c r="P887" s="78"/>
      <c r="Q887" s="78"/>
      <c r="R887" s="78"/>
      <c r="S887" s="78"/>
      <c r="T887" s="78"/>
      <c r="U887" s="78"/>
      <c r="V887" s="78"/>
      <c r="W887" s="78"/>
      <c r="X887" s="78"/>
      <c r="Y887" s="78"/>
    </row>
    <row r="888" spans="1:25" x14ac:dyDescent="0.25">
      <c r="A888" s="112" t="s">
        <v>682</v>
      </c>
      <c r="B888" s="78"/>
      <c r="C888" s="114"/>
      <c r="D888" s="78"/>
      <c r="E888" s="78"/>
      <c r="F888" s="78"/>
      <c r="G888" s="78"/>
      <c r="H888" s="78"/>
      <c r="I888" s="78"/>
      <c r="J888" s="78"/>
      <c r="K888" s="78"/>
      <c r="L888" s="78"/>
      <c r="M888" s="78"/>
      <c r="N888" s="78"/>
      <c r="O888" s="78"/>
      <c r="P888" s="78"/>
      <c r="Q888" s="78"/>
      <c r="R888" s="78"/>
      <c r="S888" s="78"/>
      <c r="T888" s="78"/>
      <c r="U888" s="78"/>
      <c r="V888" s="78"/>
      <c r="W888" s="78"/>
      <c r="X888" s="78"/>
      <c r="Y888" s="78"/>
    </row>
    <row r="889" spans="1:25" x14ac:dyDescent="0.25">
      <c r="A889" s="112" t="s">
        <v>682</v>
      </c>
      <c r="B889" s="78"/>
      <c r="C889" s="114"/>
      <c r="D889" s="78"/>
      <c r="E889" s="78"/>
      <c r="F889" s="78"/>
      <c r="G889" s="78"/>
      <c r="H889" s="78"/>
      <c r="I889" s="78"/>
      <c r="J889" s="78"/>
      <c r="K889" s="78"/>
      <c r="L889" s="78"/>
      <c r="M889" s="78"/>
      <c r="N889" s="78"/>
      <c r="O889" s="78"/>
      <c r="P889" s="78"/>
      <c r="Q889" s="78"/>
      <c r="R889" s="78"/>
      <c r="S889" s="78"/>
      <c r="T889" s="78"/>
      <c r="U889" s="78"/>
      <c r="V889" s="78"/>
      <c r="W889" s="78"/>
      <c r="X889" s="78"/>
      <c r="Y889" s="78"/>
    </row>
    <row r="890" spans="1:25" x14ac:dyDescent="0.25">
      <c r="A890" s="112" t="s">
        <v>682</v>
      </c>
      <c r="B890" s="78"/>
      <c r="C890" s="114"/>
      <c r="D890" s="78"/>
      <c r="E890" s="78"/>
      <c r="F890" s="78"/>
      <c r="G890" s="78"/>
      <c r="H890" s="78"/>
      <c r="I890" s="78"/>
      <c r="J890" s="78"/>
      <c r="K890" s="78"/>
      <c r="L890" s="78"/>
      <c r="M890" s="78"/>
      <c r="N890" s="78"/>
      <c r="O890" s="78"/>
      <c r="P890" s="78"/>
      <c r="Q890" s="78"/>
      <c r="R890" s="78"/>
      <c r="S890" s="78"/>
      <c r="T890" s="78"/>
      <c r="U890" s="78"/>
      <c r="V890" s="78"/>
      <c r="W890" s="78"/>
      <c r="X890" s="78"/>
      <c r="Y890" s="78"/>
    </row>
    <row r="891" spans="1:25" x14ac:dyDescent="0.25">
      <c r="A891" s="112" t="s">
        <v>682</v>
      </c>
      <c r="B891" s="78"/>
      <c r="C891" s="114"/>
      <c r="D891" s="78"/>
      <c r="E891" s="78"/>
      <c r="F891" s="78"/>
      <c r="G891" s="78"/>
      <c r="H891" s="78"/>
      <c r="I891" s="78"/>
      <c r="J891" s="78"/>
      <c r="K891" s="78"/>
      <c r="L891" s="78"/>
      <c r="M891" s="78"/>
      <c r="N891" s="78"/>
      <c r="O891" s="78"/>
      <c r="P891" s="78"/>
      <c r="Q891" s="78"/>
      <c r="R891" s="78"/>
      <c r="S891" s="78"/>
      <c r="T891" s="78"/>
      <c r="U891" s="78"/>
      <c r="V891" s="78"/>
      <c r="W891" s="78"/>
      <c r="X891" s="78"/>
      <c r="Y891" s="78"/>
    </row>
    <row r="892" spans="1:25" x14ac:dyDescent="0.25">
      <c r="A892" s="112" t="s">
        <v>682</v>
      </c>
      <c r="B892" s="78"/>
      <c r="C892" s="114"/>
      <c r="D892" s="78"/>
      <c r="E892" s="78"/>
      <c r="F892" s="78"/>
      <c r="G892" s="78"/>
      <c r="H892" s="78"/>
      <c r="I892" s="78"/>
      <c r="J892" s="78"/>
      <c r="K892" s="78"/>
      <c r="L892" s="78"/>
      <c r="M892" s="78"/>
      <c r="N892" s="78"/>
      <c r="O892" s="78"/>
      <c r="P892" s="78"/>
      <c r="Q892" s="78"/>
      <c r="R892" s="78"/>
      <c r="S892" s="78"/>
      <c r="T892" s="78"/>
      <c r="U892" s="78"/>
      <c r="V892" s="78"/>
      <c r="W892" s="78"/>
      <c r="X892" s="78"/>
      <c r="Y892" s="78"/>
    </row>
    <row r="893" spans="1:25" x14ac:dyDescent="0.25">
      <c r="A893" s="112" t="s">
        <v>682</v>
      </c>
      <c r="B893" s="78"/>
      <c r="C893" s="114"/>
      <c r="D893" s="78"/>
      <c r="E893" s="78"/>
      <c r="F893" s="78"/>
      <c r="G893" s="78"/>
      <c r="H893" s="78"/>
      <c r="I893" s="78"/>
      <c r="J893" s="78"/>
      <c r="K893" s="78"/>
      <c r="L893" s="78"/>
      <c r="M893" s="78"/>
      <c r="N893" s="78"/>
      <c r="O893" s="78"/>
      <c r="P893" s="78"/>
      <c r="Q893" s="78"/>
      <c r="R893" s="78"/>
      <c r="S893" s="78"/>
      <c r="T893" s="78"/>
      <c r="U893" s="78"/>
      <c r="V893" s="78"/>
      <c r="W893" s="78"/>
      <c r="X893" s="78"/>
      <c r="Y893" s="78"/>
    </row>
    <row r="894" spans="1:25" x14ac:dyDescent="0.25">
      <c r="A894" s="112" t="s">
        <v>682</v>
      </c>
      <c r="B894" s="78"/>
      <c r="C894" s="114"/>
      <c r="D894" s="78"/>
      <c r="E894" s="78"/>
      <c r="F894" s="78"/>
      <c r="G894" s="78"/>
      <c r="H894" s="78"/>
      <c r="I894" s="78"/>
      <c r="J894" s="78"/>
      <c r="K894" s="78"/>
      <c r="L894" s="78"/>
      <c r="M894" s="78"/>
      <c r="N894" s="78"/>
      <c r="O894" s="78"/>
      <c r="P894" s="78"/>
      <c r="Q894" s="78"/>
      <c r="R894" s="78"/>
      <c r="S894" s="78"/>
      <c r="T894" s="78"/>
      <c r="U894" s="78"/>
      <c r="V894" s="78"/>
      <c r="W894" s="78"/>
      <c r="X894" s="78"/>
      <c r="Y894" s="78"/>
    </row>
    <row r="895" spans="1:25" x14ac:dyDescent="0.25">
      <c r="A895" s="112" t="s">
        <v>682</v>
      </c>
      <c r="B895" s="78"/>
      <c r="C895" s="114"/>
      <c r="D895" s="78"/>
      <c r="E895" s="78"/>
      <c r="F895" s="78"/>
      <c r="G895" s="78"/>
      <c r="H895" s="78"/>
      <c r="I895" s="78"/>
      <c r="J895" s="78"/>
      <c r="K895" s="78"/>
      <c r="L895" s="78"/>
      <c r="M895" s="78"/>
      <c r="N895" s="78"/>
      <c r="O895" s="78"/>
      <c r="P895" s="78"/>
      <c r="Q895" s="78"/>
      <c r="R895" s="78"/>
      <c r="S895" s="78"/>
      <c r="T895" s="78"/>
      <c r="U895" s="78"/>
      <c r="V895" s="78"/>
      <c r="W895" s="78"/>
      <c r="X895" s="78"/>
      <c r="Y895" s="78"/>
    </row>
    <row r="896" spans="1:25" x14ac:dyDescent="0.25">
      <c r="A896" s="112" t="s">
        <v>682</v>
      </c>
      <c r="B896" s="78"/>
      <c r="C896" s="114"/>
      <c r="D896" s="78"/>
      <c r="E896" s="78"/>
      <c r="F896" s="78"/>
      <c r="G896" s="78"/>
      <c r="H896" s="78"/>
      <c r="I896" s="78"/>
      <c r="J896" s="78"/>
      <c r="K896" s="78"/>
      <c r="L896" s="78"/>
      <c r="M896" s="78"/>
      <c r="N896" s="78"/>
      <c r="O896" s="78"/>
      <c r="P896" s="78"/>
      <c r="Q896" s="78"/>
      <c r="R896" s="78"/>
      <c r="S896" s="78"/>
      <c r="T896" s="78"/>
      <c r="U896" s="78"/>
      <c r="V896" s="78"/>
      <c r="W896" s="78"/>
      <c r="X896" s="78"/>
      <c r="Y896" s="78"/>
    </row>
    <row r="897" spans="1:25" x14ac:dyDescent="0.25">
      <c r="A897" s="112" t="s">
        <v>682</v>
      </c>
      <c r="B897" s="78"/>
      <c r="C897" s="114"/>
      <c r="D897" s="78"/>
      <c r="E897" s="78"/>
      <c r="F897" s="78"/>
      <c r="G897" s="78"/>
      <c r="H897" s="78"/>
      <c r="I897" s="78"/>
      <c r="J897" s="78"/>
      <c r="K897" s="78"/>
      <c r="L897" s="78"/>
      <c r="M897" s="78"/>
      <c r="N897" s="78"/>
      <c r="O897" s="78"/>
      <c r="P897" s="78"/>
      <c r="Q897" s="78"/>
      <c r="R897" s="78"/>
      <c r="S897" s="78"/>
      <c r="T897" s="78"/>
      <c r="U897" s="78"/>
      <c r="V897" s="78"/>
      <c r="W897" s="78"/>
      <c r="X897" s="78"/>
      <c r="Y897" s="78"/>
    </row>
    <row r="898" spans="1:25" x14ac:dyDescent="0.25">
      <c r="A898" s="112" t="s">
        <v>682</v>
      </c>
      <c r="B898" s="78"/>
      <c r="C898" s="114"/>
      <c r="D898" s="78"/>
      <c r="E898" s="78"/>
      <c r="F898" s="78"/>
      <c r="G898" s="78"/>
      <c r="H898" s="78"/>
      <c r="I898" s="78"/>
      <c r="J898" s="78"/>
      <c r="K898" s="78"/>
      <c r="L898" s="78"/>
      <c r="M898" s="78"/>
      <c r="N898" s="78"/>
      <c r="O898" s="78"/>
      <c r="P898" s="78"/>
      <c r="Q898" s="78"/>
      <c r="R898" s="78"/>
      <c r="S898" s="78"/>
      <c r="T898" s="78"/>
      <c r="U898" s="78"/>
      <c r="V898" s="78"/>
      <c r="W898" s="78"/>
      <c r="X898" s="78"/>
      <c r="Y898" s="78"/>
    </row>
    <row r="899" spans="1:25" x14ac:dyDescent="0.25">
      <c r="A899" s="112" t="s">
        <v>682</v>
      </c>
      <c r="B899" s="78"/>
      <c r="C899" s="114"/>
      <c r="D899" s="78"/>
      <c r="E899" s="78"/>
      <c r="F899" s="78"/>
      <c r="G899" s="78"/>
      <c r="H899" s="78"/>
      <c r="I899" s="78"/>
      <c r="J899" s="78"/>
      <c r="K899" s="78"/>
      <c r="L899" s="78"/>
      <c r="M899" s="78"/>
      <c r="N899" s="78"/>
      <c r="O899" s="78"/>
      <c r="P899" s="78"/>
      <c r="Q899" s="78"/>
      <c r="R899" s="78"/>
      <c r="S899" s="78"/>
      <c r="T899" s="78"/>
      <c r="U899" s="78"/>
      <c r="V899" s="78"/>
      <c r="W899" s="78"/>
      <c r="X899" s="78"/>
      <c r="Y899" s="78"/>
    </row>
    <row r="900" spans="1:25" x14ac:dyDescent="0.25">
      <c r="A900" s="112" t="s">
        <v>682</v>
      </c>
      <c r="B900" s="78"/>
      <c r="C900" s="114"/>
      <c r="D900" s="78"/>
      <c r="E900" s="78"/>
      <c r="F900" s="78"/>
      <c r="G900" s="78"/>
      <c r="H900" s="78"/>
      <c r="I900" s="78"/>
      <c r="J900" s="78"/>
      <c r="K900" s="78"/>
      <c r="L900" s="78"/>
      <c r="M900" s="78"/>
      <c r="N900" s="78"/>
      <c r="O900" s="78"/>
      <c r="P900" s="78"/>
      <c r="Q900" s="78"/>
      <c r="R900" s="78"/>
      <c r="S900" s="78"/>
      <c r="T900" s="78"/>
      <c r="U900" s="78"/>
      <c r="V900" s="78"/>
      <c r="W900" s="78"/>
      <c r="X900" s="78"/>
      <c r="Y900" s="78"/>
    </row>
    <row r="901" spans="1:25" x14ac:dyDescent="0.25">
      <c r="A901" s="112" t="s">
        <v>682</v>
      </c>
      <c r="B901" s="78"/>
      <c r="C901" s="114"/>
      <c r="D901" s="78"/>
      <c r="E901" s="78"/>
      <c r="F901" s="78"/>
      <c r="G901" s="78"/>
      <c r="H901" s="78"/>
      <c r="I901" s="78"/>
      <c r="J901" s="78"/>
      <c r="K901" s="78"/>
      <c r="L901" s="78"/>
      <c r="M901" s="78"/>
      <c r="N901" s="78"/>
      <c r="O901" s="78"/>
      <c r="P901" s="78"/>
      <c r="Q901" s="78"/>
      <c r="R901" s="78"/>
      <c r="S901" s="78"/>
      <c r="T901" s="78"/>
      <c r="U901" s="78"/>
      <c r="V901" s="78"/>
      <c r="W901" s="78"/>
      <c r="X901" s="78"/>
      <c r="Y901" s="78"/>
    </row>
    <row r="902" spans="1:25" x14ac:dyDescent="0.25">
      <c r="A902" s="112" t="s">
        <v>682</v>
      </c>
      <c r="B902" s="78"/>
      <c r="C902" s="114"/>
      <c r="D902" s="78"/>
      <c r="E902" s="78"/>
      <c r="F902" s="78"/>
      <c r="G902" s="78"/>
      <c r="H902" s="78"/>
      <c r="I902" s="78"/>
      <c r="J902" s="78"/>
      <c r="K902" s="78"/>
      <c r="L902" s="78"/>
      <c r="M902" s="78"/>
      <c r="N902" s="78"/>
      <c r="O902" s="78"/>
      <c r="P902" s="78"/>
      <c r="Q902" s="78"/>
      <c r="R902" s="78"/>
      <c r="S902" s="78"/>
      <c r="T902" s="78"/>
      <c r="U902" s="78"/>
      <c r="V902" s="78"/>
      <c r="W902" s="78"/>
      <c r="X902" s="78"/>
      <c r="Y902" s="78"/>
    </row>
    <row r="903" spans="1:25" x14ac:dyDescent="0.25">
      <c r="A903" s="112" t="s">
        <v>682</v>
      </c>
      <c r="B903" s="78"/>
      <c r="C903" s="114"/>
      <c r="D903" s="78"/>
      <c r="E903" s="78"/>
      <c r="F903" s="78"/>
      <c r="G903" s="78"/>
      <c r="H903" s="78"/>
      <c r="I903" s="78"/>
      <c r="J903" s="78"/>
      <c r="K903" s="78"/>
      <c r="L903" s="78"/>
      <c r="M903" s="78"/>
      <c r="N903" s="78"/>
      <c r="O903" s="78"/>
      <c r="P903" s="78"/>
      <c r="Q903" s="78"/>
      <c r="R903" s="78"/>
      <c r="S903" s="78"/>
      <c r="T903" s="78"/>
      <c r="U903" s="78"/>
      <c r="V903" s="78"/>
      <c r="W903" s="78"/>
      <c r="X903" s="78"/>
      <c r="Y903" s="78"/>
    </row>
    <row r="904" spans="1:25" x14ac:dyDescent="0.25">
      <c r="A904" s="112" t="s">
        <v>682</v>
      </c>
      <c r="B904" s="78"/>
      <c r="C904" s="114"/>
      <c r="D904" s="78"/>
      <c r="E904" s="78"/>
      <c r="F904" s="78"/>
      <c r="G904" s="78"/>
      <c r="H904" s="78"/>
      <c r="I904" s="78"/>
      <c r="J904" s="78"/>
      <c r="K904" s="78"/>
      <c r="L904" s="78"/>
      <c r="M904" s="78"/>
      <c r="N904" s="78"/>
      <c r="O904" s="78"/>
      <c r="P904" s="78"/>
      <c r="Q904" s="78"/>
      <c r="R904" s="78"/>
      <c r="S904" s="78"/>
      <c r="T904" s="78"/>
      <c r="U904" s="78"/>
      <c r="V904" s="78"/>
      <c r="W904" s="78"/>
      <c r="X904" s="78"/>
      <c r="Y904" s="78"/>
    </row>
    <row r="905" spans="1:25" x14ac:dyDescent="0.25">
      <c r="A905" s="112" t="s">
        <v>682</v>
      </c>
      <c r="B905" s="78"/>
      <c r="C905" s="114"/>
      <c r="D905" s="78"/>
      <c r="E905" s="78"/>
      <c r="F905" s="78"/>
      <c r="G905" s="78"/>
      <c r="H905" s="78"/>
      <c r="I905" s="78"/>
      <c r="J905" s="78"/>
      <c r="K905" s="78"/>
      <c r="L905" s="78"/>
      <c r="M905" s="78"/>
      <c r="N905" s="78"/>
      <c r="O905" s="78"/>
      <c r="P905" s="78"/>
      <c r="Q905" s="78"/>
      <c r="R905" s="78"/>
      <c r="S905" s="78"/>
      <c r="T905" s="78"/>
      <c r="U905" s="78"/>
      <c r="V905" s="78"/>
      <c r="W905" s="78"/>
      <c r="X905" s="78"/>
      <c r="Y905" s="78"/>
    </row>
    <row r="906" spans="1:25" x14ac:dyDescent="0.25">
      <c r="A906" s="112" t="s">
        <v>682</v>
      </c>
      <c r="B906" s="78"/>
      <c r="C906" s="114"/>
      <c r="D906" s="78"/>
      <c r="E906" s="78"/>
      <c r="F906" s="78"/>
      <c r="G906" s="78"/>
      <c r="H906" s="78"/>
      <c r="I906" s="78"/>
      <c r="J906" s="78"/>
      <c r="K906" s="78"/>
      <c r="L906" s="78"/>
      <c r="M906" s="78"/>
      <c r="N906" s="78"/>
      <c r="O906" s="78"/>
      <c r="P906" s="78"/>
      <c r="Q906" s="78"/>
      <c r="R906" s="78"/>
      <c r="S906" s="78"/>
      <c r="T906" s="78"/>
      <c r="U906" s="78"/>
      <c r="V906" s="78"/>
      <c r="W906" s="78"/>
      <c r="X906" s="78"/>
      <c r="Y906" s="78"/>
    </row>
    <row r="907" spans="1:25" x14ac:dyDescent="0.25">
      <c r="A907" s="112" t="s">
        <v>682</v>
      </c>
      <c r="B907" s="78"/>
      <c r="C907" s="114"/>
      <c r="D907" s="78"/>
      <c r="E907" s="78"/>
      <c r="F907" s="78"/>
      <c r="G907" s="78"/>
      <c r="H907" s="78"/>
      <c r="I907" s="78"/>
      <c r="J907" s="78"/>
      <c r="K907" s="78"/>
      <c r="L907" s="78"/>
      <c r="M907" s="78"/>
      <c r="N907" s="78"/>
      <c r="O907" s="78"/>
      <c r="P907" s="78"/>
      <c r="Q907" s="78"/>
      <c r="R907" s="78"/>
      <c r="S907" s="78"/>
      <c r="T907" s="78"/>
      <c r="U907" s="78"/>
      <c r="V907" s="78"/>
      <c r="W907" s="78"/>
      <c r="X907" s="78"/>
      <c r="Y907" s="78"/>
    </row>
    <row r="908" spans="1:25" x14ac:dyDescent="0.25">
      <c r="A908" s="112" t="s">
        <v>682</v>
      </c>
      <c r="B908" s="78"/>
      <c r="C908" s="114"/>
      <c r="D908" s="78"/>
      <c r="E908" s="78"/>
      <c r="F908" s="78"/>
      <c r="G908" s="78"/>
      <c r="H908" s="78"/>
      <c r="I908" s="78"/>
      <c r="J908" s="78"/>
      <c r="K908" s="78"/>
      <c r="L908" s="78"/>
      <c r="M908" s="78"/>
      <c r="N908" s="78"/>
      <c r="O908" s="78"/>
      <c r="P908" s="78"/>
      <c r="Q908" s="78"/>
      <c r="R908" s="78"/>
      <c r="S908" s="78"/>
      <c r="T908" s="78"/>
      <c r="U908" s="78"/>
      <c r="V908" s="78"/>
      <c r="W908" s="78"/>
      <c r="X908" s="78"/>
      <c r="Y908" s="78"/>
    </row>
    <row r="909" spans="1:25" x14ac:dyDescent="0.25">
      <c r="A909" s="112" t="s">
        <v>682</v>
      </c>
      <c r="B909" s="78"/>
      <c r="C909" s="114"/>
      <c r="D909" s="78"/>
      <c r="E909" s="78"/>
      <c r="F909" s="78"/>
      <c r="G909" s="78"/>
      <c r="H909" s="78"/>
      <c r="I909" s="78"/>
      <c r="J909" s="78"/>
      <c r="K909" s="78"/>
      <c r="L909" s="78"/>
      <c r="M909" s="78"/>
      <c r="N909" s="78"/>
      <c r="O909" s="78"/>
      <c r="P909" s="78"/>
      <c r="Q909" s="78"/>
      <c r="R909" s="78"/>
      <c r="S909" s="78"/>
      <c r="T909" s="78"/>
      <c r="U909" s="78"/>
      <c r="V909" s="78"/>
      <c r="W909" s="78"/>
      <c r="X909" s="78"/>
      <c r="Y909" s="78"/>
    </row>
    <row r="910" spans="1:25" x14ac:dyDescent="0.25">
      <c r="A910" s="112" t="s">
        <v>682</v>
      </c>
      <c r="B910" s="78"/>
      <c r="C910" s="114"/>
      <c r="D910" s="78"/>
      <c r="E910" s="78"/>
      <c r="F910" s="78"/>
      <c r="G910" s="78"/>
      <c r="H910" s="78"/>
      <c r="I910" s="78"/>
      <c r="J910" s="78"/>
      <c r="K910" s="78"/>
      <c r="L910" s="78"/>
      <c r="M910" s="78"/>
      <c r="N910" s="78"/>
      <c r="O910" s="78"/>
      <c r="P910" s="78"/>
      <c r="Q910" s="78"/>
      <c r="R910" s="78"/>
      <c r="S910" s="78"/>
      <c r="T910" s="78"/>
      <c r="U910" s="78"/>
      <c r="V910" s="78"/>
      <c r="W910" s="78"/>
      <c r="X910" s="78"/>
      <c r="Y910" s="78"/>
    </row>
    <row r="911" spans="1:25" x14ac:dyDescent="0.25">
      <c r="A911" s="112" t="s">
        <v>682</v>
      </c>
      <c r="B911" s="78"/>
      <c r="C911" s="114"/>
      <c r="D911" s="78"/>
      <c r="E911" s="78"/>
      <c r="F911" s="78"/>
      <c r="G911" s="78"/>
      <c r="H911" s="78"/>
      <c r="I911" s="78"/>
      <c r="J911" s="78"/>
      <c r="K911" s="78"/>
      <c r="L911" s="78"/>
      <c r="M911" s="78"/>
      <c r="N911" s="78"/>
      <c r="O911" s="78"/>
      <c r="P911" s="78"/>
      <c r="Q911" s="78"/>
      <c r="R911" s="78"/>
      <c r="S911" s="78"/>
      <c r="T911" s="78"/>
      <c r="U911" s="78"/>
      <c r="V911" s="78"/>
      <c r="W911" s="78"/>
      <c r="X911" s="78"/>
      <c r="Y911" s="78"/>
    </row>
    <row r="912" spans="1:25" x14ac:dyDescent="0.25">
      <c r="A912" s="112" t="s">
        <v>682</v>
      </c>
      <c r="B912" s="78"/>
      <c r="C912" s="114"/>
      <c r="D912" s="78"/>
      <c r="E912" s="78"/>
      <c r="F912" s="78"/>
      <c r="G912" s="78"/>
      <c r="H912" s="78"/>
      <c r="I912" s="78"/>
      <c r="J912" s="78"/>
      <c r="K912" s="78"/>
      <c r="L912" s="78"/>
      <c r="M912" s="78"/>
      <c r="N912" s="78"/>
      <c r="O912" s="78"/>
      <c r="P912" s="78"/>
      <c r="Q912" s="78"/>
      <c r="R912" s="78"/>
      <c r="S912" s="78"/>
      <c r="T912" s="78"/>
      <c r="U912" s="78"/>
      <c r="V912" s="78"/>
      <c r="W912" s="78"/>
      <c r="X912" s="78"/>
      <c r="Y912" s="78"/>
    </row>
    <row r="913" spans="1:25" x14ac:dyDescent="0.25">
      <c r="A913" s="112" t="s">
        <v>682</v>
      </c>
      <c r="B913" s="78"/>
      <c r="C913" s="114"/>
      <c r="D913" s="78"/>
      <c r="E913" s="78"/>
      <c r="F913" s="78"/>
      <c r="G913" s="78"/>
      <c r="H913" s="78"/>
      <c r="I913" s="78"/>
      <c r="J913" s="78"/>
      <c r="K913" s="78"/>
      <c r="L913" s="78"/>
      <c r="M913" s="78"/>
      <c r="N913" s="78"/>
      <c r="O913" s="78"/>
      <c r="P913" s="78"/>
      <c r="Q913" s="78"/>
      <c r="R913" s="78"/>
      <c r="S913" s="78"/>
      <c r="T913" s="78"/>
      <c r="U913" s="78"/>
      <c r="V913" s="78"/>
      <c r="W913" s="78"/>
      <c r="X913" s="78"/>
      <c r="Y913" s="78"/>
    </row>
    <row r="914" spans="1:25" x14ac:dyDescent="0.25">
      <c r="A914" s="112" t="s">
        <v>682</v>
      </c>
      <c r="B914" s="78"/>
      <c r="C914" s="114"/>
      <c r="D914" s="78"/>
      <c r="E914" s="78"/>
      <c r="F914" s="78"/>
      <c r="G914" s="78"/>
      <c r="H914" s="78"/>
      <c r="I914" s="78"/>
      <c r="J914" s="78"/>
      <c r="K914" s="78"/>
      <c r="L914" s="78"/>
      <c r="M914" s="78"/>
      <c r="N914" s="78"/>
      <c r="O914" s="78"/>
      <c r="P914" s="78"/>
      <c r="Q914" s="78"/>
      <c r="R914" s="78"/>
      <c r="S914" s="78"/>
      <c r="T914" s="78"/>
      <c r="U914" s="78"/>
      <c r="V914" s="78"/>
      <c r="W914" s="78"/>
      <c r="X914" s="78"/>
      <c r="Y914" s="78"/>
    </row>
    <row r="915" spans="1:25" x14ac:dyDescent="0.25">
      <c r="A915" s="112" t="s">
        <v>682</v>
      </c>
      <c r="B915" s="78"/>
      <c r="C915" s="114"/>
      <c r="D915" s="78"/>
      <c r="E915" s="78"/>
      <c r="F915" s="78"/>
      <c r="G915" s="78"/>
      <c r="H915" s="78"/>
      <c r="I915" s="78"/>
      <c r="J915" s="78"/>
      <c r="K915" s="78"/>
      <c r="L915" s="78"/>
      <c r="M915" s="78"/>
      <c r="N915" s="78"/>
      <c r="O915" s="78"/>
      <c r="P915" s="78"/>
      <c r="Q915" s="78"/>
      <c r="R915" s="78"/>
      <c r="S915" s="78"/>
      <c r="T915" s="78"/>
      <c r="U915" s="78"/>
      <c r="V915" s="78"/>
      <c r="W915" s="78"/>
      <c r="X915" s="78"/>
      <c r="Y915" s="78"/>
    </row>
    <row r="916" spans="1:25" x14ac:dyDescent="0.25">
      <c r="A916" s="112" t="s">
        <v>682</v>
      </c>
      <c r="B916" s="78"/>
      <c r="C916" s="114"/>
      <c r="D916" s="78"/>
      <c r="E916" s="78"/>
      <c r="F916" s="78"/>
      <c r="G916" s="78"/>
      <c r="H916" s="78"/>
      <c r="I916" s="78"/>
      <c r="J916" s="78"/>
      <c r="K916" s="78"/>
      <c r="L916" s="78"/>
      <c r="M916" s="78"/>
      <c r="N916" s="78"/>
      <c r="O916" s="78"/>
      <c r="P916" s="78"/>
      <c r="Q916" s="78"/>
      <c r="R916" s="78"/>
      <c r="S916" s="78"/>
      <c r="T916" s="78"/>
      <c r="U916" s="78"/>
      <c r="V916" s="78"/>
      <c r="W916" s="78"/>
      <c r="X916" s="78"/>
      <c r="Y916" s="78"/>
    </row>
    <row r="917" spans="1:25" x14ac:dyDescent="0.25">
      <c r="A917" s="112" t="s">
        <v>682</v>
      </c>
      <c r="B917" s="78"/>
      <c r="C917" s="114"/>
      <c r="D917" s="78"/>
      <c r="E917" s="78"/>
      <c r="F917" s="78"/>
      <c r="G917" s="78"/>
      <c r="H917" s="78"/>
      <c r="I917" s="78"/>
      <c r="J917" s="78"/>
      <c r="K917" s="78"/>
      <c r="L917" s="78"/>
      <c r="M917" s="78"/>
      <c r="N917" s="78"/>
      <c r="O917" s="78"/>
      <c r="P917" s="78"/>
      <c r="Q917" s="78"/>
      <c r="R917" s="78"/>
      <c r="S917" s="78"/>
      <c r="T917" s="78"/>
      <c r="U917" s="78"/>
      <c r="V917" s="78"/>
      <c r="W917" s="78"/>
      <c r="X917" s="78"/>
      <c r="Y917" s="78"/>
    </row>
    <row r="918" spans="1:25" x14ac:dyDescent="0.25">
      <c r="A918" s="112" t="s">
        <v>682</v>
      </c>
      <c r="B918" s="78"/>
      <c r="C918" s="114"/>
      <c r="D918" s="78"/>
      <c r="E918" s="78"/>
      <c r="F918" s="78"/>
      <c r="G918" s="78"/>
      <c r="H918" s="78"/>
      <c r="I918" s="78"/>
      <c r="J918" s="78"/>
      <c r="K918" s="78"/>
      <c r="L918" s="78"/>
      <c r="M918" s="78"/>
      <c r="N918" s="78"/>
      <c r="O918" s="78"/>
      <c r="P918" s="78"/>
      <c r="Q918" s="78"/>
      <c r="R918" s="78"/>
      <c r="S918" s="78"/>
      <c r="T918" s="78"/>
      <c r="U918" s="78"/>
      <c r="V918" s="78"/>
      <c r="W918" s="78"/>
      <c r="X918" s="78"/>
      <c r="Y918" s="78"/>
    </row>
    <row r="919" spans="1:25" x14ac:dyDescent="0.25">
      <c r="A919" s="112" t="s">
        <v>682</v>
      </c>
      <c r="B919" s="78"/>
      <c r="C919" s="114"/>
      <c r="D919" s="78"/>
      <c r="E919" s="78"/>
      <c r="F919" s="78"/>
      <c r="G919" s="78"/>
      <c r="H919" s="78"/>
      <c r="I919" s="78"/>
      <c r="J919" s="78"/>
      <c r="K919" s="78"/>
      <c r="L919" s="78"/>
      <c r="M919" s="78"/>
      <c r="N919" s="78"/>
      <c r="O919" s="78"/>
      <c r="P919" s="78"/>
      <c r="Q919" s="78"/>
      <c r="R919" s="78"/>
      <c r="S919" s="78"/>
      <c r="T919" s="78"/>
      <c r="U919" s="78"/>
      <c r="V919" s="78"/>
      <c r="W919" s="78"/>
      <c r="X919" s="78"/>
      <c r="Y919" s="78"/>
    </row>
    <row r="920" spans="1:25" x14ac:dyDescent="0.25">
      <c r="A920" s="112" t="s">
        <v>682</v>
      </c>
      <c r="B920" s="78"/>
      <c r="C920" s="114"/>
      <c r="D920" s="78"/>
      <c r="E920" s="78"/>
      <c r="F920" s="78"/>
      <c r="G920" s="78"/>
      <c r="H920" s="78"/>
      <c r="I920" s="78"/>
      <c r="J920" s="78"/>
      <c r="K920" s="78"/>
      <c r="L920" s="78"/>
      <c r="M920" s="78"/>
      <c r="N920" s="78"/>
      <c r="O920" s="78"/>
      <c r="P920" s="78"/>
      <c r="Q920" s="78"/>
      <c r="R920" s="78"/>
      <c r="S920" s="78"/>
      <c r="T920" s="78"/>
      <c r="U920" s="78"/>
      <c r="V920" s="78"/>
      <c r="W920" s="78"/>
      <c r="X920" s="78"/>
      <c r="Y920" s="78"/>
    </row>
    <row r="921" spans="1:25" x14ac:dyDescent="0.25">
      <c r="A921" s="112" t="s">
        <v>682</v>
      </c>
      <c r="B921" s="78"/>
      <c r="C921" s="114"/>
      <c r="D921" s="78"/>
      <c r="E921" s="78"/>
      <c r="F921" s="78"/>
      <c r="G921" s="78"/>
      <c r="H921" s="78"/>
      <c r="I921" s="78"/>
      <c r="J921" s="78"/>
      <c r="K921" s="78"/>
      <c r="L921" s="78"/>
      <c r="M921" s="78"/>
      <c r="N921" s="78"/>
      <c r="O921" s="78"/>
      <c r="P921" s="78"/>
      <c r="Q921" s="78"/>
      <c r="R921" s="78"/>
      <c r="S921" s="78"/>
      <c r="T921" s="78"/>
      <c r="U921" s="78"/>
      <c r="V921" s="78"/>
      <c r="W921" s="78"/>
      <c r="X921" s="78"/>
      <c r="Y921" s="78"/>
    </row>
    <row r="922" spans="1:25" x14ac:dyDescent="0.25">
      <c r="A922" s="112" t="s">
        <v>682</v>
      </c>
      <c r="B922" s="78"/>
      <c r="C922" s="114"/>
      <c r="D922" s="78"/>
      <c r="E922" s="78"/>
      <c r="F922" s="78"/>
      <c r="G922" s="78"/>
      <c r="H922" s="78"/>
      <c r="I922" s="78"/>
      <c r="J922" s="78"/>
      <c r="K922" s="78"/>
      <c r="L922" s="78"/>
      <c r="M922" s="78"/>
      <c r="N922" s="78"/>
      <c r="O922" s="78"/>
      <c r="P922" s="78"/>
      <c r="Q922" s="78"/>
      <c r="R922" s="78"/>
      <c r="S922" s="78"/>
      <c r="T922" s="78"/>
      <c r="U922" s="78"/>
      <c r="V922" s="78"/>
      <c r="W922" s="78"/>
      <c r="X922" s="78"/>
      <c r="Y922" s="78"/>
    </row>
    <row r="923" spans="1:25" x14ac:dyDescent="0.25">
      <c r="A923" s="112" t="s">
        <v>682</v>
      </c>
      <c r="B923" s="78"/>
      <c r="C923" s="114"/>
      <c r="D923" s="78"/>
      <c r="E923" s="78"/>
      <c r="F923" s="78"/>
      <c r="G923" s="78"/>
      <c r="H923" s="78"/>
      <c r="I923" s="78"/>
      <c r="J923" s="78"/>
      <c r="K923" s="78"/>
      <c r="L923" s="78"/>
      <c r="M923" s="78"/>
      <c r="N923" s="78"/>
      <c r="O923" s="78"/>
      <c r="P923" s="78"/>
      <c r="Q923" s="78"/>
      <c r="R923" s="78"/>
      <c r="S923" s="78"/>
      <c r="T923" s="78"/>
      <c r="U923" s="78"/>
      <c r="V923" s="78"/>
      <c r="W923" s="78"/>
      <c r="X923" s="78"/>
      <c r="Y923" s="78"/>
    </row>
    <row r="924" spans="1:25" x14ac:dyDescent="0.25">
      <c r="A924" s="112" t="s">
        <v>682</v>
      </c>
      <c r="B924" s="78"/>
      <c r="C924" s="114"/>
      <c r="D924" s="78"/>
      <c r="E924" s="78"/>
      <c r="F924" s="78"/>
      <c r="G924" s="78"/>
      <c r="H924" s="78"/>
      <c r="I924" s="78"/>
      <c r="J924" s="78"/>
      <c r="K924" s="78"/>
      <c r="L924" s="78"/>
      <c r="M924" s="78"/>
      <c r="N924" s="78"/>
      <c r="O924" s="78"/>
      <c r="P924" s="78"/>
      <c r="Q924" s="78"/>
      <c r="R924" s="78"/>
      <c r="S924" s="78"/>
      <c r="T924" s="78"/>
      <c r="U924" s="78"/>
      <c r="V924" s="78"/>
      <c r="W924" s="78"/>
      <c r="X924" s="78"/>
      <c r="Y924" s="78"/>
    </row>
    <row r="925" spans="1:25" x14ac:dyDescent="0.25">
      <c r="A925" s="112" t="s">
        <v>682</v>
      </c>
      <c r="B925" s="78"/>
      <c r="C925" s="114"/>
      <c r="D925" s="78"/>
      <c r="E925" s="78"/>
      <c r="F925" s="78"/>
      <c r="G925" s="78"/>
      <c r="H925" s="78"/>
      <c r="I925" s="78"/>
      <c r="J925" s="78"/>
      <c r="K925" s="78"/>
      <c r="L925" s="78"/>
      <c r="M925" s="78"/>
      <c r="N925" s="78"/>
      <c r="O925" s="78"/>
      <c r="P925" s="78"/>
      <c r="Q925" s="78"/>
      <c r="R925" s="78"/>
      <c r="S925" s="78"/>
      <c r="T925" s="78"/>
      <c r="U925" s="78"/>
      <c r="V925" s="78"/>
      <c r="W925" s="78"/>
      <c r="X925" s="78"/>
      <c r="Y925" s="78"/>
    </row>
    <row r="926" spans="1:25" x14ac:dyDescent="0.25">
      <c r="A926" s="112" t="s">
        <v>682</v>
      </c>
      <c r="B926" s="78"/>
      <c r="C926" s="114"/>
      <c r="D926" s="78"/>
      <c r="E926" s="78"/>
      <c r="F926" s="78"/>
      <c r="G926" s="78"/>
      <c r="H926" s="78"/>
      <c r="I926" s="78"/>
      <c r="J926" s="78"/>
      <c r="K926" s="78"/>
      <c r="L926" s="78"/>
      <c r="M926" s="78"/>
      <c r="N926" s="78"/>
      <c r="O926" s="78"/>
      <c r="P926" s="78"/>
      <c r="Q926" s="78"/>
      <c r="R926" s="78"/>
      <c r="S926" s="78"/>
      <c r="T926" s="78"/>
      <c r="U926" s="78"/>
      <c r="V926" s="78"/>
      <c r="W926" s="78"/>
      <c r="X926" s="78"/>
      <c r="Y926" s="78"/>
    </row>
    <row r="927" spans="1:25" x14ac:dyDescent="0.25">
      <c r="A927" s="112" t="s">
        <v>682</v>
      </c>
      <c r="B927" s="78"/>
      <c r="C927" s="114"/>
      <c r="D927" s="78"/>
      <c r="E927" s="78"/>
      <c r="F927" s="78"/>
      <c r="G927" s="78"/>
      <c r="H927" s="78"/>
      <c r="I927" s="78"/>
      <c r="J927" s="78"/>
      <c r="K927" s="78"/>
      <c r="L927" s="78"/>
      <c r="M927" s="78"/>
      <c r="N927" s="78"/>
      <c r="O927" s="78"/>
      <c r="P927" s="78"/>
      <c r="Q927" s="78"/>
      <c r="R927" s="78"/>
      <c r="S927" s="78"/>
      <c r="T927" s="78"/>
      <c r="U927" s="78"/>
      <c r="V927" s="78"/>
      <c r="W927" s="78"/>
      <c r="X927" s="78"/>
      <c r="Y927" s="78"/>
    </row>
    <row r="928" spans="1:25" x14ac:dyDescent="0.25">
      <c r="A928" s="112" t="s">
        <v>682</v>
      </c>
      <c r="B928" s="78"/>
      <c r="C928" s="114"/>
      <c r="D928" s="78"/>
      <c r="E928" s="78"/>
      <c r="F928" s="78"/>
      <c r="G928" s="78"/>
      <c r="H928" s="78"/>
      <c r="I928" s="78"/>
      <c r="J928" s="78"/>
      <c r="K928" s="78"/>
      <c r="L928" s="78"/>
      <c r="M928" s="78"/>
      <c r="N928" s="78"/>
      <c r="O928" s="78"/>
      <c r="P928" s="78"/>
      <c r="Q928" s="78"/>
      <c r="R928" s="78"/>
      <c r="S928" s="78"/>
      <c r="T928" s="78"/>
      <c r="U928" s="78"/>
      <c r="V928" s="78"/>
      <c r="W928" s="78"/>
      <c r="X928" s="78"/>
      <c r="Y928" s="78"/>
    </row>
    <row r="929" spans="1:25" x14ac:dyDescent="0.25">
      <c r="A929" s="112" t="s">
        <v>682</v>
      </c>
      <c r="B929" s="78"/>
      <c r="C929" s="114"/>
      <c r="D929" s="78"/>
      <c r="E929" s="78"/>
      <c r="F929" s="78"/>
      <c r="G929" s="78"/>
      <c r="H929" s="78"/>
      <c r="I929" s="78"/>
      <c r="J929" s="78"/>
      <c r="K929" s="78"/>
      <c r="L929" s="78"/>
      <c r="M929" s="78"/>
      <c r="N929" s="78"/>
      <c r="O929" s="78"/>
      <c r="P929" s="78"/>
      <c r="Q929" s="78"/>
      <c r="R929" s="78"/>
      <c r="S929" s="78"/>
      <c r="T929" s="78"/>
      <c r="U929" s="78"/>
      <c r="V929" s="78"/>
      <c r="W929" s="78"/>
      <c r="X929" s="78"/>
      <c r="Y929" s="78"/>
    </row>
    <row r="930" spans="1:25" x14ac:dyDescent="0.25">
      <c r="A930" s="112" t="s">
        <v>682</v>
      </c>
      <c r="B930" s="78"/>
      <c r="C930" s="114"/>
      <c r="D930" s="78"/>
      <c r="E930" s="78"/>
      <c r="F930" s="78"/>
      <c r="G930" s="78"/>
      <c r="H930" s="78"/>
      <c r="I930" s="78"/>
      <c r="J930" s="78"/>
      <c r="K930" s="78"/>
      <c r="L930" s="78"/>
      <c r="M930" s="78"/>
      <c r="N930" s="78"/>
      <c r="O930" s="78"/>
      <c r="P930" s="78"/>
      <c r="Q930" s="78"/>
      <c r="R930" s="78"/>
      <c r="S930" s="78"/>
      <c r="T930" s="78"/>
      <c r="U930" s="78"/>
      <c r="V930" s="78"/>
      <c r="W930" s="78"/>
      <c r="X930" s="78"/>
      <c r="Y930" s="78"/>
    </row>
    <row r="931" spans="1:25" x14ac:dyDescent="0.25">
      <c r="A931" s="112" t="s">
        <v>682</v>
      </c>
      <c r="B931" s="78"/>
      <c r="C931" s="114"/>
      <c r="D931" s="78"/>
      <c r="E931" s="78"/>
      <c r="F931" s="78"/>
      <c r="G931" s="78"/>
      <c r="H931" s="78"/>
      <c r="I931" s="78"/>
      <c r="J931" s="78"/>
      <c r="K931" s="78"/>
      <c r="L931" s="78"/>
      <c r="M931" s="78"/>
      <c r="N931" s="78"/>
      <c r="O931" s="78"/>
      <c r="P931" s="78"/>
      <c r="Q931" s="78"/>
      <c r="R931" s="78"/>
      <c r="S931" s="78"/>
      <c r="T931" s="78"/>
      <c r="U931" s="78"/>
      <c r="V931" s="78"/>
      <c r="W931" s="78"/>
      <c r="X931" s="78"/>
      <c r="Y931" s="78"/>
    </row>
    <row r="932" spans="1:25" x14ac:dyDescent="0.25">
      <c r="A932" s="112" t="s">
        <v>682</v>
      </c>
      <c r="B932" s="78"/>
      <c r="C932" s="114"/>
      <c r="D932" s="78"/>
      <c r="E932" s="78"/>
      <c r="F932" s="78"/>
      <c r="G932" s="78"/>
      <c r="H932" s="78"/>
      <c r="I932" s="78"/>
      <c r="J932" s="78"/>
      <c r="K932" s="78"/>
      <c r="L932" s="78"/>
      <c r="M932" s="78"/>
      <c r="N932" s="78"/>
      <c r="O932" s="78"/>
      <c r="P932" s="78"/>
      <c r="Q932" s="78"/>
      <c r="R932" s="78"/>
      <c r="S932" s="78"/>
      <c r="T932" s="78"/>
      <c r="U932" s="78"/>
      <c r="V932" s="78"/>
      <c r="W932" s="78"/>
      <c r="X932" s="78"/>
      <c r="Y932" s="78"/>
    </row>
    <row r="933" spans="1:25" x14ac:dyDescent="0.25">
      <c r="A933" s="112" t="s">
        <v>682</v>
      </c>
      <c r="B933" s="78"/>
      <c r="C933" s="114"/>
      <c r="D933" s="78"/>
      <c r="E933" s="78"/>
      <c r="F933" s="78"/>
      <c r="G933" s="78"/>
      <c r="H933" s="78"/>
      <c r="I933" s="78"/>
      <c r="J933" s="78"/>
      <c r="K933" s="78"/>
      <c r="L933" s="78"/>
      <c r="M933" s="78"/>
      <c r="N933" s="78"/>
      <c r="O933" s="78"/>
      <c r="P933" s="78"/>
      <c r="Q933" s="78"/>
      <c r="R933" s="78"/>
      <c r="S933" s="78"/>
      <c r="T933" s="78"/>
      <c r="U933" s="78"/>
      <c r="V933" s="78"/>
      <c r="W933" s="78"/>
      <c r="X933" s="78"/>
      <c r="Y933" s="78"/>
    </row>
    <row r="934" spans="1:25" x14ac:dyDescent="0.25">
      <c r="A934" s="112" t="s">
        <v>682</v>
      </c>
      <c r="B934" s="78"/>
      <c r="C934" s="114"/>
      <c r="D934" s="78"/>
      <c r="E934" s="78"/>
      <c r="F934" s="78"/>
      <c r="G934" s="78"/>
      <c r="H934" s="78"/>
      <c r="I934" s="78"/>
      <c r="J934" s="78"/>
      <c r="K934" s="78"/>
      <c r="L934" s="78"/>
      <c r="M934" s="78"/>
      <c r="N934" s="78"/>
      <c r="O934" s="78"/>
      <c r="P934" s="78"/>
      <c r="Q934" s="78"/>
      <c r="R934" s="78"/>
      <c r="S934" s="78"/>
      <c r="T934" s="78"/>
      <c r="U934" s="78"/>
      <c r="V934" s="78"/>
      <c r="W934" s="78"/>
      <c r="X934" s="78"/>
      <c r="Y934" s="78"/>
    </row>
    <row r="935" spans="1:25" x14ac:dyDescent="0.25">
      <c r="A935" s="112" t="s">
        <v>682</v>
      </c>
      <c r="B935" s="78"/>
      <c r="C935" s="114"/>
      <c r="D935" s="78"/>
      <c r="E935" s="78"/>
      <c r="F935" s="78"/>
      <c r="G935" s="78"/>
      <c r="H935" s="78"/>
      <c r="I935" s="78"/>
      <c r="J935" s="78"/>
      <c r="K935" s="78"/>
      <c r="L935" s="78"/>
      <c r="M935" s="78"/>
      <c r="N935" s="78"/>
      <c r="O935" s="78"/>
      <c r="P935" s="78"/>
      <c r="Q935" s="78"/>
      <c r="R935" s="78"/>
      <c r="S935" s="78"/>
      <c r="T935" s="78"/>
      <c r="U935" s="78"/>
      <c r="V935" s="78"/>
      <c r="W935" s="78"/>
      <c r="X935" s="78"/>
      <c r="Y935" s="78"/>
    </row>
    <row r="936" spans="1:25" x14ac:dyDescent="0.25">
      <c r="A936" s="112" t="s">
        <v>682</v>
      </c>
      <c r="B936" s="78"/>
      <c r="C936" s="114"/>
      <c r="D936" s="78"/>
      <c r="E936" s="78"/>
      <c r="F936" s="78"/>
      <c r="G936" s="78"/>
      <c r="H936" s="78"/>
      <c r="I936" s="78"/>
      <c r="J936" s="78"/>
      <c r="K936" s="78"/>
      <c r="L936" s="78"/>
      <c r="M936" s="78"/>
      <c r="N936" s="78"/>
      <c r="O936" s="78"/>
      <c r="P936" s="78"/>
      <c r="Q936" s="78"/>
      <c r="R936" s="78"/>
      <c r="S936" s="78"/>
      <c r="T936" s="78"/>
      <c r="U936" s="78"/>
      <c r="V936" s="78"/>
      <c r="W936" s="78"/>
      <c r="X936" s="78"/>
      <c r="Y936" s="78"/>
    </row>
    <row r="937" spans="1:25" x14ac:dyDescent="0.25">
      <c r="A937" s="112" t="s">
        <v>682</v>
      </c>
      <c r="B937" s="78"/>
      <c r="C937" s="114"/>
      <c r="D937" s="78"/>
      <c r="E937" s="78"/>
      <c r="F937" s="78"/>
      <c r="G937" s="78"/>
      <c r="H937" s="78"/>
      <c r="I937" s="78"/>
      <c r="J937" s="78"/>
      <c r="K937" s="78"/>
      <c r="L937" s="78"/>
      <c r="M937" s="78"/>
      <c r="N937" s="78"/>
      <c r="O937" s="78"/>
      <c r="P937" s="78"/>
      <c r="Q937" s="78"/>
      <c r="R937" s="78"/>
      <c r="S937" s="78"/>
      <c r="T937" s="78"/>
      <c r="U937" s="78"/>
      <c r="V937" s="78"/>
      <c r="W937" s="78"/>
      <c r="X937" s="78"/>
      <c r="Y937" s="78"/>
    </row>
    <row r="938" spans="1:25" x14ac:dyDescent="0.25">
      <c r="A938" s="112" t="s">
        <v>682</v>
      </c>
      <c r="B938" s="78"/>
      <c r="C938" s="114"/>
      <c r="D938" s="78"/>
      <c r="E938" s="78"/>
      <c r="F938" s="78"/>
      <c r="G938" s="78"/>
      <c r="H938" s="78"/>
      <c r="I938" s="78"/>
      <c r="J938" s="78"/>
      <c r="K938" s="78"/>
      <c r="L938" s="78"/>
      <c r="M938" s="78"/>
      <c r="N938" s="78"/>
      <c r="O938" s="78"/>
      <c r="P938" s="78"/>
      <c r="Q938" s="78"/>
      <c r="R938" s="78"/>
      <c r="S938" s="78"/>
      <c r="T938" s="78"/>
      <c r="U938" s="78"/>
      <c r="V938" s="78"/>
      <c r="W938" s="78"/>
      <c r="X938" s="78"/>
      <c r="Y938" s="78"/>
    </row>
    <row r="939" spans="1:25" x14ac:dyDescent="0.25">
      <c r="A939" s="112" t="s">
        <v>682</v>
      </c>
      <c r="B939" s="78"/>
      <c r="C939" s="114"/>
      <c r="D939" s="78"/>
      <c r="E939" s="78"/>
      <c r="F939" s="78"/>
      <c r="G939" s="78"/>
      <c r="H939" s="78"/>
      <c r="I939" s="78"/>
      <c r="J939" s="78"/>
      <c r="K939" s="78"/>
      <c r="L939" s="78"/>
      <c r="M939" s="78"/>
      <c r="N939" s="78"/>
      <c r="O939" s="78"/>
      <c r="P939" s="78"/>
      <c r="Q939" s="78"/>
      <c r="R939" s="78"/>
      <c r="S939" s="78"/>
      <c r="T939" s="78"/>
      <c r="U939" s="78"/>
      <c r="V939" s="78"/>
      <c r="W939" s="78"/>
      <c r="X939" s="78"/>
      <c r="Y939" s="78"/>
    </row>
    <row r="940" spans="1:25" x14ac:dyDescent="0.25">
      <c r="A940" s="112" t="s">
        <v>682</v>
      </c>
      <c r="B940" s="78"/>
      <c r="C940" s="114"/>
      <c r="D940" s="78"/>
      <c r="E940" s="78"/>
      <c r="F940" s="78"/>
      <c r="G940" s="78"/>
      <c r="H940" s="78"/>
      <c r="I940" s="78"/>
      <c r="J940" s="78"/>
      <c r="K940" s="78"/>
      <c r="L940" s="78"/>
      <c r="M940" s="78"/>
      <c r="N940" s="78"/>
      <c r="O940" s="78"/>
      <c r="P940" s="78"/>
      <c r="Q940" s="78"/>
      <c r="R940" s="78"/>
      <c r="S940" s="78"/>
      <c r="T940" s="78"/>
      <c r="U940" s="78"/>
      <c r="V940" s="78"/>
      <c r="W940" s="78"/>
      <c r="X940" s="78"/>
      <c r="Y940" s="78"/>
    </row>
    <row r="941" spans="1:25" x14ac:dyDescent="0.25">
      <c r="A941" s="112" t="s">
        <v>682</v>
      </c>
      <c r="B941" s="78"/>
      <c r="C941" s="114"/>
      <c r="D941" s="78"/>
      <c r="E941" s="78"/>
      <c r="F941" s="78"/>
      <c r="G941" s="78"/>
      <c r="H941" s="78"/>
      <c r="I941" s="78"/>
      <c r="J941" s="78"/>
      <c r="K941" s="78"/>
      <c r="L941" s="78"/>
      <c r="M941" s="78"/>
      <c r="N941" s="78"/>
      <c r="O941" s="78"/>
      <c r="P941" s="78"/>
      <c r="Q941" s="78"/>
      <c r="R941" s="78"/>
      <c r="S941" s="78"/>
      <c r="T941" s="78"/>
      <c r="U941" s="78"/>
      <c r="V941" s="78"/>
      <c r="W941" s="78"/>
      <c r="X941" s="78"/>
      <c r="Y941" s="78"/>
    </row>
    <row r="942" spans="1:25" x14ac:dyDescent="0.25">
      <c r="A942" s="112" t="s">
        <v>682</v>
      </c>
      <c r="B942" s="78"/>
      <c r="C942" s="114"/>
      <c r="D942" s="78"/>
      <c r="E942" s="78"/>
      <c r="F942" s="78"/>
      <c r="G942" s="78"/>
      <c r="H942" s="78"/>
      <c r="I942" s="78"/>
      <c r="J942" s="78"/>
      <c r="K942" s="78"/>
      <c r="L942" s="78"/>
      <c r="M942" s="78"/>
      <c r="N942" s="78"/>
      <c r="O942" s="78"/>
      <c r="P942" s="78"/>
      <c r="Q942" s="78"/>
      <c r="R942" s="78"/>
      <c r="S942" s="78"/>
      <c r="T942" s="78"/>
      <c r="U942" s="78"/>
      <c r="V942" s="78"/>
      <c r="W942" s="78"/>
      <c r="X942" s="78"/>
      <c r="Y942" s="78"/>
    </row>
    <row r="943" spans="1:25" x14ac:dyDescent="0.25">
      <c r="A943" s="112" t="s">
        <v>682</v>
      </c>
      <c r="B943" s="78"/>
      <c r="C943" s="114"/>
      <c r="D943" s="78"/>
      <c r="E943" s="78"/>
      <c r="F943" s="78"/>
      <c r="G943" s="78"/>
      <c r="H943" s="78"/>
      <c r="I943" s="78"/>
      <c r="J943" s="78"/>
      <c r="K943" s="78"/>
      <c r="L943" s="78"/>
      <c r="M943" s="78"/>
      <c r="N943" s="78"/>
      <c r="O943" s="78"/>
      <c r="P943" s="78"/>
      <c r="Q943" s="78"/>
      <c r="R943" s="78"/>
      <c r="S943" s="78"/>
      <c r="T943" s="78"/>
      <c r="U943" s="78"/>
      <c r="V943" s="78"/>
      <c r="W943" s="78"/>
      <c r="X943" s="78"/>
      <c r="Y943" s="78"/>
    </row>
    <row r="944" spans="1:25" x14ac:dyDescent="0.25">
      <c r="A944" s="112" t="s">
        <v>682</v>
      </c>
      <c r="B944" s="78"/>
      <c r="C944" s="114"/>
      <c r="D944" s="78"/>
      <c r="E944" s="78"/>
      <c r="F944" s="78"/>
      <c r="G944" s="78"/>
      <c r="H944" s="78"/>
      <c r="I944" s="78"/>
      <c r="J944" s="78"/>
      <c r="K944" s="78"/>
      <c r="L944" s="78"/>
      <c r="M944" s="78"/>
      <c r="N944" s="78"/>
      <c r="O944" s="78"/>
      <c r="P944" s="78"/>
      <c r="Q944" s="78"/>
      <c r="R944" s="78"/>
      <c r="S944" s="78"/>
      <c r="T944" s="78"/>
      <c r="U944" s="78"/>
      <c r="V944" s="78"/>
      <c r="W944" s="78"/>
      <c r="X944" s="78"/>
      <c r="Y944" s="78"/>
    </row>
    <row r="945" spans="1:25" x14ac:dyDescent="0.25">
      <c r="A945" s="112" t="s">
        <v>682</v>
      </c>
      <c r="B945" s="78"/>
      <c r="C945" s="114"/>
      <c r="D945" s="78"/>
      <c r="E945" s="78"/>
      <c r="F945" s="78"/>
      <c r="G945" s="78"/>
      <c r="H945" s="78"/>
      <c r="I945" s="78"/>
      <c r="J945" s="78"/>
      <c r="K945" s="78"/>
      <c r="L945" s="78"/>
      <c r="M945" s="78"/>
      <c r="N945" s="78"/>
      <c r="O945" s="78"/>
      <c r="P945" s="78"/>
      <c r="Q945" s="78"/>
      <c r="R945" s="78"/>
      <c r="S945" s="78"/>
      <c r="T945" s="78"/>
      <c r="U945" s="78"/>
      <c r="V945" s="78"/>
      <c r="W945" s="78"/>
      <c r="X945" s="78"/>
      <c r="Y945" s="78"/>
    </row>
    <row r="946" spans="1:25" x14ac:dyDescent="0.25">
      <c r="A946" s="112" t="s">
        <v>682</v>
      </c>
      <c r="B946" s="78"/>
      <c r="C946" s="114"/>
      <c r="D946" s="78"/>
      <c r="E946" s="78"/>
      <c r="F946" s="78"/>
      <c r="G946" s="78"/>
      <c r="H946" s="78"/>
      <c r="I946" s="78"/>
      <c r="J946" s="78"/>
      <c r="K946" s="78"/>
      <c r="L946" s="78"/>
      <c r="M946" s="78"/>
      <c r="N946" s="78"/>
      <c r="O946" s="78"/>
      <c r="P946" s="78"/>
      <c r="Q946" s="78"/>
      <c r="R946" s="78"/>
      <c r="S946" s="78"/>
      <c r="T946" s="78"/>
      <c r="U946" s="78"/>
      <c r="V946" s="78"/>
      <c r="W946" s="78"/>
      <c r="X946" s="78"/>
      <c r="Y946" s="78"/>
    </row>
    <row r="947" spans="1:25" x14ac:dyDescent="0.25">
      <c r="A947" s="112" t="s">
        <v>682</v>
      </c>
      <c r="B947" s="78"/>
      <c r="C947" s="114"/>
      <c r="D947" s="78"/>
      <c r="E947" s="78"/>
      <c r="F947" s="78"/>
      <c r="G947" s="78"/>
      <c r="H947" s="78"/>
      <c r="I947" s="78"/>
      <c r="J947" s="78"/>
      <c r="K947" s="78"/>
      <c r="L947" s="78"/>
      <c r="M947" s="78"/>
      <c r="N947" s="78"/>
      <c r="O947" s="78"/>
      <c r="P947" s="78"/>
      <c r="Q947" s="78"/>
      <c r="R947" s="78"/>
      <c r="S947" s="78"/>
      <c r="T947" s="78"/>
      <c r="U947" s="78"/>
      <c r="V947" s="78"/>
      <c r="W947" s="78"/>
      <c r="X947" s="78"/>
      <c r="Y947" s="78"/>
    </row>
    <row r="948" spans="1:25" x14ac:dyDescent="0.25">
      <c r="A948" s="112" t="s">
        <v>682</v>
      </c>
      <c r="B948" s="78"/>
      <c r="C948" s="114"/>
      <c r="D948" s="78"/>
      <c r="E948" s="78"/>
      <c r="F948" s="78"/>
      <c r="G948" s="78"/>
      <c r="H948" s="78"/>
      <c r="I948" s="78"/>
      <c r="J948" s="78"/>
      <c r="K948" s="78"/>
      <c r="L948" s="78"/>
      <c r="M948" s="78"/>
      <c r="N948" s="78"/>
      <c r="O948" s="78"/>
      <c r="P948" s="78"/>
      <c r="Q948" s="78"/>
      <c r="R948" s="78"/>
      <c r="S948" s="78"/>
      <c r="T948" s="78"/>
      <c r="U948" s="78"/>
      <c r="V948" s="78"/>
      <c r="W948" s="78"/>
      <c r="X948" s="78"/>
      <c r="Y948" s="78"/>
    </row>
    <row r="949" spans="1:25" x14ac:dyDescent="0.25">
      <c r="A949" s="112" t="s">
        <v>682</v>
      </c>
      <c r="B949" s="78"/>
      <c r="C949" s="114"/>
      <c r="D949" s="78"/>
      <c r="E949" s="78"/>
      <c r="F949" s="78"/>
      <c r="G949" s="78"/>
      <c r="H949" s="78"/>
      <c r="I949" s="78"/>
      <c r="J949" s="78"/>
      <c r="K949" s="78"/>
      <c r="L949" s="78"/>
      <c r="M949" s="78"/>
      <c r="N949" s="78"/>
      <c r="O949" s="78"/>
      <c r="P949" s="78"/>
      <c r="Q949" s="78"/>
      <c r="R949" s="78"/>
      <c r="S949" s="78"/>
      <c r="T949" s="78"/>
      <c r="U949" s="78"/>
      <c r="V949" s="78"/>
      <c r="W949" s="78"/>
      <c r="X949" s="78"/>
      <c r="Y949" s="78"/>
    </row>
    <row r="950" spans="1:25" x14ac:dyDescent="0.25">
      <c r="A950" s="112" t="s">
        <v>682</v>
      </c>
      <c r="B950" s="78"/>
      <c r="C950" s="114"/>
      <c r="D950" s="78"/>
      <c r="E950" s="78"/>
      <c r="F950" s="78"/>
      <c r="G950" s="78"/>
      <c r="H950" s="78"/>
      <c r="I950" s="78"/>
      <c r="J950" s="78"/>
      <c r="K950" s="78"/>
      <c r="L950" s="78"/>
      <c r="M950" s="78"/>
      <c r="N950" s="78"/>
      <c r="O950" s="78"/>
      <c r="P950" s="78"/>
      <c r="Q950" s="78"/>
      <c r="R950" s="78"/>
      <c r="S950" s="78"/>
      <c r="T950" s="78"/>
      <c r="U950" s="78"/>
      <c r="V950" s="78"/>
      <c r="W950" s="78"/>
      <c r="X950" s="78"/>
      <c r="Y950" s="78"/>
    </row>
    <row r="951" spans="1:25" x14ac:dyDescent="0.25">
      <c r="A951" s="112" t="s">
        <v>682</v>
      </c>
      <c r="B951" s="78"/>
      <c r="C951" s="114"/>
      <c r="D951" s="78"/>
      <c r="E951" s="78"/>
      <c r="F951" s="78"/>
      <c r="G951" s="78"/>
      <c r="H951" s="78"/>
      <c r="I951" s="78"/>
      <c r="J951" s="78"/>
      <c r="K951" s="78"/>
      <c r="L951" s="78"/>
      <c r="M951" s="78"/>
      <c r="N951" s="78"/>
      <c r="O951" s="78"/>
      <c r="P951" s="78"/>
      <c r="Q951" s="78"/>
      <c r="R951" s="78"/>
      <c r="S951" s="78"/>
      <c r="T951" s="78"/>
      <c r="U951" s="78"/>
      <c r="V951" s="78"/>
      <c r="W951" s="78"/>
      <c r="X951" s="78"/>
      <c r="Y951" s="78"/>
    </row>
    <row r="952" spans="1:25" x14ac:dyDescent="0.25">
      <c r="A952" s="112" t="s">
        <v>682</v>
      </c>
      <c r="B952" s="78"/>
      <c r="C952" s="114"/>
      <c r="D952" s="78"/>
      <c r="E952" s="78"/>
      <c r="F952" s="78"/>
      <c r="G952" s="78"/>
      <c r="H952" s="78"/>
      <c r="I952" s="78"/>
      <c r="J952" s="78"/>
      <c r="K952" s="78"/>
      <c r="L952" s="78"/>
      <c r="M952" s="78"/>
      <c r="N952" s="78"/>
      <c r="O952" s="78"/>
      <c r="P952" s="78"/>
      <c r="Q952" s="78"/>
      <c r="R952" s="78"/>
      <c r="S952" s="78"/>
      <c r="T952" s="78"/>
      <c r="U952" s="78"/>
      <c r="V952" s="78"/>
      <c r="W952" s="78"/>
      <c r="X952" s="78"/>
      <c r="Y952" s="78"/>
    </row>
    <row r="953" spans="1:25" x14ac:dyDescent="0.25">
      <c r="A953" s="112" t="s">
        <v>682</v>
      </c>
      <c r="B953" s="78"/>
      <c r="C953" s="114"/>
      <c r="D953" s="78"/>
      <c r="E953" s="78"/>
      <c r="F953" s="78"/>
      <c r="G953" s="78"/>
      <c r="H953" s="78"/>
      <c r="I953" s="78"/>
      <c r="J953" s="78"/>
      <c r="K953" s="78"/>
      <c r="L953" s="78"/>
      <c r="M953" s="78"/>
      <c r="N953" s="78"/>
      <c r="O953" s="78"/>
      <c r="P953" s="78"/>
      <c r="Q953" s="78"/>
      <c r="R953" s="78"/>
      <c r="S953" s="78"/>
      <c r="T953" s="78"/>
      <c r="U953" s="78"/>
      <c r="V953" s="78"/>
      <c r="W953" s="78"/>
      <c r="X953" s="78"/>
      <c r="Y953" s="78"/>
    </row>
    <row r="954" spans="1:25" x14ac:dyDescent="0.25">
      <c r="A954" s="112" t="s">
        <v>682</v>
      </c>
      <c r="B954" s="78"/>
      <c r="C954" s="114"/>
      <c r="D954" s="78"/>
      <c r="E954" s="78"/>
      <c r="F954" s="78"/>
      <c r="G954" s="78"/>
      <c r="H954" s="78"/>
      <c r="I954" s="78"/>
      <c r="J954" s="78"/>
      <c r="K954" s="78"/>
      <c r="L954" s="78"/>
      <c r="M954" s="78"/>
      <c r="N954" s="78"/>
      <c r="O954" s="78"/>
      <c r="P954" s="78"/>
      <c r="Q954" s="78"/>
      <c r="R954" s="78"/>
      <c r="S954" s="78"/>
      <c r="T954" s="78"/>
      <c r="U954" s="78"/>
      <c r="V954" s="78"/>
      <c r="W954" s="78"/>
      <c r="X954" s="78"/>
      <c r="Y954" s="78"/>
    </row>
    <row r="955" spans="1:25" x14ac:dyDescent="0.25">
      <c r="A955" s="112" t="s">
        <v>682</v>
      </c>
      <c r="B955" s="78"/>
      <c r="C955" s="114"/>
      <c r="D955" s="78"/>
      <c r="E955" s="78"/>
      <c r="F955" s="78"/>
      <c r="G955" s="78"/>
      <c r="H955" s="78"/>
      <c r="I955" s="78"/>
      <c r="J955" s="78"/>
      <c r="K955" s="78"/>
      <c r="L955" s="78"/>
      <c r="M955" s="78"/>
      <c r="N955" s="78"/>
      <c r="O955" s="78"/>
      <c r="P955" s="78"/>
      <c r="Q955" s="78"/>
      <c r="R955" s="78"/>
      <c r="S955" s="78"/>
      <c r="T955" s="78"/>
      <c r="U955" s="78"/>
      <c r="V955" s="78"/>
      <c r="W955" s="78"/>
      <c r="X955" s="78"/>
      <c r="Y955" s="78"/>
    </row>
    <row r="956" spans="1:25" x14ac:dyDescent="0.25">
      <c r="A956" s="112" t="s">
        <v>682</v>
      </c>
      <c r="B956" s="78"/>
      <c r="C956" s="114"/>
      <c r="D956" s="78"/>
      <c r="E956" s="78"/>
      <c r="F956" s="78"/>
      <c r="G956" s="78"/>
      <c r="H956" s="78"/>
      <c r="I956" s="78"/>
      <c r="J956" s="78"/>
      <c r="K956" s="78"/>
      <c r="L956" s="78"/>
      <c r="M956" s="78"/>
      <c r="N956" s="78"/>
      <c r="O956" s="78"/>
      <c r="P956" s="78"/>
      <c r="Q956" s="78"/>
      <c r="R956" s="78"/>
      <c r="S956" s="78"/>
      <c r="T956" s="78"/>
      <c r="U956" s="78"/>
      <c r="V956" s="78"/>
      <c r="W956" s="78"/>
      <c r="X956" s="78"/>
      <c r="Y956" s="78"/>
    </row>
    <row r="957" spans="1:25" x14ac:dyDescent="0.25">
      <c r="A957" s="112" t="s">
        <v>682</v>
      </c>
      <c r="B957" s="78"/>
      <c r="C957" s="114"/>
      <c r="D957" s="78"/>
      <c r="E957" s="78"/>
      <c r="F957" s="78"/>
      <c r="G957" s="78"/>
      <c r="H957" s="78"/>
      <c r="I957" s="78"/>
      <c r="J957" s="78"/>
      <c r="K957" s="78"/>
      <c r="L957" s="78"/>
      <c r="M957" s="78"/>
      <c r="N957" s="78"/>
      <c r="O957" s="78"/>
      <c r="P957" s="78"/>
      <c r="Q957" s="78"/>
      <c r="R957" s="78"/>
      <c r="S957" s="78"/>
      <c r="T957" s="78"/>
      <c r="U957" s="78"/>
      <c r="V957" s="78"/>
      <c r="W957" s="78"/>
      <c r="X957" s="78"/>
      <c r="Y957" s="78"/>
    </row>
    <row r="958" spans="1:25" x14ac:dyDescent="0.25">
      <c r="A958" s="112" t="s">
        <v>682</v>
      </c>
      <c r="B958" s="78"/>
      <c r="C958" s="114"/>
      <c r="D958" s="78"/>
      <c r="E958" s="78"/>
      <c r="F958" s="78"/>
      <c r="G958" s="78"/>
      <c r="H958" s="78"/>
      <c r="I958" s="78"/>
      <c r="J958" s="78"/>
      <c r="K958" s="78"/>
      <c r="L958" s="78"/>
      <c r="M958" s="78"/>
      <c r="N958" s="78"/>
      <c r="O958" s="78"/>
      <c r="P958" s="78"/>
      <c r="Q958" s="78"/>
      <c r="R958" s="78"/>
      <c r="S958" s="78"/>
      <c r="T958" s="78"/>
      <c r="U958" s="78"/>
      <c r="V958" s="78"/>
      <c r="W958" s="78"/>
      <c r="X958" s="78"/>
      <c r="Y958" s="78"/>
    </row>
    <row r="959" spans="1:25" x14ac:dyDescent="0.25">
      <c r="A959" s="112" t="s">
        <v>682</v>
      </c>
      <c r="B959" s="78"/>
      <c r="C959" s="114"/>
      <c r="D959" s="78"/>
      <c r="E959" s="78"/>
      <c r="F959" s="78"/>
      <c r="G959" s="78"/>
      <c r="H959" s="78"/>
      <c r="I959" s="78"/>
      <c r="J959" s="78"/>
      <c r="K959" s="78"/>
      <c r="L959" s="78"/>
      <c r="M959" s="78"/>
      <c r="N959" s="78"/>
      <c r="O959" s="78"/>
      <c r="P959" s="78"/>
      <c r="Q959" s="78"/>
      <c r="R959" s="78"/>
      <c r="S959" s="78"/>
      <c r="T959" s="78"/>
      <c r="U959" s="78"/>
      <c r="V959" s="78"/>
      <c r="W959" s="78"/>
      <c r="X959" s="78"/>
      <c r="Y959" s="78"/>
    </row>
    <row r="960" spans="1:25" x14ac:dyDescent="0.25">
      <c r="A960" s="112" t="s">
        <v>682</v>
      </c>
      <c r="B960" s="78"/>
      <c r="C960" s="114"/>
      <c r="D960" s="78"/>
      <c r="E960" s="78"/>
      <c r="F960" s="78"/>
      <c r="G960" s="78"/>
      <c r="H960" s="78"/>
      <c r="I960" s="78"/>
      <c r="J960" s="78"/>
      <c r="K960" s="78"/>
      <c r="L960" s="78"/>
      <c r="M960" s="78"/>
      <c r="N960" s="78"/>
      <c r="O960" s="78"/>
      <c r="P960" s="78"/>
      <c r="Q960" s="78"/>
      <c r="R960" s="78"/>
      <c r="S960" s="78"/>
      <c r="T960" s="78"/>
      <c r="U960" s="78"/>
      <c r="V960" s="78"/>
      <c r="W960" s="78"/>
      <c r="X960" s="78"/>
      <c r="Y960" s="78"/>
    </row>
    <row r="961" spans="1:25" x14ac:dyDescent="0.25">
      <c r="A961" s="112" t="s">
        <v>682</v>
      </c>
      <c r="B961" s="78"/>
      <c r="C961" s="114"/>
      <c r="D961" s="78"/>
      <c r="E961" s="78"/>
      <c r="F961" s="78"/>
      <c r="G961" s="78"/>
      <c r="H961" s="78"/>
      <c r="I961" s="78"/>
      <c r="J961" s="78"/>
      <c r="K961" s="78"/>
      <c r="L961" s="78"/>
      <c r="M961" s="78"/>
      <c r="N961" s="78"/>
      <c r="O961" s="78"/>
      <c r="P961" s="78"/>
      <c r="Q961" s="78"/>
      <c r="R961" s="78"/>
      <c r="S961" s="78"/>
      <c r="T961" s="78"/>
      <c r="U961" s="78"/>
      <c r="V961" s="78"/>
      <c r="W961" s="78"/>
      <c r="X961" s="78"/>
      <c r="Y961" s="78"/>
    </row>
    <row r="962" spans="1:25" x14ac:dyDescent="0.25">
      <c r="A962" s="112" t="s">
        <v>682</v>
      </c>
      <c r="B962" s="78"/>
      <c r="C962" s="114"/>
      <c r="D962" s="78"/>
      <c r="E962" s="78"/>
      <c r="F962" s="78"/>
      <c r="G962" s="78"/>
      <c r="H962" s="78"/>
      <c r="I962" s="78"/>
      <c r="J962" s="78"/>
      <c r="K962" s="78"/>
      <c r="L962" s="78"/>
      <c r="M962" s="78"/>
      <c r="N962" s="78"/>
      <c r="O962" s="78"/>
      <c r="P962" s="78"/>
      <c r="Q962" s="78"/>
      <c r="R962" s="78"/>
      <c r="S962" s="78"/>
      <c r="T962" s="78"/>
      <c r="U962" s="78"/>
      <c r="V962" s="78"/>
      <c r="W962" s="78"/>
      <c r="X962" s="78"/>
      <c r="Y962" s="78"/>
    </row>
    <row r="963" spans="1:25" x14ac:dyDescent="0.25">
      <c r="A963" s="112" t="s">
        <v>682</v>
      </c>
      <c r="B963" s="78"/>
      <c r="C963" s="114"/>
      <c r="D963" s="78"/>
      <c r="E963" s="78"/>
      <c r="F963" s="78"/>
      <c r="G963" s="78"/>
      <c r="H963" s="78"/>
      <c r="I963" s="78"/>
      <c r="J963" s="78"/>
      <c r="K963" s="78"/>
      <c r="L963" s="78"/>
      <c r="M963" s="78"/>
      <c r="N963" s="78"/>
      <c r="O963" s="78"/>
      <c r="P963" s="78"/>
      <c r="Q963" s="78"/>
      <c r="R963" s="78"/>
      <c r="S963" s="78"/>
      <c r="T963" s="78"/>
      <c r="U963" s="78"/>
      <c r="V963" s="78"/>
      <c r="W963" s="78"/>
      <c r="X963" s="78"/>
      <c r="Y963" s="78"/>
    </row>
    <row r="964" spans="1:25" x14ac:dyDescent="0.25">
      <c r="A964" s="112" t="s">
        <v>682</v>
      </c>
      <c r="B964" s="78"/>
      <c r="C964" s="114"/>
      <c r="D964" s="78"/>
      <c r="E964" s="78"/>
      <c r="F964" s="78"/>
      <c r="G964" s="78"/>
      <c r="H964" s="78"/>
      <c r="I964" s="78"/>
      <c r="J964" s="78"/>
      <c r="K964" s="78"/>
      <c r="L964" s="78"/>
      <c r="M964" s="78"/>
      <c r="N964" s="78"/>
      <c r="O964" s="78"/>
      <c r="P964" s="78"/>
      <c r="Q964" s="78"/>
      <c r="R964" s="78"/>
      <c r="S964" s="78"/>
      <c r="T964" s="78"/>
      <c r="U964" s="78"/>
      <c r="V964" s="78"/>
      <c r="W964" s="78"/>
      <c r="X964" s="78"/>
      <c r="Y964" s="78"/>
    </row>
    <row r="965" spans="1:25" x14ac:dyDescent="0.25">
      <c r="A965" s="112" t="s">
        <v>682</v>
      </c>
      <c r="B965" s="78"/>
      <c r="C965" s="114"/>
      <c r="D965" s="78"/>
      <c r="E965" s="78"/>
      <c r="F965" s="78"/>
      <c r="G965" s="78"/>
      <c r="H965" s="78"/>
      <c r="I965" s="78"/>
      <c r="J965" s="78"/>
      <c r="K965" s="78"/>
      <c r="L965" s="78"/>
      <c r="M965" s="78"/>
      <c r="N965" s="78"/>
      <c r="O965" s="78"/>
      <c r="P965" s="78"/>
      <c r="Q965" s="78"/>
      <c r="R965" s="78"/>
      <c r="S965" s="78"/>
      <c r="T965" s="78"/>
      <c r="U965" s="78"/>
      <c r="V965" s="78"/>
      <c r="W965" s="78"/>
      <c r="X965" s="78"/>
      <c r="Y965" s="78"/>
    </row>
    <row r="966" spans="1:25" x14ac:dyDescent="0.25">
      <c r="A966" s="112" t="s">
        <v>682</v>
      </c>
      <c r="B966" s="78"/>
      <c r="C966" s="114"/>
      <c r="D966" s="78"/>
      <c r="E966" s="78"/>
      <c r="F966" s="78"/>
      <c r="G966" s="78"/>
      <c r="H966" s="78"/>
      <c r="I966" s="78"/>
      <c r="J966" s="78"/>
      <c r="K966" s="78"/>
      <c r="L966" s="78"/>
      <c r="M966" s="78"/>
      <c r="N966" s="78"/>
      <c r="O966" s="78"/>
      <c r="P966" s="78"/>
      <c r="Q966" s="78"/>
      <c r="R966" s="78"/>
      <c r="S966" s="78"/>
      <c r="T966" s="78"/>
      <c r="U966" s="78"/>
      <c r="V966" s="78"/>
      <c r="W966" s="78"/>
      <c r="X966" s="78"/>
      <c r="Y966" s="78"/>
    </row>
    <row r="967" spans="1:25" x14ac:dyDescent="0.25">
      <c r="A967" s="112" t="s">
        <v>682</v>
      </c>
      <c r="B967" s="78"/>
      <c r="C967" s="114"/>
      <c r="D967" s="78"/>
      <c r="E967" s="78"/>
      <c r="F967" s="78"/>
      <c r="G967" s="78"/>
      <c r="H967" s="78"/>
      <c r="I967" s="78"/>
      <c r="J967" s="78"/>
      <c r="K967" s="78"/>
      <c r="L967" s="78"/>
      <c r="M967" s="78"/>
      <c r="N967" s="78"/>
      <c r="O967" s="78"/>
      <c r="P967" s="78"/>
      <c r="Q967" s="78"/>
      <c r="R967" s="78"/>
      <c r="S967" s="78"/>
      <c r="T967" s="78"/>
      <c r="U967" s="78"/>
      <c r="V967" s="78"/>
      <c r="W967" s="78"/>
      <c r="X967" s="78"/>
      <c r="Y967" s="78"/>
    </row>
    <row r="968" spans="1:25" x14ac:dyDescent="0.25">
      <c r="A968" s="112" t="s">
        <v>682</v>
      </c>
      <c r="B968" s="78"/>
      <c r="C968" s="114"/>
      <c r="D968" s="78"/>
      <c r="E968" s="78"/>
      <c r="F968" s="78"/>
      <c r="G968" s="78"/>
      <c r="H968" s="78"/>
      <c r="I968" s="78"/>
      <c r="J968" s="78"/>
      <c r="K968" s="78"/>
      <c r="L968" s="78"/>
      <c r="M968" s="78"/>
      <c r="N968" s="78"/>
      <c r="O968" s="78"/>
      <c r="P968" s="78"/>
      <c r="Q968" s="78"/>
      <c r="R968" s="78"/>
      <c r="S968" s="78"/>
      <c r="T968" s="78"/>
      <c r="U968" s="78"/>
      <c r="V968" s="78"/>
      <c r="W968" s="78"/>
      <c r="X968" s="78"/>
      <c r="Y968" s="78"/>
    </row>
    <row r="969" spans="1:25" x14ac:dyDescent="0.25">
      <c r="A969" s="112" t="s">
        <v>682</v>
      </c>
      <c r="B969" s="78"/>
      <c r="C969" s="114"/>
      <c r="D969" s="78"/>
      <c r="E969" s="78"/>
      <c r="F969" s="78"/>
      <c r="G969" s="78"/>
      <c r="H969" s="78"/>
      <c r="I969" s="78"/>
      <c r="J969" s="78"/>
      <c r="K969" s="78"/>
      <c r="L969" s="78"/>
      <c r="M969" s="78"/>
      <c r="N969" s="78"/>
      <c r="O969" s="78"/>
      <c r="P969" s="78"/>
      <c r="Q969" s="78"/>
      <c r="R969" s="78"/>
      <c r="S969" s="78"/>
      <c r="T969" s="78"/>
      <c r="U969" s="78"/>
      <c r="V969" s="78"/>
      <c r="W969" s="78"/>
      <c r="X969" s="78"/>
      <c r="Y969" s="78"/>
    </row>
    <row r="970" spans="1:25" x14ac:dyDescent="0.25">
      <c r="A970" s="112" t="s">
        <v>682</v>
      </c>
      <c r="B970" s="78"/>
      <c r="C970" s="114"/>
      <c r="D970" s="78"/>
      <c r="E970" s="78"/>
      <c r="F970" s="78"/>
      <c r="G970" s="78"/>
      <c r="H970" s="78"/>
      <c r="I970" s="78"/>
      <c r="J970" s="78"/>
      <c r="K970" s="78"/>
      <c r="L970" s="78"/>
      <c r="M970" s="78"/>
      <c r="N970" s="78"/>
      <c r="O970" s="78"/>
      <c r="P970" s="78"/>
      <c r="Q970" s="78"/>
      <c r="R970" s="78"/>
      <c r="S970" s="78"/>
      <c r="T970" s="78"/>
      <c r="U970" s="78"/>
      <c r="V970" s="78"/>
      <c r="W970" s="78"/>
      <c r="X970" s="78"/>
      <c r="Y970" s="78"/>
    </row>
    <row r="971" spans="1:25" x14ac:dyDescent="0.25">
      <c r="A971" s="112" t="s">
        <v>682</v>
      </c>
      <c r="B971" s="78"/>
      <c r="C971" s="114"/>
      <c r="D971" s="78"/>
      <c r="E971" s="78"/>
      <c r="F971" s="78"/>
      <c r="G971" s="78"/>
      <c r="H971" s="78"/>
      <c r="I971" s="78"/>
      <c r="J971" s="78"/>
      <c r="K971" s="78"/>
      <c r="L971" s="78"/>
      <c r="M971" s="78"/>
      <c r="N971" s="78"/>
      <c r="O971" s="78"/>
      <c r="P971" s="78"/>
      <c r="Q971" s="78"/>
      <c r="R971" s="78"/>
      <c r="S971" s="78"/>
      <c r="T971" s="78"/>
      <c r="U971" s="78"/>
      <c r="V971" s="78"/>
      <c r="W971" s="78"/>
      <c r="X971" s="78"/>
      <c r="Y971" s="78"/>
    </row>
    <row r="972" spans="1:25" x14ac:dyDescent="0.25">
      <c r="A972" s="112" t="s">
        <v>682</v>
      </c>
      <c r="B972" s="78"/>
      <c r="C972" s="114"/>
      <c r="D972" s="78"/>
      <c r="E972" s="78"/>
      <c r="F972" s="78"/>
      <c r="G972" s="78"/>
      <c r="H972" s="78"/>
      <c r="I972" s="78"/>
      <c r="J972" s="78"/>
      <c r="K972" s="78"/>
      <c r="L972" s="78"/>
      <c r="M972" s="78"/>
      <c r="N972" s="78"/>
      <c r="O972" s="78"/>
      <c r="P972" s="78"/>
      <c r="Q972" s="78"/>
      <c r="R972" s="78"/>
      <c r="S972" s="78"/>
      <c r="T972" s="78"/>
      <c r="U972" s="78"/>
      <c r="V972" s="78"/>
      <c r="W972" s="78"/>
      <c r="X972" s="78"/>
      <c r="Y972" s="78"/>
    </row>
    <row r="973" spans="1:25" x14ac:dyDescent="0.25">
      <c r="A973" s="112" t="s">
        <v>682</v>
      </c>
      <c r="B973" s="78"/>
      <c r="C973" s="114"/>
      <c r="D973" s="78"/>
      <c r="E973" s="78"/>
      <c r="F973" s="78"/>
      <c r="G973" s="78"/>
      <c r="H973" s="78"/>
      <c r="I973" s="78"/>
      <c r="J973" s="78"/>
      <c r="K973" s="78"/>
      <c r="L973" s="78"/>
      <c r="M973" s="78"/>
      <c r="N973" s="78"/>
      <c r="O973" s="78"/>
      <c r="P973" s="78"/>
      <c r="Q973" s="78"/>
      <c r="R973" s="78"/>
      <c r="S973" s="78"/>
      <c r="T973" s="78"/>
      <c r="U973" s="78"/>
      <c r="V973" s="78"/>
      <c r="W973" s="78"/>
      <c r="X973" s="78"/>
      <c r="Y973" s="78"/>
    </row>
    <row r="974" spans="1:25" x14ac:dyDescent="0.25">
      <c r="A974" s="112" t="s">
        <v>682</v>
      </c>
      <c r="B974" s="78"/>
      <c r="C974" s="114"/>
      <c r="D974" s="78"/>
      <c r="E974" s="78"/>
      <c r="F974" s="78"/>
      <c r="G974" s="78"/>
      <c r="H974" s="78"/>
      <c r="I974" s="78"/>
      <c r="J974" s="78"/>
      <c r="K974" s="78"/>
      <c r="L974" s="78"/>
      <c r="M974" s="78"/>
      <c r="N974" s="78"/>
      <c r="O974" s="78"/>
      <c r="P974" s="78"/>
      <c r="Q974" s="78"/>
      <c r="R974" s="78"/>
      <c r="S974" s="78"/>
      <c r="T974" s="78"/>
      <c r="U974" s="78"/>
      <c r="V974" s="78"/>
      <c r="W974" s="78"/>
      <c r="X974" s="78"/>
      <c r="Y974" s="78"/>
    </row>
    <row r="975" spans="1:25" x14ac:dyDescent="0.25">
      <c r="A975" s="112" t="s">
        <v>682</v>
      </c>
      <c r="B975" s="78"/>
      <c r="C975" s="114"/>
      <c r="D975" s="78"/>
      <c r="E975" s="78"/>
      <c r="F975" s="78"/>
      <c r="G975" s="78"/>
      <c r="H975" s="78"/>
      <c r="I975" s="78"/>
      <c r="J975" s="78"/>
      <c r="K975" s="78"/>
      <c r="L975" s="78"/>
      <c r="M975" s="78"/>
      <c r="N975" s="78"/>
      <c r="O975" s="78"/>
      <c r="P975" s="78"/>
      <c r="Q975" s="78"/>
      <c r="R975" s="78"/>
      <c r="S975" s="78"/>
      <c r="T975" s="78"/>
      <c r="U975" s="78"/>
      <c r="V975" s="78"/>
      <c r="W975" s="78"/>
      <c r="X975" s="78"/>
      <c r="Y975" s="78"/>
    </row>
    <row r="976" spans="1:25" x14ac:dyDescent="0.25">
      <c r="A976" s="112" t="s">
        <v>682</v>
      </c>
      <c r="B976" s="78"/>
      <c r="C976" s="114"/>
      <c r="D976" s="78"/>
      <c r="E976" s="78"/>
      <c r="F976" s="78"/>
      <c r="G976" s="78"/>
      <c r="H976" s="78"/>
      <c r="I976" s="78"/>
      <c r="J976" s="78"/>
      <c r="K976" s="78"/>
      <c r="L976" s="78"/>
      <c r="M976" s="78"/>
      <c r="N976" s="78"/>
      <c r="O976" s="78"/>
      <c r="P976" s="78"/>
      <c r="Q976" s="78"/>
      <c r="R976" s="78"/>
      <c r="S976" s="78"/>
      <c r="T976" s="78"/>
      <c r="U976" s="78"/>
      <c r="V976" s="78"/>
      <c r="W976" s="78"/>
      <c r="X976" s="78"/>
      <c r="Y976" s="78"/>
    </row>
    <row r="977" spans="1:25" x14ac:dyDescent="0.25">
      <c r="A977" s="112" t="s">
        <v>682</v>
      </c>
      <c r="B977" s="78"/>
      <c r="C977" s="114"/>
      <c r="D977" s="78"/>
      <c r="E977" s="78"/>
      <c r="F977" s="78"/>
      <c r="G977" s="78"/>
      <c r="H977" s="78"/>
      <c r="I977" s="78"/>
      <c r="J977" s="78"/>
      <c r="K977" s="78"/>
      <c r="L977" s="78"/>
      <c r="M977" s="78"/>
      <c r="N977" s="78"/>
      <c r="O977" s="78"/>
      <c r="P977" s="78"/>
      <c r="Q977" s="78"/>
      <c r="R977" s="78"/>
      <c r="S977" s="78"/>
      <c r="T977" s="78"/>
      <c r="U977" s="78"/>
      <c r="V977" s="78"/>
      <c r="W977" s="78"/>
      <c r="X977" s="78"/>
      <c r="Y977" s="78"/>
    </row>
    <row r="978" spans="1:25" x14ac:dyDescent="0.25">
      <c r="A978" s="112" t="s">
        <v>682</v>
      </c>
      <c r="B978" s="78"/>
      <c r="C978" s="114"/>
      <c r="D978" s="78"/>
      <c r="E978" s="78"/>
      <c r="F978" s="78"/>
      <c r="G978" s="78"/>
      <c r="H978" s="78"/>
      <c r="I978" s="78"/>
      <c r="J978" s="78"/>
      <c r="K978" s="78"/>
      <c r="L978" s="78"/>
      <c r="M978" s="78"/>
      <c r="N978" s="78"/>
      <c r="O978" s="78"/>
      <c r="P978" s="78"/>
      <c r="Q978" s="78"/>
      <c r="R978" s="78"/>
      <c r="S978" s="78"/>
      <c r="T978" s="78"/>
      <c r="U978" s="78"/>
      <c r="V978" s="78"/>
      <c r="W978" s="78"/>
      <c r="X978" s="78"/>
      <c r="Y978" s="78"/>
    </row>
    <row r="979" spans="1:25" x14ac:dyDescent="0.25">
      <c r="A979" s="112" t="s">
        <v>682</v>
      </c>
      <c r="B979" s="78"/>
      <c r="C979" s="114"/>
      <c r="D979" s="78"/>
      <c r="E979" s="78"/>
      <c r="F979" s="78"/>
      <c r="G979" s="78"/>
      <c r="H979" s="78"/>
      <c r="I979" s="78"/>
      <c r="J979" s="78"/>
      <c r="K979" s="78"/>
      <c r="L979" s="78"/>
      <c r="M979" s="78"/>
      <c r="N979" s="78"/>
      <c r="O979" s="78"/>
      <c r="P979" s="78"/>
      <c r="Q979" s="78"/>
      <c r="R979" s="78"/>
      <c r="S979" s="78"/>
      <c r="T979" s="78"/>
      <c r="U979" s="78"/>
      <c r="V979" s="78"/>
      <c r="W979" s="78"/>
      <c r="X979" s="78"/>
      <c r="Y979" s="78"/>
    </row>
    <row r="980" spans="1:25" x14ac:dyDescent="0.25">
      <c r="A980" s="112" t="s">
        <v>682</v>
      </c>
      <c r="B980" s="78"/>
      <c r="C980" s="114"/>
      <c r="D980" s="78"/>
      <c r="E980" s="78"/>
      <c r="F980" s="78"/>
      <c r="G980" s="78"/>
      <c r="H980" s="78"/>
      <c r="I980" s="78"/>
      <c r="J980" s="78"/>
      <c r="K980" s="78"/>
      <c r="L980" s="78"/>
      <c r="M980" s="78"/>
      <c r="N980" s="78"/>
      <c r="O980" s="78"/>
      <c r="P980" s="78"/>
      <c r="Q980" s="78"/>
      <c r="R980" s="78"/>
      <c r="S980" s="78"/>
      <c r="T980" s="78"/>
      <c r="U980" s="78"/>
      <c r="V980" s="78"/>
      <c r="W980" s="78"/>
      <c r="X980" s="78"/>
      <c r="Y980" s="78"/>
    </row>
    <row r="981" spans="1:25" x14ac:dyDescent="0.25">
      <c r="A981" s="112" t="s">
        <v>682</v>
      </c>
      <c r="B981" s="78"/>
      <c r="C981" s="114"/>
      <c r="D981" s="78"/>
      <c r="E981" s="78"/>
      <c r="F981" s="78"/>
      <c r="G981" s="78"/>
      <c r="H981" s="78"/>
      <c r="I981" s="78"/>
      <c r="J981" s="78"/>
      <c r="K981" s="78"/>
      <c r="L981" s="78"/>
      <c r="M981" s="78"/>
      <c r="N981" s="78"/>
      <c r="O981" s="78"/>
      <c r="P981" s="78"/>
      <c r="Q981" s="78"/>
      <c r="R981" s="78"/>
      <c r="S981" s="78"/>
      <c r="T981" s="78"/>
      <c r="U981" s="78"/>
      <c r="V981" s="78"/>
      <c r="W981" s="78"/>
      <c r="X981" s="78"/>
      <c r="Y981" s="78"/>
    </row>
    <row r="982" spans="1:25" x14ac:dyDescent="0.25">
      <c r="A982" s="112" t="s">
        <v>682</v>
      </c>
      <c r="B982" s="78"/>
      <c r="C982" s="114"/>
      <c r="D982" s="78"/>
      <c r="E982" s="78"/>
      <c r="F982" s="78"/>
      <c r="G982" s="78"/>
      <c r="H982" s="78"/>
      <c r="I982" s="78"/>
      <c r="J982" s="78"/>
      <c r="K982" s="78"/>
      <c r="L982" s="78"/>
      <c r="M982" s="78"/>
      <c r="N982" s="78"/>
      <c r="O982" s="78"/>
      <c r="P982" s="78"/>
      <c r="Q982" s="78"/>
      <c r="R982" s="78"/>
      <c r="S982" s="78"/>
      <c r="T982" s="78"/>
      <c r="U982" s="78"/>
      <c r="V982" s="78"/>
      <c r="W982" s="78"/>
      <c r="X982" s="78"/>
      <c r="Y982" s="78"/>
    </row>
    <row r="983" spans="1:25" x14ac:dyDescent="0.25">
      <c r="A983" s="112" t="s">
        <v>682</v>
      </c>
      <c r="B983" s="78"/>
      <c r="C983" s="114"/>
      <c r="D983" s="78"/>
      <c r="E983" s="78"/>
      <c r="F983" s="78"/>
      <c r="G983" s="78"/>
      <c r="H983" s="78"/>
      <c r="I983" s="78"/>
      <c r="J983" s="78"/>
      <c r="K983" s="78"/>
      <c r="L983" s="78"/>
      <c r="M983" s="78"/>
      <c r="N983" s="78"/>
      <c r="O983" s="78"/>
      <c r="P983" s="78"/>
      <c r="Q983" s="78"/>
      <c r="R983" s="78"/>
      <c r="S983" s="78"/>
      <c r="T983" s="78"/>
      <c r="U983" s="78"/>
      <c r="V983" s="78"/>
      <c r="W983" s="78"/>
      <c r="X983" s="78"/>
      <c r="Y983" s="78"/>
    </row>
    <row r="984" spans="1:25" x14ac:dyDescent="0.25">
      <c r="A984" s="112" t="s">
        <v>682</v>
      </c>
      <c r="B984" s="78"/>
      <c r="C984" s="114"/>
      <c r="D984" s="78"/>
      <c r="E984" s="78"/>
      <c r="F984" s="78"/>
      <c r="G984" s="78"/>
      <c r="H984" s="78"/>
      <c r="I984" s="78"/>
      <c r="J984" s="78"/>
      <c r="K984" s="78"/>
      <c r="L984" s="78"/>
      <c r="M984" s="78"/>
      <c r="N984" s="78"/>
      <c r="O984" s="78"/>
      <c r="P984" s="78"/>
      <c r="Q984" s="78"/>
      <c r="R984" s="78"/>
      <c r="S984" s="78"/>
      <c r="T984" s="78"/>
      <c r="U984" s="78"/>
      <c r="V984" s="78"/>
      <c r="W984" s="78"/>
      <c r="X984" s="78"/>
      <c r="Y984" s="78"/>
    </row>
    <row r="985" spans="1:25" x14ac:dyDescent="0.25">
      <c r="A985" s="112" t="s">
        <v>682</v>
      </c>
      <c r="B985" s="78"/>
      <c r="C985" s="114"/>
      <c r="D985" s="78"/>
      <c r="E985" s="78"/>
      <c r="F985" s="78"/>
      <c r="G985" s="78"/>
      <c r="H985" s="78"/>
      <c r="I985" s="78"/>
      <c r="J985" s="78"/>
      <c r="K985" s="78"/>
      <c r="L985" s="78"/>
      <c r="M985" s="78"/>
      <c r="N985" s="78"/>
      <c r="O985" s="78"/>
      <c r="P985" s="78"/>
      <c r="Q985" s="78"/>
      <c r="R985" s="78"/>
      <c r="S985" s="78"/>
      <c r="T985" s="78"/>
      <c r="U985" s="78"/>
      <c r="V985" s="78"/>
      <c r="W985" s="78"/>
      <c r="X985" s="78"/>
      <c r="Y985" s="78"/>
    </row>
    <row r="986" spans="1:25" x14ac:dyDescent="0.25">
      <c r="A986" s="112" t="s">
        <v>682</v>
      </c>
      <c r="B986" s="78"/>
      <c r="C986" s="114"/>
      <c r="D986" s="78"/>
      <c r="E986" s="78"/>
      <c r="F986" s="78"/>
      <c r="G986" s="78"/>
      <c r="H986" s="78"/>
      <c r="I986" s="78"/>
      <c r="J986" s="78"/>
      <c r="K986" s="78"/>
      <c r="L986" s="78"/>
      <c r="M986" s="78"/>
      <c r="N986" s="78"/>
      <c r="O986" s="78"/>
      <c r="P986" s="78"/>
      <c r="Q986" s="78"/>
      <c r="R986" s="78"/>
      <c r="S986" s="78"/>
      <c r="T986" s="78"/>
      <c r="U986" s="78"/>
      <c r="V986" s="78"/>
      <c r="W986" s="78"/>
      <c r="X986" s="78"/>
      <c r="Y986" s="78"/>
    </row>
    <row r="987" spans="1:25" x14ac:dyDescent="0.25">
      <c r="A987" s="112" t="s">
        <v>682</v>
      </c>
      <c r="B987" s="78"/>
      <c r="C987" s="114"/>
      <c r="D987" s="78"/>
      <c r="E987" s="78"/>
      <c r="F987" s="78"/>
      <c r="G987" s="78"/>
      <c r="H987" s="78"/>
      <c r="I987" s="78"/>
      <c r="J987" s="78"/>
      <c r="K987" s="78"/>
      <c r="L987" s="78"/>
      <c r="M987" s="78"/>
      <c r="N987" s="78"/>
      <c r="O987" s="78"/>
      <c r="P987" s="78"/>
      <c r="Q987" s="78"/>
      <c r="R987" s="78"/>
      <c r="S987" s="78"/>
      <c r="T987" s="78"/>
      <c r="U987" s="78"/>
      <c r="V987" s="78"/>
      <c r="W987" s="78"/>
      <c r="X987" s="78"/>
      <c r="Y987" s="78"/>
    </row>
    <row r="988" spans="1:25" x14ac:dyDescent="0.25">
      <c r="A988" s="112" t="s">
        <v>682</v>
      </c>
      <c r="B988" s="78"/>
      <c r="C988" s="114"/>
      <c r="D988" s="78"/>
      <c r="E988" s="78"/>
      <c r="F988" s="78"/>
      <c r="G988" s="78"/>
      <c r="H988" s="78"/>
      <c r="I988" s="78"/>
      <c r="J988" s="78"/>
      <c r="K988" s="78"/>
      <c r="L988" s="78"/>
      <c r="M988" s="78"/>
      <c r="N988" s="78"/>
      <c r="O988" s="78"/>
      <c r="P988" s="78"/>
      <c r="Q988" s="78"/>
      <c r="R988" s="78"/>
      <c r="S988" s="78"/>
      <c r="T988" s="78"/>
      <c r="U988" s="78"/>
      <c r="V988" s="78"/>
      <c r="W988" s="78"/>
      <c r="X988" s="78"/>
      <c r="Y988" s="78"/>
    </row>
    <row r="989" spans="1:25" x14ac:dyDescent="0.25">
      <c r="A989" s="112" t="s">
        <v>682</v>
      </c>
      <c r="B989" s="78"/>
      <c r="C989" s="114"/>
      <c r="D989" s="78"/>
      <c r="E989" s="78"/>
      <c r="F989" s="78"/>
      <c r="G989" s="78"/>
      <c r="H989" s="78"/>
      <c r="I989" s="78"/>
      <c r="J989" s="78"/>
      <c r="K989" s="78"/>
      <c r="L989" s="78"/>
      <c r="M989" s="78"/>
      <c r="N989" s="78"/>
      <c r="O989" s="78"/>
      <c r="P989" s="78"/>
      <c r="Q989" s="78"/>
      <c r="R989" s="78"/>
      <c r="S989" s="78"/>
      <c r="T989" s="78"/>
      <c r="U989" s="78"/>
      <c r="V989" s="78"/>
      <c r="W989" s="78"/>
      <c r="X989" s="78"/>
      <c r="Y989" s="78"/>
    </row>
    <row r="990" spans="1:25" x14ac:dyDescent="0.25">
      <c r="A990" s="112" t="s">
        <v>682</v>
      </c>
      <c r="B990" s="78"/>
      <c r="C990" s="114"/>
      <c r="D990" s="78"/>
      <c r="E990" s="78"/>
      <c r="F990" s="78"/>
      <c r="G990" s="78"/>
      <c r="H990" s="78"/>
      <c r="I990" s="78"/>
      <c r="J990" s="78"/>
      <c r="K990" s="78"/>
      <c r="L990" s="78"/>
      <c r="M990" s="78"/>
      <c r="N990" s="78"/>
      <c r="O990" s="78"/>
      <c r="P990" s="78"/>
      <c r="Q990" s="78"/>
      <c r="R990" s="78"/>
      <c r="S990" s="78"/>
      <c r="T990" s="78"/>
      <c r="U990" s="78"/>
      <c r="V990" s="78"/>
      <c r="W990" s="78"/>
      <c r="X990" s="78"/>
      <c r="Y990" s="78"/>
    </row>
  </sheetData>
  <mergeCells count="4">
    <mergeCell ref="D1:K1"/>
    <mergeCell ref="A1:A2"/>
    <mergeCell ref="B1:B2"/>
    <mergeCell ref="C1:C2"/>
  </mergeCells>
  <printOptions horizontalCentered="1"/>
  <pageMargins left="0.7" right="0.7" top="0.75" bottom="0.75" header="0" footer="0"/>
  <pageSetup paperSize="9" orientation="landscape" horizontalDpi="4294967295" verticalDpi="4294967295" pageOrder="overThenDown"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2"/>
  <sheetViews>
    <sheetView workbookViewId="0" zoomScale="100" zoomScaleNormal="100"/>
  </sheetViews>
  <sheetFormatPr defaultRowHeight="15.75" outlineLevelRow="0" outlineLevelCol="0" x14ac:dyDescent="0" defaultColWidth="12.63" customHeight="1"/>
  <sheetData>
    <row r="1" spans="3:6" x14ac:dyDescent="0.25">
      <c r="C1" s="115" t="s">
        <v>0</v>
      </c>
      <c r="D1" s="1"/>
      <c r="E1" s="3" t="s">
        <v>1</v>
      </c>
      <c r="F1" s="4"/>
    </row>
    <row r="2" spans="1:6" x14ac:dyDescent="0.25">
      <c r="A2" s="1" t="s">
        <v>2</v>
      </c>
      <c r="B2" s="1" t="s">
        <v>3</v>
      </c>
      <c r="C2" s="115" t="s">
        <v>5</v>
      </c>
      <c r="D2" s="1" t="s">
        <v>6</v>
      </c>
      <c r="E2" s="1" t="s">
        <v>7</v>
      </c>
      <c r="F2" s="4"/>
    </row>
    <row r="3" spans="1:8" x14ac:dyDescent="0.25">
      <c r="A3" s="10" t="s">
        <v>704</v>
      </c>
      <c r="B3" s="10">
        <v>55</v>
      </c>
      <c r="C3" s="116">
        <f>MROUND((B3*10%)+B3,5)</f>
        <v>60</v>
      </c>
      <c r="D3" s="6">
        <f t="shared" ref="D3:D23" si="0">MROUND((B3*15%)+B3,5)</f>
        <v>65</v>
      </c>
      <c r="E3" s="10">
        <v>75</v>
      </c>
      <c r="F3" s="4">
        <f t="shared" ref="F3:F23" si="1">(E3-B3)/B3</f>
        <v>0.3636363636</v>
      </c>
      <c r="G3" s="6">
        <f t="shared" ref="G3:G23" si="2">E3-C3</f>
        <v>15</v>
      </c>
      <c r="H3" s="6">
        <f t="shared" ref="H3:H23" si="3">E3-D3</f>
        <v>10</v>
      </c>
    </row>
    <row r="4" spans="1:8" x14ac:dyDescent="0.25">
      <c r="A4" s="10" t="s">
        <v>705</v>
      </c>
      <c r="B4" s="10">
        <v>75</v>
      </c>
      <c r="C4" s="117">
        <v>80</v>
      </c>
      <c r="D4" s="8">
        <f t="shared" si="0"/>
        <v>85</v>
      </c>
      <c r="E4" s="55">
        <v>80</v>
      </c>
      <c r="F4" s="4">
        <f t="shared" si="1"/>
        <v>0.06666666667</v>
      </c>
      <c r="G4" s="6">
        <f t="shared" si="2"/>
        <v>0</v>
      </c>
      <c r="H4" s="6">
        <f t="shared" si="3"/>
        <v>-5</v>
      </c>
    </row>
    <row r="5" spans="1:8" x14ac:dyDescent="0.25">
      <c r="A5" s="10" t="s">
        <v>706</v>
      </c>
      <c r="B5" s="10">
        <v>65</v>
      </c>
      <c r="C5" s="116">
        <f t="shared" ref="C5:C23" si="4">MROUND((B5*10%)+B5,5)</f>
        <v>70</v>
      </c>
      <c r="D5" s="6">
        <f t="shared" si="0"/>
        <v>75</v>
      </c>
      <c r="E5" s="10">
        <v>90</v>
      </c>
      <c r="F5" s="4">
        <f t="shared" si="1"/>
        <v>0.3846153846</v>
      </c>
      <c r="G5" s="6">
        <f t="shared" si="2"/>
        <v>20</v>
      </c>
      <c r="H5" s="6">
        <f t="shared" si="3"/>
        <v>15</v>
      </c>
    </row>
    <row r="6" spans="1:8" x14ac:dyDescent="0.25">
      <c r="A6" s="1" t="s">
        <v>123</v>
      </c>
      <c r="B6" s="1">
        <v>250</v>
      </c>
      <c r="C6" s="116">
        <f t="shared" si="4"/>
        <v>275</v>
      </c>
      <c r="D6" s="6">
        <f t="shared" si="0"/>
        <v>290</v>
      </c>
      <c r="E6" s="1">
        <v>365</v>
      </c>
      <c r="F6" s="4">
        <f t="shared" si="1"/>
        <v>0.46</v>
      </c>
      <c r="G6" s="6">
        <f t="shared" si="2"/>
        <v>90</v>
      </c>
      <c r="H6" s="6">
        <f t="shared" si="3"/>
        <v>75</v>
      </c>
    </row>
    <row r="7" spans="1:8" x14ac:dyDescent="0.25">
      <c r="A7" s="1" t="s">
        <v>129</v>
      </c>
      <c r="B7" s="1">
        <v>200</v>
      </c>
      <c r="C7" s="116">
        <f t="shared" si="4"/>
        <v>220</v>
      </c>
      <c r="D7" s="6">
        <f t="shared" si="0"/>
        <v>230</v>
      </c>
      <c r="E7" s="1">
        <v>390</v>
      </c>
      <c r="F7" s="4">
        <f t="shared" si="1"/>
        <v>0.95</v>
      </c>
      <c r="G7" s="6">
        <f t="shared" si="2"/>
        <v>170</v>
      </c>
      <c r="H7" s="6">
        <f t="shared" si="3"/>
        <v>160</v>
      </c>
    </row>
    <row r="8" spans="1:27" x14ac:dyDescent="0.25">
      <c r="A8" s="10" t="s">
        <v>200</v>
      </c>
      <c r="B8" s="10">
        <v>320</v>
      </c>
      <c r="C8" s="116">
        <f t="shared" si="4"/>
        <v>350</v>
      </c>
      <c r="D8" s="6">
        <f t="shared" si="0"/>
        <v>370</v>
      </c>
      <c r="E8" s="10">
        <v>150</v>
      </c>
      <c r="F8" s="4">
        <f t="shared" si="1"/>
        <v>-0.53125</v>
      </c>
      <c r="G8" s="6">
        <f t="shared" si="2"/>
        <v>-200</v>
      </c>
      <c r="H8" s="6">
        <f t="shared" si="3"/>
        <v>-220</v>
      </c>
      <c r="I8" s="11"/>
      <c r="J8" s="11"/>
      <c r="K8" s="11"/>
      <c r="L8" s="11"/>
      <c r="M8" s="11"/>
      <c r="N8" s="11"/>
      <c r="O8" s="11"/>
      <c r="P8" s="11"/>
      <c r="Q8" s="11"/>
      <c r="R8" s="11"/>
      <c r="S8" s="11"/>
      <c r="T8" s="11"/>
      <c r="U8" s="11"/>
      <c r="V8" s="11"/>
      <c r="W8" s="11"/>
      <c r="X8" s="11"/>
      <c r="Y8" s="11"/>
      <c r="Z8" s="11"/>
      <c r="AA8" s="11"/>
    </row>
    <row r="9" spans="1:27" x14ac:dyDescent="0.25">
      <c r="A9" s="10" t="s">
        <v>194</v>
      </c>
      <c r="B9" s="10">
        <v>320</v>
      </c>
      <c r="C9" s="116">
        <f t="shared" si="4"/>
        <v>350</v>
      </c>
      <c r="D9" s="6">
        <f t="shared" si="0"/>
        <v>370</v>
      </c>
      <c r="E9" s="10">
        <v>150</v>
      </c>
      <c r="F9" s="4">
        <f t="shared" si="1"/>
        <v>-0.53125</v>
      </c>
      <c r="G9" s="6">
        <f t="shared" si="2"/>
        <v>-200</v>
      </c>
      <c r="H9" s="6">
        <f t="shared" si="3"/>
        <v>-220</v>
      </c>
      <c r="I9" s="11"/>
      <c r="J9" s="11"/>
      <c r="K9" s="11"/>
      <c r="L9" s="11"/>
      <c r="M9" s="11"/>
      <c r="N9" s="11"/>
      <c r="O9" s="11"/>
      <c r="P9" s="11"/>
      <c r="Q9" s="11"/>
      <c r="R9" s="11"/>
      <c r="S9" s="11"/>
      <c r="T9" s="11"/>
      <c r="U9" s="11"/>
      <c r="V9" s="11"/>
      <c r="W9" s="11"/>
      <c r="X9" s="11"/>
      <c r="Y9" s="11"/>
      <c r="Z9" s="11"/>
      <c r="AA9" s="11"/>
    </row>
    <row r="10" spans="1:8" x14ac:dyDescent="0.25">
      <c r="A10" s="1" t="s">
        <v>187</v>
      </c>
      <c r="B10" s="1">
        <v>650</v>
      </c>
      <c r="C10" s="116">
        <f t="shared" si="4"/>
        <v>715</v>
      </c>
      <c r="D10" s="6">
        <f t="shared" si="0"/>
        <v>750</v>
      </c>
      <c r="E10" s="1">
        <v>800</v>
      </c>
      <c r="F10" s="4">
        <f t="shared" si="1"/>
        <v>0.2307692308</v>
      </c>
      <c r="G10" s="6">
        <f t="shared" si="2"/>
        <v>85</v>
      </c>
      <c r="H10" s="6">
        <f t="shared" si="3"/>
        <v>50</v>
      </c>
    </row>
    <row r="11" spans="1:8" x14ac:dyDescent="0.25">
      <c r="A11" s="1" t="s">
        <v>202</v>
      </c>
      <c r="B11" s="1">
        <v>320</v>
      </c>
      <c r="C11" s="116">
        <f t="shared" si="4"/>
        <v>350</v>
      </c>
      <c r="D11" s="6">
        <f t="shared" si="0"/>
        <v>370</v>
      </c>
      <c r="E11" s="1">
        <v>399</v>
      </c>
      <c r="F11" s="4">
        <f t="shared" si="1"/>
        <v>0.246875</v>
      </c>
      <c r="G11" s="6">
        <f t="shared" si="2"/>
        <v>49</v>
      </c>
      <c r="H11" s="6">
        <f t="shared" si="3"/>
        <v>29</v>
      </c>
    </row>
    <row r="12" spans="1:8" x14ac:dyDescent="0.25">
      <c r="A12" s="1" t="s">
        <v>171</v>
      </c>
      <c r="B12" s="1">
        <v>1000</v>
      </c>
      <c r="C12" s="116">
        <f t="shared" si="4"/>
        <v>1100</v>
      </c>
      <c r="D12" s="6">
        <f t="shared" si="0"/>
        <v>1150</v>
      </c>
      <c r="E12" s="1">
        <v>1350</v>
      </c>
      <c r="F12" s="4">
        <f t="shared" si="1"/>
        <v>0.35</v>
      </c>
      <c r="G12" s="6">
        <f t="shared" si="2"/>
        <v>250</v>
      </c>
      <c r="H12" s="6">
        <f t="shared" si="3"/>
        <v>200</v>
      </c>
    </row>
    <row r="13" spans="1:8" x14ac:dyDescent="0.25">
      <c r="A13" s="1" t="s">
        <v>290</v>
      </c>
      <c r="B13" s="1">
        <v>190</v>
      </c>
      <c r="C13" s="116">
        <f t="shared" si="4"/>
        <v>210</v>
      </c>
      <c r="D13" s="6">
        <f t="shared" si="0"/>
        <v>220</v>
      </c>
      <c r="E13" s="1">
        <v>240</v>
      </c>
      <c r="F13" s="4">
        <f t="shared" si="1"/>
        <v>0.2631578947</v>
      </c>
      <c r="G13" s="6">
        <f t="shared" si="2"/>
        <v>30</v>
      </c>
      <c r="H13" s="6">
        <f t="shared" si="3"/>
        <v>20</v>
      </c>
    </row>
    <row r="14" spans="1:8" x14ac:dyDescent="0.25">
      <c r="A14" s="1" t="s">
        <v>210</v>
      </c>
      <c r="B14" s="1">
        <v>160</v>
      </c>
      <c r="C14" s="116">
        <f t="shared" si="4"/>
        <v>175</v>
      </c>
      <c r="D14" s="6">
        <f t="shared" si="0"/>
        <v>185</v>
      </c>
      <c r="E14" s="1">
        <v>210</v>
      </c>
      <c r="F14" s="4">
        <f t="shared" si="1"/>
        <v>0.3125</v>
      </c>
      <c r="G14" s="6">
        <f t="shared" si="2"/>
        <v>35</v>
      </c>
      <c r="H14" s="6">
        <f t="shared" si="3"/>
        <v>25</v>
      </c>
    </row>
    <row r="15" spans="1:8" x14ac:dyDescent="0.25">
      <c r="A15" s="1" t="s">
        <v>215</v>
      </c>
      <c r="B15" s="1">
        <v>250</v>
      </c>
      <c r="C15" s="116">
        <f t="shared" si="4"/>
        <v>275</v>
      </c>
      <c r="D15" s="6">
        <f t="shared" si="0"/>
        <v>290</v>
      </c>
      <c r="E15" s="1">
        <v>320</v>
      </c>
      <c r="F15" s="4">
        <f t="shared" si="1"/>
        <v>0.28</v>
      </c>
      <c r="G15" s="6">
        <f t="shared" si="2"/>
        <v>45</v>
      </c>
      <c r="H15" s="6">
        <f t="shared" si="3"/>
        <v>30</v>
      </c>
    </row>
    <row r="16" spans="1:8" x14ac:dyDescent="0.25">
      <c r="A16" s="1" t="s">
        <v>221</v>
      </c>
      <c r="B16" s="1">
        <v>250</v>
      </c>
      <c r="C16" s="116">
        <f t="shared" si="4"/>
        <v>275</v>
      </c>
      <c r="D16" s="6">
        <f t="shared" si="0"/>
        <v>290</v>
      </c>
      <c r="E16" s="1">
        <v>499</v>
      </c>
      <c r="F16" s="4">
        <f t="shared" si="1"/>
        <v>0.996</v>
      </c>
      <c r="G16" s="6">
        <f t="shared" si="2"/>
        <v>224</v>
      </c>
      <c r="H16" s="6">
        <f t="shared" si="3"/>
        <v>209</v>
      </c>
    </row>
    <row r="17" spans="1:8" x14ac:dyDescent="0.25">
      <c r="A17" s="1" t="s">
        <v>226</v>
      </c>
      <c r="B17" s="1">
        <v>250</v>
      </c>
      <c r="C17" s="116">
        <f t="shared" si="4"/>
        <v>275</v>
      </c>
      <c r="D17" s="6">
        <f t="shared" si="0"/>
        <v>290</v>
      </c>
      <c r="E17" s="1">
        <v>499</v>
      </c>
      <c r="F17" s="4">
        <f t="shared" si="1"/>
        <v>0.996</v>
      </c>
      <c r="G17" s="6">
        <f t="shared" si="2"/>
        <v>224</v>
      </c>
      <c r="H17" s="6">
        <f t="shared" si="3"/>
        <v>209</v>
      </c>
    </row>
    <row r="18" spans="1:8" x14ac:dyDescent="0.25">
      <c r="A18" s="1" t="s">
        <v>228</v>
      </c>
      <c r="B18" s="1">
        <v>250</v>
      </c>
      <c r="C18" s="116">
        <f t="shared" si="4"/>
        <v>275</v>
      </c>
      <c r="D18" s="6">
        <f t="shared" si="0"/>
        <v>290</v>
      </c>
      <c r="E18" s="1">
        <v>499</v>
      </c>
      <c r="F18" s="4">
        <f t="shared" si="1"/>
        <v>0.996</v>
      </c>
      <c r="G18" s="6">
        <f t="shared" si="2"/>
        <v>224</v>
      </c>
      <c r="H18" s="6">
        <f t="shared" si="3"/>
        <v>209</v>
      </c>
    </row>
    <row r="19" spans="1:8" x14ac:dyDescent="0.25">
      <c r="A19" s="1" t="s">
        <v>291</v>
      </c>
      <c r="B19" s="1">
        <v>165</v>
      </c>
      <c r="C19" s="116">
        <f t="shared" si="4"/>
        <v>180</v>
      </c>
      <c r="D19" s="6">
        <f t="shared" si="0"/>
        <v>190</v>
      </c>
      <c r="E19" s="1">
        <v>210</v>
      </c>
      <c r="F19" s="4">
        <f t="shared" si="1"/>
        <v>0.2727272727</v>
      </c>
      <c r="G19" s="6">
        <f t="shared" si="2"/>
        <v>30</v>
      </c>
      <c r="H19" s="6">
        <f t="shared" si="3"/>
        <v>20</v>
      </c>
    </row>
    <row r="20" spans="1:8" x14ac:dyDescent="0.25">
      <c r="A20" s="1" t="s">
        <v>292</v>
      </c>
      <c r="B20" s="1">
        <v>90</v>
      </c>
      <c r="C20" s="116">
        <f t="shared" si="4"/>
        <v>100</v>
      </c>
      <c r="D20" s="6">
        <f t="shared" si="0"/>
        <v>105</v>
      </c>
      <c r="E20" s="1">
        <v>120</v>
      </c>
      <c r="F20" s="4">
        <f t="shared" si="1"/>
        <v>0.3333333333</v>
      </c>
      <c r="G20" s="6">
        <f t="shared" si="2"/>
        <v>20</v>
      </c>
      <c r="H20" s="6">
        <f t="shared" si="3"/>
        <v>15</v>
      </c>
    </row>
    <row r="21" spans="1:8" x14ac:dyDescent="0.25">
      <c r="A21" s="1" t="s">
        <v>117</v>
      </c>
      <c r="B21" s="1">
        <v>385</v>
      </c>
      <c r="C21" s="116">
        <f t="shared" si="4"/>
        <v>425</v>
      </c>
      <c r="D21" s="6">
        <f t="shared" si="0"/>
        <v>445</v>
      </c>
      <c r="E21" s="1">
        <v>450</v>
      </c>
      <c r="F21" s="4">
        <f t="shared" si="1"/>
        <v>0.1688311688</v>
      </c>
      <c r="G21" s="6">
        <f t="shared" si="2"/>
        <v>25</v>
      </c>
      <c r="H21" s="6">
        <f t="shared" si="3"/>
        <v>5</v>
      </c>
    </row>
    <row r="22" spans="1:8" x14ac:dyDescent="0.25">
      <c r="A22" s="1" t="s">
        <v>294</v>
      </c>
      <c r="B22" s="1">
        <v>68.75</v>
      </c>
      <c r="C22" s="116">
        <f t="shared" si="4"/>
        <v>75</v>
      </c>
      <c r="D22" s="6">
        <f t="shared" si="0"/>
        <v>80</v>
      </c>
      <c r="E22" s="1">
        <v>95</v>
      </c>
      <c r="F22" s="4">
        <f t="shared" si="1"/>
        <v>0.3818181818</v>
      </c>
      <c r="G22" s="6">
        <f t="shared" si="2"/>
        <v>20</v>
      </c>
      <c r="H22" s="6">
        <f t="shared" si="3"/>
        <v>15</v>
      </c>
    </row>
    <row r="23" spans="1:8" x14ac:dyDescent="0.25">
      <c r="A23" s="1" t="s">
        <v>295</v>
      </c>
      <c r="B23" s="1">
        <v>70</v>
      </c>
      <c r="C23" s="116">
        <f t="shared" si="4"/>
        <v>75</v>
      </c>
      <c r="D23" s="6">
        <f t="shared" si="0"/>
        <v>80</v>
      </c>
      <c r="E23" s="1">
        <v>100</v>
      </c>
      <c r="F23" s="4">
        <f t="shared" si="1"/>
        <v>0.4285714286</v>
      </c>
      <c r="G23" s="6">
        <f t="shared" si="2"/>
        <v>25</v>
      </c>
      <c r="H23" s="6">
        <f t="shared" si="3"/>
        <v>20</v>
      </c>
    </row>
    <row r="24" spans="3:6" x14ac:dyDescent="0.25">
      <c r="C24" s="116"/>
      <c r="F24" s="4"/>
    </row>
    <row r="25" spans="3:6" x14ac:dyDescent="0.25">
      <c r="C25" s="116"/>
      <c r="F25" s="4"/>
    </row>
    <row r="26" spans="3:6" x14ac:dyDescent="0.25">
      <c r="C26" s="116"/>
      <c r="F26" s="4"/>
    </row>
    <row r="27" spans="3:6" x14ac:dyDescent="0.25">
      <c r="C27" s="116"/>
      <c r="F27" s="4"/>
    </row>
    <row r="28" spans="3:6" x14ac:dyDescent="0.25">
      <c r="C28" s="116"/>
      <c r="F28" s="4"/>
    </row>
    <row r="29" spans="3:6" x14ac:dyDescent="0.25">
      <c r="C29" s="116"/>
      <c r="F29" s="4"/>
    </row>
    <row r="30" spans="3:6" x14ac:dyDescent="0.25">
      <c r="C30" s="116"/>
      <c r="F30" s="4"/>
    </row>
    <row r="31" spans="3:6" x14ac:dyDescent="0.25">
      <c r="C31" s="116"/>
      <c r="F31" s="4"/>
    </row>
    <row r="32" spans="3:6" x14ac:dyDescent="0.25">
      <c r="C32" s="116"/>
      <c r="F32" s="4"/>
    </row>
    <row r="33" spans="3:6" x14ac:dyDescent="0.25">
      <c r="C33" s="116"/>
      <c r="F33" s="4"/>
    </row>
    <row r="34" spans="3:6" x14ac:dyDescent="0.25">
      <c r="C34" s="116"/>
      <c r="F34" s="4"/>
    </row>
    <row r="35" spans="3:6" x14ac:dyDescent="0.25">
      <c r="C35" s="116"/>
      <c r="F35" s="4"/>
    </row>
    <row r="36" spans="3:6" x14ac:dyDescent="0.25">
      <c r="C36" s="116"/>
      <c r="F36" s="4"/>
    </row>
    <row r="37" spans="3:6" x14ac:dyDescent="0.25">
      <c r="C37" s="116"/>
      <c r="F37" s="4"/>
    </row>
    <row r="38" spans="3:6" x14ac:dyDescent="0.25">
      <c r="C38" s="116"/>
      <c r="F38" s="4"/>
    </row>
    <row r="39" spans="3:6" x14ac:dyDescent="0.25">
      <c r="C39" s="116"/>
      <c r="F39" s="4"/>
    </row>
    <row r="40" spans="3:6" x14ac:dyDescent="0.25">
      <c r="C40" s="116"/>
      <c r="F40" s="4"/>
    </row>
    <row r="41" spans="3:6" x14ac:dyDescent="0.25">
      <c r="C41" s="116"/>
      <c r="F41" s="4"/>
    </row>
    <row r="42" spans="3:6" x14ac:dyDescent="0.25">
      <c r="C42" s="116"/>
      <c r="F42" s="4"/>
    </row>
    <row r="43" spans="3:6" x14ac:dyDescent="0.25">
      <c r="C43" s="116"/>
      <c r="F43" s="4"/>
    </row>
    <row r="44" spans="3:6" x14ac:dyDescent="0.25">
      <c r="C44" s="116"/>
      <c r="F44" s="4"/>
    </row>
    <row r="45" spans="3:6" x14ac:dyDescent="0.25">
      <c r="C45" s="116"/>
      <c r="F45" s="4"/>
    </row>
    <row r="46" spans="3:6" x14ac:dyDescent="0.25">
      <c r="C46" s="116"/>
      <c r="F46" s="4"/>
    </row>
    <row r="47" spans="3:6" x14ac:dyDescent="0.25">
      <c r="C47" s="116"/>
      <c r="F47" s="4"/>
    </row>
    <row r="48" spans="3:6" x14ac:dyDescent="0.25">
      <c r="C48" s="116"/>
      <c r="F48" s="4"/>
    </row>
    <row r="49" spans="3:6" x14ac:dyDescent="0.25">
      <c r="C49" s="116"/>
      <c r="F49" s="4"/>
    </row>
    <row r="50" spans="3:6" x14ac:dyDescent="0.25">
      <c r="C50" s="116"/>
      <c r="F50" s="4"/>
    </row>
    <row r="51" spans="3:6" x14ac:dyDescent="0.25">
      <c r="C51" s="116"/>
      <c r="F51" s="4"/>
    </row>
    <row r="52" spans="3:6" x14ac:dyDescent="0.25">
      <c r="C52" s="116"/>
      <c r="F52" s="4"/>
    </row>
    <row r="53" spans="3:6" x14ac:dyDescent="0.25">
      <c r="C53" s="116"/>
      <c r="F53" s="4"/>
    </row>
    <row r="54" spans="3:6" x14ac:dyDescent="0.25">
      <c r="C54" s="116"/>
      <c r="F54" s="4"/>
    </row>
    <row r="55" spans="3:6" x14ac:dyDescent="0.25">
      <c r="C55" s="116"/>
      <c r="F55" s="4"/>
    </row>
    <row r="56" spans="3:6" x14ac:dyDescent="0.25">
      <c r="C56" s="116"/>
      <c r="F56" s="4"/>
    </row>
    <row r="57" spans="3:6" x14ac:dyDescent="0.25">
      <c r="C57" s="116"/>
      <c r="F57" s="4"/>
    </row>
    <row r="58" spans="3:6" x14ac:dyDescent="0.25">
      <c r="C58" s="116"/>
      <c r="F58" s="4"/>
    </row>
    <row r="59" spans="3:6" x14ac:dyDescent="0.25">
      <c r="C59" s="116"/>
      <c r="F59" s="4"/>
    </row>
    <row r="60" spans="3:6" x14ac:dyDescent="0.25">
      <c r="C60" s="116"/>
      <c r="F60" s="4"/>
    </row>
    <row r="61" spans="3:6" x14ac:dyDescent="0.25">
      <c r="C61" s="116"/>
      <c r="F61" s="4"/>
    </row>
    <row r="62" spans="3:6" x14ac:dyDescent="0.25">
      <c r="C62" s="116"/>
      <c r="F62" s="4"/>
    </row>
    <row r="63" spans="3:6" x14ac:dyDescent="0.25">
      <c r="C63" s="116"/>
      <c r="F63" s="4"/>
    </row>
    <row r="64" spans="3:6" x14ac:dyDescent="0.25">
      <c r="C64" s="116"/>
      <c r="F64" s="4"/>
    </row>
    <row r="65" spans="3:6" x14ac:dyDescent="0.25">
      <c r="C65" s="116"/>
      <c r="F65" s="4"/>
    </row>
    <row r="66" spans="3:6" x14ac:dyDescent="0.25">
      <c r="C66" s="116"/>
      <c r="F66" s="4"/>
    </row>
    <row r="67" spans="3:6" x14ac:dyDescent="0.25">
      <c r="C67" s="116"/>
      <c r="F67" s="4"/>
    </row>
    <row r="68" spans="3:6" x14ac:dyDescent="0.25">
      <c r="C68" s="116"/>
      <c r="F68" s="4"/>
    </row>
    <row r="69" spans="3:6" x14ac:dyDescent="0.25">
      <c r="C69" s="116"/>
      <c r="F69" s="4"/>
    </row>
    <row r="70" spans="3:6" x14ac:dyDescent="0.25">
      <c r="C70" s="116"/>
      <c r="F70" s="4"/>
    </row>
    <row r="71" spans="3:6" x14ac:dyDescent="0.25">
      <c r="C71" s="116"/>
      <c r="F71" s="4"/>
    </row>
    <row r="72" spans="3:6" x14ac:dyDescent="0.25">
      <c r="C72" s="116"/>
      <c r="F72" s="4"/>
    </row>
    <row r="73" spans="3:6" x14ac:dyDescent="0.25">
      <c r="C73" s="116"/>
      <c r="F73" s="4"/>
    </row>
    <row r="74" spans="3:6" x14ac:dyDescent="0.25">
      <c r="C74" s="116"/>
      <c r="F74" s="4"/>
    </row>
    <row r="75" spans="3:6" x14ac:dyDescent="0.25">
      <c r="C75" s="116"/>
      <c r="F75" s="4"/>
    </row>
    <row r="76" spans="3:6" x14ac:dyDescent="0.25">
      <c r="C76" s="116"/>
      <c r="F76" s="4"/>
    </row>
    <row r="77" spans="3:6" x14ac:dyDescent="0.25">
      <c r="C77" s="116"/>
      <c r="F77" s="4"/>
    </row>
    <row r="78" spans="3:6" x14ac:dyDescent="0.25">
      <c r="C78" s="116"/>
      <c r="F78" s="4"/>
    </row>
    <row r="79" spans="3:6" x14ac:dyDescent="0.25">
      <c r="C79" s="116"/>
      <c r="F79" s="4"/>
    </row>
    <row r="80" spans="3:6" x14ac:dyDescent="0.25">
      <c r="C80" s="116"/>
      <c r="F80" s="4"/>
    </row>
    <row r="81" spans="3:6" x14ac:dyDescent="0.25">
      <c r="C81" s="116"/>
      <c r="F81" s="4"/>
    </row>
    <row r="82" spans="3:6" x14ac:dyDescent="0.25">
      <c r="C82" s="116"/>
      <c r="F82" s="4"/>
    </row>
    <row r="83" spans="3:6" x14ac:dyDescent="0.25">
      <c r="C83" s="116"/>
      <c r="F83" s="4"/>
    </row>
    <row r="84" spans="3:6" x14ac:dyDescent="0.25">
      <c r="C84" s="116"/>
      <c r="F84" s="4"/>
    </row>
    <row r="85" spans="3:6" x14ac:dyDescent="0.25">
      <c r="C85" s="116"/>
      <c r="F85" s="4"/>
    </row>
    <row r="86" spans="3:6" x14ac:dyDescent="0.25">
      <c r="C86" s="116"/>
      <c r="F86" s="4"/>
    </row>
    <row r="87" spans="3:6" x14ac:dyDescent="0.25">
      <c r="C87" s="116"/>
      <c r="F87" s="4"/>
    </row>
    <row r="88" spans="3:6" x14ac:dyDescent="0.25">
      <c r="C88" s="116"/>
      <c r="F88" s="4"/>
    </row>
    <row r="89" spans="3:6" x14ac:dyDescent="0.25">
      <c r="C89" s="116"/>
      <c r="F89" s="4"/>
    </row>
    <row r="90" spans="3:6" x14ac:dyDescent="0.25">
      <c r="C90" s="116"/>
      <c r="F90" s="4"/>
    </row>
    <row r="91" spans="3:6" x14ac:dyDescent="0.25">
      <c r="C91" s="116"/>
      <c r="F91" s="4"/>
    </row>
    <row r="92" spans="3:6" x14ac:dyDescent="0.25">
      <c r="C92" s="116"/>
      <c r="F92" s="4"/>
    </row>
    <row r="93" spans="3:6" x14ac:dyDescent="0.25">
      <c r="C93" s="116"/>
      <c r="F93" s="4"/>
    </row>
    <row r="94" spans="3:6" x14ac:dyDescent="0.25">
      <c r="C94" s="116"/>
      <c r="F94" s="4"/>
    </row>
    <row r="95" spans="3:6" x14ac:dyDescent="0.25">
      <c r="C95" s="116"/>
      <c r="F95" s="4"/>
    </row>
    <row r="96" spans="3:6" x14ac:dyDescent="0.25">
      <c r="C96" s="116"/>
      <c r="F96" s="4"/>
    </row>
    <row r="97" spans="3:6" x14ac:dyDescent="0.25">
      <c r="C97" s="116"/>
      <c r="F97" s="4"/>
    </row>
    <row r="98" spans="3:6" x14ac:dyDescent="0.25">
      <c r="C98" s="116"/>
      <c r="F98" s="4"/>
    </row>
    <row r="99" spans="3:6" x14ac:dyDescent="0.25">
      <c r="C99" s="116"/>
      <c r="F99" s="4"/>
    </row>
    <row r="100" spans="3:6" x14ac:dyDescent="0.25">
      <c r="C100" s="116"/>
      <c r="F100" s="4"/>
    </row>
    <row r="101" spans="3:6" x14ac:dyDescent="0.25">
      <c r="C101" s="116"/>
      <c r="F101" s="4"/>
    </row>
    <row r="102" spans="3:6" x14ac:dyDescent="0.25">
      <c r="C102" s="116"/>
      <c r="F102" s="4"/>
    </row>
    <row r="103" spans="3:6" x14ac:dyDescent="0.25">
      <c r="C103" s="116"/>
      <c r="F103" s="4"/>
    </row>
    <row r="104" spans="3:6" x14ac:dyDescent="0.25">
      <c r="C104" s="116"/>
      <c r="F104" s="4"/>
    </row>
    <row r="105" spans="3:6" x14ac:dyDescent="0.25">
      <c r="C105" s="116"/>
      <c r="F105" s="4"/>
    </row>
    <row r="106" spans="3:6" x14ac:dyDescent="0.25">
      <c r="C106" s="116"/>
      <c r="F106" s="4"/>
    </row>
    <row r="107" spans="3:6" x14ac:dyDescent="0.25">
      <c r="C107" s="116"/>
      <c r="F107" s="4"/>
    </row>
    <row r="108" spans="3:6" x14ac:dyDescent="0.25">
      <c r="C108" s="116"/>
      <c r="F108" s="4"/>
    </row>
    <row r="109" spans="3:6" x14ac:dyDescent="0.25">
      <c r="C109" s="116"/>
      <c r="F109" s="4"/>
    </row>
    <row r="110" spans="3:6" x14ac:dyDescent="0.25">
      <c r="C110" s="116"/>
      <c r="F110" s="4"/>
    </row>
    <row r="111" spans="3:6" x14ac:dyDescent="0.25">
      <c r="C111" s="116"/>
      <c r="F111" s="4"/>
    </row>
    <row r="112" spans="3:6" x14ac:dyDescent="0.25">
      <c r="C112" s="116"/>
      <c r="F112" s="4"/>
    </row>
    <row r="113" spans="3:6" x14ac:dyDescent="0.25">
      <c r="C113" s="116"/>
      <c r="F113" s="4"/>
    </row>
    <row r="114" spans="3:6" x14ac:dyDescent="0.25">
      <c r="C114" s="116"/>
      <c r="F114" s="4"/>
    </row>
    <row r="115" spans="3:6" x14ac:dyDescent="0.25">
      <c r="C115" s="116"/>
      <c r="F115" s="4"/>
    </row>
    <row r="116" spans="3:6" x14ac:dyDescent="0.25">
      <c r="C116" s="116"/>
      <c r="F116" s="4"/>
    </row>
    <row r="117" spans="3:6" x14ac:dyDescent="0.25">
      <c r="C117" s="116"/>
      <c r="F117" s="4"/>
    </row>
    <row r="118" spans="3:6" x14ac:dyDescent="0.25">
      <c r="C118" s="116"/>
      <c r="F118" s="4"/>
    </row>
    <row r="119" spans="3:6" x14ac:dyDescent="0.25">
      <c r="C119" s="116"/>
      <c r="F119" s="4"/>
    </row>
    <row r="120" spans="3:6" x14ac:dyDescent="0.25">
      <c r="C120" s="116"/>
      <c r="F120" s="4"/>
    </row>
    <row r="121" spans="3:6" x14ac:dyDescent="0.25">
      <c r="C121" s="116"/>
      <c r="F121" s="4"/>
    </row>
    <row r="122" spans="3:6" x14ac:dyDescent="0.25">
      <c r="C122" s="116"/>
      <c r="F122" s="4"/>
    </row>
    <row r="123" spans="3:6" x14ac:dyDescent="0.25">
      <c r="C123" s="116"/>
      <c r="F123" s="4"/>
    </row>
    <row r="124" spans="3:6" x14ac:dyDescent="0.25">
      <c r="C124" s="116"/>
      <c r="F124" s="4"/>
    </row>
    <row r="125" spans="3:6" x14ac:dyDescent="0.25">
      <c r="C125" s="116"/>
      <c r="F125" s="4"/>
    </row>
    <row r="126" spans="3:6" x14ac:dyDescent="0.25">
      <c r="C126" s="116"/>
      <c r="F126" s="4"/>
    </row>
    <row r="127" spans="3:6" x14ac:dyDescent="0.25">
      <c r="C127" s="116"/>
      <c r="F127" s="4"/>
    </row>
    <row r="128" spans="3:6" x14ac:dyDescent="0.25">
      <c r="C128" s="116"/>
      <c r="F128" s="4"/>
    </row>
    <row r="129" spans="3:6" x14ac:dyDescent="0.25">
      <c r="C129" s="116"/>
      <c r="F129" s="4"/>
    </row>
    <row r="130" spans="3:6" x14ac:dyDescent="0.25">
      <c r="C130" s="116"/>
      <c r="F130" s="4"/>
    </row>
    <row r="131" spans="3:6" x14ac:dyDescent="0.25">
      <c r="C131" s="116"/>
      <c r="F131" s="4"/>
    </row>
    <row r="132" spans="3:6" x14ac:dyDescent="0.25">
      <c r="C132" s="116"/>
      <c r="F132" s="4"/>
    </row>
    <row r="133" spans="3:6" x14ac:dyDescent="0.25">
      <c r="C133" s="116"/>
      <c r="F133" s="4"/>
    </row>
    <row r="134" spans="3:6" x14ac:dyDescent="0.25">
      <c r="C134" s="116"/>
      <c r="F134" s="4"/>
    </row>
    <row r="135" spans="3:6" x14ac:dyDescent="0.25">
      <c r="C135" s="116"/>
      <c r="F135" s="4"/>
    </row>
    <row r="136" spans="3:6" x14ac:dyDescent="0.25">
      <c r="C136" s="116"/>
      <c r="F136" s="4"/>
    </row>
    <row r="137" spans="3:6" x14ac:dyDescent="0.25">
      <c r="C137" s="116"/>
      <c r="F137" s="4"/>
    </row>
    <row r="138" spans="3:6" x14ac:dyDescent="0.25">
      <c r="C138" s="116"/>
      <c r="F138" s="4"/>
    </row>
    <row r="139" spans="3:6" x14ac:dyDescent="0.25">
      <c r="C139" s="116"/>
      <c r="F139" s="4"/>
    </row>
    <row r="140" spans="3:6" x14ac:dyDescent="0.25">
      <c r="C140" s="116"/>
      <c r="F140" s="4"/>
    </row>
    <row r="141" spans="3:6" x14ac:dyDescent="0.25">
      <c r="C141" s="116"/>
      <c r="F141" s="4"/>
    </row>
    <row r="142" spans="3:6" x14ac:dyDescent="0.25">
      <c r="C142" s="116"/>
      <c r="F142" s="4"/>
    </row>
    <row r="143" spans="3:6" x14ac:dyDescent="0.25">
      <c r="C143" s="116"/>
      <c r="F143" s="4"/>
    </row>
    <row r="144" spans="3:6" x14ac:dyDescent="0.25">
      <c r="C144" s="116"/>
      <c r="F144" s="4"/>
    </row>
    <row r="145" spans="3:6" x14ac:dyDescent="0.25">
      <c r="C145" s="116"/>
      <c r="F145" s="4"/>
    </row>
    <row r="146" spans="3:6" x14ac:dyDescent="0.25">
      <c r="C146" s="116"/>
      <c r="F146" s="4"/>
    </row>
    <row r="147" spans="3:6" x14ac:dyDescent="0.25">
      <c r="C147" s="116"/>
      <c r="F147" s="4"/>
    </row>
    <row r="148" spans="3:6" x14ac:dyDescent="0.25">
      <c r="C148" s="116"/>
      <c r="F148" s="4"/>
    </row>
    <row r="149" spans="3:6" x14ac:dyDescent="0.25">
      <c r="C149" s="116"/>
      <c r="F149" s="4"/>
    </row>
    <row r="150" spans="3:6" x14ac:dyDescent="0.25">
      <c r="C150" s="116"/>
      <c r="F150" s="4"/>
    </row>
    <row r="151" spans="3:6" x14ac:dyDescent="0.25">
      <c r="C151" s="116"/>
      <c r="F151" s="4"/>
    </row>
    <row r="152" spans="3:6" x14ac:dyDescent="0.25">
      <c r="C152" s="116"/>
      <c r="F152" s="4"/>
    </row>
    <row r="153" spans="3:6" x14ac:dyDescent="0.25">
      <c r="C153" s="116"/>
      <c r="F153" s="4"/>
    </row>
    <row r="154" spans="3:6" x14ac:dyDescent="0.25">
      <c r="C154" s="116"/>
      <c r="F154" s="4"/>
    </row>
    <row r="155" spans="3:6" x14ac:dyDescent="0.25">
      <c r="C155" s="116"/>
      <c r="F155" s="4"/>
    </row>
    <row r="156" spans="3:6" x14ac:dyDescent="0.25">
      <c r="C156" s="116"/>
      <c r="F156" s="4"/>
    </row>
    <row r="157" spans="3:6" x14ac:dyDescent="0.25">
      <c r="C157" s="116"/>
      <c r="F157" s="4"/>
    </row>
    <row r="158" spans="3:6" x14ac:dyDescent="0.25">
      <c r="C158" s="116"/>
      <c r="F158" s="4"/>
    </row>
    <row r="159" spans="3:6" x14ac:dyDescent="0.25">
      <c r="C159" s="116"/>
      <c r="F159" s="4"/>
    </row>
    <row r="160" spans="3:6" x14ac:dyDescent="0.25">
      <c r="C160" s="116"/>
      <c r="F160" s="4"/>
    </row>
    <row r="161" spans="3:6" x14ac:dyDescent="0.25">
      <c r="C161" s="116"/>
      <c r="F161" s="4"/>
    </row>
    <row r="162" spans="3:6" x14ac:dyDescent="0.25">
      <c r="C162" s="116"/>
      <c r="F162" s="4"/>
    </row>
    <row r="163" spans="3:6" x14ac:dyDescent="0.25">
      <c r="C163" s="116"/>
      <c r="F163" s="4"/>
    </row>
    <row r="164" spans="3:6" x14ac:dyDescent="0.25">
      <c r="C164" s="116"/>
      <c r="F164" s="4"/>
    </row>
    <row r="165" spans="3:6" x14ac:dyDescent="0.25">
      <c r="C165" s="116"/>
      <c r="F165" s="4"/>
    </row>
    <row r="166" spans="3:6" x14ac:dyDescent="0.25">
      <c r="C166" s="116"/>
      <c r="F166" s="4"/>
    </row>
    <row r="167" spans="3:6" x14ac:dyDescent="0.25">
      <c r="C167" s="116"/>
      <c r="F167" s="4"/>
    </row>
    <row r="168" spans="3:6" x14ac:dyDescent="0.25">
      <c r="C168" s="116"/>
      <c r="F168" s="4"/>
    </row>
    <row r="169" spans="3:6" x14ac:dyDescent="0.25">
      <c r="C169" s="116"/>
      <c r="F169" s="4"/>
    </row>
    <row r="170" spans="3:6" x14ac:dyDescent="0.25">
      <c r="C170" s="116"/>
      <c r="F170" s="4"/>
    </row>
    <row r="171" spans="3:6" x14ac:dyDescent="0.25">
      <c r="C171" s="116"/>
      <c r="F171" s="4"/>
    </row>
    <row r="172" spans="3:6" x14ac:dyDescent="0.25">
      <c r="C172" s="116"/>
      <c r="F172" s="4"/>
    </row>
    <row r="173" spans="3:6" x14ac:dyDescent="0.25">
      <c r="C173" s="116"/>
      <c r="F173" s="4"/>
    </row>
    <row r="174" spans="3:6" x14ac:dyDescent="0.25">
      <c r="C174" s="116"/>
      <c r="F174" s="4"/>
    </row>
    <row r="175" spans="3:6" x14ac:dyDescent="0.25">
      <c r="C175" s="116"/>
      <c r="F175" s="4"/>
    </row>
    <row r="176" spans="3:6" x14ac:dyDescent="0.25">
      <c r="C176" s="116"/>
      <c r="F176" s="4"/>
    </row>
    <row r="177" spans="3:6" x14ac:dyDescent="0.25">
      <c r="C177" s="116"/>
      <c r="F177" s="4"/>
    </row>
    <row r="178" spans="3:6" x14ac:dyDescent="0.25">
      <c r="C178" s="116"/>
      <c r="F178" s="4"/>
    </row>
    <row r="179" spans="3:6" x14ac:dyDescent="0.25">
      <c r="C179" s="116"/>
      <c r="F179" s="4"/>
    </row>
    <row r="180" spans="3:6" x14ac:dyDescent="0.25">
      <c r="C180" s="116"/>
      <c r="F180" s="4"/>
    </row>
    <row r="181" spans="3:6" x14ac:dyDescent="0.25">
      <c r="C181" s="116"/>
      <c r="F181" s="4"/>
    </row>
    <row r="182" spans="3:6" x14ac:dyDescent="0.25">
      <c r="C182" s="116"/>
      <c r="F182" s="4"/>
    </row>
    <row r="183" spans="3:6" x14ac:dyDescent="0.25">
      <c r="C183" s="116"/>
      <c r="F183" s="4"/>
    </row>
    <row r="184" spans="3:6" x14ac:dyDescent="0.25">
      <c r="C184" s="116"/>
      <c r="F184" s="4"/>
    </row>
    <row r="185" spans="3:6" x14ac:dyDescent="0.25">
      <c r="C185" s="116"/>
      <c r="F185" s="4"/>
    </row>
    <row r="186" spans="3:6" x14ac:dyDescent="0.25">
      <c r="C186" s="116"/>
      <c r="F186" s="4"/>
    </row>
    <row r="187" spans="3:6" x14ac:dyDescent="0.25">
      <c r="C187" s="116"/>
      <c r="F187" s="4"/>
    </row>
    <row r="188" spans="3:6" x14ac:dyDescent="0.25">
      <c r="C188" s="116"/>
      <c r="F188" s="4"/>
    </row>
    <row r="189" spans="3:6" x14ac:dyDescent="0.25">
      <c r="C189" s="116"/>
      <c r="F189" s="4"/>
    </row>
    <row r="190" spans="3:6" x14ac:dyDescent="0.25">
      <c r="C190" s="116"/>
      <c r="F190" s="4"/>
    </row>
    <row r="191" spans="3:6" x14ac:dyDescent="0.25">
      <c r="C191" s="116"/>
      <c r="F191" s="4"/>
    </row>
    <row r="192" spans="3:6" x14ac:dyDescent="0.25">
      <c r="C192" s="116"/>
      <c r="F192" s="4"/>
    </row>
    <row r="193" spans="3:6" x14ac:dyDescent="0.25">
      <c r="C193" s="116"/>
      <c r="F193" s="4"/>
    </row>
    <row r="194" spans="3:6" x14ac:dyDescent="0.25">
      <c r="C194" s="116"/>
      <c r="F194" s="4"/>
    </row>
    <row r="195" spans="3:6" x14ac:dyDescent="0.25">
      <c r="C195" s="116"/>
      <c r="F195" s="4"/>
    </row>
    <row r="196" spans="3:6" x14ac:dyDescent="0.25">
      <c r="C196" s="116"/>
      <c r="F196" s="4"/>
    </row>
    <row r="197" spans="3:6" x14ac:dyDescent="0.25">
      <c r="C197" s="116"/>
      <c r="F197" s="4"/>
    </row>
    <row r="198" spans="3:6" x14ac:dyDescent="0.25">
      <c r="C198" s="116"/>
      <c r="F198" s="4"/>
    </row>
    <row r="199" spans="3:6" x14ac:dyDescent="0.25">
      <c r="C199" s="116"/>
      <c r="F199" s="4"/>
    </row>
    <row r="200" spans="3:6" x14ac:dyDescent="0.25">
      <c r="C200" s="116"/>
      <c r="F200" s="4"/>
    </row>
    <row r="201" spans="3:6" x14ac:dyDescent="0.25">
      <c r="C201" s="116"/>
      <c r="F201" s="4"/>
    </row>
    <row r="202" spans="3:6" x14ac:dyDescent="0.25">
      <c r="C202" s="116"/>
      <c r="F202" s="4"/>
    </row>
    <row r="203" spans="3:6" x14ac:dyDescent="0.25">
      <c r="C203" s="116"/>
      <c r="F203" s="4"/>
    </row>
    <row r="204" spans="3:6" x14ac:dyDescent="0.25">
      <c r="C204" s="116"/>
      <c r="F204" s="4"/>
    </row>
    <row r="205" spans="3:6" x14ac:dyDescent="0.25">
      <c r="C205" s="116"/>
      <c r="F205" s="4"/>
    </row>
    <row r="206" spans="3:6" x14ac:dyDescent="0.25">
      <c r="C206" s="116"/>
      <c r="F206" s="4"/>
    </row>
    <row r="207" spans="3:6" x14ac:dyDescent="0.25">
      <c r="C207" s="116"/>
      <c r="F207" s="4"/>
    </row>
    <row r="208" spans="3:6" x14ac:dyDescent="0.25">
      <c r="C208" s="116"/>
      <c r="F208" s="4"/>
    </row>
    <row r="209" spans="3:6" x14ac:dyDescent="0.25">
      <c r="C209" s="116"/>
      <c r="F209" s="4"/>
    </row>
    <row r="210" spans="3:6" x14ac:dyDescent="0.25">
      <c r="C210" s="116"/>
      <c r="F210" s="4"/>
    </row>
    <row r="211" spans="3:6" x14ac:dyDescent="0.25">
      <c r="C211" s="116"/>
      <c r="F211" s="4"/>
    </row>
    <row r="212" spans="3:6" x14ac:dyDescent="0.25">
      <c r="C212" s="116"/>
      <c r="F212" s="4"/>
    </row>
    <row r="213" spans="3:6" x14ac:dyDescent="0.25">
      <c r="C213" s="116"/>
      <c r="F213" s="4"/>
    </row>
    <row r="214" spans="3:6" x14ac:dyDescent="0.25">
      <c r="C214" s="116"/>
      <c r="F214" s="4"/>
    </row>
    <row r="215" spans="3:6" x14ac:dyDescent="0.25">
      <c r="C215" s="116"/>
      <c r="F215" s="4"/>
    </row>
    <row r="216" spans="3:6" x14ac:dyDescent="0.25">
      <c r="C216" s="116"/>
      <c r="F216" s="4"/>
    </row>
    <row r="217" spans="3:6" x14ac:dyDescent="0.25">
      <c r="C217" s="116"/>
      <c r="F217" s="4"/>
    </row>
    <row r="218" spans="3:6" x14ac:dyDescent="0.25">
      <c r="C218" s="116"/>
      <c r="F218" s="4"/>
    </row>
    <row r="219" spans="3:6" x14ac:dyDescent="0.25">
      <c r="C219" s="116"/>
      <c r="F219" s="4"/>
    </row>
    <row r="220" spans="3:6" x14ac:dyDescent="0.25">
      <c r="C220" s="116"/>
      <c r="F220" s="4"/>
    </row>
    <row r="221" spans="3:6" x14ac:dyDescent="0.25">
      <c r="C221" s="116"/>
      <c r="F221" s="4"/>
    </row>
    <row r="222" spans="3:6" x14ac:dyDescent="0.25">
      <c r="C222" s="116"/>
      <c r="F222" s="4"/>
    </row>
    <row r="223" spans="3:6" x14ac:dyDescent="0.25">
      <c r="C223" s="116"/>
      <c r="F223" s="4"/>
    </row>
    <row r="224" spans="3:6" x14ac:dyDescent="0.25">
      <c r="C224" s="116"/>
      <c r="F224" s="4"/>
    </row>
    <row r="225" spans="3:6" x14ac:dyDescent="0.25">
      <c r="C225" s="116"/>
      <c r="F225" s="4"/>
    </row>
    <row r="226" spans="3:6" x14ac:dyDescent="0.25">
      <c r="C226" s="116"/>
      <c r="F226" s="4"/>
    </row>
    <row r="227" spans="3:6" x14ac:dyDescent="0.25">
      <c r="C227" s="116"/>
      <c r="F227" s="4"/>
    </row>
    <row r="228" spans="3:6" x14ac:dyDescent="0.25">
      <c r="C228" s="116"/>
      <c r="F228" s="4"/>
    </row>
    <row r="229" spans="3:6" x14ac:dyDescent="0.25">
      <c r="C229" s="116"/>
      <c r="F229" s="4"/>
    </row>
    <row r="230" spans="3:6" x14ac:dyDescent="0.25">
      <c r="C230" s="116"/>
      <c r="F230" s="4"/>
    </row>
    <row r="231" spans="3:6" x14ac:dyDescent="0.25">
      <c r="C231" s="116"/>
      <c r="F231" s="4"/>
    </row>
    <row r="232" spans="3:6" x14ac:dyDescent="0.25">
      <c r="C232" s="116"/>
      <c r="F232" s="4"/>
    </row>
    <row r="233" spans="3:6" x14ac:dyDescent="0.25">
      <c r="C233" s="116"/>
      <c r="F233" s="4"/>
    </row>
    <row r="234" spans="3:6" x14ac:dyDescent="0.25">
      <c r="C234" s="116"/>
      <c r="F234" s="4"/>
    </row>
    <row r="235" spans="3:6" x14ac:dyDescent="0.25">
      <c r="C235" s="116"/>
      <c r="F235" s="4"/>
    </row>
    <row r="236" spans="3:6" x14ac:dyDescent="0.25">
      <c r="C236" s="116"/>
      <c r="F236" s="4"/>
    </row>
    <row r="237" spans="3:6" x14ac:dyDescent="0.25">
      <c r="C237" s="116"/>
      <c r="F237" s="4"/>
    </row>
    <row r="238" spans="3:6" x14ac:dyDescent="0.25">
      <c r="C238" s="116"/>
      <c r="F238" s="4"/>
    </row>
    <row r="239" spans="3:6" x14ac:dyDescent="0.25">
      <c r="C239" s="116"/>
      <c r="F239" s="4"/>
    </row>
    <row r="240" spans="3:6" x14ac:dyDescent="0.25">
      <c r="C240" s="116"/>
      <c r="F240" s="4"/>
    </row>
    <row r="241" spans="3:6" x14ac:dyDescent="0.25">
      <c r="C241" s="116"/>
      <c r="F241" s="4"/>
    </row>
    <row r="242" spans="3:6" x14ac:dyDescent="0.25">
      <c r="C242" s="116"/>
      <c r="F242" s="4"/>
    </row>
    <row r="243" spans="3:6" x14ac:dyDescent="0.25">
      <c r="C243" s="116"/>
      <c r="F243" s="4"/>
    </row>
    <row r="244" spans="3:6" x14ac:dyDescent="0.25">
      <c r="C244" s="116"/>
      <c r="F244" s="4"/>
    </row>
    <row r="245" spans="3:6" x14ac:dyDescent="0.25">
      <c r="C245" s="116"/>
      <c r="F245" s="4"/>
    </row>
    <row r="246" spans="3:6" x14ac:dyDescent="0.25">
      <c r="C246" s="116"/>
      <c r="F246" s="4"/>
    </row>
    <row r="247" spans="3:6" x14ac:dyDescent="0.25">
      <c r="C247" s="116"/>
      <c r="F247" s="4"/>
    </row>
    <row r="248" spans="3:6" x14ac:dyDescent="0.25">
      <c r="C248" s="116"/>
      <c r="F248" s="4"/>
    </row>
    <row r="249" spans="3:6" x14ac:dyDescent="0.25">
      <c r="C249" s="116"/>
      <c r="F249" s="4"/>
    </row>
    <row r="250" spans="3:6" x14ac:dyDescent="0.25">
      <c r="C250" s="116"/>
      <c r="F250" s="4"/>
    </row>
    <row r="251" spans="3:6" x14ac:dyDescent="0.25">
      <c r="C251" s="116"/>
      <c r="F251" s="4"/>
    </row>
    <row r="252" spans="3:6" x14ac:dyDescent="0.25">
      <c r="C252" s="116"/>
      <c r="F252" s="4"/>
    </row>
    <row r="253" spans="3:6" x14ac:dyDescent="0.25">
      <c r="C253" s="116"/>
      <c r="F253" s="4"/>
    </row>
    <row r="254" spans="3:6" x14ac:dyDescent="0.25">
      <c r="C254" s="116"/>
      <c r="F254" s="4"/>
    </row>
    <row r="255" spans="3:6" x14ac:dyDescent="0.25">
      <c r="C255" s="116"/>
      <c r="F255" s="4"/>
    </row>
    <row r="256" spans="3:6" x14ac:dyDescent="0.25">
      <c r="C256" s="116"/>
      <c r="F256" s="4"/>
    </row>
    <row r="257" spans="3:6" x14ac:dyDescent="0.25">
      <c r="C257" s="116"/>
      <c r="F257" s="4"/>
    </row>
    <row r="258" spans="3:6" x14ac:dyDescent="0.25">
      <c r="C258" s="116"/>
      <c r="F258" s="4"/>
    </row>
    <row r="259" spans="3:6" x14ac:dyDescent="0.25">
      <c r="C259" s="116"/>
      <c r="F259" s="4"/>
    </row>
    <row r="260" spans="3:6" x14ac:dyDescent="0.25">
      <c r="C260" s="116"/>
      <c r="F260" s="4"/>
    </row>
    <row r="261" spans="3:6" x14ac:dyDescent="0.25">
      <c r="C261" s="116"/>
      <c r="F261" s="4"/>
    </row>
    <row r="262" spans="3:6" x14ac:dyDescent="0.25">
      <c r="C262" s="116"/>
      <c r="F262" s="4"/>
    </row>
    <row r="263" spans="3:6" x14ac:dyDescent="0.25">
      <c r="C263" s="116"/>
      <c r="F263" s="4"/>
    </row>
    <row r="264" spans="3:6" x14ac:dyDescent="0.25">
      <c r="C264" s="116"/>
      <c r="F264" s="4"/>
    </row>
    <row r="265" spans="3:6" x14ac:dyDescent="0.25">
      <c r="C265" s="116"/>
      <c r="F265" s="4"/>
    </row>
    <row r="266" spans="3:6" x14ac:dyDescent="0.25">
      <c r="C266" s="116"/>
      <c r="F266" s="4"/>
    </row>
    <row r="267" spans="3:6" x14ac:dyDescent="0.25">
      <c r="C267" s="116"/>
      <c r="F267" s="4"/>
    </row>
    <row r="268" spans="3:6" x14ac:dyDescent="0.25">
      <c r="C268" s="116"/>
      <c r="F268" s="4"/>
    </row>
    <row r="269" spans="3:6" x14ac:dyDescent="0.25">
      <c r="C269" s="116"/>
      <c r="F269" s="4"/>
    </row>
    <row r="270" spans="3:6" x14ac:dyDescent="0.25">
      <c r="C270" s="116"/>
      <c r="F270" s="4"/>
    </row>
    <row r="271" spans="3:6" x14ac:dyDescent="0.25">
      <c r="C271" s="116"/>
      <c r="F271" s="4"/>
    </row>
    <row r="272" spans="3:6" x14ac:dyDescent="0.25">
      <c r="C272" s="116"/>
      <c r="F272" s="4"/>
    </row>
    <row r="273" spans="3:6" x14ac:dyDescent="0.25">
      <c r="C273" s="116"/>
      <c r="F273" s="4"/>
    </row>
    <row r="274" spans="3:6" x14ac:dyDescent="0.25">
      <c r="C274" s="116"/>
      <c r="F274" s="4"/>
    </row>
    <row r="275" spans="3:6" x14ac:dyDescent="0.25">
      <c r="C275" s="116"/>
      <c r="F275" s="4"/>
    </row>
    <row r="276" spans="3:6" x14ac:dyDescent="0.25">
      <c r="C276" s="116"/>
      <c r="F276" s="4"/>
    </row>
    <row r="277" spans="3:6" x14ac:dyDescent="0.25">
      <c r="C277" s="116"/>
      <c r="F277" s="4"/>
    </row>
    <row r="278" spans="3:6" x14ac:dyDescent="0.25">
      <c r="C278" s="116"/>
      <c r="F278" s="4"/>
    </row>
    <row r="279" spans="3:6" x14ac:dyDescent="0.25">
      <c r="C279" s="116"/>
      <c r="F279" s="4"/>
    </row>
    <row r="280" spans="3:6" x14ac:dyDescent="0.25">
      <c r="C280" s="116"/>
      <c r="F280" s="4"/>
    </row>
    <row r="281" spans="3:6" x14ac:dyDescent="0.25">
      <c r="C281" s="116"/>
      <c r="F281" s="4"/>
    </row>
    <row r="282" spans="3:6" x14ac:dyDescent="0.25">
      <c r="C282" s="116"/>
      <c r="F282" s="4"/>
    </row>
    <row r="283" spans="3:6" x14ac:dyDescent="0.25">
      <c r="C283" s="116"/>
      <c r="F283" s="4"/>
    </row>
    <row r="284" spans="3:6" x14ac:dyDescent="0.25">
      <c r="C284" s="116"/>
      <c r="F284" s="4"/>
    </row>
    <row r="285" spans="3:6" x14ac:dyDescent="0.25">
      <c r="C285" s="116"/>
      <c r="F285" s="4"/>
    </row>
    <row r="286" spans="3:6" x14ac:dyDescent="0.25">
      <c r="C286" s="116"/>
      <c r="F286" s="4"/>
    </row>
    <row r="287" spans="3:6" x14ac:dyDescent="0.25">
      <c r="C287" s="116"/>
      <c r="F287" s="4"/>
    </row>
    <row r="288" spans="3:6" x14ac:dyDescent="0.25">
      <c r="C288" s="116"/>
      <c r="F288" s="4"/>
    </row>
    <row r="289" spans="3:6" x14ac:dyDescent="0.25">
      <c r="C289" s="116"/>
      <c r="F289" s="4"/>
    </row>
    <row r="290" spans="3:6" x14ac:dyDescent="0.25">
      <c r="C290" s="116"/>
      <c r="F290" s="4"/>
    </row>
    <row r="291" spans="3:6" x14ac:dyDescent="0.25">
      <c r="C291" s="116"/>
      <c r="F291" s="4"/>
    </row>
    <row r="292" spans="3:6" x14ac:dyDescent="0.25">
      <c r="C292" s="116"/>
      <c r="F292" s="4"/>
    </row>
    <row r="293" spans="3:6" x14ac:dyDescent="0.25">
      <c r="C293" s="116"/>
      <c r="F293" s="4"/>
    </row>
    <row r="294" spans="3:6" x14ac:dyDescent="0.25">
      <c r="C294" s="116"/>
      <c r="F294" s="4"/>
    </row>
    <row r="295" spans="3:6" x14ac:dyDescent="0.25">
      <c r="C295" s="116"/>
      <c r="F295" s="4"/>
    </row>
    <row r="296" spans="3:6" x14ac:dyDescent="0.25">
      <c r="C296" s="116"/>
      <c r="F296" s="4"/>
    </row>
    <row r="297" spans="3:6" x14ac:dyDescent="0.25">
      <c r="C297" s="116"/>
      <c r="F297" s="4"/>
    </row>
    <row r="298" spans="3:6" x14ac:dyDescent="0.25">
      <c r="C298" s="116"/>
      <c r="F298" s="4"/>
    </row>
    <row r="299" spans="3:6" x14ac:dyDescent="0.25">
      <c r="C299" s="116"/>
      <c r="F299" s="4"/>
    </row>
    <row r="300" spans="3:6" x14ac:dyDescent="0.25">
      <c r="C300" s="116"/>
      <c r="F300" s="4"/>
    </row>
    <row r="301" spans="3:6" x14ac:dyDescent="0.25">
      <c r="C301" s="116"/>
      <c r="F301" s="4"/>
    </row>
    <row r="302" spans="3:6" x14ac:dyDescent="0.25">
      <c r="C302" s="116"/>
      <c r="F302" s="4"/>
    </row>
    <row r="303" spans="3:6" x14ac:dyDescent="0.25">
      <c r="C303" s="116"/>
      <c r="F303" s="4"/>
    </row>
    <row r="304" spans="3:6" x14ac:dyDescent="0.25">
      <c r="C304" s="116"/>
      <c r="F304" s="4"/>
    </row>
    <row r="305" spans="3:6" x14ac:dyDescent="0.25">
      <c r="C305" s="116"/>
      <c r="F305" s="4"/>
    </row>
    <row r="306" spans="3:6" x14ac:dyDescent="0.25">
      <c r="C306" s="116"/>
      <c r="F306" s="4"/>
    </row>
    <row r="307" spans="3:6" x14ac:dyDescent="0.25">
      <c r="C307" s="116"/>
      <c r="F307" s="4"/>
    </row>
    <row r="308" spans="3:6" x14ac:dyDescent="0.25">
      <c r="C308" s="116"/>
      <c r="F308" s="4"/>
    </row>
    <row r="309" spans="3:6" x14ac:dyDescent="0.25">
      <c r="C309" s="116"/>
      <c r="F309" s="4"/>
    </row>
    <row r="310" spans="3:6" x14ac:dyDescent="0.25">
      <c r="C310" s="116"/>
      <c r="F310" s="4"/>
    </row>
    <row r="311" spans="3:6" x14ac:dyDescent="0.25">
      <c r="C311" s="116"/>
      <c r="F311" s="4"/>
    </row>
    <row r="312" spans="3:6" x14ac:dyDescent="0.25">
      <c r="C312" s="116"/>
      <c r="F312" s="4"/>
    </row>
    <row r="313" spans="3:6" x14ac:dyDescent="0.25">
      <c r="C313" s="116"/>
      <c r="F313" s="4"/>
    </row>
    <row r="314" spans="3:6" x14ac:dyDescent="0.25">
      <c r="C314" s="116"/>
      <c r="F314" s="4"/>
    </row>
    <row r="315" spans="3:6" x14ac:dyDescent="0.25">
      <c r="C315" s="116"/>
      <c r="F315" s="4"/>
    </row>
    <row r="316" spans="3:6" x14ac:dyDescent="0.25">
      <c r="C316" s="116"/>
      <c r="F316" s="4"/>
    </row>
    <row r="317" spans="3:6" x14ac:dyDescent="0.25">
      <c r="C317" s="116"/>
      <c r="F317" s="4"/>
    </row>
    <row r="318" spans="3:6" x14ac:dyDescent="0.25">
      <c r="C318" s="116"/>
      <c r="F318" s="4"/>
    </row>
    <row r="319" spans="3:6" x14ac:dyDescent="0.25">
      <c r="C319" s="116"/>
      <c r="F319" s="4"/>
    </row>
    <row r="320" spans="3:6" x14ac:dyDescent="0.25">
      <c r="C320" s="116"/>
      <c r="F320" s="4"/>
    </row>
    <row r="321" spans="3:6" x14ac:dyDescent="0.25">
      <c r="C321" s="116"/>
      <c r="F321" s="4"/>
    </row>
    <row r="322" spans="3:6" x14ac:dyDescent="0.25">
      <c r="C322" s="116"/>
      <c r="F322" s="4"/>
    </row>
    <row r="323" spans="3:6" x14ac:dyDescent="0.25">
      <c r="C323" s="116"/>
      <c r="F323" s="4"/>
    </row>
    <row r="324" spans="3:6" x14ac:dyDescent="0.25">
      <c r="C324" s="116"/>
      <c r="F324" s="4"/>
    </row>
    <row r="325" spans="3:6" x14ac:dyDescent="0.25">
      <c r="C325" s="116"/>
      <c r="F325" s="4"/>
    </row>
    <row r="326" spans="3:6" x14ac:dyDescent="0.25">
      <c r="C326" s="116"/>
      <c r="F326" s="4"/>
    </row>
    <row r="327" spans="3:6" x14ac:dyDescent="0.25">
      <c r="C327" s="116"/>
      <c r="F327" s="4"/>
    </row>
    <row r="328" spans="3:6" x14ac:dyDescent="0.25">
      <c r="C328" s="116"/>
      <c r="F328" s="4"/>
    </row>
    <row r="329" spans="3:6" x14ac:dyDescent="0.25">
      <c r="C329" s="116"/>
      <c r="F329" s="4"/>
    </row>
    <row r="330" spans="3:6" x14ac:dyDescent="0.25">
      <c r="C330" s="116"/>
      <c r="F330" s="4"/>
    </row>
    <row r="331" spans="3:6" x14ac:dyDescent="0.25">
      <c r="C331" s="116"/>
      <c r="F331" s="4"/>
    </row>
    <row r="332" spans="3:6" x14ac:dyDescent="0.25">
      <c r="C332" s="116"/>
      <c r="F332" s="4"/>
    </row>
    <row r="333" spans="3:6" x14ac:dyDescent="0.25">
      <c r="C333" s="116"/>
      <c r="F333" s="4"/>
    </row>
    <row r="334" spans="3:6" x14ac:dyDescent="0.25">
      <c r="C334" s="116"/>
      <c r="F334" s="4"/>
    </row>
    <row r="335" spans="3:6" x14ac:dyDescent="0.25">
      <c r="C335" s="116"/>
      <c r="F335" s="4"/>
    </row>
    <row r="336" spans="3:6" x14ac:dyDescent="0.25">
      <c r="C336" s="116"/>
      <c r="F336" s="4"/>
    </row>
    <row r="337" spans="3:6" x14ac:dyDescent="0.25">
      <c r="C337" s="116"/>
      <c r="F337" s="4"/>
    </row>
    <row r="338" spans="3:6" x14ac:dyDescent="0.25">
      <c r="C338" s="116"/>
      <c r="F338" s="4"/>
    </row>
    <row r="339" spans="3:6" x14ac:dyDescent="0.25">
      <c r="C339" s="116"/>
      <c r="F339" s="4"/>
    </row>
    <row r="340" spans="3:6" x14ac:dyDescent="0.25">
      <c r="C340" s="116"/>
      <c r="F340" s="4"/>
    </row>
    <row r="341" spans="3:6" x14ac:dyDescent="0.25">
      <c r="C341" s="116"/>
      <c r="F341" s="4"/>
    </row>
    <row r="342" spans="3:6" x14ac:dyDescent="0.25">
      <c r="C342" s="116"/>
      <c r="F342" s="4"/>
    </row>
    <row r="343" spans="3:6" x14ac:dyDescent="0.25">
      <c r="C343" s="116"/>
      <c r="F343" s="4"/>
    </row>
    <row r="344" spans="3:6" x14ac:dyDescent="0.25">
      <c r="C344" s="116"/>
      <c r="F344" s="4"/>
    </row>
    <row r="345" spans="3:6" x14ac:dyDescent="0.25">
      <c r="C345" s="116"/>
      <c r="F345" s="4"/>
    </row>
    <row r="346" spans="3:6" x14ac:dyDescent="0.25">
      <c r="C346" s="116"/>
      <c r="F346" s="4"/>
    </row>
    <row r="347" spans="3:6" x14ac:dyDescent="0.25">
      <c r="C347" s="116"/>
      <c r="F347" s="4"/>
    </row>
    <row r="348" spans="3:6" x14ac:dyDescent="0.25">
      <c r="C348" s="116"/>
      <c r="F348" s="4"/>
    </row>
    <row r="349" spans="3:6" x14ac:dyDescent="0.25">
      <c r="C349" s="116"/>
      <c r="F349" s="4"/>
    </row>
    <row r="350" spans="3:6" x14ac:dyDescent="0.25">
      <c r="C350" s="116"/>
      <c r="F350" s="4"/>
    </row>
    <row r="351" spans="3:6" x14ac:dyDescent="0.25">
      <c r="C351" s="116"/>
      <c r="F351" s="4"/>
    </row>
    <row r="352" spans="3:6" x14ac:dyDescent="0.25">
      <c r="C352" s="116"/>
      <c r="F352" s="4"/>
    </row>
    <row r="353" spans="3:6" x14ac:dyDescent="0.25">
      <c r="C353" s="116"/>
      <c r="F353" s="4"/>
    </row>
    <row r="354" spans="3:6" x14ac:dyDescent="0.25">
      <c r="C354" s="116"/>
      <c r="F354" s="4"/>
    </row>
    <row r="355" spans="3:6" x14ac:dyDescent="0.25">
      <c r="C355" s="116"/>
      <c r="F355" s="4"/>
    </row>
    <row r="356" spans="3:6" x14ac:dyDescent="0.25">
      <c r="C356" s="116"/>
      <c r="F356" s="4"/>
    </row>
    <row r="357" spans="3:6" x14ac:dyDescent="0.25">
      <c r="C357" s="116"/>
      <c r="F357" s="4"/>
    </row>
    <row r="358" spans="3:6" x14ac:dyDescent="0.25">
      <c r="C358" s="116"/>
      <c r="F358" s="4"/>
    </row>
    <row r="359" spans="3:6" x14ac:dyDescent="0.25">
      <c r="C359" s="116"/>
      <c r="F359" s="4"/>
    </row>
    <row r="360" spans="3:6" x14ac:dyDescent="0.25">
      <c r="C360" s="116"/>
      <c r="F360" s="4"/>
    </row>
    <row r="361" spans="3:6" x14ac:dyDescent="0.25">
      <c r="C361" s="116"/>
      <c r="F361" s="4"/>
    </row>
    <row r="362" spans="3:6" x14ac:dyDescent="0.25">
      <c r="C362" s="116"/>
      <c r="F362" s="4"/>
    </row>
    <row r="363" spans="3:6" x14ac:dyDescent="0.25">
      <c r="C363" s="116"/>
      <c r="F363" s="4"/>
    </row>
    <row r="364" spans="3:6" x14ac:dyDescent="0.25">
      <c r="C364" s="116"/>
      <c r="F364" s="4"/>
    </row>
    <row r="365" spans="3:6" x14ac:dyDescent="0.25">
      <c r="C365" s="116"/>
      <c r="F365" s="4"/>
    </row>
    <row r="366" spans="3:6" x14ac:dyDescent="0.25">
      <c r="C366" s="116"/>
      <c r="F366" s="4"/>
    </row>
    <row r="367" spans="3:6" x14ac:dyDescent="0.25">
      <c r="C367" s="116"/>
      <c r="F367" s="4"/>
    </row>
    <row r="368" spans="3:6" x14ac:dyDescent="0.25">
      <c r="C368" s="116"/>
      <c r="F368" s="4"/>
    </row>
    <row r="369" spans="3:6" x14ac:dyDescent="0.25">
      <c r="C369" s="116"/>
      <c r="F369" s="4"/>
    </row>
    <row r="370" spans="3:6" x14ac:dyDescent="0.25">
      <c r="C370" s="116"/>
      <c r="F370" s="4"/>
    </row>
    <row r="371" spans="3:6" x14ac:dyDescent="0.25">
      <c r="C371" s="116"/>
      <c r="F371" s="4"/>
    </row>
    <row r="372" spans="3:6" x14ac:dyDescent="0.25">
      <c r="C372" s="116"/>
      <c r="F372" s="4"/>
    </row>
    <row r="373" spans="3:6" x14ac:dyDescent="0.25">
      <c r="C373" s="116"/>
      <c r="F373" s="4"/>
    </row>
    <row r="374" spans="3:6" x14ac:dyDescent="0.25">
      <c r="C374" s="116"/>
      <c r="F374" s="4"/>
    </row>
    <row r="375" spans="3:6" x14ac:dyDescent="0.25">
      <c r="C375" s="116"/>
      <c r="F375" s="4"/>
    </row>
    <row r="376" spans="3:6" x14ac:dyDescent="0.25">
      <c r="C376" s="116"/>
      <c r="F376" s="4"/>
    </row>
    <row r="377" spans="3:6" x14ac:dyDescent="0.25">
      <c r="C377" s="116"/>
      <c r="F377" s="4"/>
    </row>
    <row r="378" spans="3:6" x14ac:dyDescent="0.25">
      <c r="C378" s="116"/>
      <c r="F378" s="4"/>
    </row>
    <row r="379" spans="3:6" x14ac:dyDescent="0.25">
      <c r="C379" s="116"/>
      <c r="F379" s="4"/>
    </row>
    <row r="380" spans="3:6" x14ac:dyDescent="0.25">
      <c r="C380" s="116"/>
      <c r="F380" s="4"/>
    </row>
    <row r="381" spans="3:6" x14ac:dyDescent="0.25">
      <c r="C381" s="116"/>
      <c r="F381" s="4"/>
    </row>
    <row r="382" spans="3:6" x14ac:dyDescent="0.25">
      <c r="C382" s="116"/>
      <c r="F382" s="4"/>
    </row>
    <row r="383" spans="3:6" x14ac:dyDescent="0.25">
      <c r="C383" s="116"/>
      <c r="F383" s="4"/>
    </row>
    <row r="384" spans="3:6" x14ac:dyDescent="0.25">
      <c r="C384" s="116"/>
      <c r="F384" s="4"/>
    </row>
    <row r="385" spans="3:6" x14ac:dyDescent="0.25">
      <c r="C385" s="116"/>
      <c r="F385" s="4"/>
    </row>
    <row r="386" spans="3:6" x14ac:dyDescent="0.25">
      <c r="C386" s="116"/>
      <c r="F386" s="4"/>
    </row>
    <row r="387" spans="3:6" x14ac:dyDescent="0.25">
      <c r="C387" s="116"/>
      <c r="F387" s="4"/>
    </row>
    <row r="388" spans="3:6" x14ac:dyDescent="0.25">
      <c r="C388" s="116"/>
      <c r="F388" s="4"/>
    </row>
    <row r="389" spans="3:6" x14ac:dyDescent="0.25">
      <c r="C389" s="116"/>
      <c r="F389" s="4"/>
    </row>
    <row r="390" spans="3:6" x14ac:dyDescent="0.25">
      <c r="C390" s="116"/>
      <c r="F390" s="4"/>
    </row>
    <row r="391" spans="3:6" x14ac:dyDescent="0.25">
      <c r="C391" s="116"/>
      <c r="F391" s="4"/>
    </row>
    <row r="392" spans="3:6" x14ac:dyDescent="0.25">
      <c r="C392" s="116"/>
      <c r="F392" s="4"/>
    </row>
    <row r="393" spans="3:6" x14ac:dyDescent="0.25">
      <c r="C393" s="116"/>
      <c r="F393" s="4"/>
    </row>
    <row r="394" spans="3:6" x14ac:dyDescent="0.25">
      <c r="C394" s="116"/>
      <c r="F394" s="4"/>
    </row>
    <row r="395" spans="3:6" x14ac:dyDescent="0.25">
      <c r="C395" s="116"/>
      <c r="F395" s="4"/>
    </row>
    <row r="396" spans="3:6" x14ac:dyDescent="0.25">
      <c r="C396" s="116"/>
      <c r="F396" s="4"/>
    </row>
    <row r="397" spans="3:6" x14ac:dyDescent="0.25">
      <c r="C397" s="116"/>
      <c r="F397" s="4"/>
    </row>
    <row r="398" spans="3:6" x14ac:dyDescent="0.25">
      <c r="C398" s="116"/>
      <c r="F398" s="4"/>
    </row>
    <row r="399" spans="3:6" x14ac:dyDescent="0.25">
      <c r="C399" s="116"/>
      <c r="F399" s="4"/>
    </row>
    <row r="400" spans="3:6" x14ac:dyDescent="0.25">
      <c r="C400" s="116"/>
      <c r="F400" s="4"/>
    </row>
    <row r="401" spans="3:6" x14ac:dyDescent="0.25">
      <c r="C401" s="116"/>
      <c r="F401" s="4"/>
    </row>
    <row r="402" spans="3:6" x14ac:dyDescent="0.25">
      <c r="C402" s="116"/>
      <c r="F402" s="4"/>
    </row>
    <row r="403" spans="3:6" x14ac:dyDescent="0.25">
      <c r="C403" s="116"/>
      <c r="F403" s="4"/>
    </row>
    <row r="404" spans="3:6" x14ac:dyDescent="0.25">
      <c r="C404" s="116"/>
      <c r="F404" s="4"/>
    </row>
    <row r="405" spans="3:6" x14ac:dyDescent="0.25">
      <c r="C405" s="116"/>
      <c r="F405" s="4"/>
    </row>
    <row r="406" spans="3:6" x14ac:dyDescent="0.25">
      <c r="C406" s="116"/>
      <c r="F406" s="4"/>
    </row>
    <row r="407" spans="3:6" x14ac:dyDescent="0.25">
      <c r="C407" s="116"/>
      <c r="F407" s="4"/>
    </row>
    <row r="408" spans="3:6" x14ac:dyDescent="0.25">
      <c r="C408" s="116"/>
      <c r="F408" s="4"/>
    </row>
    <row r="409" spans="3:6" x14ac:dyDescent="0.25">
      <c r="C409" s="116"/>
      <c r="F409" s="4"/>
    </row>
    <row r="410" spans="3:6" x14ac:dyDescent="0.25">
      <c r="C410" s="116"/>
      <c r="F410" s="4"/>
    </row>
    <row r="411" spans="3:6" x14ac:dyDescent="0.25">
      <c r="C411" s="116"/>
      <c r="F411" s="4"/>
    </row>
    <row r="412" spans="3:6" x14ac:dyDescent="0.25">
      <c r="C412" s="116"/>
      <c r="F412" s="4"/>
    </row>
    <row r="413" spans="3:6" x14ac:dyDescent="0.25">
      <c r="C413" s="116"/>
      <c r="F413" s="4"/>
    </row>
    <row r="414" spans="3:6" x14ac:dyDescent="0.25">
      <c r="C414" s="116"/>
      <c r="F414" s="4"/>
    </row>
    <row r="415" spans="3:6" x14ac:dyDescent="0.25">
      <c r="C415" s="116"/>
      <c r="F415" s="4"/>
    </row>
    <row r="416" spans="3:6" x14ac:dyDescent="0.25">
      <c r="C416" s="116"/>
      <c r="F416" s="4"/>
    </row>
    <row r="417" spans="3:6" x14ac:dyDescent="0.25">
      <c r="C417" s="116"/>
      <c r="F417" s="4"/>
    </row>
    <row r="418" spans="3:6" x14ac:dyDescent="0.25">
      <c r="C418" s="116"/>
      <c r="F418" s="4"/>
    </row>
    <row r="419" spans="3:6" x14ac:dyDescent="0.25">
      <c r="C419" s="116"/>
      <c r="F419" s="4"/>
    </row>
    <row r="420" spans="3:6" x14ac:dyDescent="0.25">
      <c r="C420" s="116"/>
      <c r="F420" s="4"/>
    </row>
    <row r="421" spans="3:6" x14ac:dyDescent="0.25">
      <c r="C421" s="116"/>
      <c r="F421" s="4"/>
    </row>
    <row r="422" spans="3:6" x14ac:dyDescent="0.25">
      <c r="C422" s="116"/>
      <c r="F422" s="4"/>
    </row>
    <row r="423" spans="3:6" x14ac:dyDescent="0.25">
      <c r="C423" s="116"/>
      <c r="F423" s="4"/>
    </row>
    <row r="424" spans="3:6" x14ac:dyDescent="0.25">
      <c r="C424" s="116"/>
      <c r="F424" s="4"/>
    </row>
    <row r="425" spans="3:6" x14ac:dyDescent="0.25">
      <c r="C425" s="116"/>
      <c r="F425" s="4"/>
    </row>
    <row r="426" spans="3:6" x14ac:dyDescent="0.25">
      <c r="C426" s="116"/>
      <c r="F426" s="4"/>
    </row>
    <row r="427" spans="3:6" x14ac:dyDescent="0.25">
      <c r="C427" s="116"/>
      <c r="F427" s="4"/>
    </row>
    <row r="428" spans="3:6" x14ac:dyDescent="0.25">
      <c r="C428" s="116"/>
      <c r="F428" s="4"/>
    </row>
    <row r="429" spans="3:6" x14ac:dyDescent="0.25">
      <c r="C429" s="116"/>
      <c r="F429" s="4"/>
    </row>
    <row r="430" spans="3:6" x14ac:dyDescent="0.25">
      <c r="C430" s="116"/>
      <c r="F430" s="4"/>
    </row>
    <row r="431" spans="3:6" x14ac:dyDescent="0.25">
      <c r="C431" s="116"/>
      <c r="F431" s="4"/>
    </row>
    <row r="432" spans="3:6" x14ac:dyDescent="0.25">
      <c r="C432" s="116"/>
      <c r="F432" s="4"/>
    </row>
    <row r="433" spans="3:6" x14ac:dyDescent="0.25">
      <c r="C433" s="116"/>
      <c r="F433" s="4"/>
    </row>
    <row r="434" spans="3:6" x14ac:dyDescent="0.25">
      <c r="C434" s="116"/>
      <c r="F434" s="4"/>
    </row>
    <row r="435" spans="3:6" x14ac:dyDescent="0.25">
      <c r="C435" s="116"/>
      <c r="F435" s="4"/>
    </row>
    <row r="436" spans="3:6" x14ac:dyDescent="0.25">
      <c r="C436" s="116"/>
      <c r="F436" s="4"/>
    </row>
    <row r="437" spans="3:6" x14ac:dyDescent="0.25">
      <c r="C437" s="116"/>
      <c r="F437" s="4"/>
    </row>
    <row r="438" spans="3:6" x14ac:dyDescent="0.25">
      <c r="C438" s="116"/>
      <c r="F438" s="4"/>
    </row>
    <row r="439" spans="3:6" x14ac:dyDescent="0.25">
      <c r="C439" s="116"/>
      <c r="F439" s="4"/>
    </row>
    <row r="440" spans="3:6" x14ac:dyDescent="0.25">
      <c r="C440" s="116"/>
      <c r="F440" s="4"/>
    </row>
    <row r="441" spans="3:6" x14ac:dyDescent="0.25">
      <c r="C441" s="116"/>
      <c r="F441" s="4"/>
    </row>
    <row r="442" spans="3:6" x14ac:dyDescent="0.25">
      <c r="C442" s="116"/>
      <c r="F442" s="4"/>
    </row>
    <row r="443" spans="3:6" x14ac:dyDescent="0.25">
      <c r="C443" s="116"/>
      <c r="F443" s="4"/>
    </row>
    <row r="444" spans="3:6" x14ac:dyDescent="0.25">
      <c r="C444" s="116"/>
      <c r="F444" s="4"/>
    </row>
    <row r="445" spans="3:6" x14ac:dyDescent="0.25">
      <c r="C445" s="116"/>
      <c r="F445" s="4"/>
    </row>
    <row r="446" spans="3:6" x14ac:dyDescent="0.25">
      <c r="C446" s="116"/>
      <c r="F446" s="4"/>
    </row>
    <row r="447" spans="3:6" x14ac:dyDescent="0.25">
      <c r="C447" s="116"/>
      <c r="F447" s="4"/>
    </row>
    <row r="448" spans="3:6" x14ac:dyDescent="0.25">
      <c r="C448" s="116"/>
      <c r="F448" s="4"/>
    </row>
    <row r="449" spans="3:6" x14ac:dyDescent="0.25">
      <c r="C449" s="116"/>
      <c r="F449" s="4"/>
    </row>
    <row r="450" spans="3:6" x14ac:dyDescent="0.25">
      <c r="C450" s="116"/>
      <c r="F450" s="4"/>
    </row>
    <row r="451" spans="3:6" x14ac:dyDescent="0.25">
      <c r="C451" s="116"/>
      <c r="F451" s="4"/>
    </row>
    <row r="452" spans="3:6" x14ac:dyDescent="0.25">
      <c r="C452" s="116"/>
      <c r="F452" s="4"/>
    </row>
    <row r="453" spans="3:6" x14ac:dyDescent="0.25">
      <c r="C453" s="116"/>
      <c r="F453" s="4"/>
    </row>
    <row r="454" spans="3:6" x14ac:dyDescent="0.25">
      <c r="C454" s="116"/>
      <c r="F454" s="4"/>
    </row>
    <row r="455" spans="3:6" x14ac:dyDescent="0.25">
      <c r="C455" s="116"/>
      <c r="F455" s="4"/>
    </row>
    <row r="456" spans="3:6" x14ac:dyDescent="0.25">
      <c r="C456" s="116"/>
      <c r="F456" s="4"/>
    </row>
    <row r="457" spans="3:6" x14ac:dyDescent="0.25">
      <c r="C457" s="116"/>
      <c r="F457" s="4"/>
    </row>
    <row r="458" spans="3:6" x14ac:dyDescent="0.25">
      <c r="C458" s="116"/>
      <c r="F458" s="4"/>
    </row>
    <row r="459" spans="3:6" x14ac:dyDescent="0.25">
      <c r="C459" s="116"/>
      <c r="F459" s="4"/>
    </row>
    <row r="460" spans="3:6" x14ac:dyDescent="0.25">
      <c r="C460" s="116"/>
      <c r="F460" s="4"/>
    </row>
    <row r="461" spans="3:6" x14ac:dyDescent="0.25">
      <c r="C461" s="116"/>
      <c r="F461" s="4"/>
    </row>
    <row r="462" spans="3:6" x14ac:dyDescent="0.25">
      <c r="C462" s="116"/>
      <c r="F462" s="4"/>
    </row>
    <row r="463" spans="3:6" x14ac:dyDescent="0.25">
      <c r="C463" s="116"/>
      <c r="F463" s="4"/>
    </row>
    <row r="464" spans="3:6" x14ac:dyDescent="0.25">
      <c r="C464" s="116"/>
      <c r="F464" s="4"/>
    </row>
    <row r="465" spans="3:6" x14ac:dyDescent="0.25">
      <c r="C465" s="116"/>
      <c r="F465" s="4"/>
    </row>
    <row r="466" spans="3:6" x14ac:dyDescent="0.25">
      <c r="C466" s="116"/>
      <c r="F466" s="4"/>
    </row>
    <row r="467" spans="3:6" x14ac:dyDescent="0.25">
      <c r="C467" s="116"/>
      <c r="F467" s="4"/>
    </row>
    <row r="468" spans="3:6" x14ac:dyDescent="0.25">
      <c r="C468" s="116"/>
      <c r="F468" s="4"/>
    </row>
    <row r="469" spans="3:6" x14ac:dyDescent="0.25">
      <c r="C469" s="116"/>
      <c r="F469" s="4"/>
    </row>
    <row r="470" spans="3:6" x14ac:dyDescent="0.25">
      <c r="C470" s="116"/>
      <c r="F470" s="4"/>
    </row>
    <row r="471" spans="3:6" x14ac:dyDescent="0.25">
      <c r="C471" s="116"/>
      <c r="F471" s="4"/>
    </row>
    <row r="472" spans="3:6" x14ac:dyDescent="0.25">
      <c r="C472" s="116"/>
      <c r="F472" s="4"/>
    </row>
    <row r="473" spans="3:6" x14ac:dyDescent="0.25">
      <c r="C473" s="116"/>
      <c r="F473" s="4"/>
    </row>
    <row r="474" spans="3:6" x14ac:dyDescent="0.25">
      <c r="C474" s="116"/>
      <c r="F474" s="4"/>
    </row>
    <row r="475" spans="3:6" x14ac:dyDescent="0.25">
      <c r="C475" s="116"/>
      <c r="F475" s="4"/>
    </row>
    <row r="476" spans="3:6" x14ac:dyDescent="0.25">
      <c r="C476" s="116"/>
      <c r="F476" s="4"/>
    </row>
    <row r="477" spans="3:6" x14ac:dyDescent="0.25">
      <c r="C477" s="116"/>
      <c r="F477" s="4"/>
    </row>
    <row r="478" spans="3:6" x14ac:dyDescent="0.25">
      <c r="C478" s="116"/>
      <c r="F478" s="4"/>
    </row>
    <row r="479" spans="3:6" x14ac:dyDescent="0.25">
      <c r="C479" s="116"/>
      <c r="F479" s="4"/>
    </row>
    <row r="480" spans="3:6" x14ac:dyDescent="0.25">
      <c r="C480" s="116"/>
      <c r="F480" s="4"/>
    </row>
    <row r="481" spans="3:6" x14ac:dyDescent="0.25">
      <c r="C481" s="116"/>
      <c r="F481" s="4"/>
    </row>
    <row r="482" spans="3:6" x14ac:dyDescent="0.25">
      <c r="C482" s="116"/>
      <c r="F482" s="4"/>
    </row>
    <row r="483" spans="3:6" x14ac:dyDescent="0.25">
      <c r="C483" s="116"/>
      <c r="F483" s="4"/>
    </row>
    <row r="484" spans="3:6" x14ac:dyDescent="0.25">
      <c r="C484" s="116"/>
      <c r="F484" s="4"/>
    </row>
    <row r="485" spans="3:6" x14ac:dyDescent="0.25">
      <c r="C485" s="116"/>
      <c r="F485" s="4"/>
    </row>
    <row r="486" spans="3:6" x14ac:dyDescent="0.25">
      <c r="C486" s="116"/>
      <c r="F486" s="4"/>
    </row>
    <row r="487" spans="3:6" x14ac:dyDescent="0.25">
      <c r="C487" s="116"/>
      <c r="F487" s="4"/>
    </row>
    <row r="488" spans="3:6" x14ac:dyDescent="0.25">
      <c r="C488" s="116"/>
      <c r="F488" s="4"/>
    </row>
    <row r="489" spans="3:6" x14ac:dyDescent="0.25">
      <c r="C489" s="116"/>
      <c r="F489" s="4"/>
    </row>
    <row r="490" spans="3:6" x14ac:dyDescent="0.25">
      <c r="C490" s="116"/>
      <c r="F490" s="4"/>
    </row>
    <row r="491" spans="3:6" x14ac:dyDescent="0.25">
      <c r="C491" s="116"/>
      <c r="F491" s="4"/>
    </row>
    <row r="492" spans="3:6" x14ac:dyDescent="0.25">
      <c r="C492" s="116"/>
      <c r="F492" s="4"/>
    </row>
    <row r="493" spans="3:6" x14ac:dyDescent="0.25">
      <c r="C493" s="116"/>
      <c r="F493" s="4"/>
    </row>
    <row r="494" spans="3:6" x14ac:dyDescent="0.25">
      <c r="C494" s="116"/>
      <c r="F494" s="4"/>
    </row>
    <row r="495" spans="3:6" x14ac:dyDescent="0.25">
      <c r="C495" s="116"/>
      <c r="F495" s="4"/>
    </row>
    <row r="496" spans="3:6" x14ac:dyDescent="0.25">
      <c r="C496" s="116"/>
      <c r="F496" s="4"/>
    </row>
    <row r="497" spans="3:6" x14ac:dyDescent="0.25">
      <c r="C497" s="116"/>
      <c r="F497" s="4"/>
    </row>
    <row r="498" spans="3:6" x14ac:dyDescent="0.25">
      <c r="C498" s="116"/>
      <c r="F498" s="4"/>
    </row>
    <row r="499" spans="3:6" x14ac:dyDescent="0.25">
      <c r="C499" s="116"/>
      <c r="F499" s="4"/>
    </row>
    <row r="500" spans="3:6" x14ac:dyDescent="0.25">
      <c r="C500" s="116"/>
      <c r="F500" s="4"/>
    </row>
    <row r="501" spans="3:6" x14ac:dyDescent="0.25">
      <c r="C501" s="116"/>
      <c r="F501" s="4"/>
    </row>
    <row r="502" spans="3:6" x14ac:dyDescent="0.25">
      <c r="C502" s="116"/>
      <c r="F502" s="4"/>
    </row>
    <row r="503" spans="3:6" x14ac:dyDescent="0.25">
      <c r="C503" s="116"/>
      <c r="F503" s="4"/>
    </row>
    <row r="504" spans="3:6" x14ac:dyDescent="0.25">
      <c r="C504" s="116"/>
      <c r="F504" s="4"/>
    </row>
    <row r="505" spans="3:6" x14ac:dyDescent="0.25">
      <c r="C505" s="116"/>
      <c r="F505" s="4"/>
    </row>
    <row r="506" spans="3:6" x14ac:dyDescent="0.25">
      <c r="C506" s="116"/>
      <c r="F506" s="4"/>
    </row>
    <row r="507" spans="3:6" x14ac:dyDescent="0.25">
      <c r="C507" s="116"/>
      <c r="F507" s="4"/>
    </row>
    <row r="508" spans="3:6" x14ac:dyDescent="0.25">
      <c r="C508" s="116"/>
      <c r="F508" s="4"/>
    </row>
    <row r="509" spans="3:6" x14ac:dyDescent="0.25">
      <c r="C509" s="116"/>
      <c r="F509" s="4"/>
    </row>
    <row r="510" spans="3:6" x14ac:dyDescent="0.25">
      <c r="C510" s="116"/>
      <c r="F510" s="4"/>
    </row>
    <row r="511" spans="3:6" x14ac:dyDescent="0.25">
      <c r="C511" s="116"/>
      <c r="F511" s="4"/>
    </row>
    <row r="512" spans="3:6" x14ac:dyDescent="0.25">
      <c r="C512" s="116"/>
      <c r="F512" s="4"/>
    </row>
    <row r="513" spans="3:6" x14ac:dyDescent="0.25">
      <c r="C513" s="116"/>
      <c r="F513" s="4"/>
    </row>
    <row r="514" spans="3:6" x14ac:dyDescent="0.25">
      <c r="C514" s="116"/>
      <c r="F514" s="4"/>
    </row>
    <row r="515" spans="3:6" x14ac:dyDescent="0.25">
      <c r="C515" s="116"/>
      <c r="F515" s="4"/>
    </row>
    <row r="516" spans="3:6" x14ac:dyDescent="0.25">
      <c r="C516" s="116"/>
      <c r="F516" s="4"/>
    </row>
    <row r="517" spans="3:6" x14ac:dyDescent="0.25">
      <c r="C517" s="116"/>
      <c r="F517" s="4"/>
    </row>
    <row r="518" spans="3:6" x14ac:dyDescent="0.25">
      <c r="C518" s="116"/>
      <c r="F518" s="4"/>
    </row>
    <row r="519" spans="3:6" x14ac:dyDescent="0.25">
      <c r="C519" s="116"/>
      <c r="F519" s="4"/>
    </row>
    <row r="520" spans="3:6" x14ac:dyDescent="0.25">
      <c r="C520" s="116"/>
      <c r="F520" s="4"/>
    </row>
    <row r="521" spans="3:6" x14ac:dyDescent="0.25">
      <c r="C521" s="116"/>
      <c r="F521" s="4"/>
    </row>
    <row r="522" spans="3:6" x14ac:dyDescent="0.25">
      <c r="C522" s="116"/>
      <c r="F522" s="4"/>
    </row>
    <row r="523" spans="3:6" x14ac:dyDescent="0.25">
      <c r="C523" s="116"/>
      <c r="F523" s="4"/>
    </row>
    <row r="524" spans="3:6" x14ac:dyDescent="0.25">
      <c r="C524" s="116"/>
      <c r="F524" s="4"/>
    </row>
    <row r="525" spans="3:6" x14ac:dyDescent="0.25">
      <c r="C525" s="116"/>
      <c r="F525" s="4"/>
    </row>
    <row r="526" spans="3:6" x14ac:dyDescent="0.25">
      <c r="C526" s="116"/>
      <c r="F526" s="4"/>
    </row>
    <row r="527" spans="3:6" x14ac:dyDescent="0.25">
      <c r="C527" s="116"/>
      <c r="F527" s="4"/>
    </row>
    <row r="528" spans="3:6" x14ac:dyDescent="0.25">
      <c r="C528" s="116"/>
      <c r="F528" s="4"/>
    </row>
    <row r="529" spans="3:6" x14ac:dyDescent="0.25">
      <c r="C529" s="116"/>
      <c r="F529" s="4"/>
    </row>
    <row r="530" spans="3:6" x14ac:dyDescent="0.25">
      <c r="C530" s="116"/>
      <c r="F530" s="4"/>
    </row>
    <row r="531" spans="3:6" x14ac:dyDescent="0.25">
      <c r="C531" s="116"/>
      <c r="F531" s="4"/>
    </row>
    <row r="532" spans="3:6" x14ac:dyDescent="0.25">
      <c r="C532" s="116"/>
      <c r="F532" s="4"/>
    </row>
    <row r="533" spans="3:6" x14ac:dyDescent="0.25">
      <c r="C533" s="116"/>
      <c r="F533" s="4"/>
    </row>
    <row r="534" spans="3:6" x14ac:dyDescent="0.25">
      <c r="C534" s="116"/>
      <c r="F534" s="4"/>
    </row>
    <row r="535" spans="3:6" x14ac:dyDescent="0.25">
      <c r="C535" s="116"/>
      <c r="F535" s="4"/>
    </row>
    <row r="536" spans="3:6" x14ac:dyDescent="0.25">
      <c r="C536" s="116"/>
      <c r="F536" s="4"/>
    </row>
    <row r="537" spans="3:6" x14ac:dyDescent="0.25">
      <c r="C537" s="116"/>
      <c r="F537" s="4"/>
    </row>
    <row r="538" spans="3:6" x14ac:dyDescent="0.25">
      <c r="C538" s="116"/>
      <c r="F538" s="4"/>
    </row>
    <row r="539" spans="3:6" x14ac:dyDescent="0.25">
      <c r="C539" s="116"/>
      <c r="F539" s="4"/>
    </row>
    <row r="540" spans="3:6" x14ac:dyDescent="0.25">
      <c r="C540" s="116"/>
      <c r="F540" s="4"/>
    </row>
    <row r="541" spans="3:6" x14ac:dyDescent="0.25">
      <c r="C541" s="116"/>
      <c r="F541" s="4"/>
    </row>
    <row r="542" spans="3:6" x14ac:dyDescent="0.25">
      <c r="C542" s="116"/>
      <c r="F542" s="4"/>
    </row>
    <row r="543" spans="3:6" x14ac:dyDescent="0.25">
      <c r="C543" s="116"/>
      <c r="F543" s="4"/>
    </row>
    <row r="544" spans="3:6" x14ac:dyDescent="0.25">
      <c r="C544" s="116"/>
      <c r="F544" s="4"/>
    </row>
    <row r="545" spans="3:6" x14ac:dyDescent="0.25">
      <c r="C545" s="116"/>
      <c r="F545" s="4"/>
    </row>
    <row r="546" spans="3:6" x14ac:dyDescent="0.25">
      <c r="C546" s="116"/>
      <c r="F546" s="4"/>
    </row>
    <row r="547" spans="3:6" x14ac:dyDescent="0.25">
      <c r="C547" s="116"/>
      <c r="F547" s="4"/>
    </row>
    <row r="548" spans="3:6" x14ac:dyDescent="0.25">
      <c r="C548" s="116"/>
      <c r="F548" s="4"/>
    </row>
    <row r="549" spans="3:6" x14ac:dyDescent="0.25">
      <c r="C549" s="116"/>
      <c r="F549" s="4"/>
    </row>
    <row r="550" spans="3:6" x14ac:dyDescent="0.25">
      <c r="C550" s="116"/>
      <c r="F550" s="4"/>
    </row>
    <row r="551" spans="3:6" x14ac:dyDescent="0.25">
      <c r="C551" s="116"/>
      <c r="F551" s="4"/>
    </row>
    <row r="552" spans="3:6" x14ac:dyDescent="0.25">
      <c r="C552" s="116"/>
      <c r="F552" s="4"/>
    </row>
    <row r="553" spans="3:6" x14ac:dyDescent="0.25">
      <c r="C553" s="116"/>
      <c r="F553" s="4"/>
    </row>
    <row r="554" spans="3:6" x14ac:dyDescent="0.25">
      <c r="C554" s="116"/>
      <c r="F554" s="4"/>
    </row>
    <row r="555" spans="3:6" x14ac:dyDescent="0.25">
      <c r="C555" s="116"/>
      <c r="F555" s="4"/>
    </row>
    <row r="556" spans="3:6" x14ac:dyDescent="0.25">
      <c r="C556" s="116"/>
      <c r="F556" s="4"/>
    </row>
    <row r="557" spans="3:6" x14ac:dyDescent="0.25">
      <c r="C557" s="116"/>
      <c r="F557" s="4"/>
    </row>
    <row r="558" spans="3:6" x14ac:dyDescent="0.25">
      <c r="C558" s="116"/>
      <c r="F558" s="4"/>
    </row>
    <row r="559" spans="3:6" x14ac:dyDescent="0.25">
      <c r="C559" s="116"/>
      <c r="F559" s="4"/>
    </row>
    <row r="560" spans="3:6" x14ac:dyDescent="0.25">
      <c r="C560" s="116"/>
      <c r="F560" s="4"/>
    </row>
    <row r="561" spans="3:6" x14ac:dyDescent="0.25">
      <c r="C561" s="116"/>
      <c r="F561" s="4"/>
    </row>
    <row r="562" spans="3:6" x14ac:dyDescent="0.25">
      <c r="C562" s="116"/>
      <c r="F562" s="4"/>
    </row>
    <row r="563" spans="3:6" x14ac:dyDescent="0.25">
      <c r="C563" s="116"/>
      <c r="F563" s="4"/>
    </row>
    <row r="564" spans="3:6" x14ac:dyDescent="0.25">
      <c r="C564" s="116"/>
      <c r="F564" s="4"/>
    </row>
    <row r="565" spans="3:6" x14ac:dyDescent="0.25">
      <c r="C565" s="116"/>
      <c r="F565" s="4"/>
    </row>
    <row r="566" spans="3:6" x14ac:dyDescent="0.25">
      <c r="C566" s="116"/>
      <c r="F566" s="4"/>
    </row>
    <row r="567" spans="3:6" x14ac:dyDescent="0.25">
      <c r="C567" s="116"/>
      <c r="F567" s="4"/>
    </row>
    <row r="568" spans="3:6" x14ac:dyDescent="0.25">
      <c r="C568" s="116"/>
      <c r="F568" s="4"/>
    </row>
    <row r="569" spans="3:6" x14ac:dyDescent="0.25">
      <c r="C569" s="116"/>
      <c r="F569" s="4"/>
    </row>
    <row r="570" spans="3:6" x14ac:dyDescent="0.25">
      <c r="C570" s="116"/>
      <c r="F570" s="4"/>
    </row>
    <row r="571" spans="3:6" x14ac:dyDescent="0.25">
      <c r="C571" s="116"/>
      <c r="F571" s="4"/>
    </row>
    <row r="572" spans="3:6" x14ac:dyDescent="0.25">
      <c r="C572" s="116"/>
      <c r="F572" s="4"/>
    </row>
    <row r="573" spans="3:6" x14ac:dyDescent="0.25">
      <c r="C573" s="116"/>
      <c r="F573" s="4"/>
    </row>
    <row r="574" spans="3:6" x14ac:dyDescent="0.25">
      <c r="C574" s="116"/>
      <c r="F574" s="4"/>
    </row>
    <row r="575" spans="3:6" x14ac:dyDescent="0.25">
      <c r="C575" s="116"/>
      <c r="F575" s="4"/>
    </row>
    <row r="576" spans="3:6" x14ac:dyDescent="0.25">
      <c r="C576" s="116"/>
      <c r="F576" s="4"/>
    </row>
    <row r="577" spans="3:6" x14ac:dyDescent="0.25">
      <c r="C577" s="116"/>
      <c r="F577" s="4"/>
    </row>
    <row r="578" spans="3:6" x14ac:dyDescent="0.25">
      <c r="C578" s="116"/>
      <c r="F578" s="4"/>
    </row>
    <row r="579" spans="3:6" x14ac:dyDescent="0.25">
      <c r="C579" s="116"/>
      <c r="F579" s="4"/>
    </row>
    <row r="580" spans="3:6" x14ac:dyDescent="0.25">
      <c r="C580" s="116"/>
      <c r="F580" s="4"/>
    </row>
    <row r="581" spans="3:6" x14ac:dyDescent="0.25">
      <c r="C581" s="116"/>
      <c r="F581" s="4"/>
    </row>
    <row r="582" spans="3:6" x14ac:dyDescent="0.25">
      <c r="C582" s="116"/>
      <c r="F582" s="4"/>
    </row>
    <row r="583" spans="3:6" x14ac:dyDescent="0.25">
      <c r="C583" s="116"/>
      <c r="F583" s="4"/>
    </row>
    <row r="584" spans="3:6" x14ac:dyDescent="0.25">
      <c r="C584" s="116"/>
      <c r="F584" s="4"/>
    </row>
    <row r="585" spans="3:6" x14ac:dyDescent="0.25">
      <c r="C585" s="116"/>
      <c r="F585" s="4"/>
    </row>
    <row r="586" spans="3:6" x14ac:dyDescent="0.25">
      <c r="C586" s="116"/>
      <c r="F586" s="4"/>
    </row>
    <row r="587" spans="3:6" x14ac:dyDescent="0.25">
      <c r="C587" s="116"/>
      <c r="F587" s="4"/>
    </row>
    <row r="588" spans="3:6" x14ac:dyDescent="0.25">
      <c r="C588" s="116"/>
      <c r="F588" s="4"/>
    </row>
    <row r="589" spans="3:6" x14ac:dyDescent="0.25">
      <c r="C589" s="116"/>
      <c r="F589" s="4"/>
    </row>
    <row r="590" spans="3:6" x14ac:dyDescent="0.25">
      <c r="C590" s="116"/>
      <c r="F590" s="4"/>
    </row>
    <row r="591" spans="3:6" x14ac:dyDescent="0.25">
      <c r="C591" s="116"/>
      <c r="F591" s="4"/>
    </row>
    <row r="592" spans="3:6" x14ac:dyDescent="0.25">
      <c r="C592" s="116"/>
      <c r="F592" s="4"/>
    </row>
    <row r="593" spans="3:6" x14ac:dyDescent="0.25">
      <c r="C593" s="116"/>
      <c r="F593" s="4"/>
    </row>
    <row r="594" spans="3:6" x14ac:dyDescent="0.25">
      <c r="C594" s="116"/>
      <c r="F594" s="4"/>
    </row>
    <row r="595" spans="3:6" x14ac:dyDescent="0.25">
      <c r="C595" s="116"/>
      <c r="F595" s="4"/>
    </row>
    <row r="596" spans="3:6" x14ac:dyDescent="0.25">
      <c r="C596" s="116"/>
      <c r="F596" s="4"/>
    </row>
    <row r="597" spans="3:6" x14ac:dyDescent="0.25">
      <c r="C597" s="116"/>
      <c r="F597" s="4"/>
    </row>
    <row r="598" spans="3:6" x14ac:dyDescent="0.25">
      <c r="C598" s="116"/>
      <c r="F598" s="4"/>
    </row>
    <row r="599" spans="3:6" x14ac:dyDescent="0.25">
      <c r="C599" s="116"/>
      <c r="F599" s="4"/>
    </row>
    <row r="600" spans="3:6" x14ac:dyDescent="0.25">
      <c r="C600" s="116"/>
      <c r="F600" s="4"/>
    </row>
    <row r="601" spans="3:6" x14ac:dyDescent="0.25">
      <c r="C601" s="116"/>
      <c r="F601" s="4"/>
    </row>
    <row r="602" spans="3:6" x14ac:dyDescent="0.25">
      <c r="C602" s="116"/>
      <c r="F602" s="4"/>
    </row>
    <row r="603" spans="3:6" x14ac:dyDescent="0.25">
      <c r="C603" s="116"/>
      <c r="F603" s="4"/>
    </row>
    <row r="604" spans="3:6" x14ac:dyDescent="0.25">
      <c r="C604" s="116"/>
      <c r="F604" s="4"/>
    </row>
    <row r="605" spans="3:6" x14ac:dyDescent="0.25">
      <c r="C605" s="116"/>
      <c r="F605" s="4"/>
    </row>
    <row r="606" spans="3:6" x14ac:dyDescent="0.25">
      <c r="C606" s="116"/>
      <c r="F606" s="4"/>
    </row>
    <row r="607" spans="3:6" x14ac:dyDescent="0.25">
      <c r="C607" s="116"/>
      <c r="F607" s="4"/>
    </row>
    <row r="608" spans="3:6" x14ac:dyDescent="0.25">
      <c r="C608" s="116"/>
      <c r="F608" s="4"/>
    </row>
    <row r="609" spans="3:6" x14ac:dyDescent="0.25">
      <c r="C609" s="116"/>
      <c r="F609" s="4"/>
    </row>
    <row r="610" spans="3:6" x14ac:dyDescent="0.25">
      <c r="C610" s="116"/>
      <c r="F610" s="4"/>
    </row>
    <row r="611" spans="3:6" x14ac:dyDescent="0.25">
      <c r="C611" s="116"/>
      <c r="F611" s="4"/>
    </row>
    <row r="612" spans="3:6" x14ac:dyDescent="0.25">
      <c r="C612" s="116"/>
      <c r="F612" s="4"/>
    </row>
    <row r="613" spans="3:6" x14ac:dyDescent="0.25">
      <c r="C613" s="116"/>
      <c r="F613" s="4"/>
    </row>
    <row r="614" spans="3:6" x14ac:dyDescent="0.25">
      <c r="C614" s="116"/>
      <c r="F614" s="4"/>
    </row>
    <row r="615" spans="3:6" x14ac:dyDescent="0.25">
      <c r="C615" s="116"/>
      <c r="F615" s="4"/>
    </row>
    <row r="616" spans="3:6" x14ac:dyDescent="0.25">
      <c r="C616" s="116"/>
      <c r="F616" s="4"/>
    </row>
    <row r="617" spans="3:6" x14ac:dyDescent="0.25">
      <c r="C617" s="116"/>
      <c r="F617" s="4"/>
    </row>
    <row r="618" spans="3:6" x14ac:dyDescent="0.25">
      <c r="C618" s="116"/>
      <c r="F618" s="4"/>
    </row>
    <row r="619" spans="3:6" x14ac:dyDescent="0.25">
      <c r="C619" s="116"/>
      <c r="F619" s="4"/>
    </row>
    <row r="620" spans="3:6" x14ac:dyDescent="0.25">
      <c r="C620" s="116"/>
      <c r="F620" s="4"/>
    </row>
    <row r="621" spans="3:6" x14ac:dyDescent="0.25">
      <c r="C621" s="116"/>
      <c r="F621" s="4"/>
    </row>
    <row r="622" spans="3:6" x14ac:dyDescent="0.25">
      <c r="C622" s="116"/>
      <c r="F622" s="4"/>
    </row>
    <row r="623" spans="3:6" x14ac:dyDescent="0.25">
      <c r="C623" s="116"/>
      <c r="F623" s="4"/>
    </row>
    <row r="624" spans="3:6" x14ac:dyDescent="0.25">
      <c r="C624" s="116"/>
      <c r="F624" s="4"/>
    </row>
    <row r="625" spans="3:6" x14ac:dyDescent="0.25">
      <c r="C625" s="116"/>
      <c r="F625" s="4"/>
    </row>
    <row r="626" spans="3:6" x14ac:dyDescent="0.25">
      <c r="C626" s="116"/>
      <c r="F626" s="4"/>
    </row>
    <row r="627" spans="3:6" x14ac:dyDescent="0.25">
      <c r="C627" s="116"/>
      <c r="F627" s="4"/>
    </row>
    <row r="628" spans="3:6" x14ac:dyDescent="0.25">
      <c r="C628" s="116"/>
      <c r="F628" s="4"/>
    </row>
    <row r="629" spans="3:6" x14ac:dyDescent="0.25">
      <c r="C629" s="116"/>
      <c r="F629" s="4"/>
    </row>
    <row r="630" spans="3:6" x14ac:dyDescent="0.25">
      <c r="C630" s="116"/>
      <c r="F630" s="4"/>
    </row>
    <row r="631" spans="3:6" x14ac:dyDescent="0.25">
      <c r="C631" s="116"/>
      <c r="F631" s="4"/>
    </row>
    <row r="632" spans="3:6" x14ac:dyDescent="0.25">
      <c r="C632" s="116"/>
      <c r="F632" s="4"/>
    </row>
    <row r="633" spans="3:6" x14ac:dyDescent="0.25">
      <c r="C633" s="116"/>
      <c r="F633" s="4"/>
    </row>
    <row r="634" spans="3:6" x14ac:dyDescent="0.25">
      <c r="C634" s="116"/>
      <c r="F634" s="4"/>
    </row>
    <row r="635" spans="3:6" x14ac:dyDescent="0.25">
      <c r="C635" s="116"/>
      <c r="F635" s="4"/>
    </row>
    <row r="636" spans="3:6" x14ac:dyDescent="0.25">
      <c r="C636" s="116"/>
      <c r="F636" s="4"/>
    </row>
    <row r="637" spans="3:6" x14ac:dyDescent="0.25">
      <c r="C637" s="116"/>
      <c r="F637" s="4"/>
    </row>
    <row r="638" spans="3:6" x14ac:dyDescent="0.25">
      <c r="C638" s="116"/>
      <c r="F638" s="4"/>
    </row>
    <row r="639" spans="3:6" x14ac:dyDescent="0.25">
      <c r="C639" s="116"/>
      <c r="F639" s="4"/>
    </row>
    <row r="640" spans="3:6" x14ac:dyDescent="0.25">
      <c r="C640" s="116"/>
      <c r="F640" s="4"/>
    </row>
    <row r="641" spans="3:6" x14ac:dyDescent="0.25">
      <c r="C641" s="116"/>
      <c r="F641" s="4"/>
    </row>
    <row r="642" spans="3:6" x14ac:dyDescent="0.25">
      <c r="C642" s="116"/>
      <c r="F642" s="4"/>
    </row>
    <row r="643" spans="3:6" x14ac:dyDescent="0.25">
      <c r="C643" s="116"/>
      <c r="F643" s="4"/>
    </row>
    <row r="644" spans="3:6" x14ac:dyDescent="0.25">
      <c r="C644" s="116"/>
      <c r="F644" s="4"/>
    </row>
    <row r="645" spans="3:6" x14ac:dyDescent="0.25">
      <c r="C645" s="116"/>
      <c r="F645" s="4"/>
    </row>
    <row r="646" spans="3:6" x14ac:dyDescent="0.25">
      <c r="C646" s="116"/>
      <c r="F646" s="4"/>
    </row>
    <row r="647" spans="3:6" x14ac:dyDescent="0.25">
      <c r="C647" s="116"/>
      <c r="F647" s="4"/>
    </row>
    <row r="648" spans="3:6" x14ac:dyDescent="0.25">
      <c r="C648" s="116"/>
      <c r="F648" s="4"/>
    </row>
    <row r="649" spans="3:6" x14ac:dyDescent="0.25">
      <c r="C649" s="116"/>
      <c r="F649" s="4"/>
    </row>
    <row r="650" spans="3:6" x14ac:dyDescent="0.25">
      <c r="C650" s="116"/>
      <c r="F650" s="4"/>
    </row>
    <row r="651" spans="3:6" x14ac:dyDescent="0.25">
      <c r="C651" s="116"/>
      <c r="F651" s="4"/>
    </row>
    <row r="652" spans="3:6" x14ac:dyDescent="0.25">
      <c r="C652" s="116"/>
      <c r="F652" s="4"/>
    </row>
    <row r="653" spans="3:6" x14ac:dyDescent="0.25">
      <c r="C653" s="116"/>
      <c r="F653" s="4"/>
    </row>
    <row r="654" spans="3:6" x14ac:dyDescent="0.25">
      <c r="C654" s="116"/>
      <c r="F654" s="4"/>
    </row>
    <row r="655" spans="3:6" x14ac:dyDescent="0.25">
      <c r="C655" s="116"/>
      <c r="F655" s="4"/>
    </row>
    <row r="656" spans="3:6" x14ac:dyDescent="0.25">
      <c r="C656" s="116"/>
      <c r="F656" s="4"/>
    </row>
    <row r="657" spans="3:6" x14ac:dyDescent="0.25">
      <c r="C657" s="116"/>
      <c r="F657" s="4"/>
    </row>
    <row r="658" spans="3:6" x14ac:dyDescent="0.25">
      <c r="C658" s="116"/>
      <c r="F658" s="4"/>
    </row>
    <row r="659" spans="3:6" x14ac:dyDescent="0.25">
      <c r="C659" s="116"/>
      <c r="F659" s="4"/>
    </row>
    <row r="660" spans="3:6" x14ac:dyDescent="0.25">
      <c r="C660" s="116"/>
      <c r="F660" s="4"/>
    </row>
    <row r="661" spans="3:6" x14ac:dyDescent="0.25">
      <c r="C661" s="116"/>
      <c r="F661" s="4"/>
    </row>
    <row r="662" spans="3:6" x14ac:dyDescent="0.25">
      <c r="C662" s="116"/>
      <c r="F662" s="4"/>
    </row>
    <row r="663" spans="3:6" x14ac:dyDescent="0.25">
      <c r="C663" s="116"/>
      <c r="F663" s="4"/>
    </row>
    <row r="664" spans="3:6" x14ac:dyDescent="0.25">
      <c r="C664" s="116"/>
      <c r="F664" s="4"/>
    </row>
    <row r="665" spans="3:6" x14ac:dyDescent="0.25">
      <c r="C665" s="116"/>
      <c r="F665" s="4"/>
    </row>
    <row r="666" spans="3:6" x14ac:dyDescent="0.25">
      <c r="C666" s="116"/>
      <c r="F666" s="4"/>
    </row>
    <row r="667" spans="3:6" x14ac:dyDescent="0.25">
      <c r="C667" s="116"/>
      <c r="F667" s="4"/>
    </row>
    <row r="668" spans="3:6" x14ac:dyDescent="0.25">
      <c r="C668" s="116"/>
      <c r="F668" s="4"/>
    </row>
    <row r="669" spans="3:6" x14ac:dyDescent="0.25">
      <c r="C669" s="116"/>
      <c r="F669" s="4"/>
    </row>
    <row r="670" spans="3:6" x14ac:dyDescent="0.25">
      <c r="C670" s="116"/>
      <c r="F670" s="4"/>
    </row>
    <row r="671" spans="3:6" x14ac:dyDescent="0.25">
      <c r="C671" s="116"/>
      <c r="F671" s="4"/>
    </row>
    <row r="672" spans="3:6" x14ac:dyDescent="0.25">
      <c r="C672" s="116"/>
      <c r="F672" s="4"/>
    </row>
    <row r="673" spans="3:6" x14ac:dyDescent="0.25">
      <c r="C673" s="116"/>
      <c r="F673" s="4"/>
    </row>
    <row r="674" spans="3:6" x14ac:dyDescent="0.25">
      <c r="C674" s="116"/>
      <c r="F674" s="4"/>
    </row>
    <row r="675" spans="3:6" x14ac:dyDescent="0.25">
      <c r="C675" s="116"/>
      <c r="F675" s="4"/>
    </row>
    <row r="676" spans="3:6" x14ac:dyDescent="0.25">
      <c r="C676" s="116"/>
      <c r="F676" s="4"/>
    </row>
    <row r="677" spans="3:6" x14ac:dyDescent="0.25">
      <c r="C677" s="116"/>
      <c r="F677" s="4"/>
    </row>
    <row r="678" spans="3:6" x14ac:dyDescent="0.25">
      <c r="C678" s="116"/>
      <c r="F678" s="4"/>
    </row>
    <row r="679" spans="3:6" x14ac:dyDescent="0.25">
      <c r="C679" s="116"/>
      <c r="F679" s="4"/>
    </row>
    <row r="680" spans="3:6" x14ac:dyDescent="0.25">
      <c r="C680" s="116"/>
      <c r="F680" s="4"/>
    </row>
    <row r="681" spans="3:6" x14ac:dyDescent="0.25">
      <c r="C681" s="116"/>
      <c r="F681" s="4"/>
    </row>
    <row r="682" spans="3:6" x14ac:dyDescent="0.25">
      <c r="C682" s="116"/>
      <c r="F682" s="4"/>
    </row>
    <row r="683" spans="3:6" x14ac:dyDescent="0.25">
      <c r="C683" s="116"/>
      <c r="F683" s="4"/>
    </row>
    <row r="684" spans="3:6" x14ac:dyDescent="0.25">
      <c r="C684" s="116"/>
      <c r="F684" s="4"/>
    </row>
    <row r="685" spans="3:6" x14ac:dyDescent="0.25">
      <c r="C685" s="116"/>
      <c r="F685" s="4"/>
    </row>
    <row r="686" spans="3:6" x14ac:dyDescent="0.25">
      <c r="C686" s="116"/>
      <c r="F686" s="4"/>
    </row>
    <row r="687" spans="3:6" x14ac:dyDescent="0.25">
      <c r="C687" s="116"/>
      <c r="F687" s="4"/>
    </row>
    <row r="688" spans="3:6" x14ac:dyDescent="0.25">
      <c r="C688" s="116"/>
      <c r="F688" s="4"/>
    </row>
    <row r="689" spans="3:6" x14ac:dyDescent="0.25">
      <c r="C689" s="116"/>
      <c r="F689" s="4"/>
    </row>
    <row r="690" spans="3:6" x14ac:dyDescent="0.25">
      <c r="C690" s="116"/>
      <c r="F690" s="4"/>
    </row>
    <row r="691" spans="3:6" x14ac:dyDescent="0.25">
      <c r="C691" s="116"/>
      <c r="F691" s="4"/>
    </row>
    <row r="692" spans="3:6" x14ac:dyDescent="0.25">
      <c r="C692" s="116"/>
      <c r="F692" s="4"/>
    </row>
    <row r="693" spans="3:6" x14ac:dyDescent="0.25">
      <c r="C693" s="116"/>
      <c r="F693" s="4"/>
    </row>
    <row r="694" spans="3:6" x14ac:dyDescent="0.25">
      <c r="C694" s="116"/>
      <c r="F694" s="4"/>
    </row>
    <row r="695" spans="3:6" x14ac:dyDescent="0.25">
      <c r="C695" s="116"/>
      <c r="F695" s="4"/>
    </row>
    <row r="696" spans="3:6" x14ac:dyDescent="0.25">
      <c r="C696" s="116"/>
      <c r="F696" s="4"/>
    </row>
    <row r="697" spans="3:6" x14ac:dyDescent="0.25">
      <c r="C697" s="116"/>
      <c r="F697" s="4"/>
    </row>
    <row r="698" spans="3:6" x14ac:dyDescent="0.25">
      <c r="C698" s="116"/>
      <c r="F698" s="4"/>
    </row>
    <row r="699" spans="3:6" x14ac:dyDescent="0.25">
      <c r="C699" s="116"/>
      <c r="F699" s="4"/>
    </row>
    <row r="700" spans="3:6" x14ac:dyDescent="0.25">
      <c r="C700" s="116"/>
      <c r="F700" s="4"/>
    </row>
    <row r="701" spans="3:6" x14ac:dyDescent="0.25">
      <c r="C701" s="116"/>
      <c r="F701" s="4"/>
    </row>
    <row r="702" spans="3:6" x14ac:dyDescent="0.25">
      <c r="C702" s="116"/>
      <c r="F702" s="4"/>
    </row>
    <row r="703" spans="3:6" x14ac:dyDescent="0.25">
      <c r="C703" s="116"/>
      <c r="F703" s="4"/>
    </row>
    <row r="704" spans="3:6" x14ac:dyDescent="0.25">
      <c r="C704" s="116"/>
      <c r="F704" s="4"/>
    </row>
    <row r="705" spans="3:6" x14ac:dyDescent="0.25">
      <c r="C705" s="116"/>
      <c r="F705" s="4"/>
    </row>
    <row r="706" spans="3:6" x14ac:dyDescent="0.25">
      <c r="C706" s="116"/>
      <c r="F706" s="4"/>
    </row>
    <row r="707" spans="3:6" x14ac:dyDescent="0.25">
      <c r="C707" s="116"/>
      <c r="F707" s="4"/>
    </row>
    <row r="708" spans="3:6" x14ac:dyDescent="0.25">
      <c r="C708" s="116"/>
      <c r="F708" s="4"/>
    </row>
    <row r="709" spans="3:6" x14ac:dyDescent="0.25">
      <c r="C709" s="116"/>
      <c r="F709" s="4"/>
    </row>
    <row r="710" spans="3:6" x14ac:dyDescent="0.25">
      <c r="C710" s="116"/>
      <c r="F710" s="4"/>
    </row>
    <row r="711" spans="3:6" x14ac:dyDescent="0.25">
      <c r="C711" s="116"/>
      <c r="F711" s="4"/>
    </row>
    <row r="712" spans="3:6" x14ac:dyDescent="0.25">
      <c r="C712" s="116"/>
      <c r="F712" s="4"/>
    </row>
    <row r="713" spans="3:6" x14ac:dyDescent="0.25">
      <c r="C713" s="116"/>
      <c r="F713" s="4"/>
    </row>
    <row r="714" spans="3:6" x14ac:dyDescent="0.25">
      <c r="C714" s="116"/>
      <c r="F714" s="4"/>
    </row>
    <row r="715" spans="3:6" x14ac:dyDescent="0.25">
      <c r="C715" s="116"/>
      <c r="F715" s="4"/>
    </row>
    <row r="716" spans="3:6" x14ac:dyDescent="0.25">
      <c r="C716" s="116"/>
      <c r="F716" s="4"/>
    </row>
    <row r="717" spans="3:6" x14ac:dyDescent="0.25">
      <c r="C717" s="116"/>
      <c r="F717" s="4"/>
    </row>
    <row r="718" spans="3:6" x14ac:dyDescent="0.25">
      <c r="C718" s="116"/>
      <c r="F718" s="4"/>
    </row>
    <row r="719" spans="3:6" x14ac:dyDescent="0.25">
      <c r="C719" s="116"/>
      <c r="F719" s="4"/>
    </row>
    <row r="720" spans="3:6" x14ac:dyDescent="0.25">
      <c r="C720" s="116"/>
      <c r="F720" s="4"/>
    </row>
    <row r="721" spans="3:6" x14ac:dyDescent="0.25">
      <c r="C721" s="116"/>
      <c r="F721" s="4"/>
    </row>
    <row r="722" spans="3:6" x14ac:dyDescent="0.25">
      <c r="C722" s="116"/>
      <c r="F722" s="4"/>
    </row>
    <row r="723" spans="3:6" x14ac:dyDescent="0.25">
      <c r="C723" s="116"/>
      <c r="F723" s="4"/>
    </row>
    <row r="724" spans="3:6" x14ac:dyDescent="0.25">
      <c r="C724" s="116"/>
      <c r="F724" s="4"/>
    </row>
    <row r="725" spans="3:6" x14ac:dyDescent="0.25">
      <c r="C725" s="116"/>
      <c r="F725" s="4"/>
    </row>
    <row r="726" spans="3:6" x14ac:dyDescent="0.25">
      <c r="C726" s="116"/>
      <c r="F726" s="4"/>
    </row>
    <row r="727" spans="3:6" x14ac:dyDescent="0.25">
      <c r="C727" s="116"/>
      <c r="F727" s="4"/>
    </row>
    <row r="728" spans="3:6" x14ac:dyDescent="0.25">
      <c r="C728" s="116"/>
      <c r="F728" s="4"/>
    </row>
    <row r="729" spans="3:6" x14ac:dyDescent="0.25">
      <c r="C729" s="116"/>
      <c r="F729" s="4"/>
    </row>
    <row r="730" spans="3:6" x14ac:dyDescent="0.25">
      <c r="C730" s="116"/>
      <c r="F730" s="4"/>
    </row>
    <row r="731" spans="3:6" x14ac:dyDescent="0.25">
      <c r="C731" s="116"/>
      <c r="F731" s="4"/>
    </row>
    <row r="732" spans="3:6" x14ac:dyDescent="0.25">
      <c r="C732" s="116"/>
      <c r="F732" s="4"/>
    </row>
    <row r="733" spans="3:6" x14ac:dyDescent="0.25">
      <c r="C733" s="116"/>
      <c r="F733" s="4"/>
    </row>
    <row r="734" spans="3:6" x14ac:dyDescent="0.25">
      <c r="C734" s="116"/>
      <c r="F734" s="4"/>
    </row>
    <row r="735" spans="3:6" x14ac:dyDescent="0.25">
      <c r="C735" s="116"/>
      <c r="F735" s="4"/>
    </row>
    <row r="736" spans="3:6" x14ac:dyDescent="0.25">
      <c r="C736" s="116"/>
      <c r="F736" s="4"/>
    </row>
    <row r="737" spans="3:6" x14ac:dyDescent="0.25">
      <c r="C737" s="116"/>
      <c r="F737" s="4"/>
    </row>
    <row r="738" spans="3:6" x14ac:dyDescent="0.25">
      <c r="C738" s="116"/>
      <c r="F738" s="4"/>
    </row>
    <row r="739" spans="3:6" x14ac:dyDescent="0.25">
      <c r="C739" s="116"/>
      <c r="F739" s="4"/>
    </row>
    <row r="740" spans="3:6" x14ac:dyDescent="0.25">
      <c r="C740" s="116"/>
      <c r="F740" s="4"/>
    </row>
    <row r="741" spans="3:6" x14ac:dyDescent="0.25">
      <c r="C741" s="116"/>
      <c r="F741" s="4"/>
    </row>
    <row r="742" spans="3:6" x14ac:dyDescent="0.25">
      <c r="C742" s="116"/>
      <c r="F742" s="4"/>
    </row>
    <row r="743" spans="3:6" x14ac:dyDescent="0.25">
      <c r="C743" s="116"/>
      <c r="F743" s="4"/>
    </row>
    <row r="744" spans="3:6" x14ac:dyDescent="0.25">
      <c r="C744" s="116"/>
      <c r="F744" s="4"/>
    </row>
    <row r="745" spans="3:6" x14ac:dyDescent="0.25">
      <c r="C745" s="116"/>
      <c r="F745" s="4"/>
    </row>
    <row r="746" spans="3:6" x14ac:dyDescent="0.25">
      <c r="C746" s="116"/>
      <c r="F746" s="4"/>
    </row>
    <row r="747" spans="3:6" x14ac:dyDescent="0.25">
      <c r="C747" s="116"/>
      <c r="F747" s="4"/>
    </row>
    <row r="748" spans="3:6" x14ac:dyDescent="0.25">
      <c r="C748" s="116"/>
      <c r="F748" s="4"/>
    </row>
    <row r="749" spans="3:6" x14ac:dyDescent="0.25">
      <c r="C749" s="116"/>
      <c r="F749" s="4"/>
    </row>
    <row r="750" spans="3:6" x14ac:dyDescent="0.25">
      <c r="C750" s="116"/>
      <c r="F750" s="4"/>
    </row>
    <row r="751" spans="3:6" x14ac:dyDescent="0.25">
      <c r="C751" s="116"/>
      <c r="F751" s="4"/>
    </row>
    <row r="752" spans="3:6" x14ac:dyDescent="0.25">
      <c r="C752" s="116"/>
      <c r="F752" s="4"/>
    </row>
    <row r="753" spans="3:6" x14ac:dyDescent="0.25">
      <c r="C753" s="116"/>
      <c r="F753" s="4"/>
    </row>
    <row r="754" spans="3:6" x14ac:dyDescent="0.25">
      <c r="C754" s="116"/>
      <c r="F754" s="4"/>
    </row>
    <row r="755" spans="3:6" x14ac:dyDescent="0.25">
      <c r="C755" s="116"/>
      <c r="F755" s="4"/>
    </row>
    <row r="756" spans="3:6" x14ac:dyDescent="0.25">
      <c r="C756" s="116"/>
      <c r="F756" s="4"/>
    </row>
    <row r="757" spans="3:6" x14ac:dyDescent="0.25">
      <c r="C757" s="116"/>
      <c r="F757" s="4"/>
    </row>
    <row r="758" spans="3:6" x14ac:dyDescent="0.25">
      <c r="C758" s="116"/>
      <c r="F758" s="4"/>
    </row>
    <row r="759" spans="3:6" x14ac:dyDescent="0.25">
      <c r="C759" s="116"/>
      <c r="F759" s="4"/>
    </row>
    <row r="760" spans="3:6" x14ac:dyDescent="0.25">
      <c r="C760" s="116"/>
      <c r="F760" s="4"/>
    </row>
    <row r="761" spans="3:6" x14ac:dyDescent="0.25">
      <c r="C761" s="116"/>
      <c r="F761" s="4"/>
    </row>
    <row r="762" spans="3:6" x14ac:dyDescent="0.25">
      <c r="C762" s="116"/>
      <c r="F762" s="4"/>
    </row>
    <row r="763" spans="3:6" x14ac:dyDescent="0.25">
      <c r="C763" s="116"/>
      <c r="F763" s="4"/>
    </row>
    <row r="764" spans="3:6" x14ac:dyDescent="0.25">
      <c r="C764" s="116"/>
      <c r="F764" s="4"/>
    </row>
    <row r="765" spans="3:6" x14ac:dyDescent="0.25">
      <c r="C765" s="116"/>
      <c r="F765" s="4"/>
    </row>
    <row r="766" spans="3:6" x14ac:dyDescent="0.25">
      <c r="C766" s="116"/>
      <c r="F766" s="4"/>
    </row>
    <row r="767" spans="3:6" x14ac:dyDescent="0.25">
      <c r="C767" s="116"/>
      <c r="F767" s="4"/>
    </row>
    <row r="768" spans="3:6" x14ac:dyDescent="0.25">
      <c r="C768" s="116"/>
      <c r="F768" s="4"/>
    </row>
    <row r="769" spans="3:6" x14ac:dyDescent="0.25">
      <c r="C769" s="116"/>
      <c r="F769" s="4"/>
    </row>
    <row r="770" spans="3:6" x14ac:dyDescent="0.25">
      <c r="C770" s="116"/>
      <c r="F770" s="4"/>
    </row>
    <row r="771" spans="3:6" x14ac:dyDescent="0.25">
      <c r="C771" s="116"/>
      <c r="F771" s="4"/>
    </row>
    <row r="772" spans="3:6" x14ac:dyDescent="0.25">
      <c r="C772" s="116"/>
      <c r="F772" s="4"/>
    </row>
    <row r="773" spans="3:6" x14ac:dyDescent="0.25">
      <c r="C773" s="116"/>
      <c r="F773" s="4"/>
    </row>
    <row r="774" spans="3:6" x14ac:dyDescent="0.25">
      <c r="C774" s="116"/>
      <c r="F774" s="4"/>
    </row>
    <row r="775" spans="3:6" x14ac:dyDescent="0.25">
      <c r="C775" s="116"/>
      <c r="F775" s="4"/>
    </row>
    <row r="776" spans="3:6" x14ac:dyDescent="0.25">
      <c r="C776" s="116"/>
      <c r="F776" s="4"/>
    </row>
    <row r="777" spans="3:6" x14ac:dyDescent="0.25">
      <c r="C777" s="116"/>
      <c r="F777" s="4"/>
    </row>
    <row r="778" spans="3:6" x14ac:dyDescent="0.25">
      <c r="C778" s="116"/>
      <c r="F778" s="4"/>
    </row>
    <row r="779" spans="3:6" x14ac:dyDescent="0.25">
      <c r="C779" s="116"/>
      <c r="F779" s="4"/>
    </row>
    <row r="780" spans="3:6" x14ac:dyDescent="0.25">
      <c r="C780" s="116"/>
      <c r="F780" s="4"/>
    </row>
    <row r="781" spans="3:6" x14ac:dyDescent="0.25">
      <c r="C781" s="116"/>
      <c r="F781" s="4"/>
    </row>
    <row r="782" spans="3:6" x14ac:dyDescent="0.25">
      <c r="C782" s="116"/>
      <c r="F782" s="4"/>
    </row>
    <row r="783" spans="3:6" x14ac:dyDescent="0.25">
      <c r="C783" s="116"/>
      <c r="F783" s="4"/>
    </row>
    <row r="784" spans="3:6" x14ac:dyDescent="0.25">
      <c r="C784" s="116"/>
      <c r="F784" s="4"/>
    </row>
    <row r="785" spans="3:6" x14ac:dyDescent="0.25">
      <c r="C785" s="116"/>
      <c r="F785" s="4"/>
    </row>
    <row r="786" spans="3:6" x14ac:dyDescent="0.25">
      <c r="C786" s="116"/>
      <c r="F786" s="4"/>
    </row>
    <row r="787" spans="3:6" x14ac:dyDescent="0.25">
      <c r="C787" s="116"/>
      <c r="F787" s="4"/>
    </row>
    <row r="788" spans="3:6" x14ac:dyDescent="0.25">
      <c r="C788" s="116"/>
      <c r="F788" s="4"/>
    </row>
    <row r="789" spans="3:6" x14ac:dyDescent="0.25">
      <c r="C789" s="116"/>
      <c r="F789" s="4"/>
    </row>
    <row r="790" spans="3:6" x14ac:dyDescent="0.25">
      <c r="C790" s="116"/>
      <c r="F790" s="4"/>
    </row>
    <row r="791" spans="3:6" x14ac:dyDescent="0.25">
      <c r="C791" s="116"/>
      <c r="F791" s="4"/>
    </row>
    <row r="792" spans="3:6" x14ac:dyDescent="0.25">
      <c r="C792" s="116"/>
      <c r="F792" s="4"/>
    </row>
    <row r="793" spans="3:6" x14ac:dyDescent="0.25">
      <c r="C793" s="116"/>
      <c r="F793" s="4"/>
    </row>
    <row r="794" spans="3:6" x14ac:dyDescent="0.25">
      <c r="C794" s="116"/>
      <c r="F794" s="4"/>
    </row>
    <row r="795" spans="3:6" x14ac:dyDescent="0.25">
      <c r="C795" s="116"/>
      <c r="F795" s="4"/>
    </row>
    <row r="796" spans="3:6" x14ac:dyDescent="0.25">
      <c r="C796" s="116"/>
      <c r="F796" s="4"/>
    </row>
    <row r="797" spans="3:6" x14ac:dyDescent="0.25">
      <c r="C797" s="116"/>
      <c r="F797" s="4"/>
    </row>
    <row r="798" spans="3:6" x14ac:dyDescent="0.25">
      <c r="C798" s="116"/>
      <c r="F798" s="4"/>
    </row>
    <row r="799" spans="3:6" x14ac:dyDescent="0.25">
      <c r="C799" s="116"/>
      <c r="F799" s="4"/>
    </row>
    <row r="800" spans="3:6" x14ac:dyDescent="0.25">
      <c r="C800" s="116"/>
      <c r="F800" s="4"/>
    </row>
    <row r="801" spans="3:6" x14ac:dyDescent="0.25">
      <c r="C801" s="116"/>
      <c r="F801" s="4"/>
    </row>
    <row r="802" spans="3:6" x14ac:dyDescent="0.25">
      <c r="C802" s="116"/>
      <c r="F802" s="4"/>
    </row>
    <row r="803" spans="3:6" x14ac:dyDescent="0.25">
      <c r="C803" s="116"/>
      <c r="F803" s="4"/>
    </row>
    <row r="804" spans="3:6" x14ac:dyDescent="0.25">
      <c r="C804" s="116"/>
      <c r="F804" s="4"/>
    </row>
    <row r="805" spans="3:6" x14ac:dyDescent="0.25">
      <c r="C805" s="116"/>
      <c r="F805" s="4"/>
    </row>
    <row r="806" spans="3:6" x14ac:dyDescent="0.25">
      <c r="C806" s="116"/>
      <c r="F806" s="4"/>
    </row>
    <row r="807" spans="3:6" x14ac:dyDescent="0.25">
      <c r="C807" s="116"/>
      <c r="F807" s="4"/>
    </row>
    <row r="808" spans="3:6" x14ac:dyDescent="0.25">
      <c r="C808" s="116"/>
      <c r="F808" s="4"/>
    </row>
    <row r="809" spans="3:6" x14ac:dyDescent="0.25">
      <c r="C809" s="116"/>
      <c r="F809" s="4"/>
    </row>
    <row r="810" spans="3:6" x14ac:dyDescent="0.25">
      <c r="C810" s="116"/>
      <c r="F810" s="4"/>
    </row>
    <row r="811" spans="3:6" x14ac:dyDescent="0.25">
      <c r="C811" s="116"/>
      <c r="F811" s="4"/>
    </row>
    <row r="812" spans="3:6" x14ac:dyDescent="0.25">
      <c r="C812" s="116"/>
      <c r="F812" s="4"/>
    </row>
    <row r="813" spans="3:6" x14ac:dyDescent="0.25">
      <c r="C813" s="116"/>
      <c r="F813" s="4"/>
    </row>
    <row r="814" spans="3:6" x14ac:dyDescent="0.25">
      <c r="C814" s="116"/>
      <c r="F814" s="4"/>
    </row>
    <row r="815" spans="3:6" x14ac:dyDescent="0.25">
      <c r="C815" s="116"/>
      <c r="F815" s="4"/>
    </row>
    <row r="816" spans="3:6" x14ac:dyDescent="0.25">
      <c r="C816" s="116"/>
      <c r="F816" s="4"/>
    </row>
    <row r="817" spans="3:6" x14ac:dyDescent="0.25">
      <c r="C817" s="116"/>
      <c r="F817" s="4"/>
    </row>
    <row r="818" spans="3:6" x14ac:dyDescent="0.25">
      <c r="C818" s="116"/>
      <c r="F818" s="4"/>
    </row>
    <row r="819" spans="3:6" x14ac:dyDescent="0.25">
      <c r="C819" s="116"/>
      <c r="F819" s="4"/>
    </row>
    <row r="820" spans="3:6" x14ac:dyDescent="0.25">
      <c r="C820" s="116"/>
      <c r="F820" s="4"/>
    </row>
    <row r="821" spans="3:6" x14ac:dyDescent="0.25">
      <c r="C821" s="116"/>
      <c r="F821" s="4"/>
    </row>
    <row r="822" spans="3:6" x14ac:dyDescent="0.25">
      <c r="C822" s="116"/>
      <c r="F822" s="4"/>
    </row>
    <row r="823" spans="3:6" x14ac:dyDescent="0.25">
      <c r="C823" s="116"/>
      <c r="F823" s="4"/>
    </row>
    <row r="824" spans="3:6" x14ac:dyDescent="0.25">
      <c r="C824" s="116"/>
      <c r="F824" s="4"/>
    </row>
    <row r="825" spans="3:6" x14ac:dyDescent="0.25">
      <c r="C825" s="116"/>
      <c r="F825" s="4"/>
    </row>
    <row r="826" spans="3:6" x14ac:dyDescent="0.25">
      <c r="C826" s="116"/>
      <c r="F826" s="4"/>
    </row>
    <row r="827" spans="3:6" x14ac:dyDescent="0.25">
      <c r="C827" s="116"/>
      <c r="F827" s="4"/>
    </row>
    <row r="828" spans="3:6" x14ac:dyDescent="0.25">
      <c r="C828" s="116"/>
      <c r="F828" s="4"/>
    </row>
    <row r="829" spans="3:6" x14ac:dyDescent="0.25">
      <c r="C829" s="116"/>
      <c r="F829" s="4"/>
    </row>
    <row r="830" spans="3:6" x14ac:dyDescent="0.25">
      <c r="C830" s="116"/>
      <c r="F830" s="4"/>
    </row>
    <row r="831" spans="3:6" x14ac:dyDescent="0.25">
      <c r="C831" s="116"/>
      <c r="F831" s="4"/>
    </row>
    <row r="832" spans="3:6" x14ac:dyDescent="0.25">
      <c r="C832" s="116"/>
      <c r="F832" s="4"/>
    </row>
    <row r="833" spans="3:6" x14ac:dyDescent="0.25">
      <c r="C833" s="116"/>
      <c r="F833" s="4"/>
    </row>
    <row r="834" spans="3:6" x14ac:dyDescent="0.25">
      <c r="C834" s="116"/>
      <c r="F834" s="4"/>
    </row>
    <row r="835" spans="3:6" x14ac:dyDescent="0.25">
      <c r="C835" s="116"/>
      <c r="F835" s="4"/>
    </row>
    <row r="836" spans="3:6" x14ac:dyDescent="0.25">
      <c r="C836" s="116"/>
      <c r="F836" s="4"/>
    </row>
    <row r="837" spans="3:6" x14ac:dyDescent="0.25">
      <c r="C837" s="116"/>
      <c r="F837" s="4"/>
    </row>
    <row r="838" spans="3:6" x14ac:dyDescent="0.25">
      <c r="C838" s="116"/>
      <c r="F838" s="4"/>
    </row>
    <row r="839" spans="3:6" x14ac:dyDescent="0.25">
      <c r="C839" s="116"/>
      <c r="F839" s="4"/>
    </row>
    <row r="840" spans="3:6" x14ac:dyDescent="0.25">
      <c r="C840" s="116"/>
      <c r="F840" s="4"/>
    </row>
    <row r="841" spans="3:6" x14ac:dyDescent="0.25">
      <c r="C841" s="116"/>
      <c r="F841" s="4"/>
    </row>
    <row r="842" spans="3:6" x14ac:dyDescent="0.25">
      <c r="C842" s="116"/>
      <c r="F842" s="4"/>
    </row>
    <row r="843" spans="3:6" x14ac:dyDescent="0.25">
      <c r="C843" s="116"/>
      <c r="F843" s="4"/>
    </row>
    <row r="844" spans="3:6" x14ac:dyDescent="0.25">
      <c r="C844" s="116"/>
      <c r="F844" s="4"/>
    </row>
    <row r="845" spans="3:6" x14ac:dyDescent="0.25">
      <c r="C845" s="116"/>
      <c r="F845" s="4"/>
    </row>
    <row r="846" spans="3:6" x14ac:dyDescent="0.25">
      <c r="C846" s="116"/>
      <c r="F846" s="4"/>
    </row>
    <row r="847" spans="3:6" x14ac:dyDescent="0.25">
      <c r="C847" s="116"/>
      <c r="F847" s="4"/>
    </row>
    <row r="848" spans="3:6" x14ac:dyDescent="0.25">
      <c r="C848" s="116"/>
      <c r="F848" s="4"/>
    </row>
    <row r="849" spans="3:6" x14ac:dyDescent="0.25">
      <c r="C849" s="116"/>
      <c r="F849" s="4"/>
    </row>
    <row r="850" spans="3:6" x14ac:dyDescent="0.25">
      <c r="C850" s="116"/>
      <c r="F850" s="4"/>
    </row>
    <row r="851" spans="3:6" x14ac:dyDescent="0.25">
      <c r="C851" s="116"/>
      <c r="F851" s="4"/>
    </row>
    <row r="852" spans="3:6" x14ac:dyDescent="0.25">
      <c r="C852" s="116"/>
      <c r="F852" s="4"/>
    </row>
    <row r="853" spans="3:6" x14ac:dyDescent="0.25">
      <c r="C853" s="116"/>
      <c r="F853" s="4"/>
    </row>
    <row r="854" spans="3:6" x14ac:dyDescent="0.25">
      <c r="C854" s="116"/>
      <c r="F854" s="4"/>
    </row>
    <row r="855" spans="3:6" x14ac:dyDescent="0.25">
      <c r="C855" s="116"/>
      <c r="F855" s="4"/>
    </row>
    <row r="856" spans="3:6" x14ac:dyDescent="0.25">
      <c r="C856" s="116"/>
      <c r="F856" s="4"/>
    </row>
    <row r="857" spans="3:6" x14ac:dyDescent="0.25">
      <c r="C857" s="116"/>
      <c r="F857" s="4"/>
    </row>
    <row r="858" spans="3:6" x14ac:dyDescent="0.25">
      <c r="C858" s="116"/>
      <c r="F858" s="4"/>
    </row>
    <row r="859" spans="3:6" x14ac:dyDescent="0.25">
      <c r="C859" s="116"/>
      <c r="F859" s="4"/>
    </row>
    <row r="860" spans="3:6" x14ac:dyDescent="0.25">
      <c r="C860" s="116"/>
      <c r="F860" s="4"/>
    </row>
    <row r="861" spans="3:6" x14ac:dyDescent="0.25">
      <c r="C861" s="116"/>
      <c r="F861" s="4"/>
    </row>
    <row r="862" spans="3:6" x14ac:dyDescent="0.25">
      <c r="C862" s="116"/>
      <c r="F862" s="4"/>
    </row>
    <row r="863" spans="3:6" x14ac:dyDescent="0.25">
      <c r="C863" s="116"/>
      <c r="F863" s="4"/>
    </row>
    <row r="864" spans="3:6" x14ac:dyDescent="0.25">
      <c r="C864" s="116"/>
      <c r="F864" s="4"/>
    </row>
    <row r="865" spans="3:6" x14ac:dyDescent="0.25">
      <c r="C865" s="116"/>
      <c r="F865" s="4"/>
    </row>
    <row r="866" spans="3:6" x14ac:dyDescent="0.25">
      <c r="C866" s="116"/>
      <c r="F866" s="4"/>
    </row>
    <row r="867" spans="3:6" x14ac:dyDescent="0.25">
      <c r="C867" s="116"/>
      <c r="F867" s="4"/>
    </row>
    <row r="868" spans="3:6" x14ac:dyDescent="0.25">
      <c r="C868" s="116"/>
      <c r="F868" s="4"/>
    </row>
    <row r="869" spans="3:6" x14ac:dyDescent="0.25">
      <c r="C869" s="116"/>
      <c r="F869" s="4"/>
    </row>
    <row r="870" spans="3:6" x14ac:dyDescent="0.25">
      <c r="C870" s="116"/>
      <c r="F870" s="4"/>
    </row>
    <row r="871" spans="3:6" x14ac:dyDescent="0.25">
      <c r="C871" s="116"/>
      <c r="F871" s="4"/>
    </row>
    <row r="872" spans="3:6" x14ac:dyDescent="0.25">
      <c r="C872" s="116"/>
      <c r="F872" s="4"/>
    </row>
    <row r="873" spans="3:6" x14ac:dyDescent="0.25">
      <c r="C873" s="116"/>
      <c r="F873" s="4"/>
    </row>
    <row r="874" spans="3:6" x14ac:dyDescent="0.25">
      <c r="C874" s="116"/>
      <c r="F874" s="4"/>
    </row>
    <row r="875" spans="3:6" x14ac:dyDescent="0.25">
      <c r="C875" s="116"/>
      <c r="F875" s="4"/>
    </row>
    <row r="876" spans="3:6" x14ac:dyDescent="0.25">
      <c r="C876" s="116"/>
      <c r="F876" s="4"/>
    </row>
    <row r="877" spans="3:6" x14ac:dyDescent="0.25">
      <c r="C877" s="116"/>
      <c r="F877" s="4"/>
    </row>
    <row r="878" spans="3:6" x14ac:dyDescent="0.25">
      <c r="C878" s="116"/>
      <c r="F878" s="4"/>
    </row>
    <row r="879" spans="3:6" x14ac:dyDescent="0.25">
      <c r="C879" s="116"/>
      <c r="F879" s="4"/>
    </row>
    <row r="880" spans="3:6" x14ac:dyDescent="0.25">
      <c r="C880" s="116"/>
      <c r="F880" s="4"/>
    </row>
    <row r="881" spans="3:6" x14ac:dyDescent="0.25">
      <c r="C881" s="116"/>
      <c r="F881" s="4"/>
    </row>
    <row r="882" spans="3:6" x14ac:dyDescent="0.25">
      <c r="C882" s="116"/>
      <c r="F882" s="4"/>
    </row>
    <row r="883" spans="3:6" x14ac:dyDescent="0.25">
      <c r="C883" s="116"/>
      <c r="F883" s="4"/>
    </row>
    <row r="884" spans="3:6" x14ac:dyDescent="0.25">
      <c r="C884" s="116"/>
      <c r="F884" s="4"/>
    </row>
    <row r="885" spans="3:6" x14ac:dyDescent="0.25">
      <c r="C885" s="116"/>
      <c r="F885" s="4"/>
    </row>
    <row r="886" spans="3:6" x14ac:dyDescent="0.25">
      <c r="C886" s="116"/>
      <c r="F886" s="4"/>
    </row>
    <row r="887" spans="3:6" x14ac:dyDescent="0.25">
      <c r="C887" s="116"/>
      <c r="F887" s="4"/>
    </row>
    <row r="888" spans="3:6" x14ac:dyDescent="0.25">
      <c r="C888" s="116"/>
      <c r="F888" s="4"/>
    </row>
    <row r="889" spans="3:6" x14ac:dyDescent="0.25">
      <c r="C889" s="116"/>
      <c r="F889" s="4"/>
    </row>
    <row r="890" spans="3:6" x14ac:dyDescent="0.25">
      <c r="C890" s="116"/>
      <c r="F890" s="4"/>
    </row>
    <row r="891" spans="3:6" x14ac:dyDescent="0.25">
      <c r="C891" s="116"/>
      <c r="F891" s="4"/>
    </row>
    <row r="892" spans="3:6" x14ac:dyDescent="0.25">
      <c r="C892" s="116"/>
      <c r="F892" s="4"/>
    </row>
    <row r="893" spans="3:6" x14ac:dyDescent="0.25">
      <c r="C893" s="116"/>
      <c r="F893" s="4"/>
    </row>
    <row r="894" spans="3:6" x14ac:dyDescent="0.25">
      <c r="C894" s="116"/>
      <c r="F894" s="4"/>
    </row>
    <row r="895" spans="3:6" x14ac:dyDescent="0.25">
      <c r="C895" s="116"/>
      <c r="F895" s="4"/>
    </row>
    <row r="896" spans="3:6" x14ac:dyDescent="0.25">
      <c r="C896" s="116"/>
      <c r="F896" s="4"/>
    </row>
    <row r="897" spans="3:6" x14ac:dyDescent="0.25">
      <c r="C897" s="116"/>
      <c r="F897" s="4"/>
    </row>
    <row r="898" spans="3:6" x14ac:dyDescent="0.25">
      <c r="C898" s="116"/>
      <c r="F898" s="4"/>
    </row>
    <row r="899" spans="3:6" x14ac:dyDescent="0.25">
      <c r="C899" s="116"/>
      <c r="F899" s="4"/>
    </row>
    <row r="900" spans="3:6" x14ac:dyDescent="0.25">
      <c r="C900" s="116"/>
      <c r="F900" s="4"/>
    </row>
    <row r="901" spans="3:6" x14ac:dyDescent="0.25">
      <c r="C901" s="116"/>
      <c r="F901" s="4"/>
    </row>
    <row r="902" spans="3:6" x14ac:dyDescent="0.25">
      <c r="C902" s="116"/>
      <c r="F902" s="4"/>
    </row>
    <row r="903" spans="3:6" x14ac:dyDescent="0.25">
      <c r="C903" s="116"/>
      <c r="F903" s="4"/>
    </row>
    <row r="904" spans="3:6" x14ac:dyDescent="0.25">
      <c r="C904" s="116"/>
      <c r="F904" s="4"/>
    </row>
    <row r="905" spans="3:6" x14ac:dyDescent="0.25">
      <c r="C905" s="116"/>
      <c r="F905" s="4"/>
    </row>
    <row r="906" spans="3:6" x14ac:dyDescent="0.25">
      <c r="C906" s="116"/>
      <c r="F906" s="4"/>
    </row>
    <row r="907" spans="3:6" x14ac:dyDescent="0.25">
      <c r="C907" s="116"/>
      <c r="F907" s="4"/>
    </row>
    <row r="908" spans="3:6" x14ac:dyDescent="0.25">
      <c r="C908" s="116"/>
      <c r="F908" s="4"/>
    </row>
    <row r="909" spans="3:6" x14ac:dyDescent="0.25">
      <c r="C909" s="116"/>
      <c r="F909" s="4"/>
    </row>
    <row r="910" spans="3:6" x14ac:dyDescent="0.25">
      <c r="C910" s="116"/>
      <c r="F910" s="4"/>
    </row>
    <row r="911" spans="3:6" x14ac:dyDescent="0.25">
      <c r="C911" s="116"/>
      <c r="F911" s="4"/>
    </row>
    <row r="912" spans="3:6" x14ac:dyDescent="0.25">
      <c r="C912" s="116"/>
      <c r="F912" s="4"/>
    </row>
    <row r="913" spans="3:6" x14ac:dyDescent="0.25">
      <c r="C913" s="116"/>
      <c r="F913" s="4"/>
    </row>
    <row r="914" spans="3:6" x14ac:dyDescent="0.25">
      <c r="C914" s="116"/>
      <c r="F914" s="4"/>
    </row>
    <row r="915" spans="3:6" x14ac:dyDescent="0.25">
      <c r="C915" s="116"/>
      <c r="F915" s="4"/>
    </row>
    <row r="916" spans="3:6" x14ac:dyDescent="0.25">
      <c r="C916" s="116"/>
      <c r="F916" s="4"/>
    </row>
    <row r="917" spans="3:6" x14ac:dyDescent="0.25">
      <c r="C917" s="116"/>
      <c r="F917" s="4"/>
    </row>
    <row r="918" spans="3:6" x14ac:dyDescent="0.25">
      <c r="C918" s="116"/>
      <c r="F918" s="4"/>
    </row>
    <row r="919" spans="3:6" x14ac:dyDescent="0.25">
      <c r="C919" s="116"/>
      <c r="F919" s="4"/>
    </row>
    <row r="920" spans="3:6" x14ac:dyDescent="0.25">
      <c r="C920" s="116"/>
      <c r="F920" s="4"/>
    </row>
    <row r="921" spans="3:6" x14ac:dyDescent="0.25">
      <c r="C921" s="116"/>
      <c r="F921" s="4"/>
    </row>
    <row r="922" spans="3:6" x14ac:dyDescent="0.25">
      <c r="C922" s="116"/>
      <c r="F922" s="4"/>
    </row>
    <row r="923" spans="3:6" x14ac:dyDescent="0.25">
      <c r="C923" s="116"/>
      <c r="F923" s="4"/>
    </row>
    <row r="924" spans="3:6" x14ac:dyDescent="0.25">
      <c r="C924" s="116"/>
      <c r="F924" s="4"/>
    </row>
    <row r="925" spans="3:6" x14ac:dyDescent="0.25">
      <c r="C925" s="116"/>
      <c r="F925" s="4"/>
    </row>
    <row r="926" spans="3:6" x14ac:dyDescent="0.25">
      <c r="C926" s="116"/>
      <c r="F926" s="4"/>
    </row>
    <row r="927" spans="3:6" x14ac:dyDescent="0.25">
      <c r="C927" s="116"/>
      <c r="F927" s="4"/>
    </row>
    <row r="928" spans="3:6" x14ac:dyDescent="0.25">
      <c r="C928" s="116"/>
      <c r="F928" s="4"/>
    </row>
    <row r="929" spans="3:6" x14ac:dyDescent="0.25">
      <c r="C929" s="116"/>
      <c r="F929" s="4"/>
    </row>
    <row r="930" spans="3:6" x14ac:dyDescent="0.25">
      <c r="C930" s="116"/>
      <c r="F930" s="4"/>
    </row>
    <row r="931" spans="3:6" x14ac:dyDescent="0.25">
      <c r="C931" s="116"/>
      <c r="F931" s="4"/>
    </row>
    <row r="932" spans="3:6" x14ac:dyDescent="0.25">
      <c r="C932" s="116"/>
      <c r="F932" s="4"/>
    </row>
    <row r="933" spans="3:6" x14ac:dyDescent="0.25">
      <c r="C933" s="116"/>
      <c r="F933" s="4"/>
    </row>
    <row r="934" spans="3:6" x14ac:dyDescent="0.25">
      <c r="C934" s="116"/>
      <c r="F934" s="4"/>
    </row>
    <row r="935" spans="3:6" x14ac:dyDescent="0.25">
      <c r="C935" s="116"/>
      <c r="F935" s="4"/>
    </row>
    <row r="936" spans="3:6" x14ac:dyDescent="0.25">
      <c r="C936" s="116"/>
      <c r="F936" s="4"/>
    </row>
    <row r="937" spans="3:6" x14ac:dyDescent="0.25">
      <c r="C937" s="116"/>
      <c r="F937" s="4"/>
    </row>
    <row r="938" spans="3:6" x14ac:dyDescent="0.25">
      <c r="C938" s="116"/>
      <c r="F938" s="4"/>
    </row>
    <row r="939" spans="3:6" x14ac:dyDescent="0.25">
      <c r="C939" s="116"/>
      <c r="F939" s="4"/>
    </row>
    <row r="940" spans="3:6" x14ac:dyDescent="0.25">
      <c r="C940" s="116"/>
      <c r="F940" s="4"/>
    </row>
    <row r="941" spans="3:6" x14ac:dyDescent="0.25">
      <c r="C941" s="116"/>
      <c r="F941" s="4"/>
    </row>
    <row r="942" spans="3:6" x14ac:dyDescent="0.25">
      <c r="C942" s="116"/>
      <c r="F942" s="4"/>
    </row>
    <row r="943" spans="3:6" x14ac:dyDescent="0.25">
      <c r="C943" s="116"/>
      <c r="F943" s="4"/>
    </row>
    <row r="944" spans="3:6" x14ac:dyDescent="0.25">
      <c r="C944" s="116"/>
      <c r="F944" s="4"/>
    </row>
    <row r="945" spans="3:6" x14ac:dyDescent="0.25">
      <c r="C945" s="116"/>
      <c r="F945" s="4"/>
    </row>
    <row r="946" spans="3:6" x14ac:dyDescent="0.25">
      <c r="C946" s="116"/>
      <c r="F946" s="4"/>
    </row>
    <row r="947" spans="3:6" x14ac:dyDescent="0.25">
      <c r="C947" s="116"/>
      <c r="F947" s="4"/>
    </row>
    <row r="948" spans="3:6" x14ac:dyDescent="0.25">
      <c r="C948" s="116"/>
      <c r="F948" s="4"/>
    </row>
    <row r="949" spans="3:6" x14ac:dyDescent="0.25">
      <c r="C949" s="116"/>
      <c r="F949" s="4"/>
    </row>
    <row r="950" spans="3:6" x14ac:dyDescent="0.25">
      <c r="C950" s="116"/>
      <c r="F950" s="4"/>
    </row>
    <row r="951" spans="3:6" x14ac:dyDescent="0.25">
      <c r="C951" s="116"/>
      <c r="F951" s="4"/>
    </row>
    <row r="952" spans="3:6" x14ac:dyDescent="0.25">
      <c r="C952" s="116"/>
      <c r="F952" s="4"/>
    </row>
    <row r="953" spans="3:6" x14ac:dyDescent="0.25">
      <c r="C953" s="116"/>
      <c r="F953" s="4"/>
    </row>
    <row r="954" spans="3:6" x14ac:dyDescent="0.25">
      <c r="C954" s="116"/>
      <c r="F954" s="4"/>
    </row>
    <row r="955" spans="3:6" x14ac:dyDescent="0.25">
      <c r="C955" s="116"/>
      <c r="F955" s="4"/>
    </row>
    <row r="956" spans="3:6" x14ac:dyDescent="0.25">
      <c r="C956" s="116"/>
      <c r="F956" s="4"/>
    </row>
    <row r="957" spans="3:6" x14ac:dyDescent="0.25">
      <c r="C957" s="116"/>
      <c r="F957" s="4"/>
    </row>
    <row r="958" spans="3:6" x14ac:dyDescent="0.25">
      <c r="C958" s="116"/>
      <c r="F958" s="4"/>
    </row>
    <row r="959" spans="3:6" x14ac:dyDescent="0.25">
      <c r="C959" s="116"/>
      <c r="F959" s="4"/>
    </row>
    <row r="960" spans="3:6" x14ac:dyDescent="0.25">
      <c r="C960" s="116"/>
      <c r="F960" s="4"/>
    </row>
    <row r="961" spans="3:6" x14ac:dyDescent="0.25">
      <c r="C961" s="116"/>
      <c r="F961" s="4"/>
    </row>
    <row r="962" spans="3:6" x14ac:dyDescent="0.25">
      <c r="C962" s="116"/>
      <c r="F962" s="4"/>
    </row>
    <row r="963" spans="3:6" x14ac:dyDescent="0.25">
      <c r="C963" s="116"/>
      <c r="F963" s="4"/>
    </row>
    <row r="964" spans="3:6" x14ac:dyDescent="0.25">
      <c r="C964" s="116"/>
      <c r="F964" s="4"/>
    </row>
    <row r="965" spans="3:6" x14ac:dyDescent="0.25">
      <c r="C965" s="116"/>
      <c r="F965" s="4"/>
    </row>
    <row r="966" spans="3:6" x14ac:dyDescent="0.25">
      <c r="C966" s="116"/>
      <c r="F966" s="4"/>
    </row>
    <row r="967" spans="3:6" x14ac:dyDescent="0.25">
      <c r="C967" s="116"/>
      <c r="F967" s="4"/>
    </row>
    <row r="968" spans="3:6" x14ac:dyDescent="0.25">
      <c r="C968" s="116"/>
      <c r="F968" s="4"/>
    </row>
    <row r="969" spans="3:6" x14ac:dyDescent="0.25">
      <c r="C969" s="116"/>
      <c r="F969" s="4"/>
    </row>
    <row r="970" spans="3:6" x14ac:dyDescent="0.25">
      <c r="C970" s="116"/>
      <c r="F970" s="4"/>
    </row>
    <row r="971" spans="3:6" x14ac:dyDescent="0.25">
      <c r="C971" s="116"/>
      <c r="F971" s="4"/>
    </row>
    <row r="972" spans="3:6" x14ac:dyDescent="0.25">
      <c r="C972" s="116"/>
      <c r="F972" s="4"/>
    </row>
    <row r="973" spans="3:6" x14ac:dyDescent="0.25">
      <c r="C973" s="116"/>
      <c r="F973" s="4"/>
    </row>
    <row r="974" spans="3:6" x14ac:dyDescent="0.25">
      <c r="C974" s="116"/>
      <c r="F974" s="4"/>
    </row>
    <row r="975" spans="3:6" x14ac:dyDescent="0.25">
      <c r="C975" s="116"/>
      <c r="F975" s="4"/>
    </row>
    <row r="976" spans="3:6" x14ac:dyDescent="0.25">
      <c r="C976" s="116"/>
      <c r="F976" s="4"/>
    </row>
    <row r="977" spans="3:6" x14ac:dyDescent="0.25">
      <c r="C977" s="116"/>
      <c r="F977" s="4"/>
    </row>
    <row r="978" spans="3:6" x14ac:dyDescent="0.25">
      <c r="C978" s="116"/>
      <c r="F978" s="4"/>
    </row>
    <row r="979" spans="3:6" x14ac:dyDescent="0.25">
      <c r="C979" s="116"/>
      <c r="F979" s="4"/>
    </row>
    <row r="980" spans="3:6" x14ac:dyDescent="0.25">
      <c r="C980" s="116"/>
      <c r="F980" s="4"/>
    </row>
    <row r="981" spans="3:6" x14ac:dyDescent="0.25">
      <c r="C981" s="116"/>
      <c r="F981" s="4"/>
    </row>
    <row r="982" spans="3:6" x14ac:dyDescent="0.25">
      <c r="C982" s="116"/>
      <c r="F982" s="4"/>
    </row>
    <row r="983" spans="3:6" x14ac:dyDescent="0.25">
      <c r="C983" s="116"/>
      <c r="F983" s="4"/>
    </row>
    <row r="984" spans="3:6" x14ac:dyDescent="0.25">
      <c r="C984" s="116"/>
      <c r="F984" s="4"/>
    </row>
    <row r="985" spans="3:6" x14ac:dyDescent="0.25">
      <c r="C985" s="116"/>
      <c r="F985" s="4"/>
    </row>
    <row r="986" spans="3:6" x14ac:dyDescent="0.25">
      <c r="C986" s="116"/>
      <c r="F986" s="4"/>
    </row>
    <row r="987" spans="3:6" x14ac:dyDescent="0.25">
      <c r="C987" s="116"/>
      <c r="F987" s="4"/>
    </row>
    <row r="988" spans="3:6" x14ac:dyDescent="0.25">
      <c r="C988" s="116"/>
      <c r="F988" s="4"/>
    </row>
    <row r="989" spans="3:6" x14ac:dyDescent="0.25">
      <c r="C989" s="116"/>
      <c r="F989" s="4"/>
    </row>
    <row r="990" spans="3:6" x14ac:dyDescent="0.25">
      <c r="C990" s="116"/>
      <c r="F990" s="4"/>
    </row>
    <row r="991" spans="3:6" x14ac:dyDescent="0.25">
      <c r="C991" s="116"/>
      <c r="F991" s="4"/>
    </row>
    <row r="992" spans="3:6" x14ac:dyDescent="0.25">
      <c r="C992" s="116"/>
      <c r="F992" s="4"/>
    </row>
    <row r="993" spans="3:6" x14ac:dyDescent="0.25">
      <c r="C993" s="116"/>
      <c r="F993" s="4"/>
    </row>
    <row r="994" spans="3:6" x14ac:dyDescent="0.25">
      <c r="C994" s="116"/>
      <c r="F994" s="4"/>
    </row>
    <row r="995" spans="3:6" x14ac:dyDescent="0.25">
      <c r="C995" s="116"/>
      <c r="F995" s="4"/>
    </row>
    <row r="996" spans="3:6" x14ac:dyDescent="0.25">
      <c r="C996" s="116"/>
      <c r="F996" s="4"/>
    </row>
    <row r="997" spans="3:6" x14ac:dyDescent="0.25">
      <c r="C997" s="116"/>
      <c r="F997" s="4"/>
    </row>
    <row r="998" spans="3:6" x14ac:dyDescent="0.25">
      <c r="C998" s="116"/>
      <c r="F998" s="4"/>
    </row>
    <row r="999" spans="3:6" x14ac:dyDescent="0.25">
      <c r="C999" s="116"/>
      <c r="F999" s="4"/>
    </row>
    <row r="1000" spans="3:6" x14ac:dyDescent="0.25">
      <c r="C1000" s="116"/>
      <c r="F1000" s="4"/>
    </row>
    <row r="1001" spans="1:8" x14ac:dyDescent="0.25">
      <c r="A1001" t="s">
        <v>683</v>
      </c>
      <c r="B1001">
        <v>120</v>
      </c>
      <c r="C1001">
        <f>MROUND((B1001*10%)+B1001,5)</f>
      </c>
      <c r="D1001">
        <f>MROUND((B1001*15%)+B1001,5)</f>
      </c>
      <c r="E1001">
        <v>180</v>
      </c>
      <c r="F1001">
        <f>(E1001-B1001)/B1001</f>
      </c>
      <c r="G1001">
        <f>E1001-C1001</f>
      </c>
      <c r="H1001">
        <f>E1001-D1001</f>
      </c>
    </row>
    <row r="1002" spans="1:8" x14ac:dyDescent="0.25">
      <c r="A1002" t="s">
        <v>688</v>
      </c>
      <c r="B1002">
        <v>240</v>
      </c>
      <c r="C1002">
        <f>MROUND((B1002*10%)+B1002,5)</f>
      </c>
      <c r="D1002">
        <f>MROUND((B1002*15%)+B1002,5)</f>
      </c>
      <c r="E1002">
        <v>350</v>
      </c>
      <c r="F1002">
        <f>(E1002-B1002)/B1002</f>
      </c>
      <c r="G1002">
        <f>E1002-C1002</f>
      </c>
      <c r="H1002">
        <f>E1002-D1002</f>
      </c>
    </row>
  </sheetData>
  <conditionalFormatting sqref="F1:F1000">
    <cfRule type="cellIs" dxfId="3" priority="1" operator="lessThanOrEqual">
      <formula>"30%"</formula>
    </cfRule>
  </conditionalFormatting>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2"/>
  <sheetViews>
    <sheetView workbookViewId="0" zoomScale="100" zoomScaleNormal="100"/>
  </sheetViews>
  <sheetFormatPr defaultRowHeight="15.75" outlineLevelRow="0" outlineLevelCol="0" x14ac:dyDescent="0" defaultColWidth="12.63" customHeight="1"/>
  <sheetData>
    <row r="1" spans="1:7" x14ac:dyDescent="0.25">
      <c r="A1" s="1"/>
      <c r="B1" s="1"/>
      <c r="C1" s="1"/>
      <c r="D1" s="115" t="s">
        <v>0</v>
      </c>
      <c r="E1" s="1"/>
      <c r="F1" s="3" t="s">
        <v>1</v>
      </c>
      <c r="G1" s="4"/>
    </row>
    <row r="2" spans="1:7" x14ac:dyDescent="0.25">
      <c r="A2" s="1" t="s">
        <v>2</v>
      </c>
      <c r="B2" s="1" t="s">
        <v>3</v>
      </c>
      <c r="C2" s="1" t="s">
        <v>4</v>
      </c>
      <c r="D2" s="115" t="s">
        <v>5</v>
      </c>
      <c r="E2" s="1" t="s">
        <v>6</v>
      </c>
      <c r="F2" s="1" t="s">
        <v>7</v>
      </c>
      <c r="G2" s="4"/>
    </row>
    <row r="3" spans="1:8" x14ac:dyDescent="0.25">
      <c r="A3" s="1" t="s">
        <v>296</v>
      </c>
      <c r="B3" s="1">
        <v>1250</v>
      </c>
      <c r="D3" s="116">
        <f t="shared" ref="D3:D302" si="0">CEILING(B3*1.1,5)</f>
        <v>1375</v>
      </c>
      <c r="E3" s="6">
        <f t="shared" ref="E3:E302" si="1">CEILING(B3*1.15,5)</f>
        <v>1440</v>
      </c>
      <c r="F3" s="1">
        <v>1650</v>
      </c>
      <c r="G3" s="4">
        <f t="shared" ref="G3:G302" si="2">(E3-B3)/B3</f>
        <v>0.152</v>
      </c>
      <c r="H3" s="6">
        <f t="shared" ref="H3:H302" si="3">F3-E3</f>
        <v>210</v>
      </c>
    </row>
    <row r="4" spans="1:8" x14ac:dyDescent="0.25">
      <c r="A4" s="1" t="s">
        <v>300</v>
      </c>
      <c r="B4" s="1">
        <v>1250</v>
      </c>
      <c r="D4" s="116">
        <f t="shared" si="0"/>
        <v>1375</v>
      </c>
      <c r="E4" s="6">
        <f t="shared" si="1"/>
        <v>1440</v>
      </c>
      <c r="F4" s="1">
        <v>1750</v>
      </c>
      <c r="G4" s="4">
        <f t="shared" si="2"/>
        <v>0.152</v>
      </c>
      <c r="H4" s="6">
        <f t="shared" si="3"/>
        <v>310</v>
      </c>
    </row>
    <row r="5" spans="1:8" x14ac:dyDescent="0.25">
      <c r="A5" s="1" t="s">
        <v>302</v>
      </c>
      <c r="B5" s="1">
        <v>580</v>
      </c>
      <c r="D5" s="116">
        <f t="shared" si="0"/>
        <v>640</v>
      </c>
      <c r="E5" s="6">
        <f t="shared" si="1"/>
        <v>670</v>
      </c>
      <c r="F5" s="1">
        <v>670</v>
      </c>
      <c r="G5" s="4">
        <f t="shared" si="2"/>
        <v>0.1551724138</v>
      </c>
      <c r="H5" s="6">
        <f t="shared" si="3"/>
        <v>0</v>
      </c>
    </row>
    <row r="6" spans="1:8" x14ac:dyDescent="0.25">
      <c r="A6" s="1" t="s">
        <v>303</v>
      </c>
      <c r="B6" s="1">
        <v>950</v>
      </c>
      <c r="D6" s="116">
        <f t="shared" si="0"/>
        <v>1045</v>
      </c>
      <c r="E6" s="6">
        <f t="shared" si="1"/>
        <v>1095</v>
      </c>
      <c r="F6" s="1">
        <v>1250</v>
      </c>
      <c r="G6" s="4">
        <f t="shared" si="2"/>
        <v>0.1526315789</v>
      </c>
      <c r="H6" s="6">
        <f t="shared" si="3"/>
        <v>155</v>
      </c>
    </row>
    <row r="7" spans="1:8" x14ac:dyDescent="0.25">
      <c r="A7" s="1" t="s">
        <v>304</v>
      </c>
      <c r="B7" s="1">
        <v>950</v>
      </c>
      <c r="D7" s="116">
        <f t="shared" si="0"/>
        <v>1045</v>
      </c>
      <c r="E7" s="6">
        <f t="shared" si="1"/>
        <v>1095</v>
      </c>
      <c r="F7" s="1">
        <v>1250</v>
      </c>
      <c r="G7" s="4">
        <f t="shared" si="2"/>
        <v>0.1526315789</v>
      </c>
      <c r="H7" s="6">
        <f t="shared" si="3"/>
        <v>155</v>
      </c>
    </row>
    <row r="8" spans="1:25" x14ac:dyDescent="0.25">
      <c r="A8" s="10" t="s">
        <v>306</v>
      </c>
      <c r="B8" s="10">
        <v>950</v>
      </c>
      <c r="C8" s="11"/>
      <c r="D8" s="116">
        <f t="shared" si="0"/>
        <v>1045</v>
      </c>
      <c r="E8" s="6">
        <f t="shared" si="1"/>
        <v>1095</v>
      </c>
      <c r="F8" s="10">
        <v>1250</v>
      </c>
      <c r="G8" s="4">
        <f t="shared" si="2"/>
        <v>0.1526315789</v>
      </c>
      <c r="H8" s="6">
        <f t="shared" si="3"/>
        <v>155</v>
      </c>
      <c r="I8" s="11"/>
      <c r="J8" s="11"/>
      <c r="K8" s="11"/>
      <c r="L8" s="11"/>
      <c r="M8" s="11"/>
      <c r="N8" s="11"/>
      <c r="O8" s="11"/>
      <c r="P8" s="11"/>
      <c r="Q8" s="11"/>
      <c r="R8" s="11"/>
      <c r="S8" s="11"/>
      <c r="T8" s="11"/>
      <c r="U8" s="11"/>
      <c r="V8" s="11"/>
      <c r="W8" s="11"/>
      <c r="X8" s="11"/>
      <c r="Y8" s="11"/>
    </row>
    <row r="9" spans="1:8" x14ac:dyDescent="0.25">
      <c r="A9" s="1" t="s">
        <v>308</v>
      </c>
      <c r="B9" s="1">
        <v>650</v>
      </c>
      <c r="D9" s="116">
        <f t="shared" si="0"/>
        <v>715</v>
      </c>
      <c r="E9" s="6">
        <f t="shared" si="1"/>
        <v>750</v>
      </c>
      <c r="F9" s="1">
        <v>1250</v>
      </c>
      <c r="G9" s="4">
        <f t="shared" si="2"/>
        <v>0.1538461538</v>
      </c>
      <c r="H9" s="6">
        <f t="shared" si="3"/>
        <v>500</v>
      </c>
    </row>
    <row r="10" spans="1:8" x14ac:dyDescent="0.25">
      <c r="A10" s="1" t="s">
        <v>309</v>
      </c>
      <c r="B10" s="1">
        <v>650</v>
      </c>
      <c r="D10" s="116">
        <f t="shared" si="0"/>
        <v>715</v>
      </c>
      <c r="E10" s="6">
        <f t="shared" si="1"/>
        <v>750</v>
      </c>
      <c r="F10" s="118">
        <v>1250</v>
      </c>
      <c r="G10" s="4">
        <f t="shared" si="2"/>
        <v>0.1538461538</v>
      </c>
      <c r="H10" s="119">
        <f t="shared" si="3"/>
        <v>500</v>
      </c>
    </row>
    <row r="11" spans="1:8" x14ac:dyDescent="0.25">
      <c r="A11" s="1" t="s">
        <v>311</v>
      </c>
      <c r="B11" s="1">
        <v>500</v>
      </c>
      <c r="D11" s="116">
        <f t="shared" si="0"/>
        <v>550</v>
      </c>
      <c r="E11" s="6">
        <f t="shared" si="1"/>
        <v>575</v>
      </c>
      <c r="F11" s="1">
        <v>990</v>
      </c>
      <c r="G11" s="4">
        <f t="shared" si="2"/>
        <v>0.15</v>
      </c>
      <c r="H11" s="6">
        <f t="shared" si="3"/>
        <v>415</v>
      </c>
    </row>
    <row r="12" spans="1:8" x14ac:dyDescent="0.25">
      <c r="A12" s="1" t="s">
        <v>312</v>
      </c>
      <c r="B12" s="1">
        <v>650</v>
      </c>
      <c r="D12" s="116">
        <f t="shared" si="0"/>
        <v>715</v>
      </c>
      <c r="E12" s="6">
        <f t="shared" si="1"/>
        <v>750</v>
      </c>
      <c r="F12" s="1">
        <v>990</v>
      </c>
      <c r="G12" s="4">
        <f t="shared" si="2"/>
        <v>0.1538461538</v>
      </c>
      <c r="H12" s="6">
        <f t="shared" si="3"/>
        <v>240</v>
      </c>
    </row>
    <row r="13" spans="1:8" x14ac:dyDescent="0.25">
      <c r="A13" s="1" t="s">
        <v>313</v>
      </c>
      <c r="B13" s="1">
        <v>900</v>
      </c>
      <c r="D13" s="116">
        <f t="shared" si="0"/>
        <v>990</v>
      </c>
      <c r="E13" s="6">
        <f t="shared" si="1"/>
        <v>1035</v>
      </c>
      <c r="F13" s="1">
        <v>1250</v>
      </c>
      <c r="G13" s="4">
        <f t="shared" si="2"/>
        <v>0.15</v>
      </c>
      <c r="H13" s="6">
        <f t="shared" si="3"/>
        <v>215</v>
      </c>
    </row>
    <row r="14" spans="1:8" x14ac:dyDescent="0.25">
      <c r="A14" s="1" t="s">
        <v>315</v>
      </c>
      <c r="B14" s="1">
        <v>520</v>
      </c>
      <c r="D14" s="116">
        <f t="shared" si="0"/>
        <v>575</v>
      </c>
      <c r="E14" s="6">
        <f t="shared" si="1"/>
        <v>600</v>
      </c>
      <c r="F14" s="1">
        <v>750</v>
      </c>
      <c r="G14" s="4">
        <f t="shared" si="2"/>
        <v>0.1538461538</v>
      </c>
      <c r="H14" s="6">
        <f t="shared" si="3"/>
        <v>150</v>
      </c>
    </row>
    <row r="15" spans="1:8" x14ac:dyDescent="0.25">
      <c r="A15" s="1" t="s">
        <v>317</v>
      </c>
      <c r="B15" s="1">
        <v>95</v>
      </c>
      <c r="D15" s="116">
        <f t="shared" si="0"/>
        <v>105</v>
      </c>
      <c r="E15" s="6">
        <f t="shared" si="1"/>
        <v>110</v>
      </c>
      <c r="F15" s="1">
        <v>125</v>
      </c>
      <c r="G15" s="4">
        <f t="shared" si="2"/>
        <v>0.1578947368</v>
      </c>
      <c r="H15" s="6">
        <f t="shared" si="3"/>
        <v>15</v>
      </c>
    </row>
    <row r="16" spans="1:8" x14ac:dyDescent="0.25">
      <c r="A16" s="1" t="s">
        <v>319</v>
      </c>
      <c r="B16" s="1">
        <v>105</v>
      </c>
      <c r="D16" s="116">
        <f t="shared" si="0"/>
        <v>120</v>
      </c>
      <c r="E16" s="6">
        <f t="shared" si="1"/>
        <v>125</v>
      </c>
      <c r="F16" s="1">
        <v>140</v>
      </c>
      <c r="G16" s="4">
        <f t="shared" si="2"/>
        <v>0.1904761905</v>
      </c>
      <c r="H16" s="6">
        <f t="shared" si="3"/>
        <v>15</v>
      </c>
    </row>
    <row r="17" spans="1:8" x14ac:dyDescent="0.25">
      <c r="A17" s="1" t="s">
        <v>321</v>
      </c>
      <c r="B17" s="1">
        <v>95</v>
      </c>
      <c r="D17" s="116">
        <f t="shared" si="0"/>
        <v>105</v>
      </c>
      <c r="E17" s="6">
        <f t="shared" si="1"/>
        <v>110</v>
      </c>
      <c r="F17" s="1">
        <v>125</v>
      </c>
      <c r="G17" s="4">
        <f t="shared" si="2"/>
        <v>0.1578947368</v>
      </c>
      <c r="H17" s="6">
        <f t="shared" si="3"/>
        <v>15</v>
      </c>
    </row>
    <row r="18" spans="1:8" x14ac:dyDescent="0.25">
      <c r="A18" s="1" t="s">
        <v>325</v>
      </c>
      <c r="B18" s="1">
        <v>400</v>
      </c>
      <c r="C18" s="1">
        <v>65</v>
      </c>
      <c r="D18" s="116">
        <f t="shared" si="0"/>
        <v>440</v>
      </c>
      <c r="E18" s="6">
        <f t="shared" si="1"/>
        <v>460</v>
      </c>
      <c r="F18" s="1">
        <v>499</v>
      </c>
      <c r="G18" s="4">
        <f t="shared" si="2"/>
        <v>0.15</v>
      </c>
      <c r="H18" s="6">
        <f t="shared" si="3"/>
        <v>39</v>
      </c>
    </row>
    <row r="19" spans="1:8" x14ac:dyDescent="0.25">
      <c r="A19" s="1" t="s">
        <v>326</v>
      </c>
      <c r="B19" s="1">
        <v>400</v>
      </c>
      <c r="C19" s="1">
        <v>65</v>
      </c>
      <c r="D19" s="116">
        <f t="shared" si="0"/>
        <v>440</v>
      </c>
      <c r="E19" s="6">
        <f t="shared" si="1"/>
        <v>460</v>
      </c>
      <c r="F19" s="1">
        <v>499</v>
      </c>
      <c r="G19" s="4">
        <f t="shared" si="2"/>
        <v>0.15</v>
      </c>
      <c r="H19" s="6">
        <f t="shared" si="3"/>
        <v>39</v>
      </c>
    </row>
    <row r="20" spans="1:8" x14ac:dyDescent="0.25">
      <c r="A20" s="1" t="s">
        <v>327</v>
      </c>
      <c r="B20" s="1">
        <v>400</v>
      </c>
      <c r="C20" s="1">
        <v>65</v>
      </c>
      <c r="D20" s="116">
        <f t="shared" si="0"/>
        <v>440</v>
      </c>
      <c r="E20" s="6">
        <f t="shared" si="1"/>
        <v>460</v>
      </c>
      <c r="F20" s="1">
        <v>499</v>
      </c>
      <c r="G20" s="4">
        <f t="shared" si="2"/>
        <v>0.15</v>
      </c>
      <c r="H20" s="6">
        <f t="shared" si="3"/>
        <v>39</v>
      </c>
    </row>
    <row r="21" spans="1:8" x14ac:dyDescent="0.25">
      <c r="A21" s="1" t="s">
        <v>328</v>
      </c>
      <c r="B21" s="1">
        <v>330</v>
      </c>
      <c r="C21" s="1">
        <v>65</v>
      </c>
      <c r="D21" s="116">
        <f t="shared" si="0"/>
        <v>365</v>
      </c>
      <c r="E21" s="6">
        <f t="shared" si="1"/>
        <v>380</v>
      </c>
      <c r="F21" s="1">
        <v>400</v>
      </c>
      <c r="G21" s="4">
        <f t="shared" si="2"/>
        <v>0.1515151515</v>
      </c>
      <c r="H21" s="6">
        <f t="shared" si="3"/>
        <v>20</v>
      </c>
    </row>
    <row r="22" spans="1:8" x14ac:dyDescent="0.25">
      <c r="A22" s="1" t="s">
        <v>329</v>
      </c>
      <c r="B22" s="1">
        <v>600</v>
      </c>
      <c r="C22" s="1">
        <v>80</v>
      </c>
      <c r="D22" s="116">
        <f t="shared" si="0"/>
        <v>660</v>
      </c>
      <c r="E22" s="6">
        <f t="shared" si="1"/>
        <v>690</v>
      </c>
      <c r="F22" s="1">
        <v>750</v>
      </c>
      <c r="G22" s="4">
        <f t="shared" si="2"/>
        <v>0.15</v>
      </c>
      <c r="H22" s="6">
        <f t="shared" si="3"/>
        <v>60</v>
      </c>
    </row>
    <row r="23" spans="1:8" x14ac:dyDescent="0.25">
      <c r="A23" s="1" t="s">
        <v>330</v>
      </c>
      <c r="B23" s="1">
        <v>1450</v>
      </c>
      <c r="D23" s="116">
        <f t="shared" si="0"/>
        <v>1595</v>
      </c>
      <c r="E23" s="6">
        <f t="shared" si="1"/>
        <v>1670</v>
      </c>
      <c r="F23" s="1">
        <v>1800</v>
      </c>
      <c r="G23" s="4">
        <f t="shared" si="2"/>
        <v>0.1517241379</v>
      </c>
      <c r="H23" s="6">
        <f t="shared" si="3"/>
        <v>130</v>
      </c>
    </row>
    <row r="24" spans="1:8" x14ac:dyDescent="0.25">
      <c r="A24" s="1" t="s">
        <v>331</v>
      </c>
      <c r="B24" s="1">
        <v>1800</v>
      </c>
      <c r="D24" s="116">
        <f t="shared" si="0"/>
        <v>1980</v>
      </c>
      <c r="E24" s="6">
        <f t="shared" si="1"/>
        <v>2070</v>
      </c>
      <c r="F24" s="1">
        <v>2400</v>
      </c>
      <c r="G24" s="4">
        <f t="shared" si="2"/>
        <v>0.15</v>
      </c>
      <c r="H24" s="6">
        <f t="shared" si="3"/>
        <v>330</v>
      </c>
    </row>
    <row r="25" spans="1:8" x14ac:dyDescent="0.25">
      <c r="A25" s="1" t="s">
        <v>332</v>
      </c>
      <c r="B25" s="1">
        <v>2350</v>
      </c>
      <c r="D25" s="116">
        <f t="shared" si="0"/>
        <v>2585</v>
      </c>
      <c r="E25" s="6">
        <f t="shared" si="1"/>
        <v>2705</v>
      </c>
      <c r="F25" s="1">
        <v>2800</v>
      </c>
      <c r="G25" s="4">
        <f t="shared" si="2"/>
        <v>0.1510638298</v>
      </c>
      <c r="H25" s="6">
        <f t="shared" si="3"/>
        <v>95</v>
      </c>
    </row>
    <row r="26" spans="1:8" x14ac:dyDescent="0.25">
      <c r="A26" s="1" t="s">
        <v>333</v>
      </c>
      <c r="B26" s="1">
        <v>2500</v>
      </c>
      <c r="D26" s="116">
        <f t="shared" si="0"/>
        <v>2750</v>
      </c>
      <c r="E26" s="6">
        <f t="shared" si="1"/>
        <v>2875</v>
      </c>
      <c r="F26" s="6">
        <f t="shared" ref="F26:F27" si="4">MROUND((B26*20%)+B26,5)</f>
        <v>3000</v>
      </c>
      <c r="G26" s="4">
        <f t="shared" si="2"/>
        <v>0.15</v>
      </c>
      <c r="H26" s="6">
        <f t="shared" si="3"/>
        <v>125</v>
      </c>
    </row>
    <row r="27" spans="1:8" x14ac:dyDescent="0.25">
      <c r="A27" s="1" t="s">
        <v>334</v>
      </c>
      <c r="B27" s="1">
        <v>15000</v>
      </c>
      <c r="D27" s="116">
        <f t="shared" si="0"/>
        <v>16500</v>
      </c>
      <c r="E27" s="6">
        <f t="shared" si="1"/>
        <v>17250</v>
      </c>
      <c r="F27" s="6">
        <f t="shared" si="4"/>
        <v>18000</v>
      </c>
      <c r="G27" s="4">
        <f t="shared" si="2"/>
        <v>0.15</v>
      </c>
      <c r="H27" s="6">
        <f t="shared" si="3"/>
        <v>750</v>
      </c>
    </row>
    <row r="28" spans="1:8" x14ac:dyDescent="0.25">
      <c r="A28" s="1" t="s">
        <v>335</v>
      </c>
      <c r="B28" s="1">
        <v>1250</v>
      </c>
      <c r="D28" s="116">
        <f t="shared" si="0"/>
        <v>1375</v>
      </c>
      <c r="E28" s="6">
        <f t="shared" si="1"/>
        <v>1440</v>
      </c>
      <c r="F28" s="1">
        <v>1450</v>
      </c>
      <c r="G28" s="4">
        <f t="shared" si="2"/>
        <v>0.152</v>
      </c>
      <c r="H28" s="6">
        <f t="shared" si="3"/>
        <v>10</v>
      </c>
    </row>
    <row r="29" spans="1:8" x14ac:dyDescent="0.25">
      <c r="A29" s="1" t="s">
        <v>336</v>
      </c>
      <c r="B29" s="1">
        <v>200</v>
      </c>
      <c r="D29" s="116">
        <f t="shared" si="0"/>
        <v>220</v>
      </c>
      <c r="E29" s="6">
        <f t="shared" si="1"/>
        <v>230</v>
      </c>
      <c r="F29" s="1">
        <v>350</v>
      </c>
      <c r="G29" s="4">
        <f t="shared" si="2"/>
        <v>0.15</v>
      </c>
      <c r="H29" s="6">
        <f t="shared" si="3"/>
        <v>120</v>
      </c>
    </row>
    <row r="30" spans="1:8" x14ac:dyDescent="0.25">
      <c r="A30" s="1" t="s">
        <v>337</v>
      </c>
      <c r="B30" s="1">
        <v>250</v>
      </c>
      <c r="D30" s="116">
        <f t="shared" si="0"/>
        <v>275</v>
      </c>
      <c r="E30" s="6">
        <f t="shared" si="1"/>
        <v>290</v>
      </c>
      <c r="F30" s="1">
        <v>370</v>
      </c>
      <c r="G30" s="4">
        <f t="shared" si="2"/>
        <v>0.16</v>
      </c>
      <c r="H30" s="6">
        <f t="shared" si="3"/>
        <v>80</v>
      </c>
    </row>
    <row r="31" spans="1:8" x14ac:dyDescent="0.25">
      <c r="A31" s="1" t="s">
        <v>338</v>
      </c>
      <c r="B31" s="1">
        <v>600</v>
      </c>
      <c r="D31" s="116">
        <f t="shared" si="0"/>
        <v>660</v>
      </c>
      <c r="E31" s="6">
        <f t="shared" si="1"/>
        <v>690</v>
      </c>
      <c r="F31" s="1">
        <v>900</v>
      </c>
      <c r="G31" s="4">
        <f t="shared" si="2"/>
        <v>0.15</v>
      </c>
      <c r="H31" s="6">
        <f t="shared" si="3"/>
        <v>210</v>
      </c>
    </row>
    <row r="32" spans="1:8" x14ac:dyDescent="0.25">
      <c r="A32" s="1" t="s">
        <v>340</v>
      </c>
      <c r="B32" s="1">
        <v>1200</v>
      </c>
      <c r="D32" s="116">
        <f t="shared" si="0"/>
        <v>1320</v>
      </c>
      <c r="E32" s="6">
        <f t="shared" si="1"/>
        <v>1380</v>
      </c>
      <c r="F32" s="1">
        <v>2500</v>
      </c>
      <c r="G32" s="4">
        <f t="shared" si="2"/>
        <v>0.15</v>
      </c>
      <c r="H32" s="6">
        <f t="shared" si="3"/>
        <v>1120</v>
      </c>
    </row>
    <row r="33" spans="1:8" x14ac:dyDescent="0.25">
      <c r="A33" s="1" t="s">
        <v>341</v>
      </c>
      <c r="B33" s="1">
        <v>528</v>
      </c>
      <c r="D33" s="116">
        <f t="shared" si="0"/>
        <v>585</v>
      </c>
      <c r="E33" s="6">
        <f t="shared" si="1"/>
        <v>610</v>
      </c>
      <c r="F33" s="1">
        <v>650</v>
      </c>
      <c r="G33" s="4">
        <f t="shared" si="2"/>
        <v>0.1553030303</v>
      </c>
      <c r="H33" s="6">
        <f t="shared" si="3"/>
        <v>40</v>
      </c>
    </row>
    <row r="34" spans="1:8" x14ac:dyDescent="0.25">
      <c r="A34" s="1" t="s">
        <v>342</v>
      </c>
      <c r="B34" s="1">
        <v>290</v>
      </c>
      <c r="D34" s="116">
        <f t="shared" si="0"/>
        <v>320</v>
      </c>
      <c r="E34" s="6">
        <f t="shared" si="1"/>
        <v>335</v>
      </c>
      <c r="F34" s="1">
        <v>450</v>
      </c>
      <c r="G34" s="4">
        <f t="shared" si="2"/>
        <v>0.1551724138</v>
      </c>
      <c r="H34" s="6">
        <f t="shared" si="3"/>
        <v>115</v>
      </c>
    </row>
    <row r="35" spans="1:8" x14ac:dyDescent="0.25">
      <c r="A35" s="1" t="s">
        <v>343</v>
      </c>
      <c r="B35" s="1">
        <v>305</v>
      </c>
      <c r="D35" s="116">
        <f t="shared" si="0"/>
        <v>340</v>
      </c>
      <c r="E35" s="6">
        <f t="shared" si="1"/>
        <v>355</v>
      </c>
      <c r="F35" s="1">
        <v>450</v>
      </c>
      <c r="G35" s="4">
        <f t="shared" si="2"/>
        <v>0.1639344262</v>
      </c>
      <c r="H35" s="6">
        <f t="shared" si="3"/>
        <v>95</v>
      </c>
    </row>
    <row r="36" spans="1:8" x14ac:dyDescent="0.25">
      <c r="A36" s="1" t="s">
        <v>344</v>
      </c>
      <c r="B36" s="1">
        <v>350</v>
      </c>
      <c r="D36" s="116">
        <f t="shared" si="0"/>
        <v>385</v>
      </c>
      <c r="E36" s="6">
        <f t="shared" si="1"/>
        <v>405</v>
      </c>
      <c r="F36" s="1">
        <v>490</v>
      </c>
      <c r="G36" s="4">
        <f t="shared" si="2"/>
        <v>0.1571428571</v>
      </c>
      <c r="H36" s="6">
        <f t="shared" si="3"/>
        <v>85</v>
      </c>
    </row>
    <row r="37" spans="1:8" x14ac:dyDescent="0.25">
      <c r="A37" s="1" t="s">
        <v>345</v>
      </c>
      <c r="B37" s="1">
        <v>360</v>
      </c>
      <c r="D37" s="116">
        <f t="shared" si="0"/>
        <v>400</v>
      </c>
      <c r="E37" s="6">
        <f t="shared" si="1"/>
        <v>415</v>
      </c>
      <c r="F37" s="1">
        <v>490</v>
      </c>
      <c r="G37" s="4">
        <f t="shared" si="2"/>
        <v>0.1527777778</v>
      </c>
      <c r="H37" s="6">
        <f t="shared" si="3"/>
        <v>75</v>
      </c>
    </row>
    <row r="38" spans="1:8" x14ac:dyDescent="0.25">
      <c r="A38" s="1" t="s">
        <v>346</v>
      </c>
      <c r="B38" s="1">
        <v>750</v>
      </c>
      <c r="D38" s="116">
        <f t="shared" si="0"/>
        <v>825</v>
      </c>
      <c r="E38" s="6">
        <f t="shared" si="1"/>
        <v>865</v>
      </c>
      <c r="F38" s="1">
        <v>900</v>
      </c>
      <c r="G38" s="4">
        <f t="shared" si="2"/>
        <v>0.1533333333</v>
      </c>
      <c r="H38" s="6">
        <f t="shared" si="3"/>
        <v>35</v>
      </c>
    </row>
    <row r="39" spans="1:8" x14ac:dyDescent="0.25">
      <c r="A39" s="1" t="s">
        <v>347</v>
      </c>
      <c r="B39" s="1">
        <v>750</v>
      </c>
      <c r="D39" s="116">
        <f t="shared" si="0"/>
        <v>825</v>
      </c>
      <c r="E39" s="6">
        <f t="shared" si="1"/>
        <v>865</v>
      </c>
      <c r="F39" s="1">
        <v>900</v>
      </c>
      <c r="G39" s="4">
        <f t="shared" si="2"/>
        <v>0.1533333333</v>
      </c>
      <c r="H39" s="6">
        <f t="shared" si="3"/>
        <v>35</v>
      </c>
    </row>
    <row r="40" spans="1:8" x14ac:dyDescent="0.25">
      <c r="A40" s="1" t="s">
        <v>348</v>
      </c>
      <c r="B40" s="1">
        <v>1850</v>
      </c>
      <c r="D40" s="116">
        <f t="shared" si="0"/>
        <v>2035</v>
      </c>
      <c r="E40" s="6">
        <f t="shared" si="1"/>
        <v>2130</v>
      </c>
      <c r="F40" s="1">
        <v>2100</v>
      </c>
      <c r="G40" s="4">
        <f t="shared" si="2"/>
        <v>0.1513513514</v>
      </c>
      <c r="H40" s="6">
        <f t="shared" si="3"/>
        <v>-30</v>
      </c>
    </row>
    <row r="41" spans="1:8" x14ac:dyDescent="0.25">
      <c r="A41" s="1" t="s">
        <v>349</v>
      </c>
      <c r="B41" s="1">
        <v>1850</v>
      </c>
      <c r="D41" s="116">
        <f t="shared" si="0"/>
        <v>2035</v>
      </c>
      <c r="E41" s="6">
        <f t="shared" si="1"/>
        <v>2130</v>
      </c>
      <c r="F41" s="1">
        <v>2100</v>
      </c>
      <c r="G41" s="4">
        <f t="shared" si="2"/>
        <v>0.1513513514</v>
      </c>
      <c r="H41" s="6">
        <f t="shared" si="3"/>
        <v>-30</v>
      </c>
    </row>
    <row r="42" spans="1:8" x14ac:dyDescent="0.25">
      <c r="A42" s="1" t="s">
        <v>350</v>
      </c>
      <c r="B42" s="1">
        <v>250</v>
      </c>
      <c r="D42" s="116">
        <f t="shared" si="0"/>
        <v>275</v>
      </c>
      <c r="E42" s="6">
        <f t="shared" si="1"/>
        <v>290</v>
      </c>
      <c r="F42" s="1">
        <v>350</v>
      </c>
      <c r="G42" s="4">
        <f t="shared" si="2"/>
        <v>0.16</v>
      </c>
      <c r="H42" s="6">
        <f t="shared" si="3"/>
        <v>60</v>
      </c>
    </row>
    <row r="43" spans="1:8" x14ac:dyDescent="0.25">
      <c r="A43" s="1" t="s">
        <v>351</v>
      </c>
      <c r="B43" s="1">
        <v>260</v>
      </c>
      <c r="D43" s="116">
        <f t="shared" si="0"/>
        <v>290</v>
      </c>
      <c r="E43" s="6">
        <f t="shared" si="1"/>
        <v>300</v>
      </c>
      <c r="F43" s="1">
        <v>350</v>
      </c>
      <c r="G43" s="4">
        <f t="shared" si="2"/>
        <v>0.1538461538</v>
      </c>
      <c r="H43" s="6">
        <f t="shared" si="3"/>
        <v>50</v>
      </c>
    </row>
    <row r="44" spans="1:8" x14ac:dyDescent="0.25">
      <c r="A44" s="1" t="s">
        <v>352</v>
      </c>
      <c r="B44" s="1">
        <v>108</v>
      </c>
      <c r="D44" s="116">
        <f t="shared" si="0"/>
        <v>120</v>
      </c>
      <c r="E44" s="6">
        <f t="shared" si="1"/>
        <v>125</v>
      </c>
      <c r="F44" s="1">
        <v>150</v>
      </c>
      <c r="G44" s="4">
        <f t="shared" si="2"/>
        <v>0.1574074074</v>
      </c>
      <c r="H44" s="6">
        <f t="shared" si="3"/>
        <v>25</v>
      </c>
    </row>
    <row r="45" spans="1:8" x14ac:dyDescent="0.25">
      <c r="A45" s="1" t="s">
        <v>353</v>
      </c>
      <c r="B45" s="1">
        <v>72</v>
      </c>
      <c r="D45" s="116">
        <f t="shared" si="0"/>
        <v>80</v>
      </c>
      <c r="E45" s="6">
        <f t="shared" si="1"/>
        <v>85</v>
      </c>
      <c r="F45" s="1">
        <v>100</v>
      </c>
      <c r="G45" s="4">
        <f t="shared" si="2"/>
        <v>0.1805555556</v>
      </c>
      <c r="H45" s="6">
        <f t="shared" si="3"/>
        <v>15</v>
      </c>
    </row>
    <row r="46" spans="1:8" x14ac:dyDescent="0.25">
      <c r="A46" s="1" t="s">
        <v>355</v>
      </c>
      <c r="B46" s="1">
        <v>1850</v>
      </c>
      <c r="D46" s="116">
        <f t="shared" si="0"/>
        <v>2035</v>
      </c>
      <c r="E46" s="6">
        <f t="shared" si="1"/>
        <v>2130</v>
      </c>
      <c r="F46" s="1">
        <v>2500</v>
      </c>
      <c r="G46" s="4">
        <f t="shared" si="2"/>
        <v>0.1513513514</v>
      </c>
      <c r="H46" s="6">
        <f t="shared" si="3"/>
        <v>370</v>
      </c>
    </row>
    <row r="47" spans="1:8" x14ac:dyDescent="0.25">
      <c r="A47" s="1" t="s">
        <v>356</v>
      </c>
      <c r="B47" s="1">
        <v>1850</v>
      </c>
      <c r="D47" s="116">
        <f t="shared" si="0"/>
        <v>2035</v>
      </c>
      <c r="E47" s="6">
        <f t="shared" si="1"/>
        <v>2130</v>
      </c>
      <c r="F47" s="1">
        <v>2500</v>
      </c>
      <c r="G47" s="4">
        <f t="shared" si="2"/>
        <v>0.1513513514</v>
      </c>
      <c r="H47" s="6">
        <f t="shared" si="3"/>
        <v>370</v>
      </c>
    </row>
    <row r="48" spans="1:8" x14ac:dyDescent="0.25">
      <c r="A48" s="1" t="s">
        <v>357</v>
      </c>
      <c r="B48" s="1">
        <v>1200</v>
      </c>
      <c r="D48" s="116">
        <f t="shared" si="0"/>
        <v>1320</v>
      </c>
      <c r="E48" s="6">
        <f t="shared" si="1"/>
        <v>1380</v>
      </c>
      <c r="F48" s="1">
        <v>1650</v>
      </c>
      <c r="G48" s="4">
        <f t="shared" si="2"/>
        <v>0.15</v>
      </c>
      <c r="H48" s="6">
        <f t="shared" si="3"/>
        <v>270</v>
      </c>
    </row>
    <row r="49" spans="1:8" x14ac:dyDescent="0.25">
      <c r="A49" s="1" t="s">
        <v>358</v>
      </c>
      <c r="B49" s="1">
        <v>350</v>
      </c>
      <c r="D49" s="116">
        <f t="shared" si="0"/>
        <v>385</v>
      </c>
      <c r="E49" s="6">
        <f t="shared" si="1"/>
        <v>405</v>
      </c>
      <c r="F49" s="1">
        <v>650</v>
      </c>
      <c r="G49" s="4">
        <f t="shared" si="2"/>
        <v>0.1571428571</v>
      </c>
      <c r="H49" s="6">
        <f t="shared" si="3"/>
        <v>245</v>
      </c>
    </row>
    <row r="50" spans="1:8" x14ac:dyDescent="0.25">
      <c r="A50" s="1" t="s">
        <v>359</v>
      </c>
      <c r="B50" s="1">
        <v>110</v>
      </c>
      <c r="D50" s="116">
        <f t="shared" si="0"/>
        <v>125</v>
      </c>
      <c r="E50" s="6">
        <f t="shared" si="1"/>
        <v>130</v>
      </c>
      <c r="F50" s="1">
        <v>150</v>
      </c>
      <c r="G50" s="4">
        <f t="shared" si="2"/>
        <v>0.1818181818</v>
      </c>
      <c r="H50" s="6">
        <f t="shared" si="3"/>
        <v>20</v>
      </c>
    </row>
    <row r="51" spans="1:8" x14ac:dyDescent="0.25">
      <c r="A51" s="1" t="s">
        <v>360</v>
      </c>
      <c r="B51" s="1">
        <v>275</v>
      </c>
      <c r="D51" s="116">
        <f t="shared" si="0"/>
        <v>305</v>
      </c>
      <c r="E51" s="6">
        <f t="shared" si="1"/>
        <v>320</v>
      </c>
      <c r="F51" s="1">
        <v>350</v>
      </c>
      <c r="G51" s="4">
        <f t="shared" si="2"/>
        <v>0.1636363636</v>
      </c>
      <c r="H51" s="6">
        <f t="shared" si="3"/>
        <v>30</v>
      </c>
    </row>
    <row r="52" spans="1:8" x14ac:dyDescent="0.25">
      <c r="A52" s="1" t="s">
        <v>362</v>
      </c>
      <c r="B52" s="1">
        <v>51</v>
      </c>
      <c r="D52" s="116">
        <f t="shared" si="0"/>
        <v>60</v>
      </c>
      <c r="E52" s="6">
        <f t="shared" si="1"/>
        <v>60</v>
      </c>
      <c r="F52" s="1">
        <v>80</v>
      </c>
      <c r="G52" s="4">
        <f t="shared" si="2"/>
        <v>0.1764705882</v>
      </c>
      <c r="H52" s="6">
        <f t="shared" si="3"/>
        <v>20</v>
      </c>
    </row>
    <row r="53" spans="1:8" x14ac:dyDescent="0.25">
      <c r="A53" s="1" t="s">
        <v>363</v>
      </c>
      <c r="B53" s="1">
        <v>48</v>
      </c>
      <c r="D53" s="116">
        <f t="shared" si="0"/>
        <v>55</v>
      </c>
      <c r="E53" s="6">
        <f t="shared" si="1"/>
        <v>60</v>
      </c>
      <c r="F53" s="1">
        <v>80</v>
      </c>
      <c r="G53" s="4">
        <f t="shared" si="2"/>
        <v>0.25</v>
      </c>
      <c r="H53" s="6">
        <f t="shared" si="3"/>
        <v>20</v>
      </c>
    </row>
    <row r="54" spans="1:8" x14ac:dyDescent="0.25">
      <c r="A54" s="1" t="s">
        <v>364</v>
      </c>
      <c r="B54" s="1">
        <v>88</v>
      </c>
      <c r="D54" s="116">
        <f t="shared" si="0"/>
        <v>100</v>
      </c>
      <c r="E54" s="6">
        <f t="shared" si="1"/>
        <v>105</v>
      </c>
      <c r="F54" s="1">
        <v>120</v>
      </c>
      <c r="G54" s="4">
        <f t="shared" si="2"/>
        <v>0.1931818182</v>
      </c>
      <c r="H54" s="6">
        <f t="shared" si="3"/>
        <v>15</v>
      </c>
    </row>
    <row r="55" spans="1:8" x14ac:dyDescent="0.25">
      <c r="A55" s="1" t="s">
        <v>366</v>
      </c>
      <c r="B55" s="1">
        <v>39</v>
      </c>
      <c r="D55" s="116">
        <f t="shared" si="0"/>
        <v>45</v>
      </c>
      <c r="E55" s="6">
        <f t="shared" si="1"/>
        <v>45</v>
      </c>
      <c r="F55" s="1">
        <v>60</v>
      </c>
      <c r="G55" s="4">
        <f t="shared" si="2"/>
        <v>0.1538461538</v>
      </c>
      <c r="H55" s="6">
        <f t="shared" si="3"/>
        <v>15</v>
      </c>
    </row>
    <row r="56" spans="1:8" x14ac:dyDescent="0.25">
      <c r="A56" s="1" t="s">
        <v>367</v>
      </c>
      <c r="B56" s="1">
        <v>73</v>
      </c>
      <c r="D56" s="116">
        <f t="shared" si="0"/>
        <v>85</v>
      </c>
      <c r="E56" s="6">
        <f t="shared" si="1"/>
        <v>85</v>
      </c>
      <c r="F56" s="1">
        <v>100</v>
      </c>
      <c r="G56" s="4">
        <f t="shared" si="2"/>
        <v>0.1643835616</v>
      </c>
      <c r="H56" s="6">
        <f t="shared" si="3"/>
        <v>15</v>
      </c>
    </row>
    <row r="57" spans="1:8" x14ac:dyDescent="0.25">
      <c r="A57" s="1" t="s">
        <v>368</v>
      </c>
      <c r="B57" s="1">
        <v>98</v>
      </c>
      <c r="D57" s="116">
        <f t="shared" si="0"/>
        <v>110</v>
      </c>
      <c r="E57" s="6">
        <f t="shared" si="1"/>
        <v>115</v>
      </c>
      <c r="F57" s="1">
        <v>130</v>
      </c>
      <c r="G57" s="4">
        <f t="shared" si="2"/>
        <v>0.1734693878</v>
      </c>
      <c r="H57" s="6">
        <f t="shared" si="3"/>
        <v>15</v>
      </c>
    </row>
    <row r="58" spans="1:8" x14ac:dyDescent="0.25">
      <c r="A58" s="1" t="s">
        <v>369</v>
      </c>
      <c r="B58" s="1">
        <v>70</v>
      </c>
      <c r="D58" s="116">
        <f t="shared" si="0"/>
        <v>80</v>
      </c>
      <c r="E58" s="6">
        <f t="shared" si="1"/>
        <v>85</v>
      </c>
      <c r="F58" s="1">
        <v>100</v>
      </c>
      <c r="G58" s="4">
        <f t="shared" si="2"/>
        <v>0.2142857143</v>
      </c>
      <c r="H58" s="6">
        <f t="shared" si="3"/>
        <v>15</v>
      </c>
    </row>
    <row r="59" spans="1:8" x14ac:dyDescent="0.25">
      <c r="A59" s="1" t="s">
        <v>370</v>
      </c>
      <c r="B59" s="1">
        <v>150</v>
      </c>
      <c r="D59" s="116">
        <f t="shared" si="0"/>
        <v>165</v>
      </c>
      <c r="E59" s="6">
        <f t="shared" si="1"/>
        <v>175</v>
      </c>
      <c r="F59" s="1">
        <v>200</v>
      </c>
      <c r="G59" s="4">
        <f t="shared" si="2"/>
        <v>0.1666666667</v>
      </c>
      <c r="H59" s="6">
        <f t="shared" si="3"/>
        <v>25</v>
      </c>
    </row>
    <row r="60" spans="1:8" x14ac:dyDescent="0.25">
      <c r="A60" s="1" t="s">
        <v>372</v>
      </c>
      <c r="B60" s="1">
        <v>170</v>
      </c>
      <c r="D60" s="116">
        <f t="shared" si="0"/>
        <v>190</v>
      </c>
      <c r="E60" s="6">
        <f t="shared" si="1"/>
        <v>200</v>
      </c>
      <c r="F60" s="1">
        <v>220</v>
      </c>
      <c r="G60" s="4">
        <f t="shared" si="2"/>
        <v>0.1764705882</v>
      </c>
      <c r="H60" s="6">
        <f t="shared" si="3"/>
        <v>20</v>
      </c>
    </row>
    <row r="61" spans="1:8" x14ac:dyDescent="0.25">
      <c r="A61" s="1" t="s">
        <v>374</v>
      </c>
      <c r="B61" s="1">
        <v>85</v>
      </c>
      <c r="D61" s="116">
        <f t="shared" si="0"/>
        <v>95</v>
      </c>
      <c r="E61" s="6">
        <f t="shared" si="1"/>
        <v>100</v>
      </c>
      <c r="F61" s="1">
        <v>120</v>
      </c>
      <c r="G61" s="4">
        <f t="shared" si="2"/>
        <v>0.1764705882</v>
      </c>
      <c r="H61" s="6">
        <f t="shared" si="3"/>
        <v>20</v>
      </c>
    </row>
    <row r="62" spans="1:8" x14ac:dyDescent="0.25">
      <c r="A62" s="1" t="s">
        <v>375</v>
      </c>
      <c r="B62" s="1">
        <v>150</v>
      </c>
      <c r="D62" s="116">
        <f t="shared" si="0"/>
        <v>165</v>
      </c>
      <c r="E62" s="6">
        <f t="shared" si="1"/>
        <v>175</v>
      </c>
      <c r="F62" s="1">
        <v>190</v>
      </c>
      <c r="G62" s="4">
        <f t="shared" si="2"/>
        <v>0.1666666667</v>
      </c>
      <c r="H62" s="6">
        <f t="shared" si="3"/>
        <v>15</v>
      </c>
    </row>
    <row r="63" spans="1:8" x14ac:dyDescent="0.25">
      <c r="A63" s="1" t="s">
        <v>377</v>
      </c>
      <c r="B63" s="1">
        <v>150</v>
      </c>
      <c r="D63" s="116">
        <f t="shared" si="0"/>
        <v>165</v>
      </c>
      <c r="E63" s="6">
        <f t="shared" si="1"/>
        <v>175</v>
      </c>
      <c r="F63" s="1">
        <v>190</v>
      </c>
      <c r="G63" s="4">
        <f t="shared" si="2"/>
        <v>0.1666666667</v>
      </c>
      <c r="H63" s="6">
        <f t="shared" si="3"/>
        <v>15</v>
      </c>
    </row>
    <row r="64" spans="1:8" x14ac:dyDescent="0.25">
      <c r="A64" s="1" t="s">
        <v>378</v>
      </c>
      <c r="B64" s="1">
        <v>150</v>
      </c>
      <c r="D64" s="116">
        <f t="shared" si="0"/>
        <v>165</v>
      </c>
      <c r="E64" s="6">
        <f t="shared" si="1"/>
        <v>175</v>
      </c>
      <c r="F64" s="1">
        <v>190</v>
      </c>
      <c r="G64" s="4">
        <f t="shared" si="2"/>
        <v>0.1666666667</v>
      </c>
      <c r="H64" s="6">
        <f t="shared" si="3"/>
        <v>15</v>
      </c>
    </row>
    <row r="65" spans="1:8" x14ac:dyDescent="0.25">
      <c r="A65" s="1" t="s">
        <v>379</v>
      </c>
      <c r="B65" s="1">
        <v>90</v>
      </c>
      <c r="D65" s="116">
        <f t="shared" si="0"/>
        <v>100</v>
      </c>
      <c r="E65" s="6">
        <f t="shared" si="1"/>
        <v>105</v>
      </c>
      <c r="F65" s="1">
        <v>120</v>
      </c>
      <c r="G65" s="4">
        <f t="shared" si="2"/>
        <v>0.1666666667</v>
      </c>
      <c r="H65" s="6">
        <f t="shared" si="3"/>
        <v>15</v>
      </c>
    </row>
    <row r="66" spans="1:8" x14ac:dyDescent="0.25">
      <c r="A66" s="1" t="s">
        <v>381</v>
      </c>
      <c r="B66" s="1">
        <v>95</v>
      </c>
      <c r="D66" s="116">
        <f t="shared" si="0"/>
        <v>105</v>
      </c>
      <c r="E66" s="6">
        <f t="shared" si="1"/>
        <v>110</v>
      </c>
      <c r="F66" s="1">
        <v>130</v>
      </c>
      <c r="G66" s="4">
        <f t="shared" si="2"/>
        <v>0.1578947368</v>
      </c>
      <c r="H66" s="6">
        <f t="shared" si="3"/>
        <v>20</v>
      </c>
    </row>
    <row r="67" spans="1:8" x14ac:dyDescent="0.25">
      <c r="A67" s="1" t="s">
        <v>383</v>
      </c>
      <c r="B67" s="1">
        <v>115</v>
      </c>
      <c r="D67" s="116">
        <f t="shared" si="0"/>
        <v>130</v>
      </c>
      <c r="E67" s="6">
        <f t="shared" si="1"/>
        <v>135</v>
      </c>
      <c r="F67" s="1">
        <v>150</v>
      </c>
      <c r="G67" s="4">
        <f t="shared" si="2"/>
        <v>0.1739130435</v>
      </c>
      <c r="H67" s="6">
        <f t="shared" si="3"/>
        <v>15</v>
      </c>
    </row>
    <row r="68" spans="1:8" x14ac:dyDescent="0.25">
      <c r="A68" s="1" t="s">
        <v>384</v>
      </c>
      <c r="B68" s="1">
        <v>95</v>
      </c>
      <c r="D68" s="116">
        <f t="shared" si="0"/>
        <v>105</v>
      </c>
      <c r="E68" s="6">
        <f t="shared" si="1"/>
        <v>110</v>
      </c>
      <c r="F68" s="1">
        <v>125</v>
      </c>
      <c r="G68" s="4">
        <f t="shared" si="2"/>
        <v>0.1578947368</v>
      </c>
      <c r="H68" s="6">
        <f t="shared" si="3"/>
        <v>15</v>
      </c>
    </row>
    <row r="69" spans="1:8" x14ac:dyDescent="0.25">
      <c r="A69" s="1" t="s">
        <v>385</v>
      </c>
      <c r="B69" s="1">
        <v>60</v>
      </c>
      <c r="D69" s="116">
        <f t="shared" si="0"/>
        <v>70</v>
      </c>
      <c r="E69" s="6">
        <f t="shared" si="1"/>
        <v>70</v>
      </c>
      <c r="F69" s="1">
        <v>95</v>
      </c>
      <c r="G69" s="4">
        <f t="shared" si="2"/>
        <v>0.1666666667</v>
      </c>
      <c r="H69" s="6">
        <f t="shared" si="3"/>
        <v>25</v>
      </c>
    </row>
    <row r="70" spans="1:8" x14ac:dyDescent="0.25">
      <c r="A70" s="1" t="s">
        <v>386</v>
      </c>
      <c r="B70" s="1">
        <v>55</v>
      </c>
      <c r="D70" s="116">
        <f t="shared" si="0"/>
        <v>65</v>
      </c>
      <c r="E70" s="6">
        <f t="shared" si="1"/>
        <v>65</v>
      </c>
      <c r="F70" s="1">
        <v>85</v>
      </c>
      <c r="G70" s="4">
        <f t="shared" si="2"/>
        <v>0.1818181818</v>
      </c>
      <c r="H70" s="6">
        <f t="shared" si="3"/>
        <v>20</v>
      </c>
    </row>
    <row r="71" spans="1:8" x14ac:dyDescent="0.25">
      <c r="A71" s="1" t="s">
        <v>387</v>
      </c>
      <c r="B71" s="1">
        <v>18</v>
      </c>
      <c r="D71" s="116">
        <f t="shared" si="0"/>
        <v>20</v>
      </c>
      <c r="E71" s="6">
        <f t="shared" si="1"/>
        <v>25</v>
      </c>
      <c r="F71" s="1">
        <v>35</v>
      </c>
      <c r="G71" s="4">
        <f t="shared" si="2"/>
        <v>0.3888888889</v>
      </c>
      <c r="H71" s="6">
        <f t="shared" si="3"/>
        <v>10</v>
      </c>
    </row>
    <row r="72" spans="1:8" x14ac:dyDescent="0.25">
      <c r="A72" s="1" t="s">
        <v>388</v>
      </c>
      <c r="B72" s="1">
        <v>15</v>
      </c>
      <c r="D72" s="116">
        <f t="shared" si="0"/>
        <v>20</v>
      </c>
      <c r="E72" s="6">
        <f t="shared" si="1"/>
        <v>20</v>
      </c>
      <c r="F72" s="1">
        <v>50</v>
      </c>
      <c r="G72" s="4">
        <f t="shared" si="2"/>
        <v>0.3333333333</v>
      </c>
      <c r="H72" s="6">
        <f t="shared" si="3"/>
        <v>30</v>
      </c>
    </row>
    <row r="73" spans="1:8" x14ac:dyDescent="0.25">
      <c r="A73" s="1" t="s">
        <v>389</v>
      </c>
      <c r="B73" s="1">
        <v>25</v>
      </c>
      <c r="D73" s="116">
        <f t="shared" si="0"/>
        <v>30</v>
      </c>
      <c r="E73" s="6">
        <f t="shared" si="1"/>
        <v>30</v>
      </c>
      <c r="F73" s="1">
        <v>60</v>
      </c>
      <c r="G73" s="4">
        <f t="shared" si="2"/>
        <v>0.2</v>
      </c>
      <c r="H73" s="6">
        <f t="shared" si="3"/>
        <v>30</v>
      </c>
    </row>
    <row r="74" spans="1:8" x14ac:dyDescent="0.25">
      <c r="A74" s="1" t="s">
        <v>390</v>
      </c>
      <c r="B74" s="1">
        <v>25</v>
      </c>
      <c r="D74" s="116">
        <f t="shared" si="0"/>
        <v>30</v>
      </c>
      <c r="E74" s="6">
        <f t="shared" si="1"/>
        <v>30</v>
      </c>
      <c r="F74" s="1">
        <v>60</v>
      </c>
      <c r="G74" s="4">
        <f t="shared" si="2"/>
        <v>0.2</v>
      </c>
      <c r="H74" s="6">
        <f t="shared" si="3"/>
        <v>30</v>
      </c>
    </row>
    <row r="75" spans="1:8" x14ac:dyDescent="0.25">
      <c r="A75" s="1" t="s">
        <v>391</v>
      </c>
      <c r="B75" s="1">
        <v>55</v>
      </c>
      <c r="D75" s="116">
        <f t="shared" si="0"/>
        <v>65</v>
      </c>
      <c r="E75" s="6">
        <f t="shared" si="1"/>
        <v>65</v>
      </c>
      <c r="F75" s="1">
        <v>78</v>
      </c>
      <c r="G75" s="4">
        <f t="shared" si="2"/>
        <v>0.1818181818</v>
      </c>
      <c r="H75" s="6">
        <f t="shared" si="3"/>
        <v>13</v>
      </c>
    </row>
    <row r="76" spans="1:8" x14ac:dyDescent="0.25">
      <c r="A76" s="1" t="s">
        <v>392</v>
      </c>
      <c r="B76" s="1">
        <v>55</v>
      </c>
      <c r="D76" s="116">
        <f t="shared" si="0"/>
        <v>65</v>
      </c>
      <c r="E76" s="6">
        <f t="shared" si="1"/>
        <v>65</v>
      </c>
      <c r="F76" s="1">
        <v>78</v>
      </c>
      <c r="G76" s="4">
        <f t="shared" si="2"/>
        <v>0.1818181818</v>
      </c>
      <c r="H76" s="6">
        <f t="shared" si="3"/>
        <v>13</v>
      </c>
    </row>
    <row r="77" spans="1:8" x14ac:dyDescent="0.25">
      <c r="A77" s="1" t="s">
        <v>393</v>
      </c>
      <c r="B77" s="1">
        <v>35</v>
      </c>
      <c r="D77" s="116">
        <f t="shared" si="0"/>
        <v>40</v>
      </c>
      <c r="E77" s="6">
        <f t="shared" si="1"/>
        <v>45</v>
      </c>
      <c r="F77" s="1">
        <v>60</v>
      </c>
      <c r="G77" s="4">
        <f t="shared" si="2"/>
        <v>0.2857142857</v>
      </c>
      <c r="H77" s="6">
        <f t="shared" si="3"/>
        <v>15</v>
      </c>
    </row>
    <row r="78" spans="1:8" x14ac:dyDescent="0.25">
      <c r="A78" s="1" t="s">
        <v>394</v>
      </c>
      <c r="B78" s="1">
        <v>35</v>
      </c>
      <c r="D78" s="116">
        <f t="shared" si="0"/>
        <v>40</v>
      </c>
      <c r="E78" s="6">
        <f t="shared" si="1"/>
        <v>45</v>
      </c>
      <c r="F78" s="1">
        <v>65</v>
      </c>
      <c r="G78" s="4">
        <f t="shared" si="2"/>
        <v>0.2857142857</v>
      </c>
      <c r="H78" s="6">
        <f t="shared" si="3"/>
        <v>20</v>
      </c>
    </row>
    <row r="79" spans="1:8" x14ac:dyDescent="0.25">
      <c r="A79" s="1" t="s">
        <v>395</v>
      </c>
      <c r="B79" s="1">
        <v>25</v>
      </c>
      <c r="D79" s="116">
        <f t="shared" si="0"/>
        <v>30</v>
      </c>
      <c r="E79" s="6">
        <f t="shared" si="1"/>
        <v>30</v>
      </c>
      <c r="F79" s="1">
        <v>60</v>
      </c>
      <c r="G79" s="4">
        <f t="shared" si="2"/>
        <v>0.2</v>
      </c>
      <c r="H79" s="6">
        <f t="shared" si="3"/>
        <v>30</v>
      </c>
    </row>
    <row r="80" spans="1:8" x14ac:dyDescent="0.25">
      <c r="A80" s="1" t="s">
        <v>396</v>
      </c>
      <c r="B80" s="1">
        <v>85</v>
      </c>
      <c r="D80" s="116">
        <f t="shared" si="0"/>
        <v>95</v>
      </c>
      <c r="E80" s="6">
        <f t="shared" si="1"/>
        <v>100</v>
      </c>
      <c r="F80" s="1">
        <v>120</v>
      </c>
      <c r="G80" s="4">
        <f t="shared" si="2"/>
        <v>0.1764705882</v>
      </c>
      <c r="H80" s="6">
        <f t="shared" si="3"/>
        <v>20</v>
      </c>
    </row>
    <row r="81" spans="1:8" x14ac:dyDescent="0.25">
      <c r="A81" s="1" t="s">
        <v>397</v>
      </c>
      <c r="B81" s="1">
        <v>25</v>
      </c>
      <c r="D81" s="116">
        <f t="shared" si="0"/>
        <v>30</v>
      </c>
      <c r="E81" s="6">
        <f t="shared" si="1"/>
        <v>30</v>
      </c>
      <c r="F81" s="1">
        <v>60</v>
      </c>
      <c r="G81" s="4">
        <f t="shared" si="2"/>
        <v>0.2</v>
      </c>
      <c r="H81" s="6">
        <f t="shared" si="3"/>
        <v>30</v>
      </c>
    </row>
    <row r="82" spans="1:8" x14ac:dyDescent="0.25">
      <c r="A82" s="1" t="s">
        <v>398</v>
      </c>
      <c r="B82" s="1">
        <v>200</v>
      </c>
      <c r="D82" s="116">
        <f t="shared" si="0"/>
        <v>220</v>
      </c>
      <c r="E82" s="6">
        <f t="shared" si="1"/>
        <v>230</v>
      </c>
      <c r="F82" s="1">
        <v>350</v>
      </c>
      <c r="G82" s="4">
        <f t="shared" si="2"/>
        <v>0.15</v>
      </c>
      <c r="H82" s="6">
        <f t="shared" si="3"/>
        <v>120</v>
      </c>
    </row>
    <row r="83" spans="1:8" x14ac:dyDescent="0.25">
      <c r="A83" s="1" t="s">
        <v>399</v>
      </c>
      <c r="B83" s="1">
        <v>15</v>
      </c>
      <c r="D83" s="116">
        <f t="shared" si="0"/>
        <v>20</v>
      </c>
      <c r="E83" s="6">
        <f t="shared" si="1"/>
        <v>20</v>
      </c>
      <c r="F83" s="1">
        <v>35</v>
      </c>
      <c r="G83" s="4">
        <f t="shared" si="2"/>
        <v>0.3333333333</v>
      </c>
      <c r="H83" s="6">
        <f t="shared" si="3"/>
        <v>15</v>
      </c>
    </row>
    <row r="84" spans="1:8" x14ac:dyDescent="0.25">
      <c r="A84" s="1" t="s">
        <v>400</v>
      </c>
      <c r="B84" s="1">
        <v>18</v>
      </c>
      <c r="D84" s="116">
        <f t="shared" si="0"/>
        <v>20</v>
      </c>
      <c r="E84" s="6">
        <f t="shared" si="1"/>
        <v>25</v>
      </c>
      <c r="F84" s="1">
        <v>35</v>
      </c>
      <c r="G84" s="4">
        <f t="shared" si="2"/>
        <v>0.3888888889</v>
      </c>
      <c r="H84" s="6">
        <f t="shared" si="3"/>
        <v>10</v>
      </c>
    </row>
    <row r="85" spans="1:8" x14ac:dyDescent="0.25">
      <c r="A85" s="1" t="s">
        <v>401</v>
      </c>
      <c r="B85" s="1">
        <v>24</v>
      </c>
      <c r="D85" s="116">
        <f t="shared" si="0"/>
        <v>30</v>
      </c>
      <c r="E85" s="6">
        <f t="shared" si="1"/>
        <v>30</v>
      </c>
      <c r="F85" s="1">
        <v>60</v>
      </c>
      <c r="G85" s="4">
        <f t="shared" si="2"/>
        <v>0.25</v>
      </c>
      <c r="H85" s="6">
        <f t="shared" si="3"/>
        <v>30</v>
      </c>
    </row>
    <row r="86" spans="1:8" x14ac:dyDescent="0.25">
      <c r="A86" s="1" t="s">
        <v>402</v>
      </c>
      <c r="B86" s="1">
        <v>14</v>
      </c>
      <c r="D86" s="116">
        <f t="shared" si="0"/>
        <v>20</v>
      </c>
      <c r="E86" s="6">
        <f t="shared" si="1"/>
        <v>20</v>
      </c>
      <c r="F86" s="1">
        <v>35</v>
      </c>
      <c r="G86" s="4">
        <f t="shared" si="2"/>
        <v>0.4285714286</v>
      </c>
      <c r="H86" s="6">
        <f t="shared" si="3"/>
        <v>15</v>
      </c>
    </row>
    <row r="87" spans="1:8" x14ac:dyDescent="0.25">
      <c r="A87" s="1" t="s">
        <v>403</v>
      </c>
      <c r="B87" s="1">
        <v>14</v>
      </c>
      <c r="D87" s="116">
        <f t="shared" si="0"/>
        <v>20</v>
      </c>
      <c r="E87" s="6">
        <f t="shared" si="1"/>
        <v>20</v>
      </c>
      <c r="F87" s="1">
        <v>35</v>
      </c>
      <c r="G87" s="4">
        <f t="shared" si="2"/>
        <v>0.4285714286</v>
      </c>
      <c r="H87" s="6">
        <f t="shared" si="3"/>
        <v>15</v>
      </c>
    </row>
    <row r="88" spans="1:8" x14ac:dyDescent="0.25">
      <c r="A88" s="1" t="s">
        <v>404</v>
      </c>
      <c r="B88" s="1">
        <v>14</v>
      </c>
      <c r="D88" s="116">
        <f t="shared" si="0"/>
        <v>20</v>
      </c>
      <c r="E88" s="6">
        <f t="shared" si="1"/>
        <v>20</v>
      </c>
      <c r="F88" s="1">
        <v>35</v>
      </c>
      <c r="G88" s="4">
        <f t="shared" si="2"/>
        <v>0.4285714286</v>
      </c>
      <c r="H88" s="6">
        <f t="shared" si="3"/>
        <v>15</v>
      </c>
    </row>
    <row r="89" spans="1:8" x14ac:dyDescent="0.25">
      <c r="A89" s="1" t="s">
        <v>405</v>
      </c>
      <c r="B89" s="1">
        <v>14</v>
      </c>
      <c r="D89" s="116">
        <f t="shared" si="0"/>
        <v>20</v>
      </c>
      <c r="E89" s="6">
        <f t="shared" si="1"/>
        <v>20</v>
      </c>
      <c r="F89" s="1">
        <v>35</v>
      </c>
      <c r="G89" s="4">
        <f t="shared" si="2"/>
        <v>0.4285714286</v>
      </c>
      <c r="H89" s="6">
        <f t="shared" si="3"/>
        <v>15</v>
      </c>
    </row>
    <row r="90" spans="1:8" x14ac:dyDescent="0.25">
      <c r="A90" s="1" t="s">
        <v>406</v>
      </c>
      <c r="B90" s="1">
        <v>14</v>
      </c>
      <c r="D90" s="116">
        <f t="shared" si="0"/>
        <v>20</v>
      </c>
      <c r="E90" s="6">
        <f t="shared" si="1"/>
        <v>20</v>
      </c>
      <c r="F90" s="1">
        <v>35</v>
      </c>
      <c r="G90" s="4">
        <f t="shared" si="2"/>
        <v>0.4285714286</v>
      </c>
      <c r="H90" s="6">
        <f t="shared" si="3"/>
        <v>15</v>
      </c>
    </row>
    <row r="91" spans="1:8" x14ac:dyDescent="0.25">
      <c r="A91" s="1" t="s">
        <v>407</v>
      </c>
      <c r="B91" s="1">
        <v>14</v>
      </c>
      <c r="D91" s="116">
        <f t="shared" si="0"/>
        <v>20</v>
      </c>
      <c r="E91" s="6">
        <f t="shared" si="1"/>
        <v>20</v>
      </c>
      <c r="F91" s="1">
        <v>35</v>
      </c>
      <c r="G91" s="4">
        <f t="shared" si="2"/>
        <v>0.4285714286</v>
      </c>
      <c r="H91" s="6">
        <f t="shared" si="3"/>
        <v>15</v>
      </c>
    </row>
    <row r="92" spans="1:8" x14ac:dyDescent="0.25">
      <c r="A92" s="1" t="s">
        <v>408</v>
      </c>
      <c r="B92" s="1">
        <v>140</v>
      </c>
      <c r="D92" s="116">
        <f t="shared" si="0"/>
        <v>155</v>
      </c>
      <c r="E92" s="6">
        <f t="shared" si="1"/>
        <v>165</v>
      </c>
      <c r="F92" s="1">
        <v>180</v>
      </c>
      <c r="G92" s="4">
        <f t="shared" si="2"/>
        <v>0.1785714286</v>
      </c>
      <c r="H92" s="6">
        <f t="shared" si="3"/>
        <v>15</v>
      </c>
    </row>
    <row r="93" spans="1:8" x14ac:dyDescent="0.25">
      <c r="A93" s="1" t="s">
        <v>409</v>
      </c>
      <c r="B93" s="1">
        <v>140</v>
      </c>
      <c r="D93" s="116">
        <f t="shared" si="0"/>
        <v>155</v>
      </c>
      <c r="E93" s="6">
        <f t="shared" si="1"/>
        <v>165</v>
      </c>
      <c r="F93" s="1">
        <v>180</v>
      </c>
      <c r="G93" s="4">
        <f t="shared" si="2"/>
        <v>0.1785714286</v>
      </c>
      <c r="H93" s="6">
        <f t="shared" si="3"/>
        <v>15</v>
      </c>
    </row>
    <row r="94" spans="1:8" x14ac:dyDescent="0.25">
      <c r="A94" s="1" t="s">
        <v>410</v>
      </c>
      <c r="B94" s="1">
        <v>47</v>
      </c>
      <c r="D94" s="116">
        <f t="shared" si="0"/>
        <v>55</v>
      </c>
      <c r="E94" s="6">
        <f t="shared" si="1"/>
        <v>55</v>
      </c>
      <c r="F94" s="1">
        <v>70</v>
      </c>
      <c r="G94" s="4">
        <f t="shared" si="2"/>
        <v>0.170212766</v>
      </c>
      <c r="H94" s="6">
        <f t="shared" si="3"/>
        <v>15</v>
      </c>
    </row>
    <row r="95" spans="1:8" x14ac:dyDescent="0.25">
      <c r="A95" s="1" t="s">
        <v>411</v>
      </c>
      <c r="B95" s="1">
        <v>47</v>
      </c>
      <c r="D95" s="116">
        <f t="shared" si="0"/>
        <v>55</v>
      </c>
      <c r="E95" s="6">
        <f t="shared" si="1"/>
        <v>55</v>
      </c>
      <c r="F95" s="1">
        <v>70</v>
      </c>
      <c r="G95" s="4">
        <f t="shared" si="2"/>
        <v>0.170212766</v>
      </c>
      <c r="H95" s="6">
        <f t="shared" si="3"/>
        <v>15</v>
      </c>
    </row>
    <row r="96" spans="1:8" x14ac:dyDescent="0.25">
      <c r="A96" s="1" t="s">
        <v>412</v>
      </c>
      <c r="B96" s="1">
        <v>105</v>
      </c>
      <c r="D96" s="116">
        <f t="shared" si="0"/>
        <v>120</v>
      </c>
      <c r="E96" s="6">
        <f t="shared" si="1"/>
        <v>125</v>
      </c>
      <c r="F96" s="1">
        <v>125</v>
      </c>
      <c r="G96" s="4">
        <f t="shared" si="2"/>
        <v>0.1904761905</v>
      </c>
      <c r="H96" s="6">
        <f t="shared" si="3"/>
        <v>0</v>
      </c>
    </row>
    <row r="97" spans="1:8" x14ac:dyDescent="0.25">
      <c r="A97" s="1" t="s">
        <v>413</v>
      </c>
      <c r="B97" s="1">
        <v>55</v>
      </c>
      <c r="D97" s="116">
        <f t="shared" si="0"/>
        <v>65</v>
      </c>
      <c r="E97" s="6">
        <f t="shared" si="1"/>
        <v>65</v>
      </c>
      <c r="F97" s="1">
        <v>99</v>
      </c>
      <c r="G97" s="4">
        <f t="shared" si="2"/>
        <v>0.1818181818</v>
      </c>
      <c r="H97" s="6">
        <f t="shared" si="3"/>
        <v>34</v>
      </c>
    </row>
    <row r="98" spans="1:8" x14ac:dyDescent="0.25">
      <c r="A98" s="1" t="s">
        <v>414</v>
      </c>
      <c r="B98" s="1">
        <v>250</v>
      </c>
      <c r="D98" s="116">
        <f t="shared" si="0"/>
        <v>275</v>
      </c>
      <c r="E98" s="6">
        <f t="shared" si="1"/>
        <v>290</v>
      </c>
      <c r="F98" s="1">
        <v>350</v>
      </c>
      <c r="G98" s="4">
        <f t="shared" si="2"/>
        <v>0.16</v>
      </c>
      <c r="H98" s="6">
        <f t="shared" si="3"/>
        <v>60</v>
      </c>
    </row>
    <row r="99" spans="1:8" x14ac:dyDescent="0.25">
      <c r="A99" s="1" t="s">
        <v>415</v>
      </c>
      <c r="B99" s="1">
        <v>250</v>
      </c>
      <c r="D99" s="116">
        <f t="shared" si="0"/>
        <v>275</v>
      </c>
      <c r="E99" s="6">
        <f t="shared" si="1"/>
        <v>290</v>
      </c>
      <c r="F99" s="1">
        <v>350</v>
      </c>
      <c r="G99" s="4">
        <f t="shared" si="2"/>
        <v>0.16</v>
      </c>
      <c r="H99" s="6">
        <f t="shared" si="3"/>
        <v>60</v>
      </c>
    </row>
    <row r="100" spans="1:8" x14ac:dyDescent="0.25">
      <c r="A100" s="1" t="s">
        <v>416</v>
      </c>
      <c r="B100" s="1">
        <v>130</v>
      </c>
      <c r="D100" s="116">
        <f t="shared" si="0"/>
        <v>145</v>
      </c>
      <c r="E100" s="6">
        <f t="shared" si="1"/>
        <v>150</v>
      </c>
      <c r="F100" s="1">
        <v>230</v>
      </c>
      <c r="G100" s="4">
        <f t="shared" si="2"/>
        <v>0.1538461538</v>
      </c>
      <c r="H100" s="6">
        <f t="shared" si="3"/>
        <v>80</v>
      </c>
    </row>
    <row r="101" spans="1:8" x14ac:dyDescent="0.25">
      <c r="A101" s="1" t="s">
        <v>418</v>
      </c>
      <c r="B101" s="1">
        <v>130</v>
      </c>
      <c r="D101" s="116">
        <f t="shared" si="0"/>
        <v>145</v>
      </c>
      <c r="E101" s="6">
        <f t="shared" si="1"/>
        <v>150</v>
      </c>
      <c r="F101" s="1">
        <v>200</v>
      </c>
      <c r="G101" s="4">
        <f t="shared" si="2"/>
        <v>0.1538461538</v>
      </c>
      <c r="H101" s="6">
        <f t="shared" si="3"/>
        <v>50</v>
      </c>
    </row>
    <row r="102" spans="1:8" x14ac:dyDescent="0.25">
      <c r="A102" s="1" t="s">
        <v>420</v>
      </c>
      <c r="B102" s="1">
        <v>70</v>
      </c>
      <c r="D102" s="116">
        <f t="shared" si="0"/>
        <v>80</v>
      </c>
      <c r="E102" s="6">
        <f t="shared" si="1"/>
        <v>85</v>
      </c>
      <c r="F102" s="1">
        <v>100</v>
      </c>
      <c r="G102" s="4">
        <f t="shared" si="2"/>
        <v>0.2142857143</v>
      </c>
      <c r="H102" s="6">
        <f t="shared" si="3"/>
        <v>15</v>
      </c>
    </row>
    <row r="103" spans="1:8" x14ac:dyDescent="0.25">
      <c r="A103" s="1" t="s">
        <v>421</v>
      </c>
      <c r="B103" s="1">
        <v>95</v>
      </c>
      <c r="D103" s="116">
        <f t="shared" si="0"/>
        <v>105</v>
      </c>
      <c r="E103" s="6">
        <f t="shared" si="1"/>
        <v>110</v>
      </c>
      <c r="F103" s="1">
        <v>125</v>
      </c>
      <c r="G103" s="4">
        <f t="shared" si="2"/>
        <v>0.1578947368</v>
      </c>
      <c r="H103" s="6">
        <f t="shared" si="3"/>
        <v>15</v>
      </c>
    </row>
    <row r="104" spans="1:8" x14ac:dyDescent="0.25">
      <c r="A104" s="1" t="s">
        <v>422</v>
      </c>
      <c r="B104" s="1">
        <v>200</v>
      </c>
      <c r="D104" s="116">
        <f t="shared" si="0"/>
        <v>220</v>
      </c>
      <c r="E104" s="6">
        <f t="shared" si="1"/>
        <v>230</v>
      </c>
      <c r="F104" s="1">
        <v>350</v>
      </c>
      <c r="G104" s="4">
        <f t="shared" si="2"/>
        <v>0.15</v>
      </c>
      <c r="H104" s="6">
        <f t="shared" si="3"/>
        <v>120</v>
      </c>
    </row>
    <row r="105" spans="1:8" x14ac:dyDescent="0.25">
      <c r="A105" s="1" t="s">
        <v>423</v>
      </c>
      <c r="B105" s="1">
        <v>250</v>
      </c>
      <c r="D105" s="116">
        <f t="shared" si="0"/>
        <v>275</v>
      </c>
      <c r="E105" s="6">
        <f t="shared" si="1"/>
        <v>290</v>
      </c>
      <c r="F105" s="1">
        <v>395</v>
      </c>
      <c r="G105" s="4">
        <f t="shared" si="2"/>
        <v>0.16</v>
      </c>
      <c r="H105" s="6">
        <f t="shared" si="3"/>
        <v>105</v>
      </c>
    </row>
    <row r="106" spans="1:8" x14ac:dyDescent="0.25">
      <c r="A106" s="1" t="s">
        <v>424</v>
      </c>
      <c r="B106" s="1">
        <v>38</v>
      </c>
      <c r="D106" s="116">
        <f t="shared" si="0"/>
        <v>45</v>
      </c>
      <c r="E106" s="6">
        <f t="shared" si="1"/>
        <v>45</v>
      </c>
      <c r="F106" s="1">
        <v>60</v>
      </c>
      <c r="G106" s="4">
        <f t="shared" si="2"/>
        <v>0.1842105263</v>
      </c>
      <c r="H106" s="6">
        <f t="shared" si="3"/>
        <v>15</v>
      </c>
    </row>
    <row r="107" spans="1:8" x14ac:dyDescent="0.25">
      <c r="A107" s="1" t="s">
        <v>425</v>
      </c>
      <c r="B107" s="1">
        <v>32</v>
      </c>
      <c r="D107" s="116">
        <f t="shared" si="0"/>
        <v>40</v>
      </c>
      <c r="E107" s="6">
        <f t="shared" si="1"/>
        <v>40</v>
      </c>
      <c r="F107" s="1">
        <v>50</v>
      </c>
      <c r="G107" s="4">
        <f t="shared" si="2"/>
        <v>0.25</v>
      </c>
      <c r="H107" s="6">
        <f t="shared" si="3"/>
        <v>10</v>
      </c>
    </row>
    <row r="108" spans="1:8" x14ac:dyDescent="0.25">
      <c r="A108" s="1" t="s">
        <v>426</v>
      </c>
      <c r="B108" s="1">
        <v>32</v>
      </c>
      <c r="D108" s="116">
        <f t="shared" si="0"/>
        <v>40</v>
      </c>
      <c r="E108" s="6">
        <f t="shared" si="1"/>
        <v>40</v>
      </c>
      <c r="F108" s="1">
        <v>50</v>
      </c>
      <c r="G108" s="4">
        <f t="shared" si="2"/>
        <v>0.25</v>
      </c>
      <c r="H108" s="6">
        <f t="shared" si="3"/>
        <v>10</v>
      </c>
    </row>
    <row r="109" spans="1:8" x14ac:dyDescent="0.25">
      <c r="A109" s="1" t="s">
        <v>427</v>
      </c>
      <c r="B109" s="1">
        <v>32</v>
      </c>
      <c r="D109" s="116">
        <f t="shared" si="0"/>
        <v>40</v>
      </c>
      <c r="E109" s="6">
        <f t="shared" si="1"/>
        <v>40</v>
      </c>
      <c r="F109" s="1">
        <v>50</v>
      </c>
      <c r="G109" s="4">
        <f t="shared" si="2"/>
        <v>0.25</v>
      </c>
      <c r="H109" s="6">
        <f t="shared" si="3"/>
        <v>10</v>
      </c>
    </row>
    <row r="110" spans="1:8" x14ac:dyDescent="0.25">
      <c r="A110" s="1" t="s">
        <v>428</v>
      </c>
      <c r="B110" s="1">
        <v>32</v>
      </c>
      <c r="D110" s="116">
        <f t="shared" si="0"/>
        <v>40</v>
      </c>
      <c r="E110" s="6">
        <f t="shared" si="1"/>
        <v>40</v>
      </c>
      <c r="F110" s="1">
        <v>50</v>
      </c>
      <c r="G110" s="4">
        <f t="shared" si="2"/>
        <v>0.25</v>
      </c>
      <c r="H110" s="6">
        <f t="shared" si="3"/>
        <v>10</v>
      </c>
    </row>
    <row r="111" spans="1:8" x14ac:dyDescent="0.25">
      <c r="A111" s="1" t="s">
        <v>429</v>
      </c>
      <c r="B111" s="1">
        <v>38</v>
      </c>
      <c r="D111" s="116">
        <f t="shared" si="0"/>
        <v>45</v>
      </c>
      <c r="E111" s="6">
        <f t="shared" si="1"/>
        <v>45</v>
      </c>
      <c r="F111" s="1">
        <v>60</v>
      </c>
      <c r="G111" s="4">
        <f t="shared" si="2"/>
        <v>0.1842105263</v>
      </c>
      <c r="H111" s="6">
        <f t="shared" si="3"/>
        <v>15</v>
      </c>
    </row>
    <row r="112" spans="1:8" x14ac:dyDescent="0.25">
      <c r="A112" s="1" t="s">
        <v>430</v>
      </c>
      <c r="B112" s="1">
        <v>35</v>
      </c>
      <c r="D112" s="116">
        <f t="shared" si="0"/>
        <v>40</v>
      </c>
      <c r="E112" s="6">
        <f t="shared" si="1"/>
        <v>45</v>
      </c>
      <c r="F112" s="1">
        <v>60</v>
      </c>
      <c r="G112" s="4">
        <f t="shared" si="2"/>
        <v>0.2857142857</v>
      </c>
      <c r="H112" s="6">
        <f t="shared" si="3"/>
        <v>15</v>
      </c>
    </row>
    <row r="113" spans="1:8" x14ac:dyDescent="0.25">
      <c r="A113" s="1" t="s">
        <v>431</v>
      </c>
      <c r="B113" s="1">
        <v>61</v>
      </c>
      <c r="D113" s="116">
        <f t="shared" si="0"/>
        <v>70</v>
      </c>
      <c r="E113" s="6">
        <f t="shared" si="1"/>
        <v>75</v>
      </c>
      <c r="F113" s="1">
        <v>85</v>
      </c>
      <c r="G113" s="4">
        <f t="shared" si="2"/>
        <v>0.2295081967</v>
      </c>
      <c r="H113" s="6">
        <f t="shared" si="3"/>
        <v>10</v>
      </c>
    </row>
    <row r="114" spans="1:8" x14ac:dyDescent="0.25">
      <c r="A114" s="1" t="s">
        <v>432</v>
      </c>
      <c r="B114" s="1">
        <v>39</v>
      </c>
      <c r="D114" s="116">
        <f t="shared" si="0"/>
        <v>45</v>
      </c>
      <c r="E114" s="6">
        <f t="shared" si="1"/>
        <v>45</v>
      </c>
      <c r="F114" s="1">
        <v>60</v>
      </c>
      <c r="G114" s="4">
        <f t="shared" si="2"/>
        <v>0.1538461538</v>
      </c>
      <c r="H114" s="6">
        <f t="shared" si="3"/>
        <v>15</v>
      </c>
    </row>
    <row r="115" spans="1:8" x14ac:dyDescent="0.25">
      <c r="A115" s="1" t="s">
        <v>433</v>
      </c>
      <c r="B115" s="1">
        <v>28</v>
      </c>
      <c r="D115" s="116">
        <f t="shared" si="0"/>
        <v>35</v>
      </c>
      <c r="E115" s="6">
        <f t="shared" si="1"/>
        <v>35</v>
      </c>
      <c r="F115" s="1">
        <v>60</v>
      </c>
      <c r="G115" s="4">
        <f t="shared" si="2"/>
        <v>0.25</v>
      </c>
      <c r="H115" s="6">
        <f t="shared" si="3"/>
        <v>25</v>
      </c>
    </row>
    <row r="116" spans="1:8" x14ac:dyDescent="0.25">
      <c r="A116" s="1" t="s">
        <v>434</v>
      </c>
      <c r="B116" s="1">
        <v>37</v>
      </c>
      <c r="D116" s="116">
        <f t="shared" si="0"/>
        <v>45</v>
      </c>
      <c r="E116" s="6">
        <f t="shared" si="1"/>
        <v>45</v>
      </c>
      <c r="F116" s="1">
        <v>60</v>
      </c>
      <c r="G116" s="4">
        <f t="shared" si="2"/>
        <v>0.2162162162</v>
      </c>
      <c r="H116" s="6">
        <f t="shared" si="3"/>
        <v>15</v>
      </c>
    </row>
    <row r="117" spans="1:8" x14ac:dyDescent="0.25">
      <c r="A117" s="1" t="s">
        <v>435</v>
      </c>
      <c r="B117" s="1">
        <v>39</v>
      </c>
      <c r="D117" s="116">
        <f t="shared" si="0"/>
        <v>45</v>
      </c>
      <c r="E117" s="6">
        <f t="shared" si="1"/>
        <v>45</v>
      </c>
      <c r="F117" s="1">
        <v>60</v>
      </c>
      <c r="G117" s="4">
        <f t="shared" si="2"/>
        <v>0.1538461538</v>
      </c>
      <c r="H117" s="6">
        <f t="shared" si="3"/>
        <v>15</v>
      </c>
    </row>
    <row r="118" spans="1:8" x14ac:dyDescent="0.25">
      <c r="A118" s="1" t="s">
        <v>436</v>
      </c>
      <c r="B118" s="1">
        <v>95</v>
      </c>
      <c r="D118" s="116">
        <f t="shared" si="0"/>
        <v>105</v>
      </c>
      <c r="E118" s="6">
        <f t="shared" si="1"/>
        <v>110</v>
      </c>
      <c r="F118" s="1">
        <v>120</v>
      </c>
      <c r="G118" s="4">
        <f t="shared" si="2"/>
        <v>0.1578947368</v>
      </c>
      <c r="H118" s="6">
        <f t="shared" si="3"/>
        <v>10</v>
      </c>
    </row>
    <row r="119" spans="1:8" x14ac:dyDescent="0.25">
      <c r="A119" s="1" t="s">
        <v>437</v>
      </c>
      <c r="B119" s="1">
        <v>99</v>
      </c>
      <c r="D119" s="116">
        <f t="shared" si="0"/>
        <v>110</v>
      </c>
      <c r="E119" s="6">
        <f t="shared" si="1"/>
        <v>115</v>
      </c>
      <c r="F119" s="1">
        <v>150</v>
      </c>
      <c r="G119" s="4">
        <f t="shared" si="2"/>
        <v>0.1616161616</v>
      </c>
      <c r="H119" s="6">
        <f t="shared" si="3"/>
        <v>35</v>
      </c>
    </row>
    <row r="120" spans="1:8" x14ac:dyDescent="0.25">
      <c r="A120" s="1" t="s">
        <v>438</v>
      </c>
      <c r="B120" s="1">
        <v>45</v>
      </c>
      <c r="D120" s="116">
        <f t="shared" si="0"/>
        <v>50</v>
      </c>
      <c r="E120" s="6">
        <f t="shared" si="1"/>
        <v>55</v>
      </c>
      <c r="F120" s="1">
        <v>70</v>
      </c>
      <c r="G120" s="4">
        <f t="shared" si="2"/>
        <v>0.2222222222</v>
      </c>
      <c r="H120" s="6">
        <f t="shared" si="3"/>
        <v>15</v>
      </c>
    </row>
    <row r="121" spans="1:8" x14ac:dyDescent="0.25">
      <c r="A121" s="1" t="s">
        <v>439</v>
      </c>
      <c r="B121" s="1">
        <v>65</v>
      </c>
      <c r="D121" s="116">
        <f t="shared" si="0"/>
        <v>75</v>
      </c>
      <c r="E121" s="6">
        <f t="shared" si="1"/>
        <v>75</v>
      </c>
      <c r="F121" s="1">
        <v>90</v>
      </c>
      <c r="G121" s="4">
        <f t="shared" si="2"/>
        <v>0.1538461538</v>
      </c>
      <c r="H121" s="6">
        <f t="shared" si="3"/>
        <v>15</v>
      </c>
    </row>
    <row r="122" spans="1:8" x14ac:dyDescent="0.25">
      <c r="A122" s="1" t="s">
        <v>440</v>
      </c>
      <c r="B122" s="1">
        <v>33</v>
      </c>
      <c r="D122" s="116">
        <f t="shared" si="0"/>
        <v>40</v>
      </c>
      <c r="E122" s="6">
        <f t="shared" si="1"/>
        <v>40</v>
      </c>
      <c r="F122" s="1">
        <v>60</v>
      </c>
      <c r="G122" s="4">
        <f t="shared" si="2"/>
        <v>0.2121212121</v>
      </c>
      <c r="H122" s="6">
        <f t="shared" si="3"/>
        <v>20</v>
      </c>
    </row>
    <row r="123" spans="1:8" x14ac:dyDescent="0.25">
      <c r="A123" s="1" t="s">
        <v>441</v>
      </c>
      <c r="B123" s="1">
        <v>70</v>
      </c>
      <c r="D123" s="116">
        <f t="shared" si="0"/>
        <v>80</v>
      </c>
      <c r="E123" s="6">
        <f t="shared" si="1"/>
        <v>85</v>
      </c>
      <c r="F123" s="1">
        <v>100</v>
      </c>
      <c r="G123" s="4">
        <f t="shared" si="2"/>
        <v>0.2142857143</v>
      </c>
      <c r="H123" s="6">
        <f t="shared" si="3"/>
        <v>15</v>
      </c>
    </row>
    <row r="124" spans="1:8" x14ac:dyDescent="0.25">
      <c r="A124" s="10" t="s">
        <v>442</v>
      </c>
      <c r="B124" s="1">
        <v>18</v>
      </c>
      <c r="D124" s="116">
        <f t="shared" si="0"/>
        <v>20</v>
      </c>
      <c r="E124" s="6">
        <f t="shared" si="1"/>
        <v>25</v>
      </c>
      <c r="F124" s="6">
        <f>CEILING(B124*1.3,5)</f>
        <v>25</v>
      </c>
      <c r="G124" s="4">
        <f t="shared" si="2"/>
        <v>0.3888888889</v>
      </c>
      <c r="H124" s="6">
        <f t="shared" si="3"/>
        <v>0</v>
      </c>
    </row>
    <row r="125" spans="1:8" x14ac:dyDescent="0.25">
      <c r="A125" s="1" t="s">
        <v>443</v>
      </c>
      <c r="B125" s="1">
        <v>16</v>
      </c>
      <c r="D125" s="116">
        <f t="shared" si="0"/>
        <v>20</v>
      </c>
      <c r="E125" s="6">
        <f t="shared" si="1"/>
        <v>20</v>
      </c>
      <c r="F125" s="1">
        <v>50</v>
      </c>
      <c r="G125" s="4">
        <f t="shared" si="2"/>
        <v>0.25</v>
      </c>
      <c r="H125" s="6">
        <f t="shared" si="3"/>
        <v>30</v>
      </c>
    </row>
    <row r="126" spans="1:8" x14ac:dyDescent="0.25">
      <c r="A126" s="1" t="s">
        <v>444</v>
      </c>
      <c r="B126" s="1">
        <v>10</v>
      </c>
      <c r="D126" s="116">
        <f t="shared" si="0"/>
        <v>15</v>
      </c>
      <c r="E126" s="6">
        <f t="shared" si="1"/>
        <v>15</v>
      </c>
      <c r="F126" s="1">
        <v>35</v>
      </c>
      <c r="G126" s="4">
        <f t="shared" si="2"/>
        <v>0.5</v>
      </c>
      <c r="H126" s="6">
        <f t="shared" si="3"/>
        <v>20</v>
      </c>
    </row>
    <row r="127" spans="1:8" x14ac:dyDescent="0.25">
      <c r="A127" s="1" t="s">
        <v>445</v>
      </c>
      <c r="B127" s="1">
        <v>10</v>
      </c>
      <c r="D127" s="116">
        <f t="shared" si="0"/>
        <v>15</v>
      </c>
      <c r="E127" s="6">
        <f t="shared" si="1"/>
        <v>15</v>
      </c>
      <c r="F127" s="1">
        <v>35</v>
      </c>
      <c r="G127" s="4">
        <f t="shared" si="2"/>
        <v>0.5</v>
      </c>
      <c r="H127" s="6">
        <f t="shared" si="3"/>
        <v>20</v>
      </c>
    </row>
    <row r="128" spans="1:8" x14ac:dyDescent="0.25">
      <c r="A128" s="1" t="s">
        <v>446</v>
      </c>
      <c r="B128" s="1">
        <v>31</v>
      </c>
      <c r="D128" s="116">
        <f t="shared" si="0"/>
        <v>35</v>
      </c>
      <c r="E128" s="6">
        <f t="shared" si="1"/>
        <v>40</v>
      </c>
      <c r="F128" s="1">
        <v>50</v>
      </c>
      <c r="G128" s="4">
        <f t="shared" si="2"/>
        <v>0.2903225806</v>
      </c>
      <c r="H128" s="6">
        <f t="shared" si="3"/>
        <v>10</v>
      </c>
    </row>
    <row r="129" spans="1:8" x14ac:dyDescent="0.25">
      <c r="A129" s="10" t="s">
        <v>447</v>
      </c>
      <c r="B129" s="1">
        <v>22</v>
      </c>
      <c r="D129" s="116">
        <f t="shared" si="0"/>
        <v>25</v>
      </c>
      <c r="E129" s="6">
        <f t="shared" si="1"/>
        <v>30</v>
      </c>
      <c r="F129" s="6">
        <f>CEILING(B129*1.3,5)</f>
        <v>30</v>
      </c>
      <c r="G129" s="4">
        <f t="shared" si="2"/>
        <v>0.3636363636</v>
      </c>
      <c r="H129" s="6">
        <f t="shared" si="3"/>
        <v>0</v>
      </c>
    </row>
    <row r="130" spans="1:8" x14ac:dyDescent="0.25">
      <c r="A130" s="1" t="s">
        <v>448</v>
      </c>
      <c r="B130" s="1">
        <v>10</v>
      </c>
      <c r="D130" s="116">
        <f t="shared" si="0"/>
        <v>15</v>
      </c>
      <c r="E130" s="6">
        <f t="shared" si="1"/>
        <v>15</v>
      </c>
      <c r="F130" s="1">
        <v>35</v>
      </c>
      <c r="G130" s="4">
        <f t="shared" si="2"/>
        <v>0.5</v>
      </c>
      <c r="H130" s="6">
        <f t="shared" si="3"/>
        <v>20</v>
      </c>
    </row>
    <row r="131" spans="1:8" x14ac:dyDescent="0.25">
      <c r="A131" s="1" t="s">
        <v>449</v>
      </c>
      <c r="B131" s="1">
        <v>10</v>
      </c>
      <c r="D131" s="116">
        <f t="shared" si="0"/>
        <v>15</v>
      </c>
      <c r="E131" s="6">
        <f t="shared" si="1"/>
        <v>15</v>
      </c>
      <c r="F131" s="1">
        <v>35</v>
      </c>
      <c r="G131" s="4">
        <f t="shared" si="2"/>
        <v>0.5</v>
      </c>
      <c r="H131" s="6">
        <f t="shared" si="3"/>
        <v>20</v>
      </c>
    </row>
    <row r="132" spans="1:8" x14ac:dyDescent="0.25">
      <c r="A132" s="1" t="s">
        <v>450</v>
      </c>
      <c r="B132" s="1">
        <v>10</v>
      </c>
      <c r="D132" s="116">
        <f t="shared" si="0"/>
        <v>15</v>
      </c>
      <c r="E132" s="6">
        <f t="shared" si="1"/>
        <v>15</v>
      </c>
      <c r="F132" s="1">
        <v>35</v>
      </c>
      <c r="G132" s="4">
        <f t="shared" si="2"/>
        <v>0.5</v>
      </c>
      <c r="H132" s="6">
        <f t="shared" si="3"/>
        <v>20</v>
      </c>
    </row>
    <row r="133" spans="1:8" x14ac:dyDescent="0.25">
      <c r="A133" s="1" t="s">
        <v>451</v>
      </c>
      <c r="B133" s="1">
        <v>120</v>
      </c>
      <c r="D133" s="116">
        <f t="shared" si="0"/>
        <v>135</v>
      </c>
      <c r="E133" s="6">
        <f t="shared" si="1"/>
        <v>140</v>
      </c>
      <c r="F133" s="1">
        <v>160</v>
      </c>
      <c r="G133" s="4">
        <f t="shared" si="2"/>
        <v>0.1666666667</v>
      </c>
      <c r="H133" s="6">
        <f t="shared" si="3"/>
        <v>20</v>
      </c>
    </row>
    <row r="134" spans="1:8" x14ac:dyDescent="0.25">
      <c r="A134" s="1" t="s">
        <v>452</v>
      </c>
      <c r="B134" s="1">
        <v>55</v>
      </c>
      <c r="D134" s="116">
        <f t="shared" si="0"/>
        <v>65</v>
      </c>
      <c r="E134" s="6">
        <f t="shared" si="1"/>
        <v>65</v>
      </c>
      <c r="F134" s="1">
        <v>80</v>
      </c>
      <c r="G134" s="4">
        <f t="shared" si="2"/>
        <v>0.1818181818</v>
      </c>
      <c r="H134" s="6">
        <f t="shared" si="3"/>
        <v>15</v>
      </c>
    </row>
    <row r="135" spans="1:8" x14ac:dyDescent="0.25">
      <c r="A135" s="1" t="s">
        <v>453</v>
      </c>
      <c r="B135" s="1">
        <v>350</v>
      </c>
      <c r="D135" s="116">
        <f t="shared" si="0"/>
        <v>385</v>
      </c>
      <c r="E135" s="6">
        <f t="shared" si="1"/>
        <v>405</v>
      </c>
      <c r="F135" s="1">
        <v>439</v>
      </c>
      <c r="G135" s="4">
        <f t="shared" si="2"/>
        <v>0.1571428571</v>
      </c>
      <c r="H135" s="6">
        <f t="shared" si="3"/>
        <v>34</v>
      </c>
    </row>
    <row r="136" spans="1:8" x14ac:dyDescent="0.25">
      <c r="A136" s="1" t="s">
        <v>454</v>
      </c>
      <c r="B136" s="1">
        <v>79</v>
      </c>
      <c r="D136" s="116">
        <f t="shared" si="0"/>
        <v>90</v>
      </c>
      <c r="E136" s="6">
        <f t="shared" si="1"/>
        <v>95</v>
      </c>
      <c r="F136" s="1">
        <v>120</v>
      </c>
      <c r="G136" s="4">
        <f t="shared" si="2"/>
        <v>0.2025316456</v>
      </c>
      <c r="H136" s="6">
        <f t="shared" si="3"/>
        <v>25</v>
      </c>
    </row>
    <row r="137" spans="1:8" x14ac:dyDescent="0.25">
      <c r="A137" s="1" t="s">
        <v>455</v>
      </c>
      <c r="B137" s="1">
        <v>28</v>
      </c>
      <c r="D137" s="116">
        <f t="shared" si="0"/>
        <v>35</v>
      </c>
      <c r="E137" s="6">
        <f t="shared" si="1"/>
        <v>35</v>
      </c>
      <c r="F137" s="1">
        <v>60</v>
      </c>
      <c r="G137" s="4">
        <f t="shared" si="2"/>
        <v>0.25</v>
      </c>
      <c r="H137" s="6">
        <f t="shared" si="3"/>
        <v>25</v>
      </c>
    </row>
    <row r="138" spans="1:8" x14ac:dyDescent="0.25">
      <c r="A138" s="1" t="s">
        <v>456</v>
      </c>
      <c r="B138" s="1">
        <v>28</v>
      </c>
      <c r="D138" s="116">
        <f t="shared" si="0"/>
        <v>35</v>
      </c>
      <c r="E138" s="6">
        <f t="shared" si="1"/>
        <v>35</v>
      </c>
      <c r="F138" s="1">
        <v>55</v>
      </c>
      <c r="G138" s="4">
        <f t="shared" si="2"/>
        <v>0.25</v>
      </c>
      <c r="H138" s="6">
        <f t="shared" si="3"/>
        <v>20</v>
      </c>
    </row>
    <row r="139" spans="1:8" x14ac:dyDescent="0.25">
      <c r="A139" s="1" t="s">
        <v>457</v>
      </c>
      <c r="B139" s="1">
        <v>16</v>
      </c>
      <c r="D139" s="116">
        <f t="shared" si="0"/>
        <v>20</v>
      </c>
      <c r="E139" s="6">
        <f t="shared" si="1"/>
        <v>20</v>
      </c>
      <c r="F139" s="1">
        <v>55</v>
      </c>
      <c r="G139" s="4">
        <f t="shared" si="2"/>
        <v>0.25</v>
      </c>
      <c r="H139" s="6">
        <f t="shared" si="3"/>
        <v>35</v>
      </c>
    </row>
    <row r="140" spans="1:8" x14ac:dyDescent="0.25">
      <c r="A140" s="1" t="s">
        <v>458</v>
      </c>
      <c r="B140" s="1">
        <v>750</v>
      </c>
      <c r="D140" s="116">
        <f t="shared" si="0"/>
        <v>825</v>
      </c>
      <c r="E140" s="6">
        <f t="shared" si="1"/>
        <v>865</v>
      </c>
      <c r="F140" s="1">
        <v>950</v>
      </c>
      <c r="G140" s="4">
        <f t="shared" si="2"/>
        <v>0.1533333333</v>
      </c>
      <c r="H140" s="6">
        <f t="shared" si="3"/>
        <v>85</v>
      </c>
    </row>
    <row r="141" spans="1:8" x14ac:dyDescent="0.25">
      <c r="A141" s="1" t="s">
        <v>461</v>
      </c>
      <c r="B141" s="1">
        <v>1600</v>
      </c>
      <c r="D141" s="116">
        <f t="shared" si="0"/>
        <v>1760</v>
      </c>
      <c r="E141" s="6">
        <f t="shared" si="1"/>
        <v>1840</v>
      </c>
      <c r="F141" s="1">
        <v>1950</v>
      </c>
      <c r="G141" s="4">
        <f t="shared" si="2"/>
        <v>0.15</v>
      </c>
      <c r="H141" s="6">
        <f t="shared" si="3"/>
        <v>110</v>
      </c>
    </row>
    <row r="142" spans="1:8" x14ac:dyDescent="0.25">
      <c r="A142" s="10" t="s">
        <v>643</v>
      </c>
      <c r="B142" s="1">
        <v>250</v>
      </c>
      <c r="D142" s="116">
        <f t="shared" si="0"/>
        <v>275</v>
      </c>
      <c r="E142" s="6">
        <f t="shared" si="1"/>
        <v>290</v>
      </c>
      <c r="F142" s="6">
        <f t="shared" ref="F142:F144" si="5">CEILING(B142*1.3,5)</f>
        <v>325</v>
      </c>
      <c r="G142" s="4">
        <f t="shared" si="2"/>
        <v>0.16</v>
      </c>
      <c r="H142" s="6">
        <f t="shared" si="3"/>
        <v>35</v>
      </c>
    </row>
    <row r="143" spans="1:8" x14ac:dyDescent="0.25">
      <c r="A143" s="10" t="s">
        <v>646</v>
      </c>
      <c r="B143" s="1">
        <v>490</v>
      </c>
      <c r="D143" s="116">
        <f t="shared" si="0"/>
        <v>540</v>
      </c>
      <c r="E143" s="6">
        <f t="shared" si="1"/>
        <v>565</v>
      </c>
      <c r="F143" s="6">
        <f t="shared" si="5"/>
        <v>640</v>
      </c>
      <c r="G143" s="4">
        <f t="shared" si="2"/>
        <v>0.1530612245</v>
      </c>
      <c r="H143" s="6">
        <f t="shared" si="3"/>
        <v>75</v>
      </c>
    </row>
    <row r="144" spans="1:8" x14ac:dyDescent="0.25">
      <c r="A144" s="10" t="s">
        <v>464</v>
      </c>
      <c r="B144" s="1">
        <v>50</v>
      </c>
      <c r="D144" s="116">
        <f t="shared" si="0"/>
        <v>55</v>
      </c>
      <c r="E144" s="6">
        <f t="shared" si="1"/>
        <v>60</v>
      </c>
      <c r="F144" s="6">
        <f t="shared" si="5"/>
        <v>65</v>
      </c>
      <c r="G144" s="4">
        <f t="shared" si="2"/>
        <v>0.2</v>
      </c>
      <c r="H144" s="6">
        <f t="shared" si="3"/>
        <v>5</v>
      </c>
    </row>
    <row r="145" spans="1:8" x14ac:dyDescent="0.25">
      <c r="A145" s="1" t="s">
        <v>465</v>
      </c>
      <c r="B145" s="1">
        <v>65</v>
      </c>
      <c r="D145" s="116">
        <f t="shared" si="0"/>
        <v>75</v>
      </c>
      <c r="E145" s="6">
        <f t="shared" si="1"/>
        <v>75</v>
      </c>
      <c r="F145" s="1">
        <v>100</v>
      </c>
      <c r="G145" s="4">
        <f t="shared" si="2"/>
        <v>0.1538461538</v>
      </c>
      <c r="H145" s="6">
        <f t="shared" si="3"/>
        <v>25</v>
      </c>
    </row>
    <row r="146" spans="1:8" x14ac:dyDescent="0.25">
      <c r="A146" s="1" t="s">
        <v>466</v>
      </c>
      <c r="B146" s="1">
        <v>33</v>
      </c>
      <c r="D146" s="116">
        <f t="shared" si="0"/>
        <v>40</v>
      </c>
      <c r="E146" s="6">
        <f t="shared" si="1"/>
        <v>40</v>
      </c>
      <c r="F146" s="1">
        <v>60</v>
      </c>
      <c r="G146" s="4">
        <f t="shared" si="2"/>
        <v>0.2121212121</v>
      </c>
      <c r="H146" s="6">
        <f t="shared" si="3"/>
        <v>20</v>
      </c>
    </row>
    <row r="147" spans="1:8" x14ac:dyDescent="0.25">
      <c r="A147" s="1" t="s">
        <v>469</v>
      </c>
      <c r="B147" s="1">
        <v>45</v>
      </c>
      <c r="D147" s="116">
        <f t="shared" si="0"/>
        <v>50</v>
      </c>
      <c r="E147" s="6">
        <f t="shared" si="1"/>
        <v>55</v>
      </c>
      <c r="F147" s="1">
        <v>80</v>
      </c>
      <c r="G147" s="4">
        <f t="shared" si="2"/>
        <v>0.2222222222</v>
      </c>
      <c r="H147" s="6">
        <f t="shared" si="3"/>
        <v>25</v>
      </c>
    </row>
    <row r="148" spans="1:8" x14ac:dyDescent="0.25">
      <c r="A148" s="1" t="s">
        <v>472</v>
      </c>
      <c r="B148" s="1">
        <v>65</v>
      </c>
      <c r="D148" s="116">
        <f t="shared" si="0"/>
        <v>75</v>
      </c>
      <c r="E148" s="6">
        <f t="shared" si="1"/>
        <v>75</v>
      </c>
      <c r="F148" s="1">
        <v>90</v>
      </c>
      <c r="G148" s="4">
        <f t="shared" si="2"/>
        <v>0.1538461538</v>
      </c>
      <c r="H148" s="6">
        <f t="shared" si="3"/>
        <v>15</v>
      </c>
    </row>
    <row r="149" spans="1:8" x14ac:dyDescent="0.25">
      <c r="A149" s="1" t="s">
        <v>475</v>
      </c>
      <c r="B149" s="1">
        <v>60</v>
      </c>
      <c r="D149" s="116">
        <f t="shared" si="0"/>
        <v>70</v>
      </c>
      <c r="E149" s="6">
        <f t="shared" si="1"/>
        <v>70</v>
      </c>
      <c r="F149" s="1">
        <v>120</v>
      </c>
      <c r="G149" s="4">
        <f t="shared" si="2"/>
        <v>0.1666666667</v>
      </c>
      <c r="H149" s="6">
        <f t="shared" si="3"/>
        <v>50</v>
      </c>
    </row>
    <row r="150" spans="1:8" x14ac:dyDescent="0.25">
      <c r="A150" s="1" t="s">
        <v>477</v>
      </c>
      <c r="B150" s="1">
        <v>40</v>
      </c>
      <c r="D150" s="116">
        <f t="shared" si="0"/>
        <v>45</v>
      </c>
      <c r="E150" s="6">
        <f t="shared" si="1"/>
        <v>50</v>
      </c>
      <c r="F150" s="1">
        <v>100</v>
      </c>
      <c r="G150" s="4">
        <f t="shared" si="2"/>
        <v>0.25</v>
      </c>
      <c r="H150" s="6">
        <f t="shared" si="3"/>
        <v>50</v>
      </c>
    </row>
    <row r="151" spans="1:8" x14ac:dyDescent="0.25">
      <c r="A151" s="1" t="s">
        <v>479</v>
      </c>
      <c r="B151" s="1">
        <v>155</v>
      </c>
      <c r="D151" s="116">
        <f t="shared" si="0"/>
        <v>175</v>
      </c>
      <c r="E151" s="6">
        <f t="shared" si="1"/>
        <v>180</v>
      </c>
      <c r="F151" s="1">
        <v>200</v>
      </c>
      <c r="G151" s="4">
        <f t="shared" si="2"/>
        <v>0.1612903226</v>
      </c>
      <c r="H151" s="6">
        <f t="shared" si="3"/>
        <v>20</v>
      </c>
    </row>
    <row r="152" spans="1:8" x14ac:dyDescent="0.25">
      <c r="A152" s="1" t="s">
        <v>480</v>
      </c>
      <c r="B152" s="1">
        <v>155</v>
      </c>
      <c r="D152" s="116">
        <f t="shared" si="0"/>
        <v>175</v>
      </c>
      <c r="E152" s="6">
        <f t="shared" si="1"/>
        <v>180</v>
      </c>
      <c r="F152" s="1">
        <v>200</v>
      </c>
      <c r="G152" s="4">
        <f t="shared" si="2"/>
        <v>0.1612903226</v>
      </c>
      <c r="H152" s="6">
        <f t="shared" si="3"/>
        <v>20</v>
      </c>
    </row>
    <row r="153" spans="1:8" x14ac:dyDescent="0.25">
      <c r="A153" s="1" t="s">
        <v>481</v>
      </c>
      <c r="B153" s="1">
        <v>155</v>
      </c>
      <c r="D153" s="116">
        <f t="shared" si="0"/>
        <v>175</v>
      </c>
      <c r="E153" s="6">
        <f t="shared" si="1"/>
        <v>180</v>
      </c>
      <c r="F153" s="1">
        <v>200</v>
      </c>
      <c r="G153" s="4">
        <f t="shared" si="2"/>
        <v>0.1612903226</v>
      </c>
      <c r="H153" s="6">
        <f t="shared" si="3"/>
        <v>20</v>
      </c>
    </row>
    <row r="154" spans="1:8" x14ac:dyDescent="0.25">
      <c r="A154" s="1" t="s">
        <v>482</v>
      </c>
      <c r="B154" s="1">
        <v>170</v>
      </c>
      <c r="D154" s="116">
        <f t="shared" si="0"/>
        <v>190</v>
      </c>
      <c r="E154" s="6">
        <f t="shared" si="1"/>
        <v>200</v>
      </c>
      <c r="F154" s="1">
        <v>220</v>
      </c>
      <c r="G154" s="4">
        <f t="shared" si="2"/>
        <v>0.1764705882</v>
      </c>
      <c r="H154" s="6">
        <f t="shared" si="3"/>
        <v>20</v>
      </c>
    </row>
    <row r="155" spans="1:8" x14ac:dyDescent="0.25">
      <c r="A155" s="1" t="s">
        <v>483</v>
      </c>
      <c r="B155" s="1">
        <v>170</v>
      </c>
      <c r="D155" s="116">
        <f t="shared" si="0"/>
        <v>190</v>
      </c>
      <c r="E155" s="6">
        <f t="shared" si="1"/>
        <v>200</v>
      </c>
      <c r="F155" s="1">
        <v>220</v>
      </c>
      <c r="G155" s="4">
        <f t="shared" si="2"/>
        <v>0.1764705882</v>
      </c>
      <c r="H155" s="6">
        <f t="shared" si="3"/>
        <v>20</v>
      </c>
    </row>
    <row r="156" spans="1:8" x14ac:dyDescent="0.25">
      <c r="A156" s="1" t="s">
        <v>484</v>
      </c>
      <c r="B156" s="1">
        <v>170</v>
      </c>
      <c r="D156" s="116">
        <f t="shared" si="0"/>
        <v>190</v>
      </c>
      <c r="E156" s="6">
        <f t="shared" si="1"/>
        <v>200</v>
      </c>
      <c r="F156" s="1">
        <v>220</v>
      </c>
      <c r="G156" s="4">
        <f t="shared" si="2"/>
        <v>0.1764705882</v>
      </c>
      <c r="H156" s="6">
        <f t="shared" si="3"/>
        <v>20</v>
      </c>
    </row>
    <row r="157" spans="1:8" x14ac:dyDescent="0.25">
      <c r="A157" s="1" t="s">
        <v>485</v>
      </c>
      <c r="B157" s="1">
        <v>500</v>
      </c>
      <c r="D157" s="116">
        <f t="shared" si="0"/>
        <v>550</v>
      </c>
      <c r="E157" s="6">
        <f t="shared" si="1"/>
        <v>575</v>
      </c>
      <c r="F157" s="1">
        <v>750</v>
      </c>
      <c r="G157" s="4">
        <f t="shared" si="2"/>
        <v>0.15</v>
      </c>
      <c r="H157" s="6">
        <f t="shared" si="3"/>
        <v>175</v>
      </c>
    </row>
    <row r="158" spans="1:8" x14ac:dyDescent="0.25">
      <c r="A158" s="1" t="s">
        <v>486</v>
      </c>
      <c r="B158" s="1">
        <v>1070</v>
      </c>
      <c r="D158" s="116">
        <f t="shared" si="0"/>
        <v>1180</v>
      </c>
      <c r="E158" s="6">
        <f t="shared" si="1"/>
        <v>1235</v>
      </c>
      <c r="F158" s="1">
        <v>1450</v>
      </c>
      <c r="G158" s="4">
        <f t="shared" si="2"/>
        <v>0.1542056075</v>
      </c>
      <c r="H158" s="6">
        <f t="shared" si="3"/>
        <v>215</v>
      </c>
    </row>
    <row r="159" spans="1:8" x14ac:dyDescent="0.25">
      <c r="A159" s="1" t="s">
        <v>487</v>
      </c>
      <c r="B159" s="1">
        <v>20</v>
      </c>
      <c r="D159" s="116">
        <f t="shared" si="0"/>
        <v>25</v>
      </c>
      <c r="E159" s="6">
        <f t="shared" si="1"/>
        <v>25</v>
      </c>
      <c r="F159" s="1">
        <v>45</v>
      </c>
      <c r="G159" s="4">
        <f t="shared" si="2"/>
        <v>0.25</v>
      </c>
      <c r="H159" s="6">
        <f t="shared" si="3"/>
        <v>20</v>
      </c>
    </row>
    <row r="160" spans="1:8" x14ac:dyDescent="0.25">
      <c r="A160" s="1" t="s">
        <v>488</v>
      </c>
      <c r="B160" s="1">
        <v>25</v>
      </c>
      <c r="D160" s="116">
        <f t="shared" si="0"/>
        <v>30</v>
      </c>
      <c r="E160" s="6">
        <f t="shared" si="1"/>
        <v>30</v>
      </c>
      <c r="F160" s="1">
        <v>60</v>
      </c>
      <c r="G160" s="4">
        <f t="shared" si="2"/>
        <v>0.2</v>
      </c>
      <c r="H160" s="6">
        <f t="shared" si="3"/>
        <v>30</v>
      </c>
    </row>
    <row r="161" spans="1:8" x14ac:dyDescent="0.25">
      <c r="A161" s="10" t="s">
        <v>489</v>
      </c>
      <c r="B161" s="1">
        <v>30</v>
      </c>
      <c r="D161" s="116">
        <f t="shared" si="0"/>
        <v>35</v>
      </c>
      <c r="E161" s="6">
        <f t="shared" si="1"/>
        <v>35</v>
      </c>
      <c r="F161" s="1">
        <v>40</v>
      </c>
      <c r="G161" s="4">
        <f t="shared" si="2"/>
        <v>0.1666666667</v>
      </c>
      <c r="H161" s="6">
        <f t="shared" si="3"/>
        <v>5</v>
      </c>
    </row>
    <row r="162" spans="1:8" x14ac:dyDescent="0.25">
      <c r="A162" s="1" t="s">
        <v>490</v>
      </c>
      <c r="B162" s="1">
        <v>199</v>
      </c>
      <c r="D162" s="116">
        <f t="shared" si="0"/>
        <v>220</v>
      </c>
      <c r="E162" s="6">
        <f t="shared" si="1"/>
        <v>230</v>
      </c>
      <c r="F162" s="1">
        <v>299</v>
      </c>
      <c r="G162" s="4">
        <f t="shared" si="2"/>
        <v>0.1557788945</v>
      </c>
      <c r="H162" s="6">
        <f t="shared" si="3"/>
        <v>69</v>
      </c>
    </row>
    <row r="163" spans="1:8" x14ac:dyDescent="0.25">
      <c r="A163" s="1" t="s">
        <v>491</v>
      </c>
      <c r="B163" s="1">
        <v>299</v>
      </c>
      <c r="D163" s="116">
        <f t="shared" si="0"/>
        <v>330</v>
      </c>
      <c r="E163" s="6">
        <f t="shared" si="1"/>
        <v>345</v>
      </c>
      <c r="F163" s="1">
        <v>399</v>
      </c>
      <c r="G163" s="4">
        <f t="shared" si="2"/>
        <v>0.1538461538</v>
      </c>
      <c r="H163" s="6">
        <f t="shared" si="3"/>
        <v>54</v>
      </c>
    </row>
    <row r="164" spans="1:8" x14ac:dyDescent="0.25">
      <c r="A164" s="1" t="s">
        <v>492</v>
      </c>
      <c r="B164" s="1">
        <v>199</v>
      </c>
      <c r="D164" s="116">
        <f t="shared" si="0"/>
        <v>220</v>
      </c>
      <c r="E164" s="6">
        <f t="shared" si="1"/>
        <v>230</v>
      </c>
      <c r="F164" s="1">
        <v>299</v>
      </c>
      <c r="G164" s="4">
        <f t="shared" si="2"/>
        <v>0.1557788945</v>
      </c>
      <c r="H164" s="6">
        <f t="shared" si="3"/>
        <v>69</v>
      </c>
    </row>
    <row r="165" spans="1:8" x14ac:dyDescent="0.25">
      <c r="A165" s="1" t="s">
        <v>493</v>
      </c>
      <c r="B165" s="1">
        <v>299</v>
      </c>
      <c r="D165" s="116">
        <f t="shared" si="0"/>
        <v>330</v>
      </c>
      <c r="E165" s="6">
        <f t="shared" si="1"/>
        <v>345</v>
      </c>
      <c r="F165" s="1">
        <v>399</v>
      </c>
      <c r="G165" s="4">
        <f t="shared" si="2"/>
        <v>0.1538461538</v>
      </c>
      <c r="H165" s="6">
        <f t="shared" si="3"/>
        <v>54</v>
      </c>
    </row>
    <row r="166" spans="1:8" x14ac:dyDescent="0.25">
      <c r="A166" s="1" t="s">
        <v>494</v>
      </c>
      <c r="B166" s="1">
        <v>48</v>
      </c>
      <c r="D166" s="116">
        <f t="shared" si="0"/>
        <v>55</v>
      </c>
      <c r="E166" s="6">
        <f t="shared" si="1"/>
        <v>60</v>
      </c>
      <c r="F166" s="1">
        <v>90</v>
      </c>
      <c r="G166" s="4">
        <f t="shared" si="2"/>
        <v>0.25</v>
      </c>
      <c r="H166" s="6">
        <f t="shared" si="3"/>
        <v>30</v>
      </c>
    </row>
    <row r="167" spans="1:8" x14ac:dyDescent="0.25">
      <c r="A167" s="1" t="s">
        <v>495</v>
      </c>
      <c r="B167" s="1">
        <v>55</v>
      </c>
      <c r="D167" s="116">
        <f t="shared" si="0"/>
        <v>65</v>
      </c>
      <c r="E167" s="6">
        <f t="shared" si="1"/>
        <v>65</v>
      </c>
      <c r="F167" s="1">
        <v>90</v>
      </c>
      <c r="G167" s="4">
        <f t="shared" si="2"/>
        <v>0.1818181818</v>
      </c>
      <c r="H167" s="6">
        <f t="shared" si="3"/>
        <v>25</v>
      </c>
    </row>
    <row r="168" spans="1:8" x14ac:dyDescent="0.25">
      <c r="A168" s="1" t="s">
        <v>496</v>
      </c>
      <c r="B168" s="1">
        <v>48</v>
      </c>
      <c r="D168" s="116">
        <f t="shared" si="0"/>
        <v>55</v>
      </c>
      <c r="E168" s="6">
        <f t="shared" si="1"/>
        <v>60</v>
      </c>
      <c r="F168" s="1">
        <v>90</v>
      </c>
      <c r="G168" s="4">
        <f t="shared" si="2"/>
        <v>0.25</v>
      </c>
      <c r="H168" s="6">
        <f t="shared" si="3"/>
        <v>30</v>
      </c>
    </row>
    <row r="169" spans="1:8" x14ac:dyDescent="0.25">
      <c r="A169" s="1" t="s">
        <v>497</v>
      </c>
      <c r="B169" s="1">
        <v>55</v>
      </c>
      <c r="D169" s="116">
        <f t="shared" si="0"/>
        <v>65</v>
      </c>
      <c r="E169" s="6">
        <f t="shared" si="1"/>
        <v>65</v>
      </c>
      <c r="F169" s="1">
        <v>90</v>
      </c>
      <c r="G169" s="4">
        <f t="shared" si="2"/>
        <v>0.1818181818</v>
      </c>
      <c r="H169" s="6">
        <f t="shared" si="3"/>
        <v>25</v>
      </c>
    </row>
    <row r="170" spans="1:8" x14ac:dyDescent="0.25">
      <c r="A170" s="1" t="s">
        <v>498</v>
      </c>
      <c r="B170" s="1">
        <v>97</v>
      </c>
      <c r="D170" s="116">
        <f t="shared" si="0"/>
        <v>110</v>
      </c>
      <c r="E170" s="6">
        <f t="shared" si="1"/>
        <v>115</v>
      </c>
      <c r="F170" s="1">
        <v>120</v>
      </c>
      <c r="G170" s="4">
        <f t="shared" si="2"/>
        <v>0.1855670103</v>
      </c>
      <c r="H170" s="6">
        <f t="shared" si="3"/>
        <v>5</v>
      </c>
    </row>
    <row r="171" spans="1:8" x14ac:dyDescent="0.25">
      <c r="A171" s="1" t="s">
        <v>499</v>
      </c>
      <c r="B171" s="1">
        <v>102</v>
      </c>
      <c r="D171" s="116">
        <f t="shared" si="0"/>
        <v>115</v>
      </c>
      <c r="E171" s="6">
        <f t="shared" si="1"/>
        <v>120</v>
      </c>
      <c r="F171" s="1">
        <v>135</v>
      </c>
      <c r="G171" s="4">
        <f t="shared" si="2"/>
        <v>0.1764705882</v>
      </c>
      <c r="H171" s="6">
        <f t="shared" si="3"/>
        <v>15</v>
      </c>
    </row>
    <row r="172" spans="1:8" x14ac:dyDescent="0.25">
      <c r="A172" s="1" t="s">
        <v>500</v>
      </c>
      <c r="B172" s="1">
        <v>105</v>
      </c>
      <c r="D172" s="116">
        <f t="shared" si="0"/>
        <v>120</v>
      </c>
      <c r="E172" s="6">
        <f t="shared" si="1"/>
        <v>125</v>
      </c>
      <c r="F172" s="1">
        <v>140</v>
      </c>
      <c r="G172" s="4">
        <f t="shared" si="2"/>
        <v>0.1904761905</v>
      </c>
      <c r="H172" s="6">
        <f t="shared" si="3"/>
        <v>15</v>
      </c>
    </row>
    <row r="173" spans="1:8" x14ac:dyDescent="0.25">
      <c r="A173" s="1" t="s">
        <v>501</v>
      </c>
      <c r="B173" s="1">
        <v>110</v>
      </c>
      <c r="D173" s="116">
        <f t="shared" si="0"/>
        <v>125</v>
      </c>
      <c r="E173" s="6">
        <f t="shared" si="1"/>
        <v>130</v>
      </c>
      <c r="F173" s="1">
        <v>145</v>
      </c>
      <c r="G173" s="4">
        <f t="shared" si="2"/>
        <v>0.1818181818</v>
      </c>
      <c r="H173" s="6">
        <f t="shared" si="3"/>
        <v>15</v>
      </c>
    </row>
    <row r="174" spans="1:8" x14ac:dyDescent="0.25">
      <c r="A174" s="1" t="s">
        <v>502</v>
      </c>
      <c r="B174" s="1">
        <v>100</v>
      </c>
      <c r="D174" s="116">
        <f t="shared" si="0"/>
        <v>110</v>
      </c>
      <c r="E174" s="6">
        <f t="shared" si="1"/>
        <v>115</v>
      </c>
      <c r="F174" s="1">
        <v>150</v>
      </c>
      <c r="G174" s="4">
        <f t="shared" si="2"/>
        <v>0.15</v>
      </c>
      <c r="H174" s="6">
        <f t="shared" si="3"/>
        <v>35</v>
      </c>
    </row>
    <row r="175" spans="1:8" x14ac:dyDescent="0.25">
      <c r="A175" s="1" t="s">
        <v>503</v>
      </c>
      <c r="B175" s="1">
        <v>100</v>
      </c>
      <c r="D175" s="116">
        <f t="shared" si="0"/>
        <v>110</v>
      </c>
      <c r="E175" s="6">
        <f t="shared" si="1"/>
        <v>115</v>
      </c>
      <c r="F175" s="1">
        <v>150</v>
      </c>
      <c r="G175" s="4">
        <f t="shared" si="2"/>
        <v>0.15</v>
      </c>
      <c r="H175" s="6">
        <f t="shared" si="3"/>
        <v>35</v>
      </c>
    </row>
    <row r="176" spans="1:8" x14ac:dyDescent="0.25">
      <c r="A176" s="1" t="s">
        <v>504</v>
      </c>
      <c r="B176" s="1">
        <v>105</v>
      </c>
      <c r="D176" s="116">
        <f t="shared" si="0"/>
        <v>120</v>
      </c>
      <c r="E176" s="6">
        <f t="shared" si="1"/>
        <v>125</v>
      </c>
      <c r="F176" s="1">
        <v>160</v>
      </c>
      <c r="G176" s="4">
        <f t="shared" si="2"/>
        <v>0.1904761905</v>
      </c>
      <c r="H176" s="6">
        <f t="shared" si="3"/>
        <v>35</v>
      </c>
    </row>
    <row r="177" spans="1:8" x14ac:dyDescent="0.25">
      <c r="A177" s="1" t="s">
        <v>505</v>
      </c>
      <c r="B177" s="1">
        <v>105</v>
      </c>
      <c r="D177" s="116">
        <f t="shared" si="0"/>
        <v>120</v>
      </c>
      <c r="E177" s="6">
        <f t="shared" si="1"/>
        <v>125</v>
      </c>
      <c r="F177" s="1">
        <v>160</v>
      </c>
      <c r="G177" s="4">
        <f t="shared" si="2"/>
        <v>0.1904761905</v>
      </c>
      <c r="H177" s="6">
        <f t="shared" si="3"/>
        <v>35</v>
      </c>
    </row>
    <row r="178" spans="1:8" x14ac:dyDescent="0.25">
      <c r="A178" s="1" t="s">
        <v>506</v>
      </c>
      <c r="B178" s="1">
        <v>48</v>
      </c>
      <c r="D178" s="116">
        <f t="shared" si="0"/>
        <v>55</v>
      </c>
      <c r="E178" s="6">
        <f t="shared" si="1"/>
        <v>60</v>
      </c>
      <c r="F178" s="1">
        <v>100</v>
      </c>
      <c r="G178" s="4">
        <f t="shared" si="2"/>
        <v>0.25</v>
      </c>
      <c r="H178" s="6">
        <f t="shared" si="3"/>
        <v>40</v>
      </c>
    </row>
    <row r="179" spans="1:8" x14ac:dyDescent="0.25">
      <c r="A179" s="1" t="s">
        <v>507</v>
      </c>
      <c r="B179" s="1">
        <v>52</v>
      </c>
      <c r="D179" s="116">
        <f t="shared" si="0"/>
        <v>60</v>
      </c>
      <c r="E179" s="6">
        <f t="shared" si="1"/>
        <v>60</v>
      </c>
      <c r="F179" s="1">
        <v>100</v>
      </c>
      <c r="G179" s="4">
        <f t="shared" si="2"/>
        <v>0.1538461538</v>
      </c>
      <c r="H179" s="6">
        <f t="shared" si="3"/>
        <v>40</v>
      </c>
    </row>
    <row r="180" spans="1:8" x14ac:dyDescent="0.25">
      <c r="A180" s="1" t="s">
        <v>508</v>
      </c>
      <c r="B180" s="1">
        <v>55</v>
      </c>
      <c r="D180" s="116">
        <f t="shared" si="0"/>
        <v>65</v>
      </c>
      <c r="E180" s="6">
        <f t="shared" si="1"/>
        <v>65</v>
      </c>
      <c r="F180" s="1">
        <v>100</v>
      </c>
      <c r="G180" s="4">
        <f t="shared" si="2"/>
        <v>0.1818181818</v>
      </c>
      <c r="H180" s="6">
        <f t="shared" si="3"/>
        <v>35</v>
      </c>
    </row>
    <row r="181" spans="1:8" x14ac:dyDescent="0.25">
      <c r="A181" s="1" t="s">
        <v>509</v>
      </c>
      <c r="B181" s="1">
        <v>60</v>
      </c>
      <c r="D181" s="116">
        <f t="shared" si="0"/>
        <v>70</v>
      </c>
      <c r="E181" s="6">
        <f t="shared" si="1"/>
        <v>70</v>
      </c>
      <c r="F181" s="1">
        <v>100</v>
      </c>
      <c r="G181" s="4">
        <f t="shared" si="2"/>
        <v>0.1666666667</v>
      </c>
      <c r="H181" s="6">
        <f t="shared" si="3"/>
        <v>30</v>
      </c>
    </row>
    <row r="182" spans="1:8" x14ac:dyDescent="0.25">
      <c r="A182" s="1" t="s">
        <v>510</v>
      </c>
      <c r="B182" s="1">
        <v>48</v>
      </c>
      <c r="D182" s="116">
        <f t="shared" si="0"/>
        <v>55</v>
      </c>
      <c r="E182" s="6">
        <f t="shared" si="1"/>
        <v>60</v>
      </c>
      <c r="F182" s="1">
        <v>100</v>
      </c>
      <c r="G182" s="4">
        <f t="shared" si="2"/>
        <v>0.25</v>
      </c>
      <c r="H182" s="6">
        <f t="shared" si="3"/>
        <v>40</v>
      </c>
    </row>
    <row r="183" spans="1:8" x14ac:dyDescent="0.25">
      <c r="A183" s="1" t="s">
        <v>511</v>
      </c>
      <c r="B183" s="1">
        <v>52</v>
      </c>
      <c r="D183" s="116">
        <f t="shared" si="0"/>
        <v>60</v>
      </c>
      <c r="E183" s="6">
        <f t="shared" si="1"/>
        <v>60</v>
      </c>
      <c r="F183" s="1">
        <v>100</v>
      </c>
      <c r="G183" s="4">
        <f t="shared" si="2"/>
        <v>0.1538461538</v>
      </c>
      <c r="H183" s="6">
        <f t="shared" si="3"/>
        <v>40</v>
      </c>
    </row>
    <row r="184" spans="1:8" x14ac:dyDescent="0.25">
      <c r="A184" s="1" t="s">
        <v>512</v>
      </c>
      <c r="B184" s="1">
        <v>55</v>
      </c>
      <c r="D184" s="116">
        <f t="shared" si="0"/>
        <v>65</v>
      </c>
      <c r="E184" s="6">
        <f t="shared" si="1"/>
        <v>65</v>
      </c>
      <c r="F184" s="1">
        <v>100</v>
      </c>
      <c r="G184" s="4">
        <f t="shared" si="2"/>
        <v>0.1818181818</v>
      </c>
      <c r="H184" s="6">
        <f t="shared" si="3"/>
        <v>35</v>
      </c>
    </row>
    <row r="185" spans="1:8" x14ac:dyDescent="0.25">
      <c r="A185" s="1" t="s">
        <v>513</v>
      </c>
      <c r="B185" s="1">
        <v>60</v>
      </c>
      <c r="D185" s="116">
        <f t="shared" si="0"/>
        <v>70</v>
      </c>
      <c r="E185" s="6">
        <f t="shared" si="1"/>
        <v>70</v>
      </c>
      <c r="F185" s="1">
        <v>100</v>
      </c>
      <c r="G185" s="4">
        <f t="shared" si="2"/>
        <v>0.1666666667</v>
      </c>
      <c r="H185" s="6">
        <f t="shared" si="3"/>
        <v>30</v>
      </c>
    </row>
    <row r="186" spans="1:8" x14ac:dyDescent="0.25">
      <c r="A186" s="1" t="s">
        <v>514</v>
      </c>
      <c r="B186" s="1">
        <v>85</v>
      </c>
      <c r="D186" s="116">
        <f t="shared" si="0"/>
        <v>95</v>
      </c>
      <c r="E186" s="6">
        <f t="shared" si="1"/>
        <v>100</v>
      </c>
      <c r="F186" s="1">
        <v>115</v>
      </c>
      <c r="G186" s="4">
        <f t="shared" si="2"/>
        <v>0.1764705882</v>
      </c>
      <c r="H186" s="6">
        <f t="shared" si="3"/>
        <v>15</v>
      </c>
    </row>
    <row r="187" spans="1:8" x14ac:dyDescent="0.25">
      <c r="A187" s="1" t="s">
        <v>515</v>
      </c>
      <c r="B187" s="1">
        <v>90</v>
      </c>
      <c r="D187" s="116">
        <f t="shared" si="0"/>
        <v>100</v>
      </c>
      <c r="E187" s="6">
        <f t="shared" si="1"/>
        <v>105</v>
      </c>
      <c r="F187" s="1">
        <v>120</v>
      </c>
      <c r="G187" s="4">
        <f t="shared" si="2"/>
        <v>0.1666666667</v>
      </c>
      <c r="H187" s="6">
        <f t="shared" si="3"/>
        <v>15</v>
      </c>
    </row>
    <row r="188" spans="1:8" x14ac:dyDescent="0.25">
      <c r="A188" s="1" t="s">
        <v>516</v>
      </c>
      <c r="B188" s="1">
        <v>95</v>
      </c>
      <c r="D188" s="116">
        <f t="shared" si="0"/>
        <v>105</v>
      </c>
      <c r="E188" s="6">
        <f t="shared" si="1"/>
        <v>110</v>
      </c>
      <c r="F188" s="1">
        <v>125</v>
      </c>
      <c r="G188" s="4">
        <f t="shared" si="2"/>
        <v>0.1578947368</v>
      </c>
      <c r="H188" s="6">
        <f t="shared" si="3"/>
        <v>15</v>
      </c>
    </row>
    <row r="189" spans="1:8" x14ac:dyDescent="0.25">
      <c r="A189" s="1" t="s">
        <v>517</v>
      </c>
      <c r="B189" s="1">
        <v>105</v>
      </c>
      <c r="D189" s="116">
        <f t="shared" si="0"/>
        <v>120</v>
      </c>
      <c r="E189" s="6">
        <f t="shared" si="1"/>
        <v>125</v>
      </c>
      <c r="F189" s="1">
        <v>130</v>
      </c>
      <c r="G189" s="4">
        <f t="shared" si="2"/>
        <v>0.1904761905</v>
      </c>
      <c r="H189" s="6">
        <f t="shared" si="3"/>
        <v>5</v>
      </c>
    </row>
    <row r="190" spans="1:8" x14ac:dyDescent="0.25">
      <c r="A190" s="1" t="s">
        <v>518</v>
      </c>
      <c r="B190" s="1">
        <v>90</v>
      </c>
      <c r="D190" s="116">
        <f t="shared" si="0"/>
        <v>100</v>
      </c>
      <c r="E190" s="6">
        <f t="shared" si="1"/>
        <v>105</v>
      </c>
      <c r="F190" s="1">
        <v>125</v>
      </c>
      <c r="G190" s="4">
        <f t="shared" si="2"/>
        <v>0.1666666667</v>
      </c>
      <c r="H190" s="6">
        <f t="shared" si="3"/>
        <v>20</v>
      </c>
    </row>
    <row r="191" spans="1:8" x14ac:dyDescent="0.25">
      <c r="A191" s="1" t="s">
        <v>519</v>
      </c>
      <c r="B191" s="1">
        <v>95</v>
      </c>
      <c r="D191" s="116">
        <f t="shared" si="0"/>
        <v>105</v>
      </c>
      <c r="E191" s="6">
        <f t="shared" si="1"/>
        <v>110</v>
      </c>
      <c r="F191" s="1">
        <v>130</v>
      </c>
      <c r="G191" s="4">
        <f t="shared" si="2"/>
        <v>0.1578947368</v>
      </c>
      <c r="H191" s="6">
        <f t="shared" si="3"/>
        <v>20</v>
      </c>
    </row>
    <row r="192" spans="1:8" x14ac:dyDescent="0.25">
      <c r="A192" s="1" t="s">
        <v>520</v>
      </c>
      <c r="B192" s="1">
        <v>100</v>
      </c>
      <c r="D192" s="116">
        <f t="shared" si="0"/>
        <v>110</v>
      </c>
      <c r="E192" s="6">
        <f t="shared" si="1"/>
        <v>115</v>
      </c>
      <c r="F192" s="1">
        <v>135</v>
      </c>
      <c r="G192" s="4">
        <f t="shared" si="2"/>
        <v>0.15</v>
      </c>
      <c r="H192" s="6">
        <f t="shared" si="3"/>
        <v>20</v>
      </c>
    </row>
    <row r="193" spans="1:8" x14ac:dyDescent="0.25">
      <c r="A193" s="1" t="s">
        <v>521</v>
      </c>
      <c r="B193" s="1">
        <v>105</v>
      </c>
      <c r="D193" s="116">
        <f t="shared" si="0"/>
        <v>120</v>
      </c>
      <c r="E193" s="6">
        <f t="shared" si="1"/>
        <v>125</v>
      </c>
      <c r="F193" s="1">
        <v>140</v>
      </c>
      <c r="G193" s="4">
        <f t="shared" si="2"/>
        <v>0.1904761905</v>
      </c>
      <c r="H193" s="6">
        <f t="shared" si="3"/>
        <v>15</v>
      </c>
    </row>
    <row r="194" spans="1:8" x14ac:dyDescent="0.25">
      <c r="A194" s="1" t="s">
        <v>522</v>
      </c>
      <c r="B194" s="1">
        <v>45</v>
      </c>
      <c r="D194" s="116">
        <f t="shared" si="0"/>
        <v>50</v>
      </c>
      <c r="E194" s="6">
        <f t="shared" si="1"/>
        <v>55</v>
      </c>
      <c r="F194" s="1">
        <v>85</v>
      </c>
      <c r="G194" s="4">
        <f t="shared" si="2"/>
        <v>0.2222222222</v>
      </c>
      <c r="H194" s="6">
        <f t="shared" si="3"/>
        <v>30</v>
      </c>
    </row>
    <row r="195" spans="1:8" x14ac:dyDescent="0.25">
      <c r="A195" s="1" t="s">
        <v>523</v>
      </c>
      <c r="B195" s="1">
        <v>45</v>
      </c>
      <c r="D195" s="116">
        <f t="shared" si="0"/>
        <v>50</v>
      </c>
      <c r="E195" s="6">
        <f t="shared" si="1"/>
        <v>55</v>
      </c>
      <c r="F195" s="1">
        <v>85</v>
      </c>
      <c r="G195" s="4">
        <f t="shared" si="2"/>
        <v>0.2222222222</v>
      </c>
      <c r="H195" s="6">
        <f t="shared" si="3"/>
        <v>30</v>
      </c>
    </row>
    <row r="196" spans="1:8" x14ac:dyDescent="0.25">
      <c r="A196" s="1" t="s">
        <v>524</v>
      </c>
      <c r="B196" s="1">
        <v>45</v>
      </c>
      <c r="D196" s="116">
        <f t="shared" si="0"/>
        <v>50</v>
      </c>
      <c r="E196" s="6">
        <f t="shared" si="1"/>
        <v>55</v>
      </c>
      <c r="F196" s="1">
        <v>85</v>
      </c>
      <c r="G196" s="4">
        <f t="shared" si="2"/>
        <v>0.2222222222</v>
      </c>
      <c r="H196" s="6">
        <f t="shared" si="3"/>
        <v>30</v>
      </c>
    </row>
    <row r="197" spans="1:8" x14ac:dyDescent="0.25">
      <c r="A197" s="1" t="s">
        <v>525</v>
      </c>
      <c r="B197" s="1">
        <v>45</v>
      </c>
      <c r="D197" s="116">
        <f t="shared" si="0"/>
        <v>50</v>
      </c>
      <c r="E197" s="6">
        <f t="shared" si="1"/>
        <v>55</v>
      </c>
      <c r="F197" s="1">
        <v>85</v>
      </c>
      <c r="G197" s="4">
        <f t="shared" si="2"/>
        <v>0.2222222222</v>
      </c>
      <c r="H197" s="6">
        <f t="shared" si="3"/>
        <v>30</v>
      </c>
    </row>
    <row r="198" spans="1:8" x14ac:dyDescent="0.25">
      <c r="A198" s="1" t="s">
        <v>526</v>
      </c>
      <c r="B198" s="1">
        <v>30</v>
      </c>
      <c r="D198" s="116">
        <f t="shared" si="0"/>
        <v>35</v>
      </c>
      <c r="E198" s="6">
        <f t="shared" si="1"/>
        <v>35</v>
      </c>
      <c r="F198" s="1">
        <v>60</v>
      </c>
      <c r="G198" s="4">
        <f t="shared" si="2"/>
        <v>0.1666666667</v>
      </c>
      <c r="H198" s="6">
        <f t="shared" si="3"/>
        <v>25</v>
      </c>
    </row>
    <row r="199" spans="1:8" x14ac:dyDescent="0.25">
      <c r="A199" s="1" t="s">
        <v>527</v>
      </c>
      <c r="B199" s="1">
        <v>30</v>
      </c>
      <c r="D199" s="116">
        <f t="shared" si="0"/>
        <v>35</v>
      </c>
      <c r="E199" s="6">
        <f t="shared" si="1"/>
        <v>35</v>
      </c>
      <c r="F199" s="1">
        <v>60</v>
      </c>
      <c r="G199" s="4">
        <f t="shared" si="2"/>
        <v>0.1666666667</v>
      </c>
      <c r="H199" s="6">
        <f t="shared" si="3"/>
        <v>25</v>
      </c>
    </row>
    <row r="200" spans="1:8" x14ac:dyDescent="0.25">
      <c r="A200" s="1" t="s">
        <v>528</v>
      </c>
      <c r="B200" s="1">
        <v>30</v>
      </c>
      <c r="D200" s="116">
        <f t="shared" si="0"/>
        <v>35</v>
      </c>
      <c r="E200" s="6">
        <f t="shared" si="1"/>
        <v>35</v>
      </c>
      <c r="F200" s="1">
        <v>60</v>
      </c>
      <c r="G200" s="4">
        <f t="shared" si="2"/>
        <v>0.1666666667</v>
      </c>
      <c r="H200" s="6">
        <f t="shared" si="3"/>
        <v>25</v>
      </c>
    </row>
    <row r="201" spans="1:8" x14ac:dyDescent="0.25">
      <c r="A201" s="1" t="s">
        <v>529</v>
      </c>
      <c r="B201" s="1">
        <v>30</v>
      </c>
      <c r="D201" s="116">
        <f t="shared" si="0"/>
        <v>35</v>
      </c>
      <c r="E201" s="6">
        <f t="shared" si="1"/>
        <v>35</v>
      </c>
      <c r="F201" s="1">
        <v>85</v>
      </c>
      <c r="G201" s="4">
        <f t="shared" si="2"/>
        <v>0.1666666667</v>
      </c>
      <c r="H201" s="6">
        <f t="shared" si="3"/>
        <v>50</v>
      </c>
    </row>
    <row r="202" spans="1:8" x14ac:dyDescent="0.25">
      <c r="A202" s="1" t="s">
        <v>530</v>
      </c>
      <c r="B202" s="1">
        <v>30</v>
      </c>
      <c r="D202" s="116">
        <f t="shared" si="0"/>
        <v>35</v>
      </c>
      <c r="E202" s="6">
        <f t="shared" si="1"/>
        <v>35</v>
      </c>
      <c r="F202" s="1">
        <v>85</v>
      </c>
      <c r="G202" s="4">
        <f t="shared" si="2"/>
        <v>0.1666666667</v>
      </c>
      <c r="H202" s="6">
        <f t="shared" si="3"/>
        <v>50</v>
      </c>
    </row>
    <row r="203" spans="1:8" x14ac:dyDescent="0.25">
      <c r="A203" s="1" t="s">
        <v>531</v>
      </c>
      <c r="B203" s="1">
        <v>30</v>
      </c>
      <c r="D203" s="116">
        <f t="shared" si="0"/>
        <v>35</v>
      </c>
      <c r="E203" s="6">
        <f t="shared" si="1"/>
        <v>35</v>
      </c>
      <c r="F203" s="1">
        <v>85</v>
      </c>
      <c r="G203" s="4">
        <f t="shared" si="2"/>
        <v>0.1666666667</v>
      </c>
      <c r="H203" s="6">
        <f t="shared" si="3"/>
        <v>50</v>
      </c>
    </row>
    <row r="204" spans="1:8" x14ac:dyDescent="0.25">
      <c r="A204" s="1" t="s">
        <v>532</v>
      </c>
      <c r="B204" s="1">
        <v>165</v>
      </c>
      <c r="D204" s="116">
        <f t="shared" si="0"/>
        <v>185</v>
      </c>
      <c r="E204" s="6">
        <f t="shared" si="1"/>
        <v>190</v>
      </c>
      <c r="F204" s="1">
        <v>220</v>
      </c>
      <c r="G204" s="4">
        <f t="shared" si="2"/>
        <v>0.1515151515</v>
      </c>
      <c r="H204" s="6">
        <f t="shared" si="3"/>
        <v>30</v>
      </c>
    </row>
    <row r="205" spans="1:8" x14ac:dyDescent="0.25">
      <c r="A205" s="1" t="s">
        <v>533</v>
      </c>
      <c r="B205" s="1">
        <v>145</v>
      </c>
      <c r="D205" s="116">
        <f t="shared" si="0"/>
        <v>160</v>
      </c>
      <c r="E205" s="6">
        <f t="shared" si="1"/>
        <v>170</v>
      </c>
      <c r="F205" s="1">
        <v>190</v>
      </c>
      <c r="G205" s="4">
        <f t="shared" si="2"/>
        <v>0.1724137931</v>
      </c>
      <c r="H205" s="6">
        <f t="shared" si="3"/>
        <v>20</v>
      </c>
    </row>
    <row r="206" spans="1:8" x14ac:dyDescent="0.25">
      <c r="A206" s="1" t="s">
        <v>534</v>
      </c>
      <c r="B206" s="1">
        <v>155</v>
      </c>
      <c r="D206" s="116">
        <f t="shared" si="0"/>
        <v>175</v>
      </c>
      <c r="E206" s="6">
        <f t="shared" si="1"/>
        <v>180</v>
      </c>
      <c r="F206" s="1">
        <v>200</v>
      </c>
      <c r="G206" s="4">
        <f t="shared" si="2"/>
        <v>0.1612903226</v>
      </c>
      <c r="H206" s="6">
        <f t="shared" si="3"/>
        <v>20</v>
      </c>
    </row>
    <row r="207" spans="1:8" x14ac:dyDescent="0.25">
      <c r="A207" s="1" t="s">
        <v>535</v>
      </c>
      <c r="B207" s="1">
        <v>165</v>
      </c>
      <c r="D207" s="116">
        <f t="shared" si="0"/>
        <v>185</v>
      </c>
      <c r="E207" s="6">
        <f t="shared" si="1"/>
        <v>190</v>
      </c>
      <c r="F207" s="1">
        <v>210</v>
      </c>
      <c r="G207" s="4">
        <f t="shared" si="2"/>
        <v>0.1515151515</v>
      </c>
      <c r="H207" s="6">
        <f t="shared" si="3"/>
        <v>20</v>
      </c>
    </row>
    <row r="208" spans="1:8" x14ac:dyDescent="0.25">
      <c r="A208" s="1" t="s">
        <v>536</v>
      </c>
      <c r="B208" s="1">
        <v>145</v>
      </c>
      <c r="D208" s="116">
        <f t="shared" si="0"/>
        <v>160</v>
      </c>
      <c r="E208" s="6">
        <f t="shared" si="1"/>
        <v>170</v>
      </c>
      <c r="F208" s="1">
        <v>190</v>
      </c>
      <c r="G208" s="4">
        <f t="shared" si="2"/>
        <v>0.1724137931</v>
      </c>
      <c r="H208" s="6">
        <f t="shared" si="3"/>
        <v>20</v>
      </c>
    </row>
    <row r="209" spans="1:8" x14ac:dyDescent="0.25">
      <c r="A209" s="1" t="s">
        <v>537</v>
      </c>
      <c r="B209" s="1">
        <v>155</v>
      </c>
      <c r="D209" s="116">
        <f t="shared" si="0"/>
        <v>175</v>
      </c>
      <c r="E209" s="6">
        <f t="shared" si="1"/>
        <v>180</v>
      </c>
      <c r="F209" s="1">
        <v>200</v>
      </c>
      <c r="G209" s="4">
        <f t="shared" si="2"/>
        <v>0.1612903226</v>
      </c>
      <c r="H209" s="6">
        <f t="shared" si="3"/>
        <v>20</v>
      </c>
    </row>
    <row r="210" spans="1:8" x14ac:dyDescent="0.25">
      <c r="A210" s="1" t="s">
        <v>538</v>
      </c>
      <c r="B210" s="1">
        <v>165</v>
      </c>
      <c r="D210" s="116">
        <f t="shared" si="0"/>
        <v>185</v>
      </c>
      <c r="E210" s="6">
        <f t="shared" si="1"/>
        <v>190</v>
      </c>
      <c r="F210" s="1">
        <v>220</v>
      </c>
      <c r="G210" s="4">
        <f t="shared" si="2"/>
        <v>0.1515151515</v>
      </c>
      <c r="H210" s="6">
        <f t="shared" si="3"/>
        <v>30</v>
      </c>
    </row>
    <row r="211" spans="1:8" x14ac:dyDescent="0.25">
      <c r="A211" s="1" t="s">
        <v>539</v>
      </c>
      <c r="B211" s="1">
        <v>75</v>
      </c>
      <c r="D211" s="116">
        <f t="shared" si="0"/>
        <v>85</v>
      </c>
      <c r="E211" s="6">
        <f t="shared" si="1"/>
        <v>90</v>
      </c>
      <c r="F211" s="1">
        <v>110</v>
      </c>
      <c r="G211" s="4">
        <f t="shared" si="2"/>
        <v>0.2</v>
      </c>
      <c r="H211" s="6">
        <f t="shared" si="3"/>
        <v>20</v>
      </c>
    </row>
    <row r="212" spans="1:8" x14ac:dyDescent="0.25">
      <c r="A212" s="1" t="s">
        <v>540</v>
      </c>
      <c r="B212" s="1">
        <v>80</v>
      </c>
      <c r="D212" s="116">
        <f t="shared" si="0"/>
        <v>90</v>
      </c>
      <c r="E212" s="6">
        <f t="shared" si="1"/>
        <v>95</v>
      </c>
      <c r="F212" s="1">
        <v>115</v>
      </c>
      <c r="G212" s="4">
        <f t="shared" si="2"/>
        <v>0.1875</v>
      </c>
      <c r="H212" s="6">
        <f t="shared" si="3"/>
        <v>20</v>
      </c>
    </row>
    <row r="213" spans="1:8" x14ac:dyDescent="0.25">
      <c r="A213" s="1" t="s">
        <v>541</v>
      </c>
      <c r="B213" s="1">
        <v>85</v>
      </c>
      <c r="D213" s="116">
        <f t="shared" si="0"/>
        <v>95</v>
      </c>
      <c r="E213" s="6">
        <f t="shared" si="1"/>
        <v>100</v>
      </c>
      <c r="F213" s="1">
        <v>120</v>
      </c>
      <c r="G213" s="4">
        <f t="shared" si="2"/>
        <v>0.1764705882</v>
      </c>
      <c r="H213" s="6">
        <f t="shared" si="3"/>
        <v>20</v>
      </c>
    </row>
    <row r="214" spans="1:8" x14ac:dyDescent="0.25">
      <c r="A214" s="1" t="s">
        <v>542</v>
      </c>
      <c r="B214" s="1">
        <v>90</v>
      </c>
      <c r="D214" s="116">
        <f t="shared" si="0"/>
        <v>100</v>
      </c>
      <c r="E214" s="6">
        <f t="shared" si="1"/>
        <v>105</v>
      </c>
      <c r="F214" s="1">
        <v>125</v>
      </c>
      <c r="G214" s="4">
        <f t="shared" si="2"/>
        <v>0.1666666667</v>
      </c>
      <c r="H214" s="6">
        <f t="shared" si="3"/>
        <v>20</v>
      </c>
    </row>
    <row r="215" spans="1:8" x14ac:dyDescent="0.25">
      <c r="A215" s="10" t="s">
        <v>543</v>
      </c>
      <c r="B215" s="1">
        <v>25</v>
      </c>
      <c r="D215" s="116">
        <f t="shared" si="0"/>
        <v>30</v>
      </c>
      <c r="E215" s="6">
        <f t="shared" si="1"/>
        <v>30</v>
      </c>
      <c r="F215" s="1">
        <v>50</v>
      </c>
      <c r="G215" s="4">
        <f t="shared" si="2"/>
        <v>0.2</v>
      </c>
      <c r="H215" s="6">
        <f t="shared" si="3"/>
        <v>20</v>
      </c>
    </row>
    <row r="216" spans="1:8" x14ac:dyDescent="0.25">
      <c r="A216" s="10" t="s">
        <v>544</v>
      </c>
      <c r="B216" s="1">
        <v>25</v>
      </c>
      <c r="D216" s="116">
        <f t="shared" si="0"/>
        <v>30</v>
      </c>
      <c r="E216" s="6">
        <f t="shared" si="1"/>
        <v>30</v>
      </c>
      <c r="F216" s="1">
        <v>50</v>
      </c>
      <c r="G216" s="4">
        <f t="shared" si="2"/>
        <v>0.2</v>
      </c>
      <c r="H216" s="6">
        <f t="shared" si="3"/>
        <v>20</v>
      </c>
    </row>
    <row r="217" spans="1:8" x14ac:dyDescent="0.25">
      <c r="A217" s="10" t="s">
        <v>545</v>
      </c>
      <c r="B217" s="1">
        <v>25</v>
      </c>
      <c r="D217" s="116">
        <f t="shared" si="0"/>
        <v>30</v>
      </c>
      <c r="E217" s="6">
        <f t="shared" si="1"/>
        <v>30</v>
      </c>
      <c r="F217" s="1">
        <v>50</v>
      </c>
      <c r="G217" s="4">
        <f t="shared" si="2"/>
        <v>0.2</v>
      </c>
      <c r="H217" s="6">
        <f t="shared" si="3"/>
        <v>20</v>
      </c>
    </row>
    <row r="218" spans="1:8" x14ac:dyDescent="0.25">
      <c r="A218" s="10" t="s">
        <v>546</v>
      </c>
      <c r="B218" s="1">
        <v>25</v>
      </c>
      <c r="D218" s="116">
        <f t="shared" si="0"/>
        <v>30</v>
      </c>
      <c r="E218" s="6">
        <f t="shared" si="1"/>
        <v>30</v>
      </c>
      <c r="F218" s="1">
        <v>50</v>
      </c>
      <c r="G218" s="4">
        <f t="shared" si="2"/>
        <v>0.2</v>
      </c>
      <c r="H218" s="6">
        <f t="shared" si="3"/>
        <v>20</v>
      </c>
    </row>
    <row r="219" spans="1:8" x14ac:dyDescent="0.25">
      <c r="A219" s="10" t="s">
        <v>547</v>
      </c>
      <c r="B219" s="1">
        <v>20</v>
      </c>
      <c r="D219" s="116">
        <f t="shared" si="0"/>
        <v>25</v>
      </c>
      <c r="E219" s="6">
        <f t="shared" si="1"/>
        <v>25</v>
      </c>
      <c r="F219" s="1">
        <v>50</v>
      </c>
      <c r="G219" s="4">
        <f t="shared" si="2"/>
        <v>0.25</v>
      </c>
      <c r="H219" s="6">
        <f t="shared" si="3"/>
        <v>25</v>
      </c>
    </row>
    <row r="220" spans="1:8" x14ac:dyDescent="0.25">
      <c r="A220" s="10" t="s">
        <v>548</v>
      </c>
      <c r="B220" s="1">
        <v>25</v>
      </c>
      <c r="D220" s="116">
        <f t="shared" si="0"/>
        <v>30</v>
      </c>
      <c r="E220" s="6">
        <f t="shared" si="1"/>
        <v>30</v>
      </c>
      <c r="F220" s="1">
        <v>50</v>
      </c>
      <c r="G220" s="4">
        <f t="shared" si="2"/>
        <v>0.2</v>
      </c>
      <c r="H220" s="6">
        <f t="shared" si="3"/>
        <v>20</v>
      </c>
    </row>
    <row r="221" spans="1:8" x14ac:dyDescent="0.25">
      <c r="A221" s="1" t="s">
        <v>549</v>
      </c>
      <c r="B221" s="1">
        <v>25</v>
      </c>
      <c r="D221" s="116">
        <f t="shared" si="0"/>
        <v>30</v>
      </c>
      <c r="E221" s="6">
        <f t="shared" si="1"/>
        <v>30</v>
      </c>
      <c r="F221" s="1">
        <v>50</v>
      </c>
      <c r="G221" s="4">
        <f t="shared" si="2"/>
        <v>0.2</v>
      </c>
      <c r="H221" s="6">
        <f t="shared" si="3"/>
        <v>20</v>
      </c>
    </row>
    <row r="222" spans="1:8" x14ac:dyDescent="0.25">
      <c r="A222" s="1" t="s">
        <v>550</v>
      </c>
      <c r="B222" s="1">
        <v>8</v>
      </c>
      <c r="D222" s="116">
        <f t="shared" si="0"/>
        <v>10</v>
      </c>
      <c r="E222" s="6">
        <f t="shared" si="1"/>
        <v>10</v>
      </c>
      <c r="F222" s="1">
        <v>30</v>
      </c>
      <c r="G222" s="4">
        <f t="shared" si="2"/>
        <v>0.25</v>
      </c>
      <c r="H222" s="6">
        <f t="shared" si="3"/>
        <v>20</v>
      </c>
    </row>
    <row r="223" spans="1:8" x14ac:dyDescent="0.25">
      <c r="A223" s="1" t="s">
        <v>551</v>
      </c>
      <c r="B223" s="1">
        <v>14.5</v>
      </c>
      <c r="D223" s="116">
        <f t="shared" si="0"/>
        <v>20</v>
      </c>
      <c r="E223" s="6">
        <f t="shared" si="1"/>
        <v>20</v>
      </c>
      <c r="F223" s="1">
        <v>40</v>
      </c>
      <c r="G223" s="4">
        <f t="shared" si="2"/>
        <v>0.3793103448</v>
      </c>
      <c r="H223" s="6">
        <f t="shared" si="3"/>
        <v>20</v>
      </c>
    </row>
    <row r="224" spans="1:8" x14ac:dyDescent="0.25">
      <c r="A224" s="10" t="s">
        <v>552</v>
      </c>
      <c r="B224" s="1">
        <v>20</v>
      </c>
      <c r="D224" s="116">
        <f t="shared" si="0"/>
        <v>25</v>
      </c>
      <c r="E224" s="6">
        <f t="shared" si="1"/>
        <v>25</v>
      </c>
      <c r="F224" s="1">
        <v>50</v>
      </c>
      <c r="G224" s="4">
        <f t="shared" si="2"/>
        <v>0.25</v>
      </c>
      <c r="H224" s="6">
        <f t="shared" si="3"/>
        <v>25</v>
      </c>
    </row>
    <row r="225" spans="1:8" x14ac:dyDescent="0.25">
      <c r="A225" s="10" t="s">
        <v>553</v>
      </c>
      <c r="B225" s="1">
        <v>20</v>
      </c>
      <c r="D225" s="116">
        <f t="shared" si="0"/>
        <v>25</v>
      </c>
      <c r="E225" s="6">
        <f t="shared" si="1"/>
        <v>25</v>
      </c>
      <c r="F225" s="1">
        <v>50</v>
      </c>
      <c r="G225" s="4">
        <f t="shared" si="2"/>
        <v>0.25</v>
      </c>
      <c r="H225" s="6">
        <f t="shared" si="3"/>
        <v>25</v>
      </c>
    </row>
    <row r="226" spans="1:8" x14ac:dyDescent="0.25">
      <c r="A226" s="1" t="s">
        <v>554</v>
      </c>
      <c r="B226" s="1">
        <v>20</v>
      </c>
      <c r="D226" s="116">
        <f t="shared" si="0"/>
        <v>25</v>
      </c>
      <c r="E226" s="6">
        <f t="shared" si="1"/>
        <v>25</v>
      </c>
      <c r="F226" s="1">
        <v>50</v>
      </c>
      <c r="G226" s="4">
        <f t="shared" si="2"/>
        <v>0.25</v>
      </c>
      <c r="H226" s="6">
        <f t="shared" si="3"/>
        <v>25</v>
      </c>
    </row>
    <row r="227" spans="1:8" x14ac:dyDescent="0.25">
      <c r="A227" s="62" t="s">
        <v>555</v>
      </c>
      <c r="B227" s="120">
        <v>20</v>
      </c>
      <c r="D227" s="116">
        <f t="shared" si="0"/>
        <v>25</v>
      </c>
      <c r="E227" s="6">
        <f t="shared" si="1"/>
        <v>25</v>
      </c>
      <c r="F227" s="1">
        <v>50</v>
      </c>
      <c r="G227" s="4">
        <f t="shared" si="2"/>
        <v>0.25</v>
      </c>
      <c r="H227" s="6">
        <f t="shared" si="3"/>
        <v>25</v>
      </c>
    </row>
    <row r="228" spans="1:8" x14ac:dyDescent="0.25">
      <c r="A228" s="16" t="s">
        <v>556</v>
      </c>
      <c r="B228" s="120">
        <v>14</v>
      </c>
      <c r="D228" s="116">
        <f t="shared" si="0"/>
        <v>20</v>
      </c>
      <c r="E228" s="6">
        <f t="shared" si="1"/>
        <v>20</v>
      </c>
      <c r="F228" s="1">
        <v>45</v>
      </c>
      <c r="G228" s="4">
        <f t="shared" si="2"/>
        <v>0.4285714286</v>
      </c>
      <c r="H228" s="6">
        <f t="shared" si="3"/>
        <v>25</v>
      </c>
    </row>
    <row r="229" spans="1:8" x14ac:dyDescent="0.25">
      <c r="A229" s="16" t="s">
        <v>557</v>
      </c>
      <c r="B229" s="120">
        <v>42</v>
      </c>
      <c r="D229" s="116">
        <f t="shared" si="0"/>
        <v>50</v>
      </c>
      <c r="E229" s="6">
        <f t="shared" si="1"/>
        <v>50</v>
      </c>
      <c r="F229" s="1">
        <v>65</v>
      </c>
      <c r="G229" s="4">
        <f t="shared" si="2"/>
        <v>0.1904761905</v>
      </c>
      <c r="H229" s="6">
        <f t="shared" si="3"/>
        <v>15</v>
      </c>
    </row>
    <row r="230" spans="1:8" x14ac:dyDescent="0.25">
      <c r="A230" s="16" t="s">
        <v>558</v>
      </c>
      <c r="B230" s="121">
        <v>20</v>
      </c>
      <c r="D230" s="116">
        <f t="shared" si="0"/>
        <v>25</v>
      </c>
      <c r="E230" s="6">
        <f t="shared" si="1"/>
        <v>25</v>
      </c>
      <c r="F230" s="1">
        <v>60</v>
      </c>
      <c r="G230" s="4">
        <f t="shared" si="2"/>
        <v>0.25</v>
      </c>
      <c r="H230" s="6">
        <f t="shared" si="3"/>
        <v>35</v>
      </c>
    </row>
    <row r="231" spans="1:8" x14ac:dyDescent="0.25">
      <c r="A231" s="1" t="s">
        <v>559</v>
      </c>
      <c r="B231" s="1">
        <v>52</v>
      </c>
      <c r="D231" s="116">
        <f t="shared" si="0"/>
        <v>60</v>
      </c>
      <c r="E231" s="6">
        <f t="shared" si="1"/>
        <v>60</v>
      </c>
      <c r="F231" s="1">
        <v>80</v>
      </c>
      <c r="G231" s="4">
        <f t="shared" si="2"/>
        <v>0.1538461538</v>
      </c>
      <c r="H231" s="6">
        <f t="shared" si="3"/>
        <v>20</v>
      </c>
    </row>
    <row r="232" spans="1:8" x14ac:dyDescent="0.25">
      <c r="A232" s="1" t="s">
        <v>560</v>
      </c>
      <c r="B232" s="1">
        <v>57</v>
      </c>
      <c r="D232" s="116">
        <f t="shared" si="0"/>
        <v>65</v>
      </c>
      <c r="E232" s="6">
        <f t="shared" si="1"/>
        <v>70</v>
      </c>
      <c r="F232" s="1">
        <v>80</v>
      </c>
      <c r="G232" s="4">
        <f t="shared" si="2"/>
        <v>0.2280701754</v>
      </c>
      <c r="H232" s="6">
        <f t="shared" si="3"/>
        <v>10</v>
      </c>
    </row>
    <row r="233" spans="1:8" x14ac:dyDescent="0.25">
      <c r="A233" s="1" t="s">
        <v>561</v>
      </c>
      <c r="B233" s="1">
        <v>57</v>
      </c>
      <c r="D233" s="116">
        <f t="shared" si="0"/>
        <v>65</v>
      </c>
      <c r="E233" s="6">
        <f t="shared" si="1"/>
        <v>70</v>
      </c>
      <c r="F233" s="1">
        <v>80</v>
      </c>
      <c r="G233" s="4">
        <f t="shared" si="2"/>
        <v>0.2280701754</v>
      </c>
      <c r="H233" s="6">
        <f t="shared" si="3"/>
        <v>10</v>
      </c>
    </row>
    <row r="234" spans="1:8" x14ac:dyDescent="0.25">
      <c r="A234" s="1" t="s">
        <v>562</v>
      </c>
      <c r="B234" s="1">
        <v>42</v>
      </c>
      <c r="D234" s="116">
        <f t="shared" si="0"/>
        <v>50</v>
      </c>
      <c r="E234" s="6">
        <f t="shared" si="1"/>
        <v>50</v>
      </c>
      <c r="F234" s="1">
        <v>65</v>
      </c>
      <c r="G234" s="4">
        <f t="shared" si="2"/>
        <v>0.1904761905</v>
      </c>
      <c r="H234" s="6">
        <f t="shared" si="3"/>
        <v>15</v>
      </c>
    </row>
    <row r="235" spans="1:8" x14ac:dyDescent="0.25">
      <c r="A235" s="1" t="s">
        <v>563</v>
      </c>
      <c r="B235" s="1">
        <v>22</v>
      </c>
      <c r="D235" s="116">
        <f t="shared" si="0"/>
        <v>25</v>
      </c>
      <c r="E235" s="6">
        <f t="shared" si="1"/>
        <v>30</v>
      </c>
      <c r="F235" s="1">
        <v>50</v>
      </c>
      <c r="G235" s="4">
        <f t="shared" si="2"/>
        <v>0.3636363636</v>
      </c>
      <c r="H235" s="6">
        <f t="shared" si="3"/>
        <v>20</v>
      </c>
    </row>
    <row r="236" spans="1:8" x14ac:dyDescent="0.25">
      <c r="A236" s="1" t="s">
        <v>564</v>
      </c>
      <c r="B236" s="1">
        <v>25</v>
      </c>
      <c r="D236" s="116">
        <f t="shared" si="0"/>
        <v>30</v>
      </c>
      <c r="E236" s="6">
        <f t="shared" si="1"/>
        <v>30</v>
      </c>
      <c r="F236" s="1">
        <v>50</v>
      </c>
      <c r="G236" s="4">
        <f t="shared" si="2"/>
        <v>0.2</v>
      </c>
      <c r="H236" s="6">
        <f t="shared" si="3"/>
        <v>20</v>
      </c>
    </row>
    <row r="237" spans="1:8" x14ac:dyDescent="0.25">
      <c r="A237" s="1" t="s">
        <v>565</v>
      </c>
      <c r="B237" s="1">
        <v>20</v>
      </c>
      <c r="D237" s="116">
        <f t="shared" si="0"/>
        <v>25</v>
      </c>
      <c r="E237" s="6">
        <f t="shared" si="1"/>
        <v>25</v>
      </c>
      <c r="F237" s="1">
        <v>50</v>
      </c>
      <c r="G237" s="4">
        <f t="shared" si="2"/>
        <v>0.25</v>
      </c>
      <c r="H237" s="6">
        <f t="shared" si="3"/>
        <v>25</v>
      </c>
    </row>
    <row r="238" spans="1:8" x14ac:dyDescent="0.25">
      <c r="A238" s="1" t="s">
        <v>566</v>
      </c>
      <c r="B238" s="1">
        <v>25</v>
      </c>
      <c r="D238" s="116">
        <f t="shared" si="0"/>
        <v>30</v>
      </c>
      <c r="E238" s="6">
        <f t="shared" si="1"/>
        <v>30</v>
      </c>
      <c r="F238" s="1">
        <v>50</v>
      </c>
      <c r="G238" s="4">
        <f t="shared" si="2"/>
        <v>0.2</v>
      </c>
      <c r="H238" s="6">
        <f t="shared" si="3"/>
        <v>20</v>
      </c>
    </row>
    <row r="239" spans="1:8" x14ac:dyDescent="0.25">
      <c r="A239" s="1" t="s">
        <v>567</v>
      </c>
      <c r="B239" s="1">
        <v>25</v>
      </c>
      <c r="D239" s="116">
        <f t="shared" si="0"/>
        <v>30</v>
      </c>
      <c r="E239" s="6">
        <f t="shared" si="1"/>
        <v>30</v>
      </c>
      <c r="F239" s="1">
        <v>50</v>
      </c>
      <c r="G239" s="4">
        <f t="shared" si="2"/>
        <v>0.2</v>
      </c>
      <c r="H239" s="6">
        <f t="shared" si="3"/>
        <v>20</v>
      </c>
    </row>
    <row r="240" spans="1:8" x14ac:dyDescent="0.25">
      <c r="A240" s="1" t="s">
        <v>568</v>
      </c>
      <c r="B240" s="1">
        <v>36</v>
      </c>
      <c r="D240" s="116">
        <f t="shared" si="0"/>
        <v>40</v>
      </c>
      <c r="E240" s="6">
        <f t="shared" si="1"/>
        <v>45</v>
      </c>
      <c r="F240" s="1">
        <v>65</v>
      </c>
      <c r="G240" s="4">
        <f t="shared" si="2"/>
        <v>0.25</v>
      </c>
      <c r="H240" s="6">
        <f t="shared" si="3"/>
        <v>20</v>
      </c>
    </row>
    <row r="241" spans="1:8" x14ac:dyDescent="0.25">
      <c r="A241" s="1" t="s">
        <v>569</v>
      </c>
      <c r="B241" s="1">
        <v>42</v>
      </c>
      <c r="D241" s="116">
        <f t="shared" si="0"/>
        <v>50</v>
      </c>
      <c r="E241" s="6">
        <f t="shared" si="1"/>
        <v>50</v>
      </c>
      <c r="F241" s="1">
        <v>65</v>
      </c>
      <c r="G241" s="4">
        <f t="shared" si="2"/>
        <v>0.1904761905</v>
      </c>
      <c r="H241" s="6">
        <f t="shared" si="3"/>
        <v>15</v>
      </c>
    </row>
    <row r="242" spans="1:8" x14ac:dyDescent="0.25">
      <c r="A242" s="1" t="s">
        <v>570</v>
      </c>
      <c r="B242" s="1">
        <v>6</v>
      </c>
      <c r="D242" s="116">
        <f t="shared" si="0"/>
        <v>10</v>
      </c>
      <c r="E242" s="6">
        <f t="shared" si="1"/>
        <v>10</v>
      </c>
      <c r="F242" s="1">
        <v>19</v>
      </c>
      <c r="G242" s="4">
        <f t="shared" si="2"/>
        <v>0.6666666667</v>
      </c>
      <c r="H242" s="6">
        <f t="shared" si="3"/>
        <v>9</v>
      </c>
    </row>
    <row r="243" spans="1:8" x14ac:dyDescent="0.25">
      <c r="A243" s="1" t="s">
        <v>571</v>
      </c>
      <c r="B243" s="1">
        <v>14</v>
      </c>
      <c r="D243" s="116">
        <f t="shared" si="0"/>
        <v>20</v>
      </c>
      <c r="E243" s="6">
        <f t="shared" si="1"/>
        <v>20</v>
      </c>
      <c r="F243" s="1">
        <v>35</v>
      </c>
      <c r="G243" s="4">
        <f t="shared" si="2"/>
        <v>0.4285714286</v>
      </c>
      <c r="H243" s="6">
        <f t="shared" si="3"/>
        <v>15</v>
      </c>
    </row>
    <row r="244" spans="1:8" x14ac:dyDescent="0.25">
      <c r="A244" s="1" t="s">
        <v>572</v>
      </c>
      <c r="B244" s="1">
        <v>12</v>
      </c>
      <c r="D244" s="116">
        <f t="shared" si="0"/>
        <v>15</v>
      </c>
      <c r="E244" s="6">
        <f t="shared" si="1"/>
        <v>15</v>
      </c>
      <c r="F244" s="1">
        <v>35</v>
      </c>
      <c r="G244" s="4">
        <f t="shared" si="2"/>
        <v>0.25</v>
      </c>
      <c r="H244" s="6">
        <f t="shared" si="3"/>
        <v>20</v>
      </c>
    </row>
    <row r="245" spans="1:8" x14ac:dyDescent="0.25">
      <c r="A245" s="1" t="s">
        <v>573</v>
      </c>
      <c r="B245" s="1">
        <v>11</v>
      </c>
      <c r="D245" s="116">
        <f t="shared" si="0"/>
        <v>15</v>
      </c>
      <c r="E245" s="6">
        <f t="shared" si="1"/>
        <v>15</v>
      </c>
      <c r="F245" s="1">
        <v>35</v>
      </c>
      <c r="G245" s="4">
        <f t="shared" si="2"/>
        <v>0.3636363636</v>
      </c>
      <c r="H245" s="6">
        <f t="shared" si="3"/>
        <v>20</v>
      </c>
    </row>
    <row r="246" spans="1:8" x14ac:dyDescent="0.25">
      <c r="A246" s="1" t="s">
        <v>574</v>
      </c>
      <c r="B246" s="1">
        <v>18.34</v>
      </c>
      <c r="D246" s="116">
        <f t="shared" si="0"/>
        <v>25</v>
      </c>
      <c r="E246" s="6">
        <f t="shared" si="1"/>
        <v>25</v>
      </c>
      <c r="F246" s="1">
        <v>50</v>
      </c>
      <c r="G246" s="4">
        <f t="shared" si="2"/>
        <v>0.3631406761</v>
      </c>
      <c r="H246" s="6">
        <f t="shared" si="3"/>
        <v>25</v>
      </c>
    </row>
    <row r="247" spans="1:8" x14ac:dyDescent="0.25">
      <c r="A247" s="10" t="s">
        <v>575</v>
      </c>
      <c r="B247" s="1">
        <v>155</v>
      </c>
      <c r="D247" s="116">
        <f t="shared" si="0"/>
        <v>175</v>
      </c>
      <c r="E247" s="6">
        <f t="shared" si="1"/>
        <v>180</v>
      </c>
      <c r="F247" s="1">
        <v>210</v>
      </c>
      <c r="G247" s="4">
        <f t="shared" si="2"/>
        <v>0.1612903226</v>
      </c>
      <c r="H247" s="6">
        <f t="shared" si="3"/>
        <v>30</v>
      </c>
    </row>
    <row r="248" spans="1:8" x14ac:dyDescent="0.25">
      <c r="A248" s="10" t="s">
        <v>578</v>
      </c>
      <c r="B248" s="1">
        <v>165</v>
      </c>
      <c r="D248" s="116">
        <f t="shared" si="0"/>
        <v>185</v>
      </c>
      <c r="E248" s="6">
        <f t="shared" si="1"/>
        <v>190</v>
      </c>
      <c r="F248" s="6">
        <f t="shared" ref="F248:F250" si="6">CEILING(B248*1.3,5)</f>
        <v>215</v>
      </c>
      <c r="G248" s="4">
        <f t="shared" si="2"/>
        <v>0.1515151515</v>
      </c>
      <c r="H248" s="6">
        <f t="shared" si="3"/>
        <v>25</v>
      </c>
    </row>
    <row r="249" spans="1:8" x14ac:dyDescent="0.25">
      <c r="A249" s="10" t="s">
        <v>581</v>
      </c>
      <c r="B249" s="1">
        <v>175</v>
      </c>
      <c r="D249" s="116">
        <f t="shared" si="0"/>
        <v>195</v>
      </c>
      <c r="E249" s="6">
        <f t="shared" si="1"/>
        <v>205</v>
      </c>
      <c r="F249" s="6">
        <f t="shared" si="6"/>
        <v>230</v>
      </c>
      <c r="G249" s="4">
        <f t="shared" si="2"/>
        <v>0.1714285714</v>
      </c>
      <c r="H249" s="6">
        <f t="shared" si="3"/>
        <v>25</v>
      </c>
    </row>
    <row r="250" spans="1:8" x14ac:dyDescent="0.25">
      <c r="A250" s="10" t="s">
        <v>584</v>
      </c>
      <c r="B250" s="1">
        <v>185</v>
      </c>
      <c r="D250" s="116">
        <f t="shared" si="0"/>
        <v>205</v>
      </c>
      <c r="E250" s="6">
        <f t="shared" si="1"/>
        <v>215</v>
      </c>
      <c r="F250" s="6">
        <f t="shared" si="6"/>
        <v>245</v>
      </c>
      <c r="G250" s="4">
        <f t="shared" si="2"/>
        <v>0.1621621622</v>
      </c>
      <c r="H250" s="6">
        <f t="shared" si="3"/>
        <v>30</v>
      </c>
    </row>
    <row r="251" spans="1:8" x14ac:dyDescent="0.25">
      <c r="A251" s="1" t="s">
        <v>587</v>
      </c>
      <c r="B251" s="1">
        <v>95</v>
      </c>
      <c r="D251" s="116">
        <f t="shared" si="0"/>
        <v>105</v>
      </c>
      <c r="E251" s="6">
        <f t="shared" si="1"/>
        <v>110</v>
      </c>
      <c r="F251" s="1">
        <v>125</v>
      </c>
      <c r="G251" s="4">
        <f t="shared" si="2"/>
        <v>0.1578947368</v>
      </c>
      <c r="H251" s="6">
        <f t="shared" si="3"/>
        <v>15</v>
      </c>
    </row>
    <row r="252" spans="1:8" x14ac:dyDescent="0.25">
      <c r="A252" s="10" t="s">
        <v>588</v>
      </c>
      <c r="B252" s="1">
        <v>175</v>
      </c>
      <c r="D252" s="116">
        <f t="shared" si="0"/>
        <v>195</v>
      </c>
      <c r="E252" s="6">
        <f t="shared" si="1"/>
        <v>205</v>
      </c>
      <c r="F252" s="1">
        <v>220</v>
      </c>
      <c r="G252" s="4">
        <f t="shared" si="2"/>
        <v>0.1714285714</v>
      </c>
      <c r="H252" s="6">
        <f t="shared" si="3"/>
        <v>15</v>
      </c>
    </row>
    <row r="253" spans="1:8" x14ac:dyDescent="0.25">
      <c r="A253" s="1" t="s">
        <v>589</v>
      </c>
      <c r="B253" s="1">
        <v>75</v>
      </c>
      <c r="D253" s="116">
        <f t="shared" si="0"/>
        <v>85</v>
      </c>
      <c r="E253" s="6">
        <f t="shared" si="1"/>
        <v>90</v>
      </c>
      <c r="F253" s="1">
        <v>105</v>
      </c>
      <c r="G253" s="4">
        <f t="shared" si="2"/>
        <v>0.2</v>
      </c>
      <c r="H253" s="6">
        <f t="shared" si="3"/>
        <v>15</v>
      </c>
    </row>
    <row r="254" spans="1:8" x14ac:dyDescent="0.25">
      <c r="A254" s="1" t="s">
        <v>590</v>
      </c>
      <c r="B254" s="1">
        <v>70</v>
      </c>
      <c r="D254" s="116">
        <f t="shared" si="0"/>
        <v>80</v>
      </c>
      <c r="E254" s="6">
        <f t="shared" si="1"/>
        <v>85</v>
      </c>
      <c r="F254" s="1">
        <v>99</v>
      </c>
      <c r="G254" s="4">
        <f t="shared" si="2"/>
        <v>0.2142857143</v>
      </c>
      <c r="H254" s="6">
        <f t="shared" si="3"/>
        <v>14</v>
      </c>
    </row>
    <row r="255" spans="1:8" x14ac:dyDescent="0.25">
      <c r="A255" s="1" t="s">
        <v>591</v>
      </c>
      <c r="B255" s="1">
        <v>67</v>
      </c>
      <c r="D255" s="116">
        <f t="shared" si="0"/>
        <v>75</v>
      </c>
      <c r="E255" s="6">
        <f t="shared" si="1"/>
        <v>80</v>
      </c>
      <c r="F255" s="1">
        <v>60</v>
      </c>
      <c r="G255" s="4">
        <f t="shared" si="2"/>
        <v>0.1940298507</v>
      </c>
      <c r="H255" s="6">
        <f t="shared" si="3"/>
        <v>-20</v>
      </c>
    </row>
    <row r="256" spans="1:8" x14ac:dyDescent="0.25">
      <c r="A256" s="1" t="s">
        <v>592</v>
      </c>
      <c r="B256" s="1">
        <v>53</v>
      </c>
      <c r="D256" s="116">
        <f t="shared" si="0"/>
        <v>60</v>
      </c>
      <c r="E256" s="6">
        <f t="shared" si="1"/>
        <v>65</v>
      </c>
      <c r="F256" s="1">
        <v>80</v>
      </c>
      <c r="G256" s="4">
        <f t="shared" si="2"/>
        <v>0.2264150943</v>
      </c>
      <c r="H256" s="6">
        <f t="shared" si="3"/>
        <v>15</v>
      </c>
    </row>
    <row r="257" spans="1:8" x14ac:dyDescent="0.25">
      <c r="A257" s="1" t="s">
        <v>593</v>
      </c>
      <c r="B257" s="1">
        <v>15</v>
      </c>
      <c r="D257" s="116">
        <f t="shared" si="0"/>
        <v>20</v>
      </c>
      <c r="E257" s="6">
        <f t="shared" si="1"/>
        <v>20</v>
      </c>
      <c r="F257" s="1">
        <v>45</v>
      </c>
      <c r="G257" s="4">
        <f t="shared" si="2"/>
        <v>0.3333333333</v>
      </c>
      <c r="H257" s="6">
        <f t="shared" si="3"/>
        <v>25</v>
      </c>
    </row>
    <row r="258" spans="1:8" x14ac:dyDescent="0.25">
      <c r="A258" s="1" t="s">
        <v>594</v>
      </c>
      <c r="B258" s="1">
        <v>98</v>
      </c>
      <c r="D258" s="116">
        <f t="shared" si="0"/>
        <v>110</v>
      </c>
      <c r="E258" s="6">
        <f t="shared" si="1"/>
        <v>115</v>
      </c>
      <c r="F258" s="1">
        <v>130</v>
      </c>
      <c r="G258" s="4">
        <f t="shared" si="2"/>
        <v>0.1734693878</v>
      </c>
      <c r="H258" s="6">
        <f t="shared" si="3"/>
        <v>15</v>
      </c>
    </row>
    <row r="259" spans="1:8" x14ac:dyDescent="0.25">
      <c r="A259" s="10" t="s">
        <v>595</v>
      </c>
      <c r="B259" s="1">
        <v>29</v>
      </c>
      <c r="D259" s="116">
        <f t="shared" si="0"/>
        <v>35</v>
      </c>
      <c r="E259" s="6">
        <f t="shared" si="1"/>
        <v>35</v>
      </c>
      <c r="F259" s="6">
        <f>CEILING(B259*1.3,5)</f>
        <v>40</v>
      </c>
      <c r="G259" s="4">
        <f t="shared" si="2"/>
        <v>0.2068965517</v>
      </c>
      <c r="H259" s="6">
        <f t="shared" si="3"/>
        <v>5</v>
      </c>
    </row>
    <row r="260" spans="1:8" x14ac:dyDescent="0.25">
      <c r="A260" s="1" t="s">
        <v>596</v>
      </c>
      <c r="B260" s="1">
        <v>35</v>
      </c>
      <c r="D260" s="116">
        <f t="shared" si="0"/>
        <v>40</v>
      </c>
      <c r="E260" s="6">
        <f t="shared" si="1"/>
        <v>45</v>
      </c>
      <c r="F260" s="1">
        <v>60</v>
      </c>
      <c r="G260" s="4">
        <f t="shared" si="2"/>
        <v>0.2857142857</v>
      </c>
      <c r="H260" s="6">
        <f t="shared" si="3"/>
        <v>15</v>
      </c>
    </row>
    <row r="261" spans="1:8" x14ac:dyDescent="0.25">
      <c r="A261" s="1" t="s">
        <v>597</v>
      </c>
      <c r="B261" s="1">
        <v>85</v>
      </c>
      <c r="D261" s="116">
        <f t="shared" si="0"/>
        <v>95</v>
      </c>
      <c r="E261" s="6">
        <f t="shared" si="1"/>
        <v>100</v>
      </c>
      <c r="F261" s="1">
        <v>130</v>
      </c>
      <c r="G261" s="4">
        <f t="shared" si="2"/>
        <v>0.1764705882</v>
      </c>
      <c r="H261" s="6">
        <f t="shared" si="3"/>
        <v>30</v>
      </c>
    </row>
    <row r="262" spans="1:8" x14ac:dyDescent="0.25">
      <c r="A262" s="1" t="s">
        <v>598</v>
      </c>
      <c r="B262" s="1">
        <v>30</v>
      </c>
      <c r="D262" s="116">
        <f t="shared" si="0"/>
        <v>35</v>
      </c>
      <c r="E262" s="6">
        <f t="shared" si="1"/>
        <v>35</v>
      </c>
      <c r="F262" s="1">
        <v>99</v>
      </c>
      <c r="G262" s="4">
        <f t="shared" si="2"/>
        <v>0.1666666667</v>
      </c>
      <c r="H262" s="6">
        <f t="shared" si="3"/>
        <v>64</v>
      </c>
    </row>
    <row r="263" spans="1:8" x14ac:dyDescent="0.25">
      <c r="A263" s="10" t="s">
        <v>599</v>
      </c>
      <c r="B263" s="1">
        <v>50</v>
      </c>
      <c r="D263" s="116">
        <f t="shared" si="0"/>
        <v>55</v>
      </c>
      <c r="E263" s="6">
        <f t="shared" si="1"/>
        <v>60</v>
      </c>
      <c r="F263" s="1">
        <v>120</v>
      </c>
      <c r="G263" s="4">
        <f t="shared" si="2"/>
        <v>0.2</v>
      </c>
      <c r="H263" s="6">
        <f t="shared" si="3"/>
        <v>60</v>
      </c>
    </row>
    <row r="264" spans="1:8" x14ac:dyDescent="0.25">
      <c r="A264" s="1" t="s">
        <v>600</v>
      </c>
      <c r="B264" s="1">
        <v>105</v>
      </c>
      <c r="D264" s="116">
        <f t="shared" si="0"/>
        <v>120</v>
      </c>
      <c r="E264" s="6">
        <f t="shared" si="1"/>
        <v>125</v>
      </c>
      <c r="F264" s="1">
        <v>150</v>
      </c>
      <c r="G264" s="4">
        <f t="shared" si="2"/>
        <v>0.1904761905</v>
      </c>
      <c r="H264" s="6">
        <f t="shared" si="3"/>
        <v>25</v>
      </c>
    </row>
    <row r="265" spans="1:8" x14ac:dyDescent="0.25">
      <c r="A265" s="1" t="s">
        <v>601</v>
      </c>
      <c r="B265" s="1">
        <v>38</v>
      </c>
      <c r="D265" s="116">
        <f t="shared" si="0"/>
        <v>45</v>
      </c>
      <c r="E265" s="6">
        <f t="shared" si="1"/>
        <v>45</v>
      </c>
      <c r="F265" s="1">
        <v>65</v>
      </c>
      <c r="G265" s="4">
        <f t="shared" si="2"/>
        <v>0.1842105263</v>
      </c>
      <c r="H265" s="6">
        <f t="shared" si="3"/>
        <v>20</v>
      </c>
    </row>
    <row r="266" spans="1:8" x14ac:dyDescent="0.25">
      <c r="A266" s="1" t="s">
        <v>602</v>
      </c>
      <c r="B266" s="1">
        <v>39</v>
      </c>
      <c r="D266" s="116">
        <f t="shared" si="0"/>
        <v>45</v>
      </c>
      <c r="E266" s="6">
        <f t="shared" si="1"/>
        <v>45</v>
      </c>
      <c r="F266" s="1">
        <v>65</v>
      </c>
      <c r="G266" s="4">
        <f t="shared" si="2"/>
        <v>0.1538461538</v>
      </c>
      <c r="H266" s="6">
        <f t="shared" si="3"/>
        <v>20</v>
      </c>
    </row>
    <row r="267" spans="1:8" x14ac:dyDescent="0.25">
      <c r="A267" s="1" t="s">
        <v>603</v>
      </c>
      <c r="B267" s="1">
        <v>40</v>
      </c>
      <c r="D267" s="116">
        <f t="shared" si="0"/>
        <v>45</v>
      </c>
      <c r="E267" s="6">
        <f t="shared" si="1"/>
        <v>50</v>
      </c>
      <c r="F267" s="1">
        <v>65</v>
      </c>
      <c r="G267" s="4">
        <f t="shared" si="2"/>
        <v>0.25</v>
      </c>
      <c r="H267" s="6">
        <f t="shared" si="3"/>
        <v>15</v>
      </c>
    </row>
    <row r="268" spans="1:8" x14ac:dyDescent="0.25">
      <c r="A268" s="1" t="s">
        <v>604</v>
      </c>
      <c r="B268" s="1">
        <v>41</v>
      </c>
      <c r="D268" s="116">
        <f t="shared" si="0"/>
        <v>50</v>
      </c>
      <c r="E268" s="6">
        <f t="shared" si="1"/>
        <v>50</v>
      </c>
      <c r="F268" s="1">
        <v>65</v>
      </c>
      <c r="G268" s="4">
        <f t="shared" si="2"/>
        <v>0.2195121951</v>
      </c>
      <c r="H268" s="6">
        <f t="shared" si="3"/>
        <v>15</v>
      </c>
    </row>
    <row r="269" spans="1:8" x14ac:dyDescent="0.25">
      <c r="A269" s="1" t="s">
        <v>605</v>
      </c>
      <c r="B269" s="1">
        <v>43</v>
      </c>
      <c r="D269" s="116">
        <f t="shared" si="0"/>
        <v>50</v>
      </c>
      <c r="E269" s="6">
        <f t="shared" si="1"/>
        <v>50</v>
      </c>
      <c r="F269" s="1">
        <v>70</v>
      </c>
      <c r="G269" s="4">
        <f t="shared" si="2"/>
        <v>0.1627906977</v>
      </c>
      <c r="H269" s="6">
        <f t="shared" si="3"/>
        <v>20</v>
      </c>
    </row>
    <row r="270" spans="1:8" x14ac:dyDescent="0.25">
      <c r="A270" s="1" t="s">
        <v>606</v>
      </c>
      <c r="B270" s="1">
        <v>45</v>
      </c>
      <c r="D270" s="116">
        <f t="shared" si="0"/>
        <v>50</v>
      </c>
      <c r="E270" s="6">
        <f t="shared" si="1"/>
        <v>55</v>
      </c>
      <c r="F270" s="1">
        <v>70</v>
      </c>
      <c r="G270" s="4">
        <f t="shared" si="2"/>
        <v>0.2222222222</v>
      </c>
      <c r="H270" s="6">
        <f t="shared" si="3"/>
        <v>15</v>
      </c>
    </row>
    <row r="271" spans="1:8" x14ac:dyDescent="0.25">
      <c r="A271" s="1" t="s">
        <v>607</v>
      </c>
      <c r="B271" s="1">
        <v>36</v>
      </c>
      <c r="D271" s="116">
        <f t="shared" si="0"/>
        <v>40</v>
      </c>
      <c r="E271" s="6">
        <f t="shared" si="1"/>
        <v>45</v>
      </c>
      <c r="F271" s="6">
        <f t="shared" ref="F271:F274" si="7">CEILING(B271*1.3,5)</f>
        <v>50</v>
      </c>
      <c r="G271" s="4">
        <f t="shared" si="2"/>
        <v>0.25</v>
      </c>
      <c r="H271" s="6">
        <f t="shared" si="3"/>
        <v>5</v>
      </c>
    </row>
    <row r="272" spans="1:8" x14ac:dyDescent="0.25">
      <c r="A272" s="1" t="s">
        <v>608</v>
      </c>
      <c r="B272" s="1">
        <v>38</v>
      </c>
      <c r="D272" s="116">
        <f t="shared" si="0"/>
        <v>45</v>
      </c>
      <c r="E272" s="6">
        <f t="shared" si="1"/>
        <v>45</v>
      </c>
      <c r="F272" s="6">
        <f t="shared" si="7"/>
        <v>50</v>
      </c>
      <c r="G272" s="4">
        <f t="shared" si="2"/>
        <v>0.1842105263</v>
      </c>
      <c r="H272" s="6">
        <f t="shared" si="3"/>
        <v>5</v>
      </c>
    </row>
    <row r="273" spans="1:8" x14ac:dyDescent="0.25">
      <c r="A273" s="1" t="s">
        <v>609</v>
      </c>
      <c r="B273" s="1">
        <v>40</v>
      </c>
      <c r="D273" s="116">
        <f t="shared" si="0"/>
        <v>45</v>
      </c>
      <c r="E273" s="6">
        <f t="shared" si="1"/>
        <v>50</v>
      </c>
      <c r="F273" s="6">
        <f t="shared" si="7"/>
        <v>55</v>
      </c>
      <c r="G273" s="4">
        <f t="shared" si="2"/>
        <v>0.25</v>
      </c>
      <c r="H273" s="6">
        <f t="shared" si="3"/>
        <v>5</v>
      </c>
    </row>
    <row r="274" spans="1:8" x14ac:dyDescent="0.25">
      <c r="A274" s="1" t="s">
        <v>610</v>
      </c>
      <c r="B274" s="1">
        <v>42</v>
      </c>
      <c r="D274" s="116">
        <f t="shared" si="0"/>
        <v>50</v>
      </c>
      <c r="E274" s="6">
        <f t="shared" si="1"/>
        <v>50</v>
      </c>
      <c r="F274" s="6">
        <f t="shared" si="7"/>
        <v>55</v>
      </c>
      <c r="G274" s="4">
        <f t="shared" si="2"/>
        <v>0.1904761905</v>
      </c>
      <c r="H274" s="6">
        <f t="shared" si="3"/>
        <v>5</v>
      </c>
    </row>
    <row r="275" spans="1:8" x14ac:dyDescent="0.25">
      <c r="A275" s="1" t="s">
        <v>611</v>
      </c>
      <c r="B275" s="1">
        <v>40</v>
      </c>
      <c r="D275" s="116">
        <f t="shared" si="0"/>
        <v>45</v>
      </c>
      <c r="E275" s="6">
        <f t="shared" si="1"/>
        <v>50</v>
      </c>
      <c r="F275" s="1">
        <v>60</v>
      </c>
      <c r="G275" s="4">
        <f t="shared" si="2"/>
        <v>0.25</v>
      </c>
      <c r="H275" s="6">
        <f t="shared" si="3"/>
        <v>10</v>
      </c>
    </row>
    <row r="276" spans="1:8" x14ac:dyDescent="0.25">
      <c r="A276" s="1" t="s">
        <v>612</v>
      </c>
      <c r="B276" s="1">
        <v>37</v>
      </c>
      <c r="D276" s="116">
        <f t="shared" si="0"/>
        <v>45</v>
      </c>
      <c r="E276" s="6">
        <f t="shared" si="1"/>
        <v>45</v>
      </c>
      <c r="F276" s="1">
        <v>60</v>
      </c>
      <c r="G276" s="4">
        <f t="shared" si="2"/>
        <v>0.2162162162</v>
      </c>
      <c r="H276" s="6">
        <f t="shared" si="3"/>
        <v>15</v>
      </c>
    </row>
    <row r="277" spans="1:8" x14ac:dyDescent="0.25">
      <c r="A277" s="1" t="s">
        <v>613</v>
      </c>
      <c r="B277" s="1">
        <v>35</v>
      </c>
      <c r="D277" s="116">
        <f t="shared" si="0"/>
        <v>40</v>
      </c>
      <c r="E277" s="6">
        <f t="shared" si="1"/>
        <v>45</v>
      </c>
      <c r="F277" s="1">
        <v>60</v>
      </c>
      <c r="G277" s="4">
        <f t="shared" si="2"/>
        <v>0.2857142857</v>
      </c>
      <c r="H277" s="6">
        <f t="shared" si="3"/>
        <v>15</v>
      </c>
    </row>
    <row r="278" spans="1:8" x14ac:dyDescent="0.25">
      <c r="A278" s="1" t="s">
        <v>614</v>
      </c>
      <c r="B278" s="1">
        <v>31</v>
      </c>
      <c r="D278" s="116">
        <f t="shared" si="0"/>
        <v>35</v>
      </c>
      <c r="E278" s="6">
        <f t="shared" si="1"/>
        <v>40</v>
      </c>
      <c r="F278" s="1">
        <v>60</v>
      </c>
      <c r="G278" s="4">
        <f t="shared" si="2"/>
        <v>0.2903225806</v>
      </c>
      <c r="H278" s="6">
        <f t="shared" si="3"/>
        <v>20</v>
      </c>
    </row>
    <row r="279" spans="1:8" x14ac:dyDescent="0.25">
      <c r="A279" s="1" t="s">
        <v>615</v>
      </c>
      <c r="B279" s="1">
        <v>20</v>
      </c>
      <c r="D279" s="116">
        <f t="shared" si="0"/>
        <v>25</v>
      </c>
      <c r="E279" s="6">
        <f t="shared" si="1"/>
        <v>25</v>
      </c>
      <c r="F279" s="1">
        <v>60</v>
      </c>
      <c r="G279" s="4">
        <f t="shared" si="2"/>
        <v>0.25</v>
      </c>
      <c r="H279" s="6">
        <f t="shared" si="3"/>
        <v>35</v>
      </c>
    </row>
    <row r="280" spans="1:8" x14ac:dyDescent="0.25">
      <c r="A280" s="1" t="s">
        <v>616</v>
      </c>
      <c r="B280" s="1">
        <v>180</v>
      </c>
      <c r="D280" s="116">
        <f t="shared" si="0"/>
        <v>200</v>
      </c>
      <c r="E280" s="6">
        <f t="shared" si="1"/>
        <v>210</v>
      </c>
      <c r="F280" s="1">
        <v>250</v>
      </c>
      <c r="G280" s="4">
        <f t="shared" si="2"/>
        <v>0.1666666667</v>
      </c>
      <c r="H280" s="6">
        <f t="shared" si="3"/>
        <v>40</v>
      </c>
    </row>
    <row r="281" spans="1:8" x14ac:dyDescent="0.25">
      <c r="A281" s="1" t="s">
        <v>617</v>
      </c>
      <c r="B281" s="1">
        <v>180</v>
      </c>
      <c r="D281" s="116">
        <f t="shared" si="0"/>
        <v>200</v>
      </c>
      <c r="E281" s="6">
        <f t="shared" si="1"/>
        <v>210</v>
      </c>
      <c r="F281" s="1">
        <v>250</v>
      </c>
      <c r="G281" s="4">
        <f t="shared" si="2"/>
        <v>0.1666666667</v>
      </c>
      <c r="H281" s="6">
        <f t="shared" si="3"/>
        <v>40</v>
      </c>
    </row>
    <row r="282" spans="1:8" x14ac:dyDescent="0.25">
      <c r="A282" s="1" t="s">
        <v>618</v>
      </c>
      <c r="B282" s="1">
        <v>20</v>
      </c>
      <c r="D282" s="116">
        <f t="shared" si="0"/>
        <v>25</v>
      </c>
      <c r="E282" s="6">
        <f t="shared" si="1"/>
        <v>25</v>
      </c>
      <c r="F282" s="1">
        <v>27</v>
      </c>
      <c r="G282" s="4">
        <f t="shared" si="2"/>
        <v>0.25</v>
      </c>
      <c r="H282" s="6">
        <f t="shared" si="3"/>
        <v>2</v>
      </c>
    </row>
    <row r="283" spans="1:8" x14ac:dyDescent="0.25">
      <c r="A283" s="1" t="s">
        <v>619</v>
      </c>
      <c r="B283" s="1">
        <v>15</v>
      </c>
      <c r="D283" s="116">
        <f t="shared" si="0"/>
        <v>20</v>
      </c>
      <c r="E283" s="6">
        <f t="shared" si="1"/>
        <v>20</v>
      </c>
      <c r="F283" s="1">
        <v>22</v>
      </c>
      <c r="G283" s="4">
        <f t="shared" si="2"/>
        <v>0.3333333333</v>
      </c>
      <c r="H283" s="6">
        <f t="shared" si="3"/>
        <v>2</v>
      </c>
    </row>
    <row r="284" spans="1:8" x14ac:dyDescent="0.25">
      <c r="A284" s="1" t="s">
        <v>620</v>
      </c>
      <c r="B284" s="1">
        <v>15</v>
      </c>
      <c r="D284" s="116">
        <f t="shared" si="0"/>
        <v>20</v>
      </c>
      <c r="E284" s="6">
        <f t="shared" si="1"/>
        <v>20</v>
      </c>
      <c r="F284" s="1">
        <v>22</v>
      </c>
      <c r="G284" s="4">
        <f t="shared" si="2"/>
        <v>0.3333333333</v>
      </c>
      <c r="H284" s="6">
        <f t="shared" si="3"/>
        <v>2</v>
      </c>
    </row>
    <row r="285" spans="1:8" x14ac:dyDescent="0.25">
      <c r="A285" s="1" t="s">
        <v>621</v>
      </c>
      <c r="B285" s="1">
        <v>27</v>
      </c>
      <c r="D285" s="116">
        <f t="shared" si="0"/>
        <v>30</v>
      </c>
      <c r="E285" s="6">
        <f t="shared" si="1"/>
        <v>35</v>
      </c>
      <c r="F285" s="1">
        <v>55</v>
      </c>
      <c r="G285" s="4">
        <f t="shared" si="2"/>
        <v>0.2962962963</v>
      </c>
      <c r="H285" s="6">
        <f t="shared" si="3"/>
        <v>20</v>
      </c>
    </row>
    <row r="286" spans="1:8" x14ac:dyDescent="0.25">
      <c r="A286" s="1" t="s">
        <v>622</v>
      </c>
      <c r="B286" s="1">
        <v>27</v>
      </c>
      <c r="D286" s="116">
        <f t="shared" si="0"/>
        <v>30</v>
      </c>
      <c r="E286" s="6">
        <f t="shared" si="1"/>
        <v>35</v>
      </c>
      <c r="F286" s="1">
        <v>55</v>
      </c>
      <c r="G286" s="4">
        <f t="shared" si="2"/>
        <v>0.2962962963</v>
      </c>
      <c r="H286" s="6">
        <f t="shared" si="3"/>
        <v>20</v>
      </c>
    </row>
    <row r="287" spans="1:8" x14ac:dyDescent="0.25">
      <c r="A287" s="1" t="s">
        <v>623</v>
      </c>
      <c r="B287" s="1">
        <v>25</v>
      </c>
      <c r="D287" s="116">
        <f t="shared" si="0"/>
        <v>30</v>
      </c>
      <c r="E287" s="6">
        <f t="shared" si="1"/>
        <v>30</v>
      </c>
      <c r="F287" s="1">
        <v>55</v>
      </c>
      <c r="G287" s="4">
        <f t="shared" si="2"/>
        <v>0.2</v>
      </c>
      <c r="H287" s="6">
        <f t="shared" si="3"/>
        <v>25</v>
      </c>
    </row>
    <row r="288" spans="1:8" x14ac:dyDescent="0.25">
      <c r="A288" s="1" t="s">
        <v>624</v>
      </c>
      <c r="B288" s="1">
        <v>25</v>
      </c>
      <c r="D288" s="116">
        <f t="shared" si="0"/>
        <v>30</v>
      </c>
      <c r="E288" s="6">
        <f t="shared" si="1"/>
        <v>30</v>
      </c>
      <c r="F288" s="1">
        <v>55</v>
      </c>
      <c r="G288" s="4">
        <f t="shared" si="2"/>
        <v>0.2</v>
      </c>
      <c r="H288" s="6">
        <f t="shared" si="3"/>
        <v>25</v>
      </c>
    </row>
    <row r="289" spans="1:8" x14ac:dyDescent="0.25">
      <c r="A289" s="1" t="s">
        <v>625</v>
      </c>
      <c r="B289" s="1">
        <v>25</v>
      </c>
      <c r="D289" s="116">
        <f t="shared" si="0"/>
        <v>30</v>
      </c>
      <c r="E289" s="6">
        <f t="shared" si="1"/>
        <v>30</v>
      </c>
      <c r="F289" s="1">
        <v>55</v>
      </c>
      <c r="G289" s="4">
        <f t="shared" si="2"/>
        <v>0.2</v>
      </c>
      <c r="H289" s="6">
        <f t="shared" si="3"/>
        <v>25</v>
      </c>
    </row>
    <row r="290" spans="1:8" x14ac:dyDescent="0.25">
      <c r="A290" s="1" t="s">
        <v>626</v>
      </c>
      <c r="B290" s="1">
        <v>22</v>
      </c>
      <c r="D290" s="116">
        <f t="shared" si="0"/>
        <v>25</v>
      </c>
      <c r="E290" s="6">
        <f t="shared" si="1"/>
        <v>30</v>
      </c>
      <c r="F290" s="1">
        <v>55</v>
      </c>
      <c r="G290" s="4">
        <f t="shared" si="2"/>
        <v>0.3636363636</v>
      </c>
      <c r="H290" s="6">
        <f t="shared" si="3"/>
        <v>25</v>
      </c>
    </row>
    <row r="291" spans="1:8" x14ac:dyDescent="0.25">
      <c r="A291" s="1" t="s">
        <v>627</v>
      </c>
      <c r="B291" s="1">
        <v>22</v>
      </c>
      <c r="D291" s="116">
        <f t="shared" si="0"/>
        <v>25</v>
      </c>
      <c r="E291" s="6">
        <f t="shared" si="1"/>
        <v>30</v>
      </c>
      <c r="F291" s="1">
        <v>55</v>
      </c>
      <c r="G291" s="4">
        <f t="shared" si="2"/>
        <v>0.3636363636</v>
      </c>
      <c r="H291" s="6">
        <f t="shared" si="3"/>
        <v>25</v>
      </c>
    </row>
    <row r="292" spans="1:8" x14ac:dyDescent="0.25">
      <c r="A292" s="1" t="s">
        <v>628</v>
      </c>
      <c r="B292" s="1">
        <v>22</v>
      </c>
      <c r="D292" s="116">
        <f t="shared" si="0"/>
        <v>25</v>
      </c>
      <c r="E292" s="6">
        <f t="shared" si="1"/>
        <v>30</v>
      </c>
      <c r="F292" s="1">
        <v>55</v>
      </c>
      <c r="G292" s="4">
        <f t="shared" si="2"/>
        <v>0.3636363636</v>
      </c>
      <c r="H292" s="6">
        <f t="shared" si="3"/>
        <v>25</v>
      </c>
    </row>
    <row r="293" spans="1:8" x14ac:dyDescent="0.25">
      <c r="A293" s="1" t="s">
        <v>629</v>
      </c>
      <c r="B293" s="1">
        <v>22</v>
      </c>
      <c r="D293" s="116">
        <f t="shared" si="0"/>
        <v>25</v>
      </c>
      <c r="E293" s="6">
        <f t="shared" si="1"/>
        <v>30</v>
      </c>
      <c r="F293" s="1">
        <v>55</v>
      </c>
      <c r="G293" s="4">
        <f t="shared" si="2"/>
        <v>0.3636363636</v>
      </c>
      <c r="H293" s="6">
        <f t="shared" si="3"/>
        <v>25</v>
      </c>
    </row>
    <row r="294" spans="1:8" x14ac:dyDescent="0.25">
      <c r="A294" s="1" t="s">
        <v>630</v>
      </c>
      <c r="B294" s="1">
        <v>22</v>
      </c>
      <c r="D294" s="116">
        <f t="shared" si="0"/>
        <v>25</v>
      </c>
      <c r="E294" s="6">
        <f t="shared" si="1"/>
        <v>30</v>
      </c>
      <c r="F294" s="1">
        <v>55</v>
      </c>
      <c r="G294" s="4">
        <f t="shared" si="2"/>
        <v>0.3636363636</v>
      </c>
      <c r="H294" s="6">
        <f t="shared" si="3"/>
        <v>25</v>
      </c>
    </row>
    <row r="295" spans="1:8" x14ac:dyDescent="0.25">
      <c r="A295" s="10" t="s">
        <v>631</v>
      </c>
      <c r="B295" s="1">
        <v>15</v>
      </c>
      <c r="D295" s="116">
        <f t="shared" si="0"/>
        <v>20</v>
      </c>
      <c r="E295" s="6">
        <f t="shared" si="1"/>
        <v>20</v>
      </c>
      <c r="F295" s="1">
        <v>45</v>
      </c>
      <c r="G295" s="4">
        <f t="shared" si="2"/>
        <v>0.3333333333</v>
      </c>
      <c r="H295" s="6">
        <f t="shared" si="3"/>
        <v>25</v>
      </c>
    </row>
    <row r="296" spans="1:8" x14ac:dyDescent="0.25">
      <c r="A296" s="10" t="s">
        <v>632</v>
      </c>
      <c r="B296" s="1">
        <v>15</v>
      </c>
      <c r="D296" s="116">
        <f t="shared" si="0"/>
        <v>20</v>
      </c>
      <c r="E296" s="6">
        <f t="shared" si="1"/>
        <v>20</v>
      </c>
      <c r="F296" s="1">
        <v>45</v>
      </c>
      <c r="G296" s="4">
        <f t="shared" si="2"/>
        <v>0.3333333333</v>
      </c>
      <c r="H296" s="6">
        <f t="shared" si="3"/>
        <v>25</v>
      </c>
    </row>
    <row r="297" spans="1:8" x14ac:dyDescent="0.25">
      <c r="A297" s="10" t="s">
        <v>633</v>
      </c>
      <c r="B297" s="1">
        <v>15</v>
      </c>
      <c r="D297" s="116">
        <f t="shared" si="0"/>
        <v>20</v>
      </c>
      <c r="E297" s="6">
        <f t="shared" si="1"/>
        <v>20</v>
      </c>
      <c r="F297" s="1">
        <v>45</v>
      </c>
      <c r="G297" s="4">
        <f t="shared" si="2"/>
        <v>0.3333333333</v>
      </c>
      <c r="H297" s="6">
        <f t="shared" si="3"/>
        <v>25</v>
      </c>
    </row>
    <row r="298" spans="1:8" x14ac:dyDescent="0.25">
      <c r="A298" s="10" t="s">
        <v>634</v>
      </c>
      <c r="B298" s="1">
        <v>30</v>
      </c>
      <c r="D298" s="116">
        <f t="shared" si="0"/>
        <v>35</v>
      </c>
      <c r="E298" s="6">
        <f t="shared" si="1"/>
        <v>35</v>
      </c>
      <c r="F298" s="1">
        <v>55</v>
      </c>
      <c r="G298" s="4">
        <f t="shared" si="2"/>
        <v>0.1666666667</v>
      </c>
      <c r="H298" s="6">
        <f t="shared" si="3"/>
        <v>20</v>
      </c>
    </row>
    <row r="299" spans="1:8" x14ac:dyDescent="0.25">
      <c r="A299" s="10" t="s">
        <v>635</v>
      </c>
      <c r="B299" s="1">
        <v>17</v>
      </c>
      <c r="D299" s="116">
        <f t="shared" si="0"/>
        <v>20</v>
      </c>
      <c r="E299" s="6">
        <f t="shared" si="1"/>
        <v>20</v>
      </c>
      <c r="F299" s="1">
        <v>35</v>
      </c>
      <c r="G299" s="4">
        <f t="shared" si="2"/>
        <v>0.1764705882</v>
      </c>
      <c r="H299" s="6">
        <f t="shared" si="3"/>
        <v>15</v>
      </c>
    </row>
    <row r="300" spans="1:8" x14ac:dyDescent="0.25">
      <c r="A300" s="1" t="s">
        <v>636</v>
      </c>
      <c r="B300" s="1">
        <v>24</v>
      </c>
      <c r="D300" s="116">
        <f t="shared" si="0"/>
        <v>30</v>
      </c>
      <c r="E300" s="6">
        <f t="shared" si="1"/>
        <v>30</v>
      </c>
      <c r="F300" s="1">
        <v>45</v>
      </c>
      <c r="G300" s="4">
        <f t="shared" si="2"/>
        <v>0.25</v>
      </c>
      <c r="H300" s="6">
        <f t="shared" si="3"/>
        <v>15</v>
      </c>
    </row>
    <row r="301" spans="1:8" x14ac:dyDescent="0.25">
      <c r="A301" s="1" t="s">
        <v>637</v>
      </c>
      <c r="B301" s="1">
        <v>24</v>
      </c>
      <c r="D301" s="116">
        <f t="shared" si="0"/>
        <v>30</v>
      </c>
      <c r="E301" s="6">
        <f t="shared" si="1"/>
        <v>30</v>
      </c>
      <c r="F301" s="1">
        <v>45</v>
      </c>
      <c r="G301" s="4">
        <f t="shared" si="2"/>
        <v>0.25</v>
      </c>
      <c r="H301" s="6">
        <f t="shared" si="3"/>
        <v>15</v>
      </c>
    </row>
    <row r="302" spans="1:8" x14ac:dyDescent="0.25">
      <c r="A302" s="1" t="s">
        <v>638</v>
      </c>
      <c r="B302" s="1">
        <v>24</v>
      </c>
      <c r="D302" s="116">
        <f t="shared" si="0"/>
        <v>30</v>
      </c>
      <c r="E302" s="6">
        <f t="shared" si="1"/>
        <v>30</v>
      </c>
      <c r="F302" s="1">
        <v>45</v>
      </c>
      <c r="G302" s="4">
        <f t="shared" si="2"/>
        <v>0.25</v>
      </c>
      <c r="H302" s="6">
        <f t="shared" si="3"/>
        <v>15</v>
      </c>
    </row>
    <row r="303" spans="4:7" x14ac:dyDescent="0.25">
      <c r="D303" s="116"/>
      <c r="G303" s="4"/>
    </row>
    <row r="304" spans="4:7" x14ac:dyDescent="0.25">
      <c r="D304" s="116"/>
      <c r="G304" s="4"/>
    </row>
    <row r="305" spans="4:7" x14ac:dyDescent="0.25">
      <c r="D305" s="116"/>
      <c r="G305" s="4"/>
    </row>
    <row r="306" spans="4:7" x14ac:dyDescent="0.25">
      <c r="D306" s="116"/>
      <c r="G306" s="4"/>
    </row>
    <row r="307" spans="4:7" x14ac:dyDescent="0.25">
      <c r="D307" s="116"/>
      <c r="G307" s="4"/>
    </row>
    <row r="308" spans="4:7" x14ac:dyDescent="0.25">
      <c r="D308" s="116"/>
      <c r="G308" s="4"/>
    </row>
    <row r="309" spans="4:7" x14ac:dyDescent="0.25">
      <c r="D309" s="116"/>
      <c r="G309" s="4"/>
    </row>
    <row r="310" spans="4:7" x14ac:dyDescent="0.25">
      <c r="D310" s="116"/>
      <c r="G310" s="4"/>
    </row>
    <row r="311" spans="4:7" x14ac:dyDescent="0.25">
      <c r="D311" s="116"/>
      <c r="G311" s="4"/>
    </row>
    <row r="312" spans="4:7" x14ac:dyDescent="0.25">
      <c r="D312" s="116"/>
      <c r="G312" s="4"/>
    </row>
    <row r="313" spans="4:7" x14ac:dyDescent="0.25">
      <c r="D313" s="116"/>
      <c r="G313" s="4"/>
    </row>
    <row r="314" spans="4:7" x14ac:dyDescent="0.25">
      <c r="D314" s="116"/>
      <c r="G314" s="4"/>
    </row>
    <row r="315" spans="4:7" x14ac:dyDescent="0.25">
      <c r="D315" s="116"/>
      <c r="G315" s="4"/>
    </row>
    <row r="316" spans="4:7" x14ac:dyDescent="0.25">
      <c r="D316" s="116"/>
      <c r="G316" s="4"/>
    </row>
    <row r="317" spans="4:7" x14ac:dyDescent="0.25">
      <c r="D317" s="116"/>
      <c r="G317" s="4"/>
    </row>
    <row r="318" spans="4:7" x14ac:dyDescent="0.25">
      <c r="D318" s="116"/>
      <c r="G318" s="4"/>
    </row>
    <row r="319" spans="4:7" x14ac:dyDescent="0.25">
      <c r="D319" s="116"/>
      <c r="G319" s="4"/>
    </row>
    <row r="320" spans="4:7" x14ac:dyDescent="0.25">
      <c r="D320" s="116"/>
      <c r="G320" s="4"/>
    </row>
    <row r="321" spans="4:7" x14ac:dyDescent="0.25">
      <c r="D321" s="116"/>
      <c r="G321" s="4"/>
    </row>
    <row r="322" spans="4:7" x14ac:dyDescent="0.25">
      <c r="D322" s="116"/>
      <c r="G322" s="4"/>
    </row>
    <row r="323" spans="4:7" x14ac:dyDescent="0.25">
      <c r="D323" s="116"/>
      <c r="G323" s="4"/>
    </row>
    <row r="324" spans="4:7" x14ac:dyDescent="0.25">
      <c r="D324" s="116"/>
      <c r="G324" s="4"/>
    </row>
    <row r="325" spans="4:7" x14ac:dyDescent="0.25">
      <c r="D325" s="116"/>
      <c r="G325" s="4"/>
    </row>
    <row r="326" spans="4:7" x14ac:dyDescent="0.25">
      <c r="D326" s="116"/>
      <c r="G326" s="4"/>
    </row>
    <row r="327" spans="4:7" x14ac:dyDescent="0.25">
      <c r="D327" s="116"/>
      <c r="G327" s="4"/>
    </row>
    <row r="328" spans="4:7" x14ac:dyDescent="0.25">
      <c r="D328" s="116"/>
      <c r="G328" s="4"/>
    </row>
    <row r="329" spans="4:7" x14ac:dyDescent="0.25">
      <c r="D329" s="116"/>
      <c r="G329" s="4"/>
    </row>
    <row r="330" spans="4:7" x14ac:dyDescent="0.25">
      <c r="D330" s="116"/>
      <c r="G330" s="4"/>
    </row>
    <row r="331" spans="4:7" x14ac:dyDescent="0.25">
      <c r="D331" s="116"/>
      <c r="G331" s="4"/>
    </row>
    <row r="332" spans="4:7" x14ac:dyDescent="0.25">
      <c r="D332" s="116"/>
      <c r="G332" s="4"/>
    </row>
    <row r="333" spans="4:7" x14ac:dyDescent="0.25">
      <c r="D333" s="116"/>
      <c r="G333" s="4"/>
    </row>
    <row r="334" spans="4:7" x14ac:dyDescent="0.25">
      <c r="D334" s="116"/>
      <c r="G334" s="4"/>
    </row>
    <row r="335" spans="4:7" x14ac:dyDescent="0.25">
      <c r="D335" s="116"/>
      <c r="G335" s="4"/>
    </row>
    <row r="336" spans="4:7" x14ac:dyDescent="0.25">
      <c r="D336" s="116"/>
      <c r="G336" s="4"/>
    </row>
    <row r="337" spans="4:7" x14ac:dyDescent="0.25">
      <c r="D337" s="116"/>
      <c r="G337" s="4"/>
    </row>
    <row r="338" spans="4:7" x14ac:dyDescent="0.25">
      <c r="D338" s="116"/>
      <c r="G338" s="4"/>
    </row>
    <row r="339" spans="4:7" x14ac:dyDescent="0.25">
      <c r="D339" s="116"/>
      <c r="G339" s="4"/>
    </row>
    <row r="340" spans="4:7" x14ac:dyDescent="0.25">
      <c r="D340" s="116"/>
      <c r="G340" s="4"/>
    </row>
    <row r="341" spans="4:7" x14ac:dyDescent="0.25">
      <c r="D341" s="116"/>
      <c r="G341" s="4"/>
    </row>
    <row r="342" spans="4:7" x14ac:dyDescent="0.25">
      <c r="D342" s="116"/>
      <c r="G342" s="4"/>
    </row>
    <row r="343" spans="4:7" x14ac:dyDescent="0.25">
      <c r="D343" s="116"/>
      <c r="G343" s="4"/>
    </row>
    <row r="344" spans="4:7" x14ac:dyDescent="0.25">
      <c r="D344" s="116"/>
      <c r="G344" s="4"/>
    </row>
    <row r="345" spans="4:7" x14ac:dyDescent="0.25">
      <c r="D345" s="116"/>
      <c r="G345" s="4"/>
    </row>
    <row r="346" spans="4:7" x14ac:dyDescent="0.25">
      <c r="D346" s="116"/>
      <c r="G346" s="4"/>
    </row>
    <row r="347" spans="4:7" x14ac:dyDescent="0.25">
      <c r="D347" s="116"/>
      <c r="G347" s="4"/>
    </row>
    <row r="348" spans="4:7" x14ac:dyDescent="0.25">
      <c r="D348" s="116"/>
      <c r="G348" s="4"/>
    </row>
    <row r="349" spans="4:7" x14ac:dyDescent="0.25">
      <c r="D349" s="116"/>
      <c r="G349" s="4"/>
    </row>
    <row r="350" spans="4:7" x14ac:dyDescent="0.25">
      <c r="D350" s="116"/>
      <c r="G350" s="4"/>
    </row>
    <row r="351" spans="4:7" x14ac:dyDescent="0.25">
      <c r="D351" s="116"/>
      <c r="G351" s="4"/>
    </row>
    <row r="352" spans="4:7" x14ac:dyDescent="0.25">
      <c r="D352" s="116"/>
      <c r="G352" s="4"/>
    </row>
    <row r="353" spans="4:7" x14ac:dyDescent="0.25">
      <c r="D353" s="116"/>
      <c r="G353" s="4"/>
    </row>
    <row r="354" spans="4:7" x14ac:dyDescent="0.25">
      <c r="D354" s="116"/>
      <c r="G354" s="4"/>
    </row>
    <row r="355" spans="4:7" x14ac:dyDescent="0.25">
      <c r="D355" s="116"/>
      <c r="G355" s="4"/>
    </row>
    <row r="356" spans="4:7" x14ac:dyDescent="0.25">
      <c r="D356" s="116"/>
      <c r="G356" s="4"/>
    </row>
    <row r="357" spans="4:7" x14ac:dyDescent="0.25">
      <c r="D357" s="116"/>
      <c r="G357" s="4"/>
    </row>
    <row r="358" spans="4:7" x14ac:dyDescent="0.25">
      <c r="D358" s="116"/>
      <c r="G358" s="4"/>
    </row>
    <row r="359" spans="4:7" x14ac:dyDescent="0.25">
      <c r="D359" s="116"/>
      <c r="G359" s="4"/>
    </row>
    <row r="360" spans="4:7" x14ac:dyDescent="0.25">
      <c r="D360" s="116"/>
      <c r="G360" s="4"/>
    </row>
    <row r="361" spans="4:7" x14ac:dyDescent="0.25">
      <c r="D361" s="116"/>
      <c r="G361" s="4"/>
    </row>
    <row r="362" spans="4:7" x14ac:dyDescent="0.25">
      <c r="D362" s="116"/>
      <c r="G362" s="4"/>
    </row>
    <row r="363" spans="4:7" x14ac:dyDescent="0.25">
      <c r="D363" s="116"/>
      <c r="G363" s="4"/>
    </row>
    <row r="364" spans="4:7" x14ac:dyDescent="0.25">
      <c r="D364" s="116"/>
      <c r="G364" s="4"/>
    </row>
    <row r="365" spans="4:7" x14ac:dyDescent="0.25">
      <c r="D365" s="116"/>
      <c r="G365" s="4"/>
    </row>
    <row r="366" spans="4:7" x14ac:dyDescent="0.25">
      <c r="D366" s="116"/>
      <c r="G366" s="4"/>
    </row>
    <row r="367" spans="4:7" x14ac:dyDescent="0.25">
      <c r="D367" s="116"/>
      <c r="G367" s="4"/>
    </row>
    <row r="368" spans="4:7" x14ac:dyDescent="0.25">
      <c r="D368" s="116"/>
      <c r="G368" s="4"/>
    </row>
    <row r="369" spans="4:7" x14ac:dyDescent="0.25">
      <c r="D369" s="116"/>
      <c r="G369" s="4"/>
    </row>
    <row r="370" spans="4:7" x14ac:dyDescent="0.25">
      <c r="D370" s="116"/>
      <c r="G370" s="4"/>
    </row>
    <row r="371" spans="4:7" x14ac:dyDescent="0.25">
      <c r="D371" s="116"/>
      <c r="G371" s="4"/>
    </row>
    <row r="372" spans="4:7" x14ac:dyDescent="0.25">
      <c r="D372" s="116"/>
      <c r="G372" s="4"/>
    </row>
    <row r="373" spans="4:7" x14ac:dyDescent="0.25">
      <c r="D373" s="116"/>
      <c r="G373" s="4"/>
    </row>
    <row r="374" spans="4:7" x14ac:dyDescent="0.25">
      <c r="D374" s="116"/>
      <c r="G374" s="4"/>
    </row>
    <row r="375" spans="4:7" x14ac:dyDescent="0.25">
      <c r="D375" s="116"/>
      <c r="G375" s="4"/>
    </row>
    <row r="376" spans="4:7" x14ac:dyDescent="0.25">
      <c r="D376" s="116"/>
      <c r="G376" s="4"/>
    </row>
    <row r="377" spans="4:7" x14ac:dyDescent="0.25">
      <c r="D377" s="116"/>
      <c r="G377" s="4"/>
    </row>
    <row r="378" spans="4:7" x14ac:dyDescent="0.25">
      <c r="D378" s="116"/>
      <c r="G378" s="4"/>
    </row>
    <row r="379" spans="4:7" x14ac:dyDescent="0.25">
      <c r="D379" s="116"/>
      <c r="G379" s="4"/>
    </row>
    <row r="380" spans="4:7" x14ac:dyDescent="0.25">
      <c r="D380" s="116"/>
      <c r="G380" s="4"/>
    </row>
    <row r="381" spans="4:7" x14ac:dyDescent="0.25">
      <c r="D381" s="116"/>
      <c r="G381" s="4"/>
    </row>
    <row r="382" spans="4:7" x14ac:dyDescent="0.25">
      <c r="D382" s="116"/>
      <c r="G382" s="4"/>
    </row>
    <row r="383" spans="4:7" x14ac:dyDescent="0.25">
      <c r="D383" s="116"/>
      <c r="G383" s="4"/>
    </row>
    <row r="384" spans="4:7" x14ac:dyDescent="0.25">
      <c r="D384" s="116"/>
      <c r="G384" s="4"/>
    </row>
    <row r="385" spans="4:7" x14ac:dyDescent="0.25">
      <c r="D385" s="116"/>
      <c r="G385" s="4"/>
    </row>
    <row r="386" spans="4:7" x14ac:dyDescent="0.25">
      <c r="D386" s="116"/>
      <c r="G386" s="4"/>
    </row>
    <row r="387" spans="4:7" x14ac:dyDescent="0.25">
      <c r="D387" s="116"/>
      <c r="G387" s="4"/>
    </row>
    <row r="388" spans="4:7" x14ac:dyDescent="0.25">
      <c r="D388" s="116"/>
      <c r="G388" s="4"/>
    </row>
    <row r="389" spans="4:7" x14ac:dyDescent="0.25">
      <c r="D389" s="116"/>
      <c r="G389" s="4"/>
    </row>
    <row r="390" spans="4:7" x14ac:dyDescent="0.25">
      <c r="D390" s="116"/>
      <c r="G390" s="4"/>
    </row>
    <row r="391" spans="4:7" x14ac:dyDescent="0.25">
      <c r="D391" s="116"/>
      <c r="G391" s="4"/>
    </row>
    <row r="392" spans="4:7" x14ac:dyDescent="0.25">
      <c r="D392" s="116"/>
      <c r="G392" s="4"/>
    </row>
    <row r="393" spans="4:7" x14ac:dyDescent="0.25">
      <c r="D393" s="116"/>
      <c r="G393" s="4"/>
    </row>
    <row r="394" spans="4:7" x14ac:dyDescent="0.25">
      <c r="D394" s="116"/>
      <c r="G394" s="4"/>
    </row>
    <row r="395" spans="4:7" x14ac:dyDescent="0.25">
      <c r="D395" s="116"/>
      <c r="G395" s="4"/>
    </row>
    <row r="396" spans="4:7" x14ac:dyDescent="0.25">
      <c r="D396" s="116"/>
      <c r="G396" s="4"/>
    </row>
    <row r="397" spans="4:7" x14ac:dyDescent="0.25">
      <c r="D397" s="116"/>
      <c r="G397" s="4"/>
    </row>
    <row r="398" spans="4:7" x14ac:dyDescent="0.25">
      <c r="D398" s="116"/>
      <c r="G398" s="4"/>
    </row>
    <row r="399" spans="4:7" x14ac:dyDescent="0.25">
      <c r="D399" s="116"/>
      <c r="G399" s="4"/>
    </row>
    <row r="400" spans="4:7" x14ac:dyDescent="0.25">
      <c r="D400" s="116"/>
      <c r="G400" s="4"/>
    </row>
    <row r="401" spans="4:7" x14ac:dyDescent="0.25">
      <c r="D401" s="116"/>
      <c r="G401" s="4"/>
    </row>
    <row r="402" spans="4:7" x14ac:dyDescent="0.25">
      <c r="D402" s="116"/>
      <c r="G402" s="4"/>
    </row>
    <row r="403" spans="4:7" x14ac:dyDescent="0.25">
      <c r="D403" s="116"/>
      <c r="G403" s="4"/>
    </row>
    <row r="404" spans="4:7" x14ac:dyDescent="0.25">
      <c r="D404" s="116"/>
      <c r="G404" s="4"/>
    </row>
    <row r="405" spans="4:7" x14ac:dyDescent="0.25">
      <c r="D405" s="116"/>
      <c r="G405" s="4"/>
    </row>
    <row r="406" spans="4:7" x14ac:dyDescent="0.25">
      <c r="D406" s="116"/>
      <c r="G406" s="4"/>
    </row>
    <row r="407" spans="4:7" x14ac:dyDescent="0.25">
      <c r="D407" s="116"/>
      <c r="G407" s="4"/>
    </row>
    <row r="408" spans="4:7" x14ac:dyDescent="0.25">
      <c r="D408" s="116"/>
      <c r="G408" s="4"/>
    </row>
    <row r="409" spans="4:7" x14ac:dyDescent="0.25">
      <c r="D409" s="116"/>
      <c r="G409" s="4"/>
    </row>
    <row r="410" spans="4:7" x14ac:dyDescent="0.25">
      <c r="D410" s="116"/>
      <c r="G410" s="4"/>
    </row>
    <row r="411" spans="4:7" x14ac:dyDescent="0.25">
      <c r="D411" s="116"/>
      <c r="G411" s="4"/>
    </row>
    <row r="412" spans="4:7" x14ac:dyDescent="0.25">
      <c r="D412" s="116"/>
      <c r="G412" s="4"/>
    </row>
    <row r="413" spans="4:7" x14ac:dyDescent="0.25">
      <c r="D413" s="116"/>
      <c r="G413" s="4"/>
    </row>
    <row r="414" spans="4:7" x14ac:dyDescent="0.25">
      <c r="D414" s="116"/>
      <c r="G414" s="4"/>
    </row>
    <row r="415" spans="4:7" x14ac:dyDescent="0.25">
      <c r="D415" s="116"/>
      <c r="G415" s="4"/>
    </row>
    <row r="416" spans="4:7" x14ac:dyDescent="0.25">
      <c r="D416" s="116"/>
      <c r="G416" s="4"/>
    </row>
    <row r="417" spans="4:7" x14ac:dyDescent="0.25">
      <c r="D417" s="116"/>
      <c r="G417" s="4"/>
    </row>
    <row r="418" spans="4:7" x14ac:dyDescent="0.25">
      <c r="D418" s="116"/>
      <c r="G418" s="4"/>
    </row>
    <row r="419" spans="4:7" x14ac:dyDescent="0.25">
      <c r="D419" s="116"/>
      <c r="G419" s="4"/>
    </row>
    <row r="420" spans="4:7" x14ac:dyDescent="0.25">
      <c r="D420" s="116"/>
      <c r="G420" s="4"/>
    </row>
    <row r="421" spans="4:7" x14ac:dyDescent="0.25">
      <c r="D421" s="116"/>
      <c r="G421" s="4"/>
    </row>
    <row r="422" spans="4:7" x14ac:dyDescent="0.25">
      <c r="D422" s="116"/>
      <c r="G422" s="4"/>
    </row>
    <row r="423" spans="4:7" x14ac:dyDescent="0.25">
      <c r="D423" s="116"/>
      <c r="G423" s="4"/>
    </row>
    <row r="424" spans="4:7" x14ac:dyDescent="0.25">
      <c r="D424" s="116"/>
      <c r="G424" s="4"/>
    </row>
    <row r="425" spans="4:7" x14ac:dyDescent="0.25">
      <c r="D425" s="116"/>
      <c r="G425" s="4"/>
    </row>
    <row r="426" spans="4:7" x14ac:dyDescent="0.25">
      <c r="D426" s="116"/>
      <c r="G426" s="4"/>
    </row>
    <row r="427" spans="4:7" x14ac:dyDescent="0.25">
      <c r="D427" s="116"/>
      <c r="G427" s="4"/>
    </row>
    <row r="428" spans="4:7" x14ac:dyDescent="0.25">
      <c r="D428" s="116"/>
      <c r="G428" s="4"/>
    </row>
    <row r="429" spans="4:7" x14ac:dyDescent="0.25">
      <c r="D429" s="116"/>
      <c r="G429" s="4"/>
    </row>
    <row r="430" spans="4:7" x14ac:dyDescent="0.25">
      <c r="D430" s="116"/>
      <c r="G430" s="4"/>
    </row>
    <row r="431" spans="4:7" x14ac:dyDescent="0.25">
      <c r="D431" s="116"/>
      <c r="G431" s="4"/>
    </row>
    <row r="432" spans="4:7" x14ac:dyDescent="0.25">
      <c r="D432" s="116"/>
      <c r="G432" s="4"/>
    </row>
    <row r="433" spans="4:7" x14ac:dyDescent="0.25">
      <c r="D433" s="116"/>
      <c r="G433" s="4"/>
    </row>
    <row r="434" spans="4:7" x14ac:dyDescent="0.25">
      <c r="D434" s="116"/>
      <c r="G434" s="4"/>
    </row>
    <row r="435" spans="4:7" x14ac:dyDescent="0.25">
      <c r="D435" s="116"/>
      <c r="G435" s="4"/>
    </row>
    <row r="436" spans="4:7" x14ac:dyDescent="0.25">
      <c r="D436" s="116"/>
      <c r="G436" s="4"/>
    </row>
    <row r="437" spans="4:7" x14ac:dyDescent="0.25">
      <c r="D437" s="116"/>
      <c r="G437" s="4"/>
    </row>
    <row r="438" spans="4:7" x14ac:dyDescent="0.25">
      <c r="D438" s="116"/>
      <c r="G438" s="4"/>
    </row>
    <row r="439" spans="4:7" x14ac:dyDescent="0.25">
      <c r="D439" s="116"/>
      <c r="G439" s="4"/>
    </row>
    <row r="440" spans="4:7" x14ac:dyDescent="0.25">
      <c r="D440" s="116"/>
      <c r="G440" s="4"/>
    </row>
    <row r="441" spans="4:7" x14ac:dyDescent="0.25">
      <c r="D441" s="116"/>
      <c r="G441" s="4"/>
    </row>
    <row r="442" spans="4:7" x14ac:dyDescent="0.25">
      <c r="D442" s="116"/>
      <c r="G442" s="4"/>
    </row>
    <row r="443" spans="4:7" x14ac:dyDescent="0.25">
      <c r="D443" s="116"/>
      <c r="G443" s="4"/>
    </row>
    <row r="444" spans="4:7" x14ac:dyDescent="0.25">
      <c r="D444" s="116"/>
      <c r="G444" s="4"/>
    </row>
    <row r="445" spans="4:7" x14ac:dyDescent="0.25">
      <c r="D445" s="116"/>
      <c r="G445" s="4"/>
    </row>
    <row r="446" spans="4:7" x14ac:dyDescent="0.25">
      <c r="D446" s="116"/>
      <c r="G446" s="4"/>
    </row>
    <row r="447" spans="4:7" x14ac:dyDescent="0.25">
      <c r="D447" s="116"/>
      <c r="G447" s="4"/>
    </row>
    <row r="448" spans="4:7" x14ac:dyDescent="0.25">
      <c r="D448" s="116"/>
      <c r="G448" s="4"/>
    </row>
    <row r="449" spans="4:7" x14ac:dyDescent="0.25">
      <c r="D449" s="116"/>
      <c r="G449" s="4"/>
    </row>
    <row r="450" spans="4:7" x14ac:dyDescent="0.25">
      <c r="D450" s="116"/>
      <c r="G450" s="4"/>
    </row>
    <row r="451" spans="4:7" x14ac:dyDescent="0.25">
      <c r="D451" s="116"/>
      <c r="G451" s="4"/>
    </row>
    <row r="452" spans="4:7" x14ac:dyDescent="0.25">
      <c r="D452" s="116"/>
      <c r="G452" s="4"/>
    </row>
    <row r="453" spans="4:7" x14ac:dyDescent="0.25">
      <c r="D453" s="116"/>
      <c r="G453" s="4"/>
    </row>
    <row r="454" spans="4:7" x14ac:dyDescent="0.25">
      <c r="D454" s="116"/>
      <c r="G454" s="4"/>
    </row>
    <row r="455" spans="4:7" x14ac:dyDescent="0.25">
      <c r="D455" s="116"/>
      <c r="G455" s="4"/>
    </row>
    <row r="456" spans="4:7" x14ac:dyDescent="0.25">
      <c r="D456" s="116"/>
      <c r="G456" s="4"/>
    </row>
    <row r="457" spans="4:7" x14ac:dyDescent="0.25">
      <c r="D457" s="116"/>
      <c r="G457" s="4"/>
    </row>
    <row r="458" spans="4:7" x14ac:dyDescent="0.25">
      <c r="D458" s="116"/>
      <c r="G458" s="4"/>
    </row>
    <row r="459" spans="4:7" x14ac:dyDescent="0.25">
      <c r="D459" s="116"/>
      <c r="G459" s="4"/>
    </row>
    <row r="460" spans="4:7" x14ac:dyDescent="0.25">
      <c r="D460" s="116"/>
      <c r="G460" s="4"/>
    </row>
    <row r="461" spans="4:7" x14ac:dyDescent="0.25">
      <c r="D461" s="116"/>
      <c r="G461" s="4"/>
    </row>
    <row r="462" spans="4:7" x14ac:dyDescent="0.25">
      <c r="D462" s="116"/>
      <c r="G462" s="4"/>
    </row>
    <row r="463" spans="4:7" x14ac:dyDescent="0.25">
      <c r="D463" s="116"/>
      <c r="G463" s="4"/>
    </row>
    <row r="464" spans="4:7" x14ac:dyDescent="0.25">
      <c r="D464" s="116"/>
      <c r="G464" s="4"/>
    </row>
    <row r="465" spans="4:7" x14ac:dyDescent="0.25">
      <c r="D465" s="116"/>
      <c r="G465" s="4"/>
    </row>
    <row r="466" spans="4:7" x14ac:dyDescent="0.25">
      <c r="D466" s="116"/>
      <c r="G466" s="4"/>
    </row>
    <row r="467" spans="4:7" x14ac:dyDescent="0.25">
      <c r="D467" s="116"/>
      <c r="G467" s="4"/>
    </row>
    <row r="468" spans="4:7" x14ac:dyDescent="0.25">
      <c r="D468" s="116"/>
      <c r="G468" s="4"/>
    </row>
    <row r="469" spans="4:7" x14ac:dyDescent="0.25">
      <c r="D469" s="116"/>
      <c r="G469" s="4"/>
    </row>
    <row r="470" spans="4:7" x14ac:dyDescent="0.25">
      <c r="D470" s="116"/>
      <c r="G470" s="4"/>
    </row>
    <row r="471" spans="4:7" x14ac:dyDescent="0.25">
      <c r="D471" s="116"/>
      <c r="G471" s="4"/>
    </row>
    <row r="472" spans="4:7" x14ac:dyDescent="0.25">
      <c r="D472" s="116"/>
      <c r="G472" s="4"/>
    </row>
    <row r="473" spans="4:7" x14ac:dyDescent="0.25">
      <c r="D473" s="116"/>
      <c r="G473" s="4"/>
    </row>
    <row r="474" spans="4:7" x14ac:dyDescent="0.25">
      <c r="D474" s="116"/>
      <c r="G474" s="4"/>
    </row>
    <row r="475" spans="4:7" x14ac:dyDescent="0.25">
      <c r="D475" s="116"/>
      <c r="G475" s="4"/>
    </row>
    <row r="476" spans="4:7" x14ac:dyDescent="0.25">
      <c r="D476" s="116"/>
      <c r="G476" s="4"/>
    </row>
    <row r="477" spans="4:7" x14ac:dyDescent="0.25">
      <c r="D477" s="116"/>
      <c r="G477" s="4"/>
    </row>
    <row r="478" spans="4:7" x14ac:dyDescent="0.25">
      <c r="D478" s="116"/>
      <c r="G478" s="4"/>
    </row>
    <row r="479" spans="4:7" x14ac:dyDescent="0.25">
      <c r="D479" s="116"/>
      <c r="G479" s="4"/>
    </row>
    <row r="480" spans="4:7" x14ac:dyDescent="0.25">
      <c r="D480" s="116"/>
      <c r="G480" s="4"/>
    </row>
    <row r="481" spans="4:7" x14ac:dyDescent="0.25">
      <c r="D481" s="116"/>
      <c r="G481" s="4"/>
    </row>
    <row r="482" spans="4:7" x14ac:dyDescent="0.25">
      <c r="D482" s="116"/>
      <c r="G482" s="4"/>
    </row>
    <row r="483" spans="4:7" x14ac:dyDescent="0.25">
      <c r="D483" s="116"/>
      <c r="G483" s="4"/>
    </row>
    <row r="484" spans="4:7" x14ac:dyDescent="0.25">
      <c r="D484" s="116"/>
      <c r="G484" s="4"/>
    </row>
    <row r="485" spans="4:7" x14ac:dyDescent="0.25">
      <c r="D485" s="116"/>
      <c r="G485" s="4"/>
    </row>
    <row r="486" spans="4:7" x14ac:dyDescent="0.25">
      <c r="D486" s="116"/>
      <c r="G486" s="4"/>
    </row>
    <row r="487" spans="4:7" x14ac:dyDescent="0.25">
      <c r="D487" s="116"/>
      <c r="G487" s="4"/>
    </row>
    <row r="488" spans="4:7" x14ac:dyDescent="0.25">
      <c r="D488" s="116"/>
      <c r="G488" s="4"/>
    </row>
    <row r="489" spans="4:7" x14ac:dyDescent="0.25">
      <c r="D489" s="116"/>
      <c r="G489" s="4"/>
    </row>
    <row r="490" spans="4:7" x14ac:dyDescent="0.25">
      <c r="D490" s="116"/>
      <c r="G490" s="4"/>
    </row>
    <row r="491" spans="4:7" x14ac:dyDescent="0.25">
      <c r="D491" s="116"/>
      <c r="G491" s="4"/>
    </row>
    <row r="492" spans="4:7" x14ac:dyDescent="0.25">
      <c r="D492" s="116"/>
      <c r="G492" s="4"/>
    </row>
    <row r="493" spans="4:7" x14ac:dyDescent="0.25">
      <c r="D493" s="116"/>
      <c r="G493" s="4"/>
    </row>
    <row r="494" spans="4:7" x14ac:dyDescent="0.25">
      <c r="D494" s="116"/>
      <c r="G494" s="4"/>
    </row>
    <row r="495" spans="4:7" x14ac:dyDescent="0.25">
      <c r="D495" s="116"/>
      <c r="G495" s="4"/>
    </row>
    <row r="496" spans="4:7" x14ac:dyDescent="0.25">
      <c r="D496" s="116"/>
      <c r="G496" s="4"/>
    </row>
    <row r="497" spans="4:7" x14ac:dyDescent="0.25">
      <c r="D497" s="116"/>
      <c r="G497" s="4"/>
    </row>
    <row r="498" spans="4:7" x14ac:dyDescent="0.25">
      <c r="D498" s="116"/>
      <c r="G498" s="4"/>
    </row>
    <row r="499" spans="4:7" x14ac:dyDescent="0.25">
      <c r="D499" s="116"/>
      <c r="G499" s="4"/>
    </row>
    <row r="500" spans="4:7" x14ac:dyDescent="0.25">
      <c r="D500" s="116"/>
      <c r="G500" s="4"/>
    </row>
    <row r="501" spans="4:7" x14ac:dyDescent="0.25">
      <c r="D501" s="116"/>
      <c r="G501" s="4"/>
    </row>
    <row r="502" spans="4:7" x14ac:dyDescent="0.25">
      <c r="D502" s="116"/>
      <c r="G502" s="4"/>
    </row>
    <row r="503" spans="4:7" x14ac:dyDescent="0.25">
      <c r="D503" s="116"/>
      <c r="G503" s="4"/>
    </row>
    <row r="504" spans="4:7" x14ac:dyDescent="0.25">
      <c r="D504" s="116"/>
      <c r="G504" s="4"/>
    </row>
    <row r="505" spans="4:7" x14ac:dyDescent="0.25">
      <c r="D505" s="116"/>
      <c r="G505" s="4"/>
    </row>
    <row r="506" spans="4:7" x14ac:dyDescent="0.25">
      <c r="D506" s="116"/>
      <c r="G506" s="4"/>
    </row>
    <row r="507" spans="4:7" x14ac:dyDescent="0.25">
      <c r="D507" s="116"/>
      <c r="G507" s="4"/>
    </row>
    <row r="508" spans="4:7" x14ac:dyDescent="0.25">
      <c r="D508" s="116"/>
      <c r="G508" s="4"/>
    </row>
    <row r="509" spans="4:7" x14ac:dyDescent="0.25">
      <c r="D509" s="116"/>
      <c r="G509" s="4"/>
    </row>
    <row r="510" spans="4:7" x14ac:dyDescent="0.25">
      <c r="D510" s="116"/>
      <c r="G510" s="4"/>
    </row>
    <row r="511" spans="4:7" x14ac:dyDescent="0.25">
      <c r="D511" s="116"/>
      <c r="G511" s="4"/>
    </row>
    <row r="512" spans="4:7" x14ac:dyDescent="0.25">
      <c r="D512" s="116"/>
      <c r="G512" s="4"/>
    </row>
    <row r="513" spans="4:7" x14ac:dyDescent="0.25">
      <c r="D513" s="116"/>
      <c r="G513" s="4"/>
    </row>
    <row r="514" spans="4:7" x14ac:dyDescent="0.25">
      <c r="D514" s="116"/>
      <c r="G514" s="4"/>
    </row>
    <row r="515" spans="4:7" x14ac:dyDescent="0.25">
      <c r="D515" s="116"/>
      <c r="G515" s="4"/>
    </row>
    <row r="516" spans="4:7" x14ac:dyDescent="0.25">
      <c r="D516" s="116"/>
      <c r="G516" s="4"/>
    </row>
    <row r="517" spans="4:7" x14ac:dyDescent="0.25">
      <c r="D517" s="116"/>
      <c r="G517" s="4"/>
    </row>
    <row r="518" spans="4:7" x14ac:dyDescent="0.25">
      <c r="D518" s="116"/>
      <c r="G518" s="4"/>
    </row>
    <row r="519" spans="4:7" x14ac:dyDescent="0.25">
      <c r="D519" s="116"/>
      <c r="G519" s="4"/>
    </row>
    <row r="520" spans="4:7" x14ac:dyDescent="0.25">
      <c r="D520" s="116"/>
      <c r="G520" s="4"/>
    </row>
    <row r="521" spans="4:7" x14ac:dyDescent="0.25">
      <c r="D521" s="116"/>
      <c r="G521" s="4"/>
    </row>
    <row r="522" spans="4:7" x14ac:dyDescent="0.25">
      <c r="D522" s="116"/>
      <c r="G522" s="4"/>
    </row>
    <row r="523" spans="4:7" x14ac:dyDescent="0.25">
      <c r="D523" s="116"/>
      <c r="G523" s="4"/>
    </row>
    <row r="524" spans="4:7" x14ac:dyDescent="0.25">
      <c r="D524" s="116"/>
      <c r="G524" s="4"/>
    </row>
    <row r="525" spans="4:7" x14ac:dyDescent="0.25">
      <c r="D525" s="116"/>
      <c r="G525" s="4"/>
    </row>
    <row r="526" spans="4:7" x14ac:dyDescent="0.25">
      <c r="D526" s="116"/>
      <c r="G526" s="4"/>
    </row>
    <row r="527" spans="4:7" x14ac:dyDescent="0.25">
      <c r="D527" s="116"/>
      <c r="G527" s="4"/>
    </row>
    <row r="528" spans="4:7" x14ac:dyDescent="0.25">
      <c r="D528" s="116"/>
      <c r="G528" s="4"/>
    </row>
    <row r="529" spans="4:7" x14ac:dyDescent="0.25">
      <c r="D529" s="116"/>
      <c r="G529" s="4"/>
    </row>
    <row r="530" spans="4:7" x14ac:dyDescent="0.25">
      <c r="D530" s="116"/>
      <c r="G530" s="4"/>
    </row>
    <row r="531" spans="4:7" x14ac:dyDescent="0.25">
      <c r="D531" s="116"/>
      <c r="G531" s="4"/>
    </row>
    <row r="532" spans="4:7" x14ac:dyDescent="0.25">
      <c r="D532" s="116"/>
      <c r="G532" s="4"/>
    </row>
    <row r="533" spans="4:7" x14ac:dyDescent="0.25">
      <c r="D533" s="116"/>
      <c r="G533" s="4"/>
    </row>
    <row r="534" spans="4:7" x14ac:dyDescent="0.25">
      <c r="D534" s="116"/>
      <c r="G534" s="4"/>
    </row>
    <row r="535" spans="4:7" x14ac:dyDescent="0.25">
      <c r="D535" s="116"/>
      <c r="G535" s="4"/>
    </row>
    <row r="536" spans="4:7" x14ac:dyDescent="0.25">
      <c r="D536" s="116"/>
      <c r="G536" s="4"/>
    </row>
    <row r="537" spans="4:7" x14ac:dyDescent="0.25">
      <c r="D537" s="116"/>
      <c r="G537" s="4"/>
    </row>
    <row r="538" spans="4:7" x14ac:dyDescent="0.25">
      <c r="D538" s="116"/>
      <c r="G538" s="4"/>
    </row>
    <row r="539" spans="4:7" x14ac:dyDescent="0.25">
      <c r="D539" s="116"/>
      <c r="G539" s="4"/>
    </row>
    <row r="540" spans="4:7" x14ac:dyDescent="0.25">
      <c r="D540" s="116"/>
      <c r="G540" s="4"/>
    </row>
    <row r="541" spans="4:7" x14ac:dyDescent="0.25">
      <c r="D541" s="116"/>
      <c r="G541" s="4"/>
    </row>
    <row r="542" spans="4:7" x14ac:dyDescent="0.25">
      <c r="D542" s="116"/>
      <c r="G542" s="4"/>
    </row>
    <row r="543" spans="4:7" x14ac:dyDescent="0.25">
      <c r="D543" s="116"/>
      <c r="G543" s="4"/>
    </row>
    <row r="544" spans="4:7" x14ac:dyDescent="0.25">
      <c r="D544" s="116"/>
      <c r="G544" s="4"/>
    </row>
    <row r="545" spans="4:7" x14ac:dyDescent="0.25">
      <c r="D545" s="116"/>
      <c r="G545" s="4"/>
    </row>
    <row r="546" spans="4:7" x14ac:dyDescent="0.25">
      <c r="D546" s="116"/>
      <c r="G546" s="4"/>
    </row>
    <row r="547" spans="4:7" x14ac:dyDescent="0.25">
      <c r="D547" s="116"/>
      <c r="G547" s="4"/>
    </row>
    <row r="548" spans="4:7" x14ac:dyDescent="0.25">
      <c r="D548" s="116"/>
      <c r="G548" s="4"/>
    </row>
    <row r="549" spans="4:7" x14ac:dyDescent="0.25">
      <c r="D549" s="116"/>
      <c r="G549" s="4"/>
    </row>
    <row r="550" spans="4:7" x14ac:dyDescent="0.25">
      <c r="D550" s="116"/>
      <c r="G550" s="4"/>
    </row>
    <row r="551" spans="4:7" x14ac:dyDescent="0.25">
      <c r="D551" s="116"/>
      <c r="G551" s="4"/>
    </row>
    <row r="552" spans="4:7" x14ac:dyDescent="0.25">
      <c r="D552" s="116"/>
      <c r="G552" s="4"/>
    </row>
    <row r="553" spans="4:7" x14ac:dyDescent="0.25">
      <c r="D553" s="116"/>
      <c r="G553" s="4"/>
    </row>
    <row r="554" spans="4:7" x14ac:dyDescent="0.25">
      <c r="D554" s="116"/>
      <c r="G554" s="4"/>
    </row>
    <row r="555" spans="4:7" x14ac:dyDescent="0.25">
      <c r="D555" s="116"/>
      <c r="G555" s="4"/>
    </row>
    <row r="556" spans="4:7" x14ac:dyDescent="0.25">
      <c r="D556" s="116"/>
      <c r="G556" s="4"/>
    </row>
    <row r="557" spans="4:7" x14ac:dyDescent="0.25">
      <c r="D557" s="116"/>
      <c r="G557" s="4"/>
    </row>
    <row r="558" spans="4:7" x14ac:dyDescent="0.25">
      <c r="D558" s="116"/>
      <c r="G558" s="4"/>
    </row>
    <row r="559" spans="4:7" x14ac:dyDescent="0.25">
      <c r="D559" s="116"/>
      <c r="G559" s="4"/>
    </row>
    <row r="560" spans="4:7" x14ac:dyDescent="0.25">
      <c r="D560" s="116"/>
      <c r="G560" s="4"/>
    </row>
    <row r="561" spans="4:7" x14ac:dyDescent="0.25">
      <c r="D561" s="116"/>
      <c r="G561" s="4"/>
    </row>
    <row r="562" spans="4:7" x14ac:dyDescent="0.25">
      <c r="D562" s="116"/>
      <c r="G562" s="4"/>
    </row>
    <row r="563" spans="4:7" x14ac:dyDescent="0.25">
      <c r="D563" s="116"/>
      <c r="G563" s="4"/>
    </row>
    <row r="564" spans="4:7" x14ac:dyDescent="0.25">
      <c r="D564" s="116"/>
      <c r="G564" s="4"/>
    </row>
    <row r="565" spans="4:7" x14ac:dyDescent="0.25">
      <c r="D565" s="116"/>
      <c r="G565" s="4"/>
    </row>
    <row r="566" spans="4:7" x14ac:dyDescent="0.25">
      <c r="D566" s="116"/>
      <c r="G566" s="4"/>
    </row>
    <row r="567" spans="4:7" x14ac:dyDescent="0.25">
      <c r="D567" s="116"/>
      <c r="G567" s="4"/>
    </row>
    <row r="568" spans="4:7" x14ac:dyDescent="0.25">
      <c r="D568" s="116"/>
      <c r="G568" s="4"/>
    </row>
    <row r="569" spans="4:7" x14ac:dyDescent="0.25">
      <c r="D569" s="116"/>
      <c r="G569" s="4"/>
    </row>
    <row r="570" spans="4:7" x14ac:dyDescent="0.25">
      <c r="D570" s="116"/>
      <c r="G570" s="4"/>
    </row>
    <row r="571" spans="4:7" x14ac:dyDescent="0.25">
      <c r="D571" s="116"/>
      <c r="G571" s="4"/>
    </row>
    <row r="572" spans="4:7" x14ac:dyDescent="0.25">
      <c r="D572" s="116"/>
      <c r="G572" s="4"/>
    </row>
    <row r="573" spans="4:7" x14ac:dyDescent="0.25">
      <c r="D573" s="116"/>
      <c r="G573" s="4"/>
    </row>
    <row r="574" spans="4:7" x14ac:dyDescent="0.25">
      <c r="D574" s="116"/>
      <c r="G574" s="4"/>
    </row>
    <row r="575" spans="4:7" x14ac:dyDescent="0.25">
      <c r="D575" s="116"/>
      <c r="G575" s="4"/>
    </row>
    <row r="576" spans="4:7" x14ac:dyDescent="0.25">
      <c r="D576" s="116"/>
      <c r="G576" s="4"/>
    </row>
    <row r="577" spans="4:7" x14ac:dyDescent="0.25">
      <c r="D577" s="116"/>
      <c r="G577" s="4"/>
    </row>
    <row r="578" spans="4:7" x14ac:dyDescent="0.25">
      <c r="D578" s="116"/>
      <c r="G578" s="4"/>
    </row>
    <row r="579" spans="4:7" x14ac:dyDescent="0.25">
      <c r="D579" s="116"/>
      <c r="G579" s="4"/>
    </row>
    <row r="580" spans="4:7" x14ac:dyDescent="0.25">
      <c r="D580" s="116"/>
      <c r="G580" s="4"/>
    </row>
    <row r="581" spans="4:7" x14ac:dyDescent="0.25">
      <c r="D581" s="116"/>
      <c r="G581" s="4"/>
    </row>
    <row r="582" spans="4:7" x14ac:dyDescent="0.25">
      <c r="D582" s="116"/>
      <c r="G582" s="4"/>
    </row>
    <row r="583" spans="4:7" x14ac:dyDescent="0.25">
      <c r="D583" s="116"/>
      <c r="G583" s="4"/>
    </row>
    <row r="584" spans="4:7" x14ac:dyDescent="0.25">
      <c r="D584" s="116"/>
      <c r="G584" s="4"/>
    </row>
    <row r="585" spans="4:7" x14ac:dyDescent="0.25">
      <c r="D585" s="116"/>
      <c r="G585" s="4"/>
    </row>
    <row r="586" spans="4:7" x14ac:dyDescent="0.25">
      <c r="D586" s="116"/>
      <c r="G586" s="4"/>
    </row>
    <row r="587" spans="4:7" x14ac:dyDescent="0.25">
      <c r="D587" s="116"/>
      <c r="G587" s="4"/>
    </row>
    <row r="588" spans="4:7" x14ac:dyDescent="0.25">
      <c r="D588" s="116"/>
      <c r="G588" s="4"/>
    </row>
    <row r="589" spans="4:7" x14ac:dyDescent="0.25">
      <c r="D589" s="116"/>
      <c r="G589" s="4"/>
    </row>
    <row r="590" spans="4:7" x14ac:dyDescent="0.25">
      <c r="D590" s="116"/>
      <c r="G590" s="4"/>
    </row>
    <row r="591" spans="4:7" x14ac:dyDescent="0.25">
      <c r="D591" s="116"/>
      <c r="G591" s="4"/>
    </row>
    <row r="592" spans="4:7" x14ac:dyDescent="0.25">
      <c r="D592" s="116"/>
      <c r="G592" s="4"/>
    </row>
    <row r="593" spans="4:7" x14ac:dyDescent="0.25">
      <c r="D593" s="116"/>
      <c r="G593" s="4"/>
    </row>
    <row r="594" spans="4:7" x14ac:dyDescent="0.25">
      <c r="D594" s="116"/>
      <c r="G594" s="4"/>
    </row>
    <row r="595" spans="4:7" x14ac:dyDescent="0.25">
      <c r="D595" s="116"/>
      <c r="G595" s="4"/>
    </row>
    <row r="596" spans="4:7" x14ac:dyDescent="0.25">
      <c r="D596" s="116"/>
      <c r="G596" s="4"/>
    </row>
    <row r="597" spans="4:7" x14ac:dyDescent="0.25">
      <c r="D597" s="116"/>
      <c r="G597" s="4"/>
    </row>
    <row r="598" spans="4:7" x14ac:dyDescent="0.25">
      <c r="D598" s="116"/>
      <c r="G598" s="4"/>
    </row>
    <row r="599" spans="4:7" x14ac:dyDescent="0.25">
      <c r="D599" s="116"/>
      <c r="G599" s="4"/>
    </row>
    <row r="600" spans="4:7" x14ac:dyDescent="0.25">
      <c r="D600" s="116"/>
      <c r="G600" s="4"/>
    </row>
    <row r="601" spans="4:7" x14ac:dyDescent="0.25">
      <c r="D601" s="116"/>
      <c r="G601" s="4"/>
    </row>
    <row r="602" spans="4:7" x14ac:dyDescent="0.25">
      <c r="D602" s="116"/>
      <c r="G602" s="4"/>
    </row>
    <row r="603" spans="4:7" x14ac:dyDescent="0.25">
      <c r="D603" s="116"/>
      <c r="G603" s="4"/>
    </row>
    <row r="604" spans="4:7" x14ac:dyDescent="0.25">
      <c r="D604" s="116"/>
      <c r="G604" s="4"/>
    </row>
    <row r="605" spans="4:7" x14ac:dyDescent="0.25">
      <c r="D605" s="116"/>
      <c r="G605" s="4"/>
    </row>
    <row r="606" spans="4:7" x14ac:dyDescent="0.25">
      <c r="D606" s="116"/>
      <c r="G606" s="4"/>
    </row>
    <row r="607" spans="4:7" x14ac:dyDescent="0.25">
      <c r="D607" s="116"/>
      <c r="G607" s="4"/>
    </row>
    <row r="608" spans="4:7" x14ac:dyDescent="0.25">
      <c r="D608" s="116"/>
      <c r="G608" s="4"/>
    </row>
    <row r="609" spans="4:7" x14ac:dyDescent="0.25">
      <c r="D609" s="116"/>
      <c r="G609" s="4"/>
    </row>
    <row r="610" spans="4:7" x14ac:dyDescent="0.25">
      <c r="D610" s="116"/>
      <c r="G610" s="4"/>
    </row>
    <row r="611" spans="4:7" x14ac:dyDescent="0.25">
      <c r="D611" s="116"/>
      <c r="G611" s="4"/>
    </row>
    <row r="612" spans="4:7" x14ac:dyDescent="0.25">
      <c r="D612" s="116"/>
      <c r="G612" s="4"/>
    </row>
    <row r="613" spans="4:7" x14ac:dyDescent="0.25">
      <c r="D613" s="116"/>
      <c r="G613" s="4"/>
    </row>
    <row r="614" spans="4:7" x14ac:dyDescent="0.25">
      <c r="D614" s="116"/>
      <c r="G614" s="4"/>
    </row>
    <row r="615" spans="4:7" x14ac:dyDescent="0.25">
      <c r="D615" s="116"/>
      <c r="G615" s="4"/>
    </row>
    <row r="616" spans="4:7" x14ac:dyDescent="0.25">
      <c r="D616" s="116"/>
      <c r="G616" s="4"/>
    </row>
    <row r="617" spans="4:7" x14ac:dyDescent="0.25">
      <c r="D617" s="116"/>
      <c r="G617" s="4"/>
    </row>
    <row r="618" spans="4:7" x14ac:dyDescent="0.25">
      <c r="D618" s="116"/>
      <c r="G618" s="4"/>
    </row>
    <row r="619" spans="4:7" x14ac:dyDescent="0.25">
      <c r="D619" s="116"/>
      <c r="G619" s="4"/>
    </row>
    <row r="620" spans="4:7" x14ac:dyDescent="0.25">
      <c r="D620" s="116"/>
      <c r="G620" s="4"/>
    </row>
    <row r="621" spans="4:7" x14ac:dyDescent="0.25">
      <c r="D621" s="116"/>
      <c r="G621" s="4"/>
    </row>
    <row r="622" spans="4:7" x14ac:dyDescent="0.25">
      <c r="D622" s="116"/>
      <c r="G622" s="4"/>
    </row>
    <row r="623" spans="4:7" x14ac:dyDescent="0.25">
      <c r="D623" s="116"/>
      <c r="G623" s="4"/>
    </row>
    <row r="624" spans="4:7" x14ac:dyDescent="0.25">
      <c r="D624" s="116"/>
      <c r="G624" s="4"/>
    </row>
    <row r="625" spans="4:7" x14ac:dyDescent="0.25">
      <c r="D625" s="116"/>
      <c r="G625" s="4"/>
    </row>
    <row r="626" spans="4:7" x14ac:dyDescent="0.25">
      <c r="D626" s="116"/>
      <c r="G626" s="4"/>
    </row>
    <row r="627" spans="4:7" x14ac:dyDescent="0.25">
      <c r="D627" s="116"/>
      <c r="G627" s="4"/>
    </row>
    <row r="628" spans="4:7" x14ac:dyDescent="0.25">
      <c r="D628" s="116"/>
      <c r="G628" s="4"/>
    </row>
    <row r="629" spans="4:7" x14ac:dyDescent="0.25">
      <c r="D629" s="116"/>
      <c r="G629" s="4"/>
    </row>
    <row r="630" spans="4:7" x14ac:dyDescent="0.25">
      <c r="D630" s="116"/>
      <c r="G630" s="4"/>
    </row>
    <row r="631" spans="4:7" x14ac:dyDescent="0.25">
      <c r="D631" s="116"/>
      <c r="G631" s="4"/>
    </row>
    <row r="632" spans="4:7" x14ac:dyDescent="0.25">
      <c r="D632" s="116"/>
      <c r="G632" s="4"/>
    </row>
    <row r="633" spans="4:7" x14ac:dyDescent="0.25">
      <c r="D633" s="116"/>
      <c r="G633" s="4"/>
    </row>
    <row r="634" spans="4:7" x14ac:dyDescent="0.25">
      <c r="D634" s="116"/>
      <c r="G634" s="4"/>
    </row>
    <row r="635" spans="4:7" x14ac:dyDescent="0.25">
      <c r="D635" s="116"/>
      <c r="G635" s="4"/>
    </row>
    <row r="636" spans="4:7" x14ac:dyDescent="0.25">
      <c r="D636" s="116"/>
      <c r="G636" s="4"/>
    </row>
    <row r="637" spans="4:7" x14ac:dyDescent="0.25">
      <c r="D637" s="116"/>
      <c r="G637" s="4"/>
    </row>
    <row r="638" spans="4:7" x14ac:dyDescent="0.25">
      <c r="D638" s="116"/>
      <c r="G638" s="4"/>
    </row>
    <row r="639" spans="4:7" x14ac:dyDescent="0.25">
      <c r="D639" s="116"/>
      <c r="G639" s="4"/>
    </row>
    <row r="640" spans="4:7" x14ac:dyDescent="0.25">
      <c r="D640" s="116"/>
      <c r="G640" s="4"/>
    </row>
    <row r="641" spans="4:7" x14ac:dyDescent="0.25">
      <c r="D641" s="116"/>
      <c r="G641" s="4"/>
    </row>
    <row r="642" spans="4:7" x14ac:dyDescent="0.25">
      <c r="D642" s="116"/>
      <c r="G642" s="4"/>
    </row>
    <row r="643" spans="4:7" x14ac:dyDescent="0.25">
      <c r="D643" s="116"/>
      <c r="G643" s="4"/>
    </row>
    <row r="644" spans="4:7" x14ac:dyDescent="0.25">
      <c r="D644" s="116"/>
      <c r="G644" s="4"/>
    </row>
    <row r="645" spans="4:7" x14ac:dyDescent="0.25">
      <c r="D645" s="116"/>
      <c r="G645" s="4"/>
    </row>
    <row r="646" spans="4:7" x14ac:dyDescent="0.25">
      <c r="D646" s="116"/>
      <c r="G646" s="4"/>
    </row>
    <row r="647" spans="4:7" x14ac:dyDescent="0.25">
      <c r="D647" s="116"/>
      <c r="G647" s="4"/>
    </row>
    <row r="648" spans="4:7" x14ac:dyDescent="0.25">
      <c r="D648" s="116"/>
      <c r="G648" s="4"/>
    </row>
    <row r="649" spans="4:7" x14ac:dyDescent="0.25">
      <c r="D649" s="116"/>
      <c r="G649" s="4"/>
    </row>
    <row r="650" spans="4:7" x14ac:dyDescent="0.25">
      <c r="D650" s="116"/>
      <c r="G650" s="4"/>
    </row>
    <row r="651" spans="4:7" x14ac:dyDescent="0.25">
      <c r="D651" s="116"/>
      <c r="G651" s="4"/>
    </row>
    <row r="652" spans="4:7" x14ac:dyDescent="0.25">
      <c r="D652" s="116"/>
      <c r="G652" s="4"/>
    </row>
    <row r="653" spans="4:7" x14ac:dyDescent="0.25">
      <c r="D653" s="116"/>
      <c r="G653" s="4"/>
    </row>
    <row r="654" spans="4:7" x14ac:dyDescent="0.25">
      <c r="D654" s="116"/>
      <c r="G654" s="4"/>
    </row>
    <row r="655" spans="4:7" x14ac:dyDescent="0.25">
      <c r="D655" s="116"/>
      <c r="G655" s="4"/>
    </row>
    <row r="656" spans="4:7" x14ac:dyDescent="0.25">
      <c r="D656" s="116"/>
      <c r="G656" s="4"/>
    </row>
    <row r="657" spans="4:7" x14ac:dyDescent="0.25">
      <c r="D657" s="116"/>
      <c r="G657" s="4"/>
    </row>
    <row r="658" spans="4:7" x14ac:dyDescent="0.25">
      <c r="D658" s="116"/>
      <c r="G658" s="4"/>
    </row>
    <row r="659" spans="4:7" x14ac:dyDescent="0.25">
      <c r="D659" s="116"/>
      <c r="G659" s="4"/>
    </row>
    <row r="660" spans="4:7" x14ac:dyDescent="0.25">
      <c r="D660" s="116"/>
      <c r="G660" s="4"/>
    </row>
    <row r="661" spans="4:7" x14ac:dyDescent="0.25">
      <c r="D661" s="116"/>
      <c r="G661" s="4"/>
    </row>
    <row r="662" spans="4:7" x14ac:dyDescent="0.25">
      <c r="D662" s="116"/>
      <c r="G662" s="4"/>
    </row>
    <row r="663" spans="4:7" x14ac:dyDescent="0.25">
      <c r="D663" s="116"/>
      <c r="G663" s="4"/>
    </row>
    <row r="664" spans="4:7" x14ac:dyDescent="0.25">
      <c r="D664" s="116"/>
      <c r="G664" s="4"/>
    </row>
    <row r="665" spans="4:7" x14ac:dyDescent="0.25">
      <c r="D665" s="116"/>
      <c r="G665" s="4"/>
    </row>
    <row r="666" spans="4:7" x14ac:dyDescent="0.25">
      <c r="D666" s="116"/>
      <c r="G666" s="4"/>
    </row>
    <row r="667" spans="4:7" x14ac:dyDescent="0.25">
      <c r="D667" s="116"/>
      <c r="G667" s="4"/>
    </row>
    <row r="668" spans="4:7" x14ac:dyDescent="0.25">
      <c r="D668" s="116"/>
      <c r="G668" s="4"/>
    </row>
    <row r="669" spans="4:7" x14ac:dyDescent="0.25">
      <c r="D669" s="116"/>
      <c r="G669" s="4"/>
    </row>
    <row r="670" spans="4:7" x14ac:dyDescent="0.25">
      <c r="D670" s="116"/>
      <c r="G670" s="4"/>
    </row>
    <row r="671" spans="4:7" x14ac:dyDescent="0.25">
      <c r="D671" s="116"/>
      <c r="G671" s="4"/>
    </row>
    <row r="672" spans="4:7" x14ac:dyDescent="0.25">
      <c r="D672" s="116"/>
      <c r="G672" s="4"/>
    </row>
    <row r="673" spans="4:7" x14ac:dyDescent="0.25">
      <c r="D673" s="116"/>
      <c r="G673" s="4"/>
    </row>
    <row r="674" spans="4:7" x14ac:dyDescent="0.25">
      <c r="D674" s="116"/>
      <c r="G674" s="4"/>
    </row>
    <row r="675" spans="4:7" x14ac:dyDescent="0.25">
      <c r="D675" s="116"/>
      <c r="G675" s="4"/>
    </row>
    <row r="676" spans="4:7" x14ac:dyDescent="0.25">
      <c r="D676" s="116"/>
      <c r="G676" s="4"/>
    </row>
    <row r="677" spans="4:7" x14ac:dyDescent="0.25">
      <c r="D677" s="116"/>
      <c r="G677" s="4"/>
    </row>
    <row r="678" spans="4:7" x14ac:dyDescent="0.25">
      <c r="D678" s="116"/>
      <c r="G678" s="4"/>
    </row>
    <row r="679" spans="4:7" x14ac:dyDescent="0.25">
      <c r="D679" s="116"/>
      <c r="G679" s="4"/>
    </row>
    <row r="680" spans="4:7" x14ac:dyDescent="0.25">
      <c r="D680" s="116"/>
      <c r="G680" s="4"/>
    </row>
    <row r="681" spans="4:7" x14ac:dyDescent="0.25">
      <c r="D681" s="116"/>
      <c r="G681" s="4"/>
    </row>
    <row r="682" spans="4:7" x14ac:dyDescent="0.25">
      <c r="D682" s="116"/>
      <c r="G682" s="4"/>
    </row>
    <row r="683" spans="4:7" x14ac:dyDescent="0.25">
      <c r="D683" s="116"/>
      <c r="G683" s="4"/>
    </row>
    <row r="684" spans="4:7" x14ac:dyDescent="0.25">
      <c r="D684" s="116"/>
      <c r="G684" s="4"/>
    </row>
    <row r="685" spans="4:7" x14ac:dyDescent="0.25">
      <c r="D685" s="116"/>
      <c r="G685" s="4"/>
    </row>
    <row r="686" spans="4:7" x14ac:dyDescent="0.25">
      <c r="D686" s="116"/>
      <c r="G686" s="4"/>
    </row>
    <row r="687" spans="4:7" x14ac:dyDescent="0.25">
      <c r="D687" s="116"/>
      <c r="G687" s="4"/>
    </row>
    <row r="688" spans="4:7" x14ac:dyDescent="0.25">
      <c r="D688" s="116"/>
      <c r="G688" s="4"/>
    </row>
    <row r="689" spans="4:7" x14ac:dyDescent="0.25">
      <c r="D689" s="116"/>
      <c r="G689" s="4"/>
    </row>
    <row r="690" spans="4:7" x14ac:dyDescent="0.25">
      <c r="D690" s="116"/>
      <c r="G690" s="4"/>
    </row>
    <row r="691" spans="4:7" x14ac:dyDescent="0.25">
      <c r="D691" s="116"/>
      <c r="G691" s="4"/>
    </row>
    <row r="692" spans="4:7" x14ac:dyDescent="0.25">
      <c r="D692" s="116"/>
      <c r="G692" s="4"/>
    </row>
    <row r="693" spans="4:7" x14ac:dyDescent="0.25">
      <c r="D693" s="116"/>
      <c r="G693" s="4"/>
    </row>
    <row r="694" spans="4:7" x14ac:dyDescent="0.25">
      <c r="D694" s="116"/>
      <c r="G694" s="4"/>
    </row>
    <row r="695" spans="4:7" x14ac:dyDescent="0.25">
      <c r="D695" s="116"/>
      <c r="G695" s="4"/>
    </row>
    <row r="696" spans="4:7" x14ac:dyDescent="0.25">
      <c r="D696" s="116"/>
      <c r="G696" s="4"/>
    </row>
    <row r="697" spans="4:7" x14ac:dyDescent="0.25">
      <c r="D697" s="116"/>
      <c r="G697" s="4"/>
    </row>
    <row r="698" spans="4:7" x14ac:dyDescent="0.25">
      <c r="D698" s="116"/>
      <c r="G698" s="4"/>
    </row>
    <row r="699" spans="4:7" x14ac:dyDescent="0.25">
      <c r="D699" s="116"/>
      <c r="G699" s="4"/>
    </row>
    <row r="700" spans="4:7" x14ac:dyDescent="0.25">
      <c r="D700" s="116"/>
      <c r="G700" s="4"/>
    </row>
    <row r="701" spans="4:7" x14ac:dyDescent="0.25">
      <c r="D701" s="116"/>
      <c r="G701" s="4"/>
    </row>
    <row r="702" spans="4:7" x14ac:dyDescent="0.25">
      <c r="D702" s="116"/>
      <c r="G702" s="4"/>
    </row>
    <row r="703" spans="4:7" x14ac:dyDescent="0.25">
      <c r="D703" s="116"/>
      <c r="G703" s="4"/>
    </row>
    <row r="704" spans="4:7" x14ac:dyDescent="0.25">
      <c r="D704" s="116"/>
      <c r="G704" s="4"/>
    </row>
    <row r="705" spans="4:7" x14ac:dyDescent="0.25">
      <c r="D705" s="116"/>
      <c r="G705" s="4"/>
    </row>
    <row r="706" spans="4:7" x14ac:dyDescent="0.25">
      <c r="D706" s="116"/>
      <c r="G706" s="4"/>
    </row>
    <row r="707" spans="4:7" x14ac:dyDescent="0.25">
      <c r="D707" s="116"/>
      <c r="G707" s="4"/>
    </row>
    <row r="708" spans="4:7" x14ac:dyDescent="0.25">
      <c r="D708" s="116"/>
      <c r="G708" s="4"/>
    </row>
    <row r="709" spans="4:7" x14ac:dyDescent="0.25">
      <c r="D709" s="116"/>
      <c r="G709" s="4"/>
    </row>
    <row r="710" spans="4:7" x14ac:dyDescent="0.25">
      <c r="D710" s="116"/>
      <c r="G710" s="4"/>
    </row>
    <row r="711" spans="4:7" x14ac:dyDescent="0.25">
      <c r="D711" s="116"/>
      <c r="G711" s="4"/>
    </row>
    <row r="712" spans="4:7" x14ac:dyDescent="0.25">
      <c r="D712" s="116"/>
      <c r="G712" s="4"/>
    </row>
    <row r="713" spans="4:7" x14ac:dyDescent="0.25">
      <c r="D713" s="116"/>
      <c r="G713" s="4"/>
    </row>
    <row r="714" spans="4:7" x14ac:dyDescent="0.25">
      <c r="D714" s="116"/>
      <c r="G714" s="4"/>
    </row>
    <row r="715" spans="4:7" x14ac:dyDescent="0.25">
      <c r="D715" s="116"/>
      <c r="G715" s="4"/>
    </row>
    <row r="716" spans="4:7" x14ac:dyDescent="0.25">
      <c r="D716" s="116"/>
      <c r="G716" s="4"/>
    </row>
    <row r="717" spans="4:7" x14ac:dyDescent="0.25">
      <c r="D717" s="116"/>
      <c r="G717" s="4"/>
    </row>
    <row r="718" spans="4:7" x14ac:dyDescent="0.25">
      <c r="D718" s="116"/>
      <c r="G718" s="4"/>
    </row>
    <row r="719" spans="4:7" x14ac:dyDescent="0.25">
      <c r="D719" s="116"/>
      <c r="G719" s="4"/>
    </row>
    <row r="720" spans="4:7" x14ac:dyDescent="0.25">
      <c r="D720" s="116"/>
      <c r="G720" s="4"/>
    </row>
    <row r="721" spans="4:7" x14ac:dyDescent="0.25">
      <c r="D721" s="116"/>
      <c r="G721" s="4"/>
    </row>
    <row r="722" spans="4:7" x14ac:dyDescent="0.25">
      <c r="D722" s="116"/>
      <c r="G722" s="4"/>
    </row>
    <row r="723" spans="4:7" x14ac:dyDescent="0.25">
      <c r="D723" s="116"/>
      <c r="G723" s="4"/>
    </row>
    <row r="724" spans="4:7" x14ac:dyDescent="0.25">
      <c r="D724" s="116"/>
      <c r="G724" s="4"/>
    </row>
    <row r="725" spans="4:7" x14ac:dyDescent="0.25">
      <c r="D725" s="116"/>
      <c r="G725" s="4"/>
    </row>
    <row r="726" spans="4:7" x14ac:dyDescent="0.25">
      <c r="D726" s="116"/>
      <c r="G726" s="4"/>
    </row>
    <row r="727" spans="4:7" x14ac:dyDescent="0.25">
      <c r="D727" s="116"/>
      <c r="G727" s="4"/>
    </row>
    <row r="728" spans="4:7" x14ac:dyDescent="0.25">
      <c r="D728" s="116"/>
      <c r="G728" s="4"/>
    </row>
    <row r="729" spans="4:7" x14ac:dyDescent="0.25">
      <c r="D729" s="116"/>
      <c r="G729" s="4"/>
    </row>
    <row r="730" spans="4:7" x14ac:dyDescent="0.25">
      <c r="D730" s="116"/>
      <c r="G730" s="4"/>
    </row>
    <row r="731" spans="4:7" x14ac:dyDescent="0.25">
      <c r="D731" s="116"/>
      <c r="G731" s="4"/>
    </row>
    <row r="732" spans="4:7" x14ac:dyDescent="0.25">
      <c r="D732" s="116"/>
      <c r="G732" s="4"/>
    </row>
    <row r="733" spans="4:7" x14ac:dyDescent="0.25">
      <c r="D733" s="116"/>
      <c r="G733" s="4"/>
    </row>
    <row r="734" spans="4:7" x14ac:dyDescent="0.25">
      <c r="D734" s="116"/>
      <c r="G734" s="4"/>
    </row>
    <row r="735" spans="4:7" x14ac:dyDescent="0.25">
      <c r="D735" s="116"/>
      <c r="G735" s="4"/>
    </row>
    <row r="736" spans="4:7" x14ac:dyDescent="0.25">
      <c r="D736" s="116"/>
      <c r="G736" s="4"/>
    </row>
    <row r="737" spans="4:7" x14ac:dyDescent="0.25">
      <c r="D737" s="116"/>
      <c r="G737" s="4"/>
    </row>
    <row r="738" spans="4:7" x14ac:dyDescent="0.25">
      <c r="D738" s="116"/>
      <c r="G738" s="4"/>
    </row>
    <row r="739" spans="4:7" x14ac:dyDescent="0.25">
      <c r="D739" s="116"/>
      <c r="G739" s="4"/>
    </row>
    <row r="740" spans="4:7" x14ac:dyDescent="0.25">
      <c r="D740" s="116"/>
      <c r="G740" s="4"/>
    </row>
    <row r="741" spans="4:7" x14ac:dyDescent="0.25">
      <c r="D741" s="116"/>
      <c r="G741" s="4"/>
    </row>
    <row r="742" spans="4:7" x14ac:dyDescent="0.25">
      <c r="D742" s="116"/>
      <c r="G742" s="4"/>
    </row>
    <row r="743" spans="4:7" x14ac:dyDescent="0.25">
      <c r="D743" s="116"/>
      <c r="G743" s="4"/>
    </row>
    <row r="744" spans="4:7" x14ac:dyDescent="0.25">
      <c r="D744" s="116"/>
      <c r="G744" s="4"/>
    </row>
    <row r="745" spans="4:7" x14ac:dyDescent="0.25">
      <c r="D745" s="116"/>
      <c r="G745" s="4"/>
    </row>
    <row r="746" spans="4:7" x14ac:dyDescent="0.25">
      <c r="D746" s="116"/>
      <c r="G746" s="4"/>
    </row>
    <row r="747" spans="4:7" x14ac:dyDescent="0.25">
      <c r="D747" s="116"/>
      <c r="G747" s="4"/>
    </row>
    <row r="748" spans="4:7" x14ac:dyDescent="0.25">
      <c r="D748" s="116"/>
      <c r="G748" s="4"/>
    </row>
    <row r="749" spans="4:7" x14ac:dyDescent="0.25">
      <c r="D749" s="116"/>
      <c r="G749" s="4"/>
    </row>
    <row r="750" spans="4:7" x14ac:dyDescent="0.25">
      <c r="D750" s="116"/>
      <c r="G750" s="4"/>
    </row>
    <row r="751" spans="4:7" x14ac:dyDescent="0.25">
      <c r="D751" s="116"/>
      <c r="G751" s="4"/>
    </row>
    <row r="752" spans="4:7" x14ac:dyDescent="0.25">
      <c r="D752" s="116"/>
      <c r="G752" s="4"/>
    </row>
    <row r="753" spans="4:7" x14ac:dyDescent="0.25">
      <c r="D753" s="116"/>
      <c r="G753" s="4"/>
    </row>
    <row r="754" spans="4:7" x14ac:dyDescent="0.25">
      <c r="D754" s="116"/>
      <c r="G754" s="4"/>
    </row>
    <row r="755" spans="4:7" x14ac:dyDescent="0.25">
      <c r="D755" s="116"/>
      <c r="G755" s="4"/>
    </row>
    <row r="756" spans="4:7" x14ac:dyDescent="0.25">
      <c r="D756" s="116"/>
      <c r="G756" s="4"/>
    </row>
    <row r="757" spans="4:7" x14ac:dyDescent="0.25">
      <c r="D757" s="116"/>
      <c r="G757" s="4"/>
    </row>
    <row r="758" spans="4:7" x14ac:dyDescent="0.25">
      <c r="D758" s="116"/>
      <c r="G758" s="4"/>
    </row>
    <row r="759" spans="4:7" x14ac:dyDescent="0.25">
      <c r="D759" s="116"/>
      <c r="G759" s="4"/>
    </row>
    <row r="760" spans="4:7" x14ac:dyDescent="0.25">
      <c r="D760" s="116"/>
      <c r="G760" s="4"/>
    </row>
    <row r="761" spans="4:7" x14ac:dyDescent="0.25">
      <c r="D761" s="116"/>
      <c r="G761" s="4"/>
    </row>
    <row r="762" spans="4:7" x14ac:dyDescent="0.25">
      <c r="D762" s="116"/>
      <c r="G762" s="4"/>
    </row>
    <row r="763" spans="4:7" x14ac:dyDescent="0.25">
      <c r="D763" s="116"/>
      <c r="G763" s="4"/>
    </row>
    <row r="764" spans="4:7" x14ac:dyDescent="0.25">
      <c r="D764" s="116"/>
      <c r="G764" s="4"/>
    </row>
    <row r="765" spans="4:7" x14ac:dyDescent="0.25">
      <c r="D765" s="116"/>
      <c r="G765" s="4"/>
    </row>
    <row r="766" spans="4:7" x14ac:dyDescent="0.25">
      <c r="D766" s="116"/>
      <c r="G766" s="4"/>
    </row>
    <row r="767" spans="4:7" x14ac:dyDescent="0.25">
      <c r="D767" s="116"/>
      <c r="G767" s="4"/>
    </row>
    <row r="768" spans="4:7" x14ac:dyDescent="0.25">
      <c r="D768" s="116"/>
      <c r="G768" s="4"/>
    </row>
    <row r="769" spans="4:7" x14ac:dyDescent="0.25">
      <c r="D769" s="116"/>
      <c r="G769" s="4"/>
    </row>
    <row r="770" spans="4:7" x14ac:dyDescent="0.25">
      <c r="D770" s="116"/>
      <c r="G770" s="4"/>
    </row>
    <row r="771" spans="4:7" x14ac:dyDescent="0.25">
      <c r="D771" s="116"/>
      <c r="G771" s="4"/>
    </row>
    <row r="772" spans="4:7" x14ac:dyDescent="0.25">
      <c r="D772" s="116"/>
      <c r="G772" s="4"/>
    </row>
    <row r="773" spans="4:7" x14ac:dyDescent="0.25">
      <c r="D773" s="116"/>
      <c r="G773" s="4"/>
    </row>
    <row r="774" spans="4:7" x14ac:dyDescent="0.25">
      <c r="D774" s="116"/>
      <c r="G774" s="4"/>
    </row>
    <row r="775" spans="4:7" x14ac:dyDescent="0.25">
      <c r="D775" s="116"/>
      <c r="G775" s="4"/>
    </row>
    <row r="776" spans="4:7" x14ac:dyDescent="0.25">
      <c r="D776" s="116"/>
      <c r="G776" s="4"/>
    </row>
    <row r="777" spans="4:7" x14ac:dyDescent="0.25">
      <c r="D777" s="116"/>
      <c r="G777" s="4"/>
    </row>
    <row r="778" spans="4:7" x14ac:dyDescent="0.25">
      <c r="D778" s="116"/>
      <c r="G778" s="4"/>
    </row>
    <row r="779" spans="4:7" x14ac:dyDescent="0.25">
      <c r="D779" s="116"/>
      <c r="G779" s="4"/>
    </row>
    <row r="780" spans="4:7" x14ac:dyDescent="0.25">
      <c r="D780" s="116"/>
      <c r="G780" s="4"/>
    </row>
    <row r="781" spans="4:7" x14ac:dyDescent="0.25">
      <c r="D781" s="116"/>
      <c r="G781" s="4"/>
    </row>
    <row r="782" spans="4:7" x14ac:dyDescent="0.25">
      <c r="D782" s="116"/>
      <c r="G782" s="4"/>
    </row>
    <row r="783" spans="4:7" x14ac:dyDescent="0.25">
      <c r="D783" s="116"/>
      <c r="G783" s="4"/>
    </row>
    <row r="784" spans="4:7" x14ac:dyDescent="0.25">
      <c r="D784" s="116"/>
      <c r="G784" s="4"/>
    </row>
    <row r="785" spans="4:7" x14ac:dyDescent="0.25">
      <c r="D785" s="116"/>
      <c r="G785" s="4"/>
    </row>
    <row r="786" spans="4:7" x14ac:dyDescent="0.25">
      <c r="D786" s="116"/>
      <c r="G786" s="4"/>
    </row>
    <row r="787" spans="4:7" x14ac:dyDescent="0.25">
      <c r="D787" s="116"/>
      <c r="G787" s="4"/>
    </row>
    <row r="788" spans="4:7" x14ac:dyDescent="0.25">
      <c r="D788" s="116"/>
      <c r="G788" s="4"/>
    </row>
    <row r="789" spans="4:7" x14ac:dyDescent="0.25">
      <c r="D789" s="116"/>
      <c r="G789" s="4"/>
    </row>
    <row r="790" spans="4:7" x14ac:dyDescent="0.25">
      <c r="D790" s="116"/>
      <c r="G790" s="4"/>
    </row>
    <row r="791" spans="4:7" x14ac:dyDescent="0.25">
      <c r="D791" s="116"/>
      <c r="G791" s="4"/>
    </row>
    <row r="792" spans="4:7" x14ac:dyDescent="0.25">
      <c r="D792" s="116"/>
      <c r="G792" s="4"/>
    </row>
    <row r="793" spans="4:7" x14ac:dyDescent="0.25">
      <c r="D793" s="116"/>
      <c r="G793" s="4"/>
    </row>
    <row r="794" spans="4:7" x14ac:dyDescent="0.25">
      <c r="D794" s="116"/>
      <c r="G794" s="4"/>
    </row>
    <row r="795" spans="4:7" x14ac:dyDescent="0.25">
      <c r="D795" s="116"/>
      <c r="G795" s="4"/>
    </row>
    <row r="796" spans="4:7" x14ac:dyDescent="0.25">
      <c r="D796" s="116"/>
      <c r="G796" s="4"/>
    </row>
    <row r="797" spans="4:7" x14ac:dyDescent="0.25">
      <c r="D797" s="116"/>
      <c r="G797" s="4"/>
    </row>
    <row r="798" spans="4:7" x14ac:dyDescent="0.25">
      <c r="D798" s="116"/>
      <c r="G798" s="4"/>
    </row>
    <row r="799" spans="4:7" x14ac:dyDescent="0.25">
      <c r="D799" s="116"/>
      <c r="G799" s="4"/>
    </row>
    <row r="800" spans="4:7" x14ac:dyDescent="0.25">
      <c r="D800" s="116"/>
      <c r="G800" s="4"/>
    </row>
    <row r="801" spans="4:7" x14ac:dyDescent="0.25">
      <c r="D801" s="116"/>
      <c r="G801" s="4"/>
    </row>
    <row r="802" spans="4:7" x14ac:dyDescent="0.25">
      <c r="D802" s="116"/>
      <c r="G802" s="4"/>
    </row>
    <row r="803" spans="4:7" x14ac:dyDescent="0.25">
      <c r="D803" s="116"/>
      <c r="G803" s="4"/>
    </row>
    <row r="804" spans="4:7" x14ac:dyDescent="0.25">
      <c r="D804" s="116"/>
      <c r="G804" s="4"/>
    </row>
    <row r="805" spans="4:7" x14ac:dyDescent="0.25">
      <c r="D805" s="116"/>
      <c r="G805" s="4"/>
    </row>
    <row r="806" spans="4:7" x14ac:dyDescent="0.25">
      <c r="D806" s="116"/>
      <c r="G806" s="4"/>
    </row>
    <row r="807" spans="4:7" x14ac:dyDescent="0.25">
      <c r="D807" s="116"/>
      <c r="G807" s="4"/>
    </row>
    <row r="808" spans="4:7" x14ac:dyDescent="0.25">
      <c r="D808" s="116"/>
      <c r="G808" s="4"/>
    </row>
    <row r="809" spans="4:7" x14ac:dyDescent="0.25">
      <c r="D809" s="116"/>
      <c r="G809" s="4"/>
    </row>
    <row r="810" spans="4:7" x14ac:dyDescent="0.25">
      <c r="D810" s="116"/>
      <c r="G810" s="4"/>
    </row>
    <row r="811" spans="4:7" x14ac:dyDescent="0.25">
      <c r="D811" s="116"/>
      <c r="G811" s="4"/>
    </row>
    <row r="812" spans="4:7" x14ac:dyDescent="0.25">
      <c r="D812" s="116"/>
      <c r="G812" s="4"/>
    </row>
    <row r="813" spans="4:7" x14ac:dyDescent="0.25">
      <c r="D813" s="116"/>
      <c r="G813" s="4"/>
    </row>
    <row r="814" spans="4:7" x14ac:dyDescent="0.25">
      <c r="D814" s="116"/>
      <c r="G814" s="4"/>
    </row>
    <row r="815" spans="4:7" x14ac:dyDescent="0.25">
      <c r="D815" s="116"/>
      <c r="G815" s="4"/>
    </row>
    <row r="816" spans="4:7" x14ac:dyDescent="0.25">
      <c r="D816" s="116"/>
      <c r="G816" s="4"/>
    </row>
    <row r="817" spans="4:7" x14ac:dyDescent="0.25">
      <c r="D817" s="116"/>
      <c r="G817" s="4"/>
    </row>
    <row r="818" spans="4:7" x14ac:dyDescent="0.25">
      <c r="D818" s="116"/>
      <c r="G818" s="4"/>
    </row>
    <row r="819" spans="4:7" x14ac:dyDescent="0.25">
      <c r="D819" s="116"/>
      <c r="G819" s="4"/>
    </row>
    <row r="820" spans="4:7" x14ac:dyDescent="0.25">
      <c r="D820" s="116"/>
      <c r="G820" s="4"/>
    </row>
    <row r="821" spans="4:7" x14ac:dyDescent="0.25">
      <c r="D821" s="116"/>
      <c r="G821" s="4"/>
    </row>
    <row r="822" spans="4:7" x14ac:dyDescent="0.25">
      <c r="D822" s="116"/>
      <c r="G822" s="4"/>
    </row>
    <row r="823" spans="4:7" x14ac:dyDescent="0.25">
      <c r="D823" s="116"/>
      <c r="G823" s="4"/>
    </row>
    <row r="824" spans="4:7" x14ac:dyDescent="0.25">
      <c r="D824" s="116"/>
      <c r="G824" s="4"/>
    </row>
    <row r="825" spans="4:7" x14ac:dyDescent="0.25">
      <c r="D825" s="116"/>
      <c r="G825" s="4"/>
    </row>
    <row r="826" spans="4:7" x14ac:dyDescent="0.25">
      <c r="D826" s="116"/>
      <c r="G826" s="4"/>
    </row>
    <row r="827" spans="4:7" x14ac:dyDescent="0.25">
      <c r="D827" s="116"/>
      <c r="G827" s="4"/>
    </row>
    <row r="828" spans="4:7" x14ac:dyDescent="0.25">
      <c r="D828" s="116"/>
      <c r="G828" s="4"/>
    </row>
    <row r="829" spans="4:7" x14ac:dyDescent="0.25">
      <c r="D829" s="116"/>
      <c r="G829" s="4"/>
    </row>
    <row r="830" spans="4:7" x14ac:dyDescent="0.25">
      <c r="D830" s="116"/>
      <c r="G830" s="4"/>
    </row>
    <row r="831" spans="4:7" x14ac:dyDescent="0.25">
      <c r="D831" s="116"/>
      <c r="G831" s="4"/>
    </row>
    <row r="832" spans="4:7" x14ac:dyDescent="0.25">
      <c r="D832" s="116"/>
      <c r="G832" s="4"/>
    </row>
    <row r="833" spans="4:7" x14ac:dyDescent="0.25">
      <c r="D833" s="116"/>
      <c r="G833" s="4"/>
    </row>
    <row r="834" spans="4:7" x14ac:dyDescent="0.25">
      <c r="D834" s="116"/>
      <c r="G834" s="4"/>
    </row>
    <row r="835" spans="4:7" x14ac:dyDescent="0.25">
      <c r="D835" s="116"/>
      <c r="G835" s="4"/>
    </row>
    <row r="836" spans="4:7" x14ac:dyDescent="0.25">
      <c r="D836" s="116"/>
      <c r="G836" s="4"/>
    </row>
    <row r="837" spans="4:7" x14ac:dyDescent="0.25">
      <c r="D837" s="116"/>
      <c r="G837" s="4"/>
    </row>
    <row r="838" spans="4:7" x14ac:dyDescent="0.25">
      <c r="D838" s="116"/>
      <c r="G838" s="4"/>
    </row>
    <row r="839" spans="4:7" x14ac:dyDescent="0.25">
      <c r="D839" s="116"/>
      <c r="G839" s="4"/>
    </row>
    <row r="840" spans="4:7" x14ac:dyDescent="0.25">
      <c r="D840" s="116"/>
      <c r="G840" s="4"/>
    </row>
    <row r="841" spans="4:7" x14ac:dyDescent="0.25">
      <c r="D841" s="116"/>
      <c r="G841" s="4"/>
    </row>
    <row r="842" spans="4:7" x14ac:dyDescent="0.25">
      <c r="D842" s="116"/>
      <c r="G842" s="4"/>
    </row>
    <row r="843" spans="4:7" x14ac:dyDescent="0.25">
      <c r="D843" s="116"/>
      <c r="G843" s="4"/>
    </row>
    <row r="844" spans="4:7" x14ac:dyDescent="0.25">
      <c r="D844" s="116"/>
      <c r="G844" s="4"/>
    </row>
    <row r="845" spans="4:7" x14ac:dyDescent="0.25">
      <c r="D845" s="116"/>
      <c r="G845" s="4"/>
    </row>
    <row r="846" spans="4:7" x14ac:dyDescent="0.25">
      <c r="D846" s="116"/>
      <c r="G846" s="4"/>
    </row>
    <row r="847" spans="4:7" x14ac:dyDescent="0.25">
      <c r="D847" s="116"/>
      <c r="G847" s="4"/>
    </row>
    <row r="848" spans="4:7" x14ac:dyDescent="0.25">
      <c r="D848" s="116"/>
      <c r="G848" s="4"/>
    </row>
    <row r="849" spans="4:7" x14ac:dyDescent="0.25">
      <c r="D849" s="116"/>
      <c r="G849" s="4"/>
    </row>
    <row r="850" spans="4:7" x14ac:dyDescent="0.25">
      <c r="D850" s="116"/>
      <c r="G850" s="4"/>
    </row>
    <row r="851" spans="4:7" x14ac:dyDescent="0.25">
      <c r="D851" s="116"/>
      <c r="G851" s="4"/>
    </row>
    <row r="852" spans="4:7" x14ac:dyDescent="0.25">
      <c r="D852" s="116"/>
      <c r="G852" s="4"/>
    </row>
    <row r="853" spans="4:7" x14ac:dyDescent="0.25">
      <c r="D853" s="116"/>
      <c r="G853" s="4"/>
    </row>
    <row r="854" spans="4:7" x14ac:dyDescent="0.25">
      <c r="D854" s="116"/>
      <c r="G854" s="4"/>
    </row>
    <row r="855" spans="4:7" x14ac:dyDescent="0.25">
      <c r="D855" s="116"/>
      <c r="G855" s="4"/>
    </row>
    <row r="856" spans="4:7" x14ac:dyDescent="0.25">
      <c r="D856" s="116"/>
      <c r="G856" s="4"/>
    </row>
    <row r="857" spans="4:7" x14ac:dyDescent="0.25">
      <c r="D857" s="116"/>
      <c r="G857" s="4"/>
    </row>
    <row r="858" spans="4:7" x14ac:dyDescent="0.25">
      <c r="D858" s="116"/>
      <c r="G858" s="4"/>
    </row>
    <row r="859" spans="4:7" x14ac:dyDescent="0.25">
      <c r="D859" s="116"/>
      <c r="G859" s="4"/>
    </row>
    <row r="860" spans="4:7" x14ac:dyDescent="0.25">
      <c r="D860" s="116"/>
      <c r="G860" s="4"/>
    </row>
    <row r="861" spans="4:7" x14ac:dyDescent="0.25">
      <c r="D861" s="116"/>
      <c r="G861" s="4"/>
    </row>
    <row r="862" spans="4:7" x14ac:dyDescent="0.25">
      <c r="D862" s="116"/>
      <c r="G862" s="4"/>
    </row>
    <row r="863" spans="4:7" x14ac:dyDescent="0.25">
      <c r="D863" s="116"/>
      <c r="G863" s="4"/>
    </row>
    <row r="864" spans="4:7" x14ac:dyDescent="0.25">
      <c r="D864" s="116"/>
      <c r="G864" s="4"/>
    </row>
    <row r="865" spans="4:7" x14ac:dyDescent="0.25">
      <c r="D865" s="116"/>
      <c r="G865" s="4"/>
    </row>
    <row r="866" spans="4:7" x14ac:dyDescent="0.25">
      <c r="D866" s="116"/>
      <c r="G866" s="4"/>
    </row>
    <row r="867" spans="4:7" x14ac:dyDescent="0.25">
      <c r="D867" s="116"/>
      <c r="G867" s="4"/>
    </row>
    <row r="868" spans="4:7" x14ac:dyDescent="0.25">
      <c r="D868" s="116"/>
      <c r="G868" s="4"/>
    </row>
    <row r="869" spans="4:7" x14ac:dyDescent="0.25">
      <c r="D869" s="116"/>
      <c r="G869" s="4"/>
    </row>
    <row r="870" spans="4:7" x14ac:dyDescent="0.25">
      <c r="D870" s="116"/>
      <c r="G870" s="4"/>
    </row>
    <row r="871" spans="4:7" x14ac:dyDescent="0.25">
      <c r="D871" s="116"/>
      <c r="G871" s="4"/>
    </row>
    <row r="872" spans="4:7" x14ac:dyDescent="0.25">
      <c r="D872" s="116"/>
      <c r="G872" s="4"/>
    </row>
    <row r="873" spans="4:7" x14ac:dyDescent="0.25">
      <c r="D873" s="116"/>
      <c r="G873" s="4"/>
    </row>
    <row r="874" spans="4:7" x14ac:dyDescent="0.25">
      <c r="D874" s="116"/>
      <c r="G874" s="4"/>
    </row>
    <row r="875" spans="4:7" x14ac:dyDescent="0.25">
      <c r="D875" s="116"/>
      <c r="G875" s="4"/>
    </row>
    <row r="876" spans="4:7" x14ac:dyDescent="0.25">
      <c r="D876" s="116"/>
      <c r="G876" s="4"/>
    </row>
    <row r="877" spans="4:7" x14ac:dyDescent="0.25">
      <c r="D877" s="116"/>
      <c r="G877" s="4"/>
    </row>
    <row r="878" spans="4:7" x14ac:dyDescent="0.25">
      <c r="D878" s="116"/>
      <c r="G878" s="4"/>
    </row>
    <row r="879" spans="4:7" x14ac:dyDescent="0.25">
      <c r="D879" s="116"/>
      <c r="G879" s="4"/>
    </row>
    <row r="880" spans="4:7" x14ac:dyDescent="0.25">
      <c r="D880" s="116"/>
      <c r="G880" s="4"/>
    </row>
    <row r="881" spans="4:7" x14ac:dyDescent="0.25">
      <c r="D881" s="116"/>
      <c r="G881" s="4"/>
    </row>
    <row r="882" spans="4:7" x14ac:dyDescent="0.25">
      <c r="D882" s="116"/>
      <c r="G882" s="4"/>
    </row>
    <row r="883" spans="4:7" x14ac:dyDescent="0.25">
      <c r="D883" s="116"/>
      <c r="G883" s="4"/>
    </row>
    <row r="884" spans="4:7" x14ac:dyDescent="0.25">
      <c r="D884" s="116"/>
      <c r="G884" s="4"/>
    </row>
    <row r="885" spans="4:7" x14ac:dyDescent="0.25">
      <c r="D885" s="116"/>
      <c r="G885" s="4"/>
    </row>
    <row r="886" spans="4:7" x14ac:dyDescent="0.25">
      <c r="D886" s="116"/>
      <c r="G886" s="4"/>
    </row>
    <row r="887" spans="4:7" x14ac:dyDescent="0.25">
      <c r="D887" s="116"/>
      <c r="G887" s="4"/>
    </row>
    <row r="888" spans="4:7" x14ac:dyDescent="0.25">
      <c r="D888" s="116"/>
      <c r="G888" s="4"/>
    </row>
    <row r="889" spans="4:7" x14ac:dyDescent="0.25">
      <c r="D889" s="116"/>
      <c r="G889" s="4"/>
    </row>
    <row r="890" spans="4:7" x14ac:dyDescent="0.25">
      <c r="D890" s="116"/>
      <c r="G890" s="4"/>
    </row>
    <row r="891" spans="4:7" x14ac:dyDescent="0.25">
      <c r="D891" s="116"/>
      <c r="G891" s="4"/>
    </row>
    <row r="892" spans="4:7" x14ac:dyDescent="0.25">
      <c r="D892" s="116"/>
      <c r="G892" s="4"/>
    </row>
    <row r="893" spans="4:7" x14ac:dyDescent="0.25">
      <c r="D893" s="116"/>
      <c r="G893" s="4"/>
    </row>
    <row r="894" spans="4:7" x14ac:dyDescent="0.25">
      <c r="D894" s="116"/>
      <c r="G894" s="4"/>
    </row>
    <row r="895" spans="4:7" x14ac:dyDescent="0.25">
      <c r="D895" s="116"/>
      <c r="G895" s="4"/>
    </row>
    <row r="896" spans="4:7" x14ac:dyDescent="0.25">
      <c r="D896" s="116"/>
      <c r="G896" s="4"/>
    </row>
    <row r="897" spans="4:7" x14ac:dyDescent="0.25">
      <c r="D897" s="116"/>
      <c r="G897" s="4"/>
    </row>
    <row r="898" spans="4:7" x14ac:dyDescent="0.25">
      <c r="D898" s="116"/>
      <c r="G898" s="4"/>
    </row>
    <row r="899" spans="4:7" x14ac:dyDescent="0.25">
      <c r="D899" s="116"/>
      <c r="G899" s="4"/>
    </row>
    <row r="900" spans="4:7" x14ac:dyDescent="0.25">
      <c r="D900" s="116"/>
      <c r="G900" s="4"/>
    </row>
    <row r="901" spans="4:7" x14ac:dyDescent="0.25">
      <c r="D901" s="116"/>
      <c r="G901" s="4"/>
    </row>
    <row r="902" spans="4:7" x14ac:dyDescent="0.25">
      <c r="D902" s="116"/>
      <c r="G902" s="4"/>
    </row>
    <row r="903" spans="4:7" x14ac:dyDescent="0.25">
      <c r="D903" s="116"/>
      <c r="G903" s="4"/>
    </row>
    <row r="904" spans="4:7" x14ac:dyDescent="0.25">
      <c r="D904" s="116"/>
      <c r="G904" s="4"/>
    </row>
    <row r="905" spans="4:7" x14ac:dyDescent="0.25">
      <c r="D905" s="116"/>
      <c r="G905" s="4"/>
    </row>
    <row r="906" spans="4:7" x14ac:dyDescent="0.25">
      <c r="D906" s="116"/>
      <c r="G906" s="4"/>
    </row>
    <row r="907" spans="4:7" x14ac:dyDescent="0.25">
      <c r="D907" s="116"/>
      <c r="G907" s="4"/>
    </row>
    <row r="908" spans="4:7" x14ac:dyDescent="0.25">
      <c r="D908" s="116"/>
      <c r="G908" s="4"/>
    </row>
    <row r="909" spans="4:7" x14ac:dyDescent="0.25">
      <c r="D909" s="116"/>
      <c r="G909" s="4"/>
    </row>
    <row r="910" spans="4:7" x14ac:dyDescent="0.25">
      <c r="D910" s="116"/>
      <c r="G910" s="4"/>
    </row>
    <row r="911" spans="4:7" x14ac:dyDescent="0.25">
      <c r="D911" s="116"/>
      <c r="G911" s="4"/>
    </row>
    <row r="912" spans="4:7" x14ac:dyDescent="0.25">
      <c r="D912" s="116"/>
      <c r="G912" s="4"/>
    </row>
    <row r="913" spans="4:7" x14ac:dyDescent="0.25">
      <c r="D913" s="116"/>
      <c r="G913" s="4"/>
    </row>
    <row r="914" spans="4:7" x14ac:dyDescent="0.25">
      <c r="D914" s="116"/>
      <c r="G914" s="4"/>
    </row>
    <row r="915" spans="4:7" x14ac:dyDescent="0.25">
      <c r="D915" s="116"/>
      <c r="G915" s="4"/>
    </row>
    <row r="916" spans="4:7" x14ac:dyDescent="0.25">
      <c r="D916" s="116"/>
      <c r="G916" s="4"/>
    </row>
    <row r="917" spans="4:7" x14ac:dyDescent="0.25">
      <c r="D917" s="116"/>
      <c r="G917" s="4"/>
    </row>
    <row r="918" spans="4:7" x14ac:dyDescent="0.25">
      <c r="D918" s="116"/>
      <c r="G918" s="4"/>
    </row>
    <row r="919" spans="4:7" x14ac:dyDescent="0.25">
      <c r="D919" s="116"/>
      <c r="G919" s="4"/>
    </row>
    <row r="920" spans="4:7" x14ac:dyDescent="0.25">
      <c r="D920" s="116"/>
      <c r="G920" s="4"/>
    </row>
    <row r="921" spans="4:7" x14ac:dyDescent="0.25">
      <c r="D921" s="116"/>
      <c r="G921" s="4"/>
    </row>
    <row r="922" spans="4:7" x14ac:dyDescent="0.25">
      <c r="D922" s="116"/>
      <c r="G922" s="4"/>
    </row>
    <row r="923" spans="4:7" x14ac:dyDescent="0.25">
      <c r="D923" s="116"/>
      <c r="G923" s="4"/>
    </row>
    <row r="924" spans="4:7" x14ac:dyDescent="0.25">
      <c r="D924" s="116"/>
      <c r="G924" s="4"/>
    </row>
    <row r="925" spans="4:7" x14ac:dyDescent="0.25">
      <c r="D925" s="116"/>
      <c r="G925" s="4"/>
    </row>
    <row r="926" spans="4:7" x14ac:dyDescent="0.25">
      <c r="D926" s="116"/>
      <c r="G926" s="4"/>
    </row>
    <row r="927" spans="4:7" x14ac:dyDescent="0.25">
      <c r="D927" s="116"/>
      <c r="G927" s="4"/>
    </row>
    <row r="928" spans="4:7" x14ac:dyDescent="0.25">
      <c r="D928" s="116"/>
      <c r="G928" s="4"/>
    </row>
    <row r="929" spans="4:7" x14ac:dyDescent="0.25">
      <c r="D929" s="116"/>
      <c r="G929" s="4"/>
    </row>
    <row r="930" spans="4:7" x14ac:dyDescent="0.25">
      <c r="D930" s="116"/>
      <c r="G930" s="4"/>
    </row>
    <row r="931" spans="4:7" x14ac:dyDescent="0.25">
      <c r="D931" s="116"/>
      <c r="G931" s="4"/>
    </row>
    <row r="932" spans="4:7" x14ac:dyDescent="0.25">
      <c r="D932" s="116"/>
      <c r="G932" s="4"/>
    </row>
    <row r="933" spans="4:7" x14ac:dyDescent="0.25">
      <c r="D933" s="116"/>
      <c r="G933" s="4"/>
    </row>
    <row r="934" spans="4:7" x14ac:dyDescent="0.25">
      <c r="D934" s="116"/>
      <c r="G934" s="4"/>
    </row>
    <row r="935" spans="4:7" x14ac:dyDescent="0.25">
      <c r="D935" s="116"/>
      <c r="G935" s="4"/>
    </row>
    <row r="936" spans="4:7" x14ac:dyDescent="0.25">
      <c r="D936" s="116"/>
      <c r="G936" s="4"/>
    </row>
    <row r="937" spans="4:7" x14ac:dyDescent="0.25">
      <c r="D937" s="116"/>
      <c r="G937" s="4"/>
    </row>
    <row r="938" spans="4:7" x14ac:dyDescent="0.25">
      <c r="D938" s="116"/>
      <c r="G938" s="4"/>
    </row>
    <row r="939" spans="4:7" x14ac:dyDescent="0.25">
      <c r="D939" s="116"/>
      <c r="G939" s="4"/>
    </row>
    <row r="940" spans="4:7" x14ac:dyDescent="0.25">
      <c r="D940" s="116"/>
      <c r="G940" s="4"/>
    </row>
    <row r="941" spans="4:7" x14ac:dyDescent="0.25">
      <c r="D941" s="116"/>
      <c r="G941" s="4"/>
    </row>
    <row r="942" spans="4:7" x14ac:dyDescent="0.25">
      <c r="D942" s="116"/>
      <c r="G942" s="4"/>
    </row>
    <row r="943" spans="4:7" x14ac:dyDescent="0.25">
      <c r="D943" s="116"/>
      <c r="G943" s="4"/>
    </row>
    <row r="944" spans="4:7" x14ac:dyDescent="0.25">
      <c r="D944" s="116"/>
      <c r="G944" s="4"/>
    </row>
    <row r="945" spans="4:7" x14ac:dyDescent="0.25">
      <c r="D945" s="116"/>
      <c r="G945" s="4"/>
    </row>
    <row r="946" spans="4:7" x14ac:dyDescent="0.25">
      <c r="D946" s="116"/>
      <c r="G946" s="4"/>
    </row>
    <row r="947" spans="4:7" x14ac:dyDescent="0.25">
      <c r="D947" s="116"/>
      <c r="G947" s="4"/>
    </row>
    <row r="948" spans="4:7" x14ac:dyDescent="0.25">
      <c r="D948" s="116"/>
      <c r="G948" s="4"/>
    </row>
    <row r="949" spans="4:7" x14ac:dyDescent="0.25">
      <c r="D949" s="116"/>
      <c r="G949" s="4"/>
    </row>
    <row r="950" spans="4:7" x14ac:dyDescent="0.25">
      <c r="D950" s="116"/>
      <c r="G950" s="4"/>
    </row>
    <row r="951" spans="4:7" x14ac:dyDescent="0.25">
      <c r="D951" s="116"/>
      <c r="G951" s="4"/>
    </row>
    <row r="952" spans="4:7" x14ac:dyDescent="0.25">
      <c r="D952" s="116"/>
      <c r="G952" s="4"/>
    </row>
    <row r="953" spans="4:7" x14ac:dyDescent="0.25">
      <c r="D953" s="116"/>
      <c r="G953" s="4"/>
    </row>
    <row r="954" spans="4:7" x14ac:dyDescent="0.25">
      <c r="D954" s="116"/>
      <c r="G954" s="4"/>
    </row>
    <row r="955" spans="4:7" x14ac:dyDescent="0.25">
      <c r="D955" s="116"/>
      <c r="G955" s="4"/>
    </row>
    <row r="956" spans="4:7" x14ac:dyDescent="0.25">
      <c r="D956" s="116"/>
      <c r="G956" s="4"/>
    </row>
    <row r="957" spans="4:7" x14ac:dyDescent="0.25">
      <c r="D957" s="116"/>
      <c r="G957" s="4"/>
    </row>
    <row r="958" spans="4:7" x14ac:dyDescent="0.25">
      <c r="D958" s="116"/>
      <c r="G958" s="4"/>
    </row>
    <row r="959" spans="4:7" x14ac:dyDescent="0.25">
      <c r="D959" s="116"/>
      <c r="G959" s="4"/>
    </row>
    <row r="960" spans="4:7" x14ac:dyDescent="0.25">
      <c r="D960" s="116"/>
      <c r="G960" s="4"/>
    </row>
    <row r="961" spans="4:7" x14ac:dyDescent="0.25">
      <c r="D961" s="116"/>
      <c r="G961" s="4"/>
    </row>
    <row r="962" spans="4:7" x14ac:dyDescent="0.25">
      <c r="D962" s="116"/>
      <c r="G962" s="4"/>
    </row>
    <row r="963" spans="4:7" x14ac:dyDescent="0.25">
      <c r="D963" s="116"/>
      <c r="G963" s="4"/>
    </row>
    <row r="964" spans="4:7" x14ac:dyDescent="0.25">
      <c r="D964" s="116"/>
      <c r="G964" s="4"/>
    </row>
    <row r="965" spans="4:7" x14ac:dyDescent="0.25">
      <c r="D965" s="116"/>
      <c r="G965" s="4"/>
    </row>
    <row r="966" spans="4:7" x14ac:dyDescent="0.25">
      <c r="D966" s="116"/>
      <c r="G966" s="4"/>
    </row>
    <row r="967" spans="4:7" x14ac:dyDescent="0.25">
      <c r="D967" s="116"/>
      <c r="G967" s="4"/>
    </row>
    <row r="968" spans="4:7" x14ac:dyDescent="0.25">
      <c r="D968" s="116"/>
      <c r="G968" s="4"/>
    </row>
    <row r="969" spans="4:7" x14ac:dyDescent="0.25">
      <c r="D969" s="116"/>
      <c r="G969" s="4"/>
    </row>
    <row r="970" spans="4:7" x14ac:dyDescent="0.25">
      <c r="D970" s="116"/>
      <c r="G970" s="4"/>
    </row>
    <row r="971" spans="4:7" x14ac:dyDescent="0.25">
      <c r="D971" s="116"/>
      <c r="G971" s="4"/>
    </row>
    <row r="972" spans="4:7" x14ac:dyDescent="0.25">
      <c r="D972" s="116"/>
      <c r="G972" s="4"/>
    </row>
    <row r="973" spans="4:7" x14ac:dyDescent="0.25">
      <c r="D973" s="116"/>
      <c r="G973" s="4"/>
    </row>
    <row r="974" spans="4:7" x14ac:dyDescent="0.25">
      <c r="D974" s="116"/>
      <c r="G974" s="4"/>
    </row>
    <row r="975" spans="4:7" x14ac:dyDescent="0.25">
      <c r="D975" s="116"/>
      <c r="G975" s="4"/>
    </row>
    <row r="976" spans="4:7" x14ac:dyDescent="0.25">
      <c r="D976" s="116"/>
      <c r="G976" s="4"/>
    </row>
    <row r="977" spans="4:7" x14ac:dyDescent="0.25">
      <c r="D977" s="116"/>
      <c r="G977" s="4"/>
    </row>
    <row r="978" spans="4:7" x14ac:dyDescent="0.25">
      <c r="D978" s="116"/>
      <c r="G978" s="4"/>
    </row>
    <row r="979" spans="4:7" x14ac:dyDescent="0.25">
      <c r="D979" s="116"/>
      <c r="G979" s="4"/>
    </row>
    <row r="980" spans="4:7" x14ac:dyDescent="0.25">
      <c r="D980" s="116"/>
      <c r="G980" s="4"/>
    </row>
    <row r="981" spans="4:7" x14ac:dyDescent="0.25">
      <c r="D981" s="116"/>
      <c r="G981" s="4"/>
    </row>
    <row r="982" spans="4:7" x14ac:dyDescent="0.25">
      <c r="D982" s="116"/>
      <c r="G982" s="4"/>
    </row>
    <row r="983" spans="4:7" x14ac:dyDescent="0.25">
      <c r="D983" s="116"/>
      <c r="G983" s="4"/>
    </row>
    <row r="984" spans="4:7" x14ac:dyDescent="0.25">
      <c r="D984" s="116"/>
      <c r="G984" s="4"/>
    </row>
    <row r="985" spans="4:7" x14ac:dyDescent="0.25">
      <c r="D985" s="116"/>
      <c r="G985" s="4"/>
    </row>
    <row r="986" spans="4:7" x14ac:dyDescent="0.25">
      <c r="D986" s="116"/>
      <c r="G986" s="4"/>
    </row>
    <row r="987" spans="4:7" x14ac:dyDescent="0.25">
      <c r="D987" s="116"/>
      <c r="G987" s="4"/>
    </row>
    <row r="988" spans="4:7" x14ac:dyDescent="0.25">
      <c r="D988" s="116"/>
      <c r="G988" s="4"/>
    </row>
    <row r="989" spans="4:7" x14ac:dyDescent="0.25">
      <c r="D989" s="116"/>
      <c r="G989" s="4"/>
    </row>
    <row r="990" spans="4:7" x14ac:dyDescent="0.25">
      <c r="D990" s="116"/>
      <c r="G990" s="4"/>
    </row>
    <row r="991" spans="4:7" x14ac:dyDescent="0.25">
      <c r="D991" s="116"/>
      <c r="G991" s="4"/>
    </row>
    <row r="992" spans="4:7" x14ac:dyDescent="0.25">
      <c r="D992" s="116"/>
      <c r="G992" s="4"/>
    </row>
    <row r="993" spans="4:7" x14ac:dyDescent="0.25">
      <c r="D993" s="116"/>
      <c r="G993" s="4"/>
    </row>
    <row r="994" spans="4:7" x14ac:dyDescent="0.25">
      <c r="D994" s="116"/>
      <c r="G994" s="4"/>
    </row>
    <row r="995" spans="4:7" x14ac:dyDescent="0.25">
      <c r="D995" s="116"/>
      <c r="G995" s="4"/>
    </row>
    <row r="996" spans="4:7" x14ac:dyDescent="0.25">
      <c r="D996" s="116"/>
      <c r="G996" s="4"/>
    </row>
    <row r="997" spans="4:7" x14ac:dyDescent="0.25">
      <c r="D997" s="116"/>
      <c r="G997" s="4"/>
    </row>
    <row r="998" spans="4:7" x14ac:dyDescent="0.25">
      <c r="D998" s="116"/>
      <c r="G998" s="4"/>
    </row>
    <row r="999" spans="4:7" x14ac:dyDescent="0.25">
      <c r="D999" s="116"/>
      <c r="G999" s="4"/>
    </row>
    <row r="1000" spans="4:7" x14ac:dyDescent="0.25">
      <c r="D1000" s="116"/>
      <c r="G1000" s="4"/>
    </row>
    <row r="1001" spans="4:7" x14ac:dyDescent="0.25">
      <c r="D1001" s="116"/>
      <c r="G1001" s="4"/>
    </row>
    <row r="1002" spans="1:8" x14ac:dyDescent="0.25">
      <c r="A1002" t="s">
        <v>685</v>
      </c>
      <c r="B1002">
        <v>990</v>
      </c>
      <c r="D1002">
        <f>CEILING(B1002*1.1,5)</f>
      </c>
      <c r="E1002">
        <f>CEILING(B1002*1.15,5)</f>
      </c>
      <c r="F1002">
        <v>1450</v>
      </c>
      <c r="G1002">
        <f>(E1002-B1002)/B1002</f>
      </c>
      <c r="H1002">
        <f>F1002-E1002</f>
      </c>
    </row>
  </sheetData>
  <conditionalFormatting sqref="G1:G1001">
    <cfRule type="cellIs" dxfId="4" priority="1" operator="lessThanOrEqual">
      <formula>"30%"</formula>
    </cfRule>
  </conditionalFormatting>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846"/>
  <sheetViews>
    <sheetView workbookViewId="0" zoomScale="100" zoomScaleNormal="100"/>
  </sheetViews>
  <sheetFormatPr defaultRowHeight="15.75" outlineLevelRow="0" outlineLevelCol="0" x14ac:dyDescent="0" defaultColWidth="12.63" customHeight="1"/>
  <cols>
    <col min="4" max="4" width="105.88" customWidth="1"/>
  </cols>
  <sheetData>
    <row r="1" spans="1:22" x14ac:dyDescent="0.25">
      <c r="A1" s="122" t="s">
        <v>2</v>
      </c>
      <c r="B1" s="122" t="s">
        <v>707</v>
      </c>
      <c r="C1" s="122" t="s">
        <v>708</v>
      </c>
      <c r="D1" s="122" t="s">
        <v>709</v>
      </c>
      <c r="E1" s="122" t="s">
        <v>710</v>
      </c>
      <c r="F1" s="122" t="s">
        <v>230</v>
      </c>
      <c r="G1" s="122" t="s">
        <v>711</v>
      </c>
      <c r="H1" s="122" t="s">
        <v>712</v>
      </c>
      <c r="I1" s="122" t="s">
        <v>713</v>
      </c>
      <c r="J1" s="122" t="s">
        <v>714</v>
      </c>
      <c r="K1" s="122" t="s">
        <v>715</v>
      </c>
      <c r="L1" s="122" t="s">
        <v>716</v>
      </c>
      <c r="M1" s="122" t="s">
        <v>717</v>
      </c>
      <c r="N1" s="122" t="s">
        <v>718</v>
      </c>
      <c r="O1" s="122" t="s">
        <v>719</v>
      </c>
      <c r="P1" s="122" t="s">
        <v>720</v>
      </c>
      <c r="Q1" s="122" t="s">
        <v>721</v>
      </c>
      <c r="R1" s="122" t="s">
        <v>722</v>
      </c>
      <c r="S1" s="122" t="s">
        <v>723</v>
      </c>
      <c r="T1" s="122" t="s">
        <v>724</v>
      </c>
      <c r="U1" s="122" t="s">
        <v>725</v>
      </c>
      <c r="V1" s="122" t="s">
        <v>726</v>
      </c>
    </row>
    <row r="2" ht="15.75" customHeight="1" spans="1:22" x14ac:dyDescent="0.25">
      <c r="A2" s="122" t="s">
        <v>727</v>
      </c>
      <c r="B2" s="123"/>
      <c r="C2" s="123"/>
      <c r="D2" s="122" t="s">
        <v>728</v>
      </c>
      <c r="E2" s="122" t="s">
        <v>729</v>
      </c>
      <c r="F2" s="122" t="s">
        <v>730</v>
      </c>
      <c r="G2" s="122" t="s">
        <v>731</v>
      </c>
      <c r="H2" s="122" t="s">
        <v>732</v>
      </c>
      <c r="I2" s="122" t="s">
        <v>733</v>
      </c>
      <c r="J2" s="122">
        <v>190</v>
      </c>
      <c r="K2" s="122">
        <v>99</v>
      </c>
      <c r="L2" s="122">
        <v>250</v>
      </c>
      <c r="M2" s="122">
        <v>200</v>
      </c>
      <c r="N2" s="122">
        <v>390</v>
      </c>
      <c r="O2" s="122">
        <v>540</v>
      </c>
      <c r="P2" s="122">
        <v>85</v>
      </c>
      <c r="Q2" s="123"/>
      <c r="R2" s="123"/>
      <c r="S2" s="122">
        <v>1</v>
      </c>
      <c r="T2" s="122">
        <v>1</v>
      </c>
      <c r="U2" s="123"/>
      <c r="V2" s="122">
        <v>8858890715045</v>
      </c>
    </row>
    <row r="3" ht="15.75" customHeight="1" spans="1:22" x14ac:dyDescent="0.25">
      <c r="A3" s="122" t="s">
        <v>734</v>
      </c>
      <c r="B3" s="123"/>
      <c r="C3" s="123"/>
      <c r="D3" s="122" t="s">
        <v>735</v>
      </c>
      <c r="E3" s="122" t="s">
        <v>736</v>
      </c>
      <c r="F3" s="122" t="s">
        <v>730</v>
      </c>
      <c r="G3" s="122" t="s">
        <v>731</v>
      </c>
      <c r="H3" s="122" t="s">
        <v>732</v>
      </c>
      <c r="I3" s="122" t="s">
        <v>733</v>
      </c>
      <c r="J3" s="122">
        <v>150</v>
      </c>
      <c r="K3" s="122">
        <v>99</v>
      </c>
      <c r="L3" s="122">
        <v>200</v>
      </c>
      <c r="M3" s="122">
        <v>200</v>
      </c>
      <c r="N3" s="122">
        <v>290</v>
      </c>
      <c r="O3" s="122">
        <v>450</v>
      </c>
      <c r="P3" s="122">
        <v>79</v>
      </c>
      <c r="Q3" s="123"/>
      <c r="R3" s="122">
        <v>1</v>
      </c>
      <c r="S3" s="122">
        <v>1</v>
      </c>
      <c r="T3" s="122">
        <v>1</v>
      </c>
      <c r="U3" s="123"/>
      <c r="V3" s="122">
        <v>8858890715052</v>
      </c>
    </row>
    <row r="4" ht="15.75" customHeight="1" spans="1:22" x14ac:dyDescent="0.25">
      <c r="A4" s="122" t="s">
        <v>737</v>
      </c>
      <c r="B4" s="123"/>
      <c r="C4" s="123"/>
      <c r="D4" s="122" t="s">
        <v>738</v>
      </c>
      <c r="E4" s="122" t="s">
        <v>739</v>
      </c>
      <c r="F4" s="122" t="s">
        <v>730</v>
      </c>
      <c r="G4" s="122" t="s">
        <v>731</v>
      </c>
      <c r="H4" s="122" t="s">
        <v>732</v>
      </c>
      <c r="I4" s="122" t="s">
        <v>733</v>
      </c>
      <c r="J4" s="122">
        <v>150</v>
      </c>
      <c r="K4" s="122">
        <v>99</v>
      </c>
      <c r="L4" s="122">
        <v>290</v>
      </c>
      <c r="M4" s="122">
        <v>170</v>
      </c>
      <c r="N4" s="122">
        <v>320</v>
      </c>
      <c r="O4" s="122">
        <v>540</v>
      </c>
      <c r="P4" s="122">
        <v>42</v>
      </c>
      <c r="Q4" s="123"/>
      <c r="R4" s="123"/>
      <c r="S4" s="122">
        <v>1</v>
      </c>
      <c r="T4" s="122">
        <v>1</v>
      </c>
      <c r="U4" s="123"/>
      <c r="V4" s="122">
        <v>8858890715069</v>
      </c>
    </row>
    <row r="5" ht="15.75" customHeight="1" spans="1:22" x14ac:dyDescent="0.25">
      <c r="A5" s="122" t="s">
        <v>13</v>
      </c>
      <c r="B5" s="123"/>
      <c r="C5" s="123"/>
      <c r="D5" s="122" t="s">
        <v>740</v>
      </c>
      <c r="E5" s="122" t="s">
        <v>741</v>
      </c>
      <c r="F5" s="122" t="s">
        <v>742</v>
      </c>
      <c r="G5" s="122" t="s">
        <v>731</v>
      </c>
      <c r="H5" s="122" t="s">
        <v>732</v>
      </c>
      <c r="I5" s="122" t="s">
        <v>733</v>
      </c>
      <c r="J5" s="122">
        <v>99</v>
      </c>
      <c r="K5" s="122">
        <v>99</v>
      </c>
      <c r="L5" s="122">
        <v>179</v>
      </c>
      <c r="M5" s="122">
        <v>180</v>
      </c>
      <c r="N5" s="122">
        <v>199</v>
      </c>
      <c r="O5" s="122">
        <v>199</v>
      </c>
      <c r="P5" s="122">
        <v>231</v>
      </c>
      <c r="Q5" s="123"/>
      <c r="R5" s="123"/>
      <c r="S5" s="122">
        <v>1</v>
      </c>
      <c r="T5" s="122">
        <v>1</v>
      </c>
      <c r="U5" s="123"/>
      <c r="V5" s="122">
        <v>8858890717025</v>
      </c>
    </row>
    <row r="6" ht="15.75" customHeight="1" spans="1:22" x14ac:dyDescent="0.25">
      <c r="A6" s="122" t="s">
        <v>24</v>
      </c>
      <c r="B6" s="123"/>
      <c r="C6" s="123"/>
      <c r="D6" s="122" t="s">
        <v>743</v>
      </c>
      <c r="E6" s="122" t="s">
        <v>744</v>
      </c>
      <c r="F6" s="122" t="s">
        <v>742</v>
      </c>
      <c r="G6" s="122" t="s">
        <v>745</v>
      </c>
      <c r="H6" s="122" t="s">
        <v>746</v>
      </c>
      <c r="I6" s="122" t="s">
        <v>733</v>
      </c>
      <c r="J6" s="122">
        <v>945</v>
      </c>
      <c r="K6" s="122">
        <v>999</v>
      </c>
      <c r="L6" s="122">
        <v>1130</v>
      </c>
      <c r="M6" s="122">
        <v>1200</v>
      </c>
      <c r="N6" s="122">
        <v>1450</v>
      </c>
      <c r="O6" s="122">
        <v>1450</v>
      </c>
      <c r="P6" s="122">
        <v>501</v>
      </c>
      <c r="Q6" s="123"/>
      <c r="R6" s="122">
        <v>1</v>
      </c>
      <c r="S6" s="122">
        <v>1</v>
      </c>
      <c r="T6" s="122">
        <v>1</v>
      </c>
      <c r="U6" s="123"/>
      <c r="V6" s="122">
        <v>8588890721172</v>
      </c>
    </row>
    <row r="7" ht="15.75" customHeight="1" spans="1:22" x14ac:dyDescent="0.25">
      <c r="A7" s="122" t="s">
        <v>10</v>
      </c>
      <c r="B7" s="123"/>
      <c r="C7" s="123"/>
      <c r="D7" s="122" t="s">
        <v>747</v>
      </c>
      <c r="E7" s="122" t="s">
        <v>748</v>
      </c>
      <c r="F7" s="122" t="s">
        <v>742</v>
      </c>
      <c r="G7" s="122" t="s">
        <v>731</v>
      </c>
      <c r="H7" s="122" t="s">
        <v>732</v>
      </c>
      <c r="I7" s="122" t="s">
        <v>733</v>
      </c>
      <c r="J7" s="122">
        <v>150</v>
      </c>
      <c r="K7" s="122">
        <v>99</v>
      </c>
      <c r="L7" s="122">
        <v>215</v>
      </c>
      <c r="M7" s="122">
        <v>165</v>
      </c>
      <c r="N7" s="122">
        <v>240</v>
      </c>
      <c r="O7" s="122">
        <v>240</v>
      </c>
      <c r="P7" s="122">
        <v>87</v>
      </c>
      <c r="Q7" s="123"/>
      <c r="R7" s="123"/>
      <c r="S7" s="122">
        <v>1</v>
      </c>
      <c r="T7" s="122">
        <v>1</v>
      </c>
      <c r="U7" s="123"/>
      <c r="V7" s="122">
        <v>8858890715038</v>
      </c>
    </row>
    <row r="8" ht="15.75" customHeight="1" spans="1:22" x14ac:dyDescent="0.25">
      <c r="A8" s="122" t="s">
        <v>749</v>
      </c>
      <c r="B8" s="122" t="s">
        <v>750</v>
      </c>
      <c r="C8" s="123"/>
      <c r="D8" s="122" t="s">
        <v>751</v>
      </c>
      <c r="E8" s="122" t="s">
        <v>752</v>
      </c>
      <c r="F8" s="122" t="s">
        <v>753</v>
      </c>
      <c r="G8" s="122" t="s">
        <v>754</v>
      </c>
      <c r="H8" s="122" t="s">
        <v>755</v>
      </c>
      <c r="I8" s="122" t="s">
        <v>733</v>
      </c>
      <c r="J8" s="122">
        <v>70</v>
      </c>
      <c r="K8" s="122">
        <v>0</v>
      </c>
      <c r="L8" s="122">
        <v>85</v>
      </c>
      <c r="M8" s="122">
        <v>0</v>
      </c>
      <c r="N8" s="122">
        <v>100</v>
      </c>
      <c r="O8" s="122">
        <v>150</v>
      </c>
      <c r="P8" s="122">
        <v>7</v>
      </c>
      <c r="Q8" s="123"/>
      <c r="R8" s="122">
        <v>1</v>
      </c>
      <c r="S8" s="122">
        <v>1</v>
      </c>
      <c r="T8" s="122">
        <v>1</v>
      </c>
      <c r="U8" s="123"/>
      <c r="V8" s="122">
        <v>8858890790233</v>
      </c>
    </row>
    <row r="9" ht="15.75" customHeight="1" spans="1:22" x14ac:dyDescent="0.25">
      <c r="A9" s="122" t="s">
        <v>756</v>
      </c>
      <c r="B9" s="123"/>
      <c r="C9" s="123"/>
      <c r="D9" s="122" t="s">
        <v>757</v>
      </c>
      <c r="E9" s="122" t="s">
        <v>758</v>
      </c>
      <c r="F9" s="122" t="s">
        <v>753</v>
      </c>
      <c r="G9" s="122" t="s">
        <v>759</v>
      </c>
      <c r="H9" s="122" t="s">
        <v>760</v>
      </c>
      <c r="I9" s="122" t="s">
        <v>733</v>
      </c>
      <c r="J9" s="122">
        <v>325</v>
      </c>
      <c r="K9" s="122">
        <v>0</v>
      </c>
      <c r="L9" s="122">
        <v>0</v>
      </c>
      <c r="M9" s="122">
        <v>0</v>
      </c>
      <c r="N9" s="122">
        <v>570</v>
      </c>
      <c r="O9" s="122">
        <v>700</v>
      </c>
      <c r="P9" s="122">
        <v>0</v>
      </c>
      <c r="Q9" s="123"/>
      <c r="R9" s="123"/>
      <c r="S9" s="123"/>
      <c r="T9" s="122">
        <v>1</v>
      </c>
      <c r="U9" s="123"/>
      <c r="V9" s="122">
        <v>8858890760946</v>
      </c>
    </row>
    <row r="10" ht="15.75" customHeight="1" spans="1:22" x14ac:dyDescent="0.25">
      <c r="A10" s="122" t="s">
        <v>761</v>
      </c>
      <c r="B10" s="122" t="s">
        <v>762</v>
      </c>
      <c r="C10" s="123"/>
      <c r="D10" s="122" t="s">
        <v>763</v>
      </c>
      <c r="E10" s="122" t="s">
        <v>764</v>
      </c>
      <c r="F10" s="122" t="s">
        <v>753</v>
      </c>
      <c r="G10" s="122" t="s">
        <v>765</v>
      </c>
      <c r="H10" s="122" t="s">
        <v>766</v>
      </c>
      <c r="I10" s="122" t="s">
        <v>733</v>
      </c>
      <c r="J10" s="122">
        <v>83</v>
      </c>
      <c r="K10" s="122">
        <v>0</v>
      </c>
      <c r="L10" s="122">
        <v>0</v>
      </c>
      <c r="M10" s="122">
        <v>0</v>
      </c>
      <c r="N10" s="122">
        <v>99</v>
      </c>
      <c r="O10" s="122">
        <v>200</v>
      </c>
      <c r="P10" s="122">
        <v>5</v>
      </c>
      <c r="Q10" s="123"/>
      <c r="R10" s="122">
        <v>1</v>
      </c>
      <c r="S10" s="122">
        <v>1</v>
      </c>
      <c r="T10" s="122">
        <v>1</v>
      </c>
      <c r="U10" s="123"/>
      <c r="V10" s="122">
        <v>8858890732264</v>
      </c>
    </row>
    <row r="11" ht="15.75" customHeight="1" spans="1:22" x14ac:dyDescent="0.25">
      <c r="A11" s="122" t="s">
        <v>761</v>
      </c>
      <c r="B11" s="122" t="s">
        <v>767</v>
      </c>
      <c r="C11" s="123"/>
      <c r="D11" s="122" t="s">
        <v>763</v>
      </c>
      <c r="E11" s="122" t="s">
        <v>764</v>
      </c>
      <c r="F11" s="122" t="s">
        <v>753</v>
      </c>
      <c r="G11" s="122" t="s">
        <v>765</v>
      </c>
      <c r="H11" s="122" t="s">
        <v>766</v>
      </c>
      <c r="I11" s="122" t="s">
        <v>733</v>
      </c>
      <c r="J11" s="122">
        <v>83</v>
      </c>
      <c r="K11" s="122">
        <v>0</v>
      </c>
      <c r="L11" s="122">
        <v>0</v>
      </c>
      <c r="M11" s="122">
        <v>0</v>
      </c>
      <c r="N11" s="122">
        <v>99</v>
      </c>
      <c r="O11" s="122">
        <v>200</v>
      </c>
      <c r="P11" s="122">
        <v>3</v>
      </c>
      <c r="Q11" s="123"/>
      <c r="R11" s="122">
        <v>1</v>
      </c>
      <c r="S11" s="122">
        <v>1</v>
      </c>
      <c r="T11" s="122">
        <v>1</v>
      </c>
      <c r="U11" s="123"/>
      <c r="V11" s="122">
        <v>8858890732264</v>
      </c>
    </row>
    <row r="12" ht="15.75" customHeight="1" spans="1:22" x14ac:dyDescent="0.25">
      <c r="A12" s="122" t="s">
        <v>761</v>
      </c>
      <c r="B12" s="122" t="s">
        <v>768</v>
      </c>
      <c r="C12" s="123"/>
      <c r="D12" s="122" t="s">
        <v>763</v>
      </c>
      <c r="E12" s="122" t="s">
        <v>764</v>
      </c>
      <c r="F12" s="122" t="s">
        <v>753</v>
      </c>
      <c r="G12" s="122" t="s">
        <v>765</v>
      </c>
      <c r="H12" s="122" t="s">
        <v>766</v>
      </c>
      <c r="I12" s="122" t="s">
        <v>733</v>
      </c>
      <c r="J12" s="122">
        <v>83</v>
      </c>
      <c r="K12" s="122">
        <v>0</v>
      </c>
      <c r="L12" s="122">
        <v>0</v>
      </c>
      <c r="M12" s="122">
        <v>0</v>
      </c>
      <c r="N12" s="122">
        <v>99</v>
      </c>
      <c r="O12" s="122">
        <v>200</v>
      </c>
      <c r="P12" s="122">
        <v>2</v>
      </c>
      <c r="Q12" s="123"/>
      <c r="R12" s="122">
        <v>1</v>
      </c>
      <c r="S12" s="122">
        <v>1</v>
      </c>
      <c r="T12" s="122">
        <v>1</v>
      </c>
      <c r="U12" s="123"/>
      <c r="V12" s="122">
        <v>8858890732264</v>
      </c>
    </row>
    <row r="13" ht="15.75" customHeight="1" spans="1:22" x14ac:dyDescent="0.25">
      <c r="A13" s="122" t="s">
        <v>386</v>
      </c>
      <c r="B13" s="123"/>
      <c r="C13" s="123"/>
      <c r="D13" s="122" t="s">
        <v>769</v>
      </c>
      <c r="E13" s="122" t="s">
        <v>770</v>
      </c>
      <c r="F13" s="122" t="s">
        <v>753</v>
      </c>
      <c r="G13" s="122" t="s">
        <v>771</v>
      </c>
      <c r="H13" s="122" t="s">
        <v>772</v>
      </c>
      <c r="I13" s="122" t="s">
        <v>733</v>
      </c>
      <c r="J13" s="122">
        <v>55</v>
      </c>
      <c r="K13" s="122">
        <v>55</v>
      </c>
      <c r="L13" s="122">
        <v>70</v>
      </c>
      <c r="M13" s="122">
        <v>65</v>
      </c>
      <c r="N13" s="122">
        <v>85</v>
      </c>
      <c r="O13" s="122">
        <v>100</v>
      </c>
      <c r="P13" s="122">
        <v>278</v>
      </c>
      <c r="Q13" s="123"/>
      <c r="R13" s="122">
        <v>1</v>
      </c>
      <c r="S13" s="122">
        <v>1</v>
      </c>
      <c r="T13" s="122">
        <v>1</v>
      </c>
      <c r="U13" s="123"/>
      <c r="V13" s="122">
        <v>8858890794798</v>
      </c>
    </row>
    <row r="14" ht="15.75" customHeight="1" spans="1:22" x14ac:dyDescent="0.25">
      <c r="A14" s="122" t="s">
        <v>395</v>
      </c>
      <c r="B14" s="122" t="s">
        <v>750</v>
      </c>
      <c r="C14" s="123"/>
      <c r="D14" s="122" t="s">
        <v>773</v>
      </c>
      <c r="E14" s="122" t="s">
        <v>774</v>
      </c>
      <c r="F14" s="122" t="s">
        <v>753</v>
      </c>
      <c r="G14" s="122" t="s">
        <v>754</v>
      </c>
      <c r="H14" s="122" t="s">
        <v>775</v>
      </c>
      <c r="I14" s="122" t="s">
        <v>733</v>
      </c>
      <c r="J14" s="122">
        <v>25</v>
      </c>
      <c r="K14" s="122">
        <v>0</v>
      </c>
      <c r="L14" s="122">
        <v>35</v>
      </c>
      <c r="M14" s="122">
        <v>0</v>
      </c>
      <c r="N14" s="122">
        <v>60</v>
      </c>
      <c r="O14" s="122">
        <v>100</v>
      </c>
      <c r="P14" s="122">
        <v>11</v>
      </c>
      <c r="Q14" s="123"/>
      <c r="R14" s="122">
        <v>1</v>
      </c>
      <c r="S14" s="122">
        <v>1</v>
      </c>
      <c r="T14" s="122">
        <v>1</v>
      </c>
      <c r="U14" s="123"/>
      <c r="V14" s="122">
        <v>885889079379102</v>
      </c>
    </row>
    <row r="15" ht="15.75" customHeight="1" spans="1:22" x14ac:dyDescent="0.25">
      <c r="A15" s="122" t="s">
        <v>395</v>
      </c>
      <c r="B15" s="122" t="s">
        <v>776</v>
      </c>
      <c r="C15" s="123"/>
      <c r="D15" s="122" t="s">
        <v>773</v>
      </c>
      <c r="E15" s="122" t="s">
        <v>774</v>
      </c>
      <c r="F15" s="122" t="s">
        <v>753</v>
      </c>
      <c r="G15" s="122" t="s">
        <v>754</v>
      </c>
      <c r="H15" s="122" t="s">
        <v>775</v>
      </c>
      <c r="I15" s="122" t="s">
        <v>733</v>
      </c>
      <c r="J15" s="122">
        <v>25</v>
      </c>
      <c r="K15" s="122">
        <v>0</v>
      </c>
      <c r="L15" s="122">
        <v>35</v>
      </c>
      <c r="M15" s="122">
        <v>0</v>
      </c>
      <c r="N15" s="122">
        <v>60</v>
      </c>
      <c r="O15" s="122">
        <v>100</v>
      </c>
      <c r="P15" s="122">
        <v>16</v>
      </c>
      <c r="Q15" s="123"/>
      <c r="R15" s="122">
        <v>1</v>
      </c>
      <c r="S15" s="122">
        <v>1</v>
      </c>
      <c r="T15" s="122">
        <v>1</v>
      </c>
      <c r="U15" s="123"/>
      <c r="V15" s="122">
        <v>885889079379101</v>
      </c>
    </row>
    <row r="16" ht="15.75" customHeight="1" spans="1:22" x14ac:dyDescent="0.25">
      <c r="A16" s="122" t="s">
        <v>395</v>
      </c>
      <c r="B16" s="122" t="s">
        <v>776</v>
      </c>
      <c r="C16" s="122" t="s">
        <v>777</v>
      </c>
      <c r="D16" s="122" t="s">
        <v>773</v>
      </c>
      <c r="E16" s="122" t="s">
        <v>774</v>
      </c>
      <c r="F16" s="122" t="s">
        <v>753</v>
      </c>
      <c r="G16" s="122" t="s">
        <v>754</v>
      </c>
      <c r="H16" s="122" t="s">
        <v>775</v>
      </c>
      <c r="I16" s="122" t="s">
        <v>733</v>
      </c>
      <c r="J16" s="122">
        <v>25</v>
      </c>
      <c r="K16" s="122">
        <v>0</v>
      </c>
      <c r="L16" s="122">
        <v>35</v>
      </c>
      <c r="M16" s="122">
        <v>0</v>
      </c>
      <c r="N16" s="122">
        <v>60</v>
      </c>
      <c r="O16" s="122">
        <v>100</v>
      </c>
      <c r="P16" s="122">
        <v>0</v>
      </c>
      <c r="Q16" s="123"/>
      <c r="R16" s="122">
        <v>1</v>
      </c>
      <c r="S16" s="122">
        <v>1</v>
      </c>
      <c r="T16" s="122">
        <v>1</v>
      </c>
      <c r="U16" s="123"/>
      <c r="V16" s="122">
        <v>885889079379101</v>
      </c>
    </row>
    <row r="17" ht="15.75" customHeight="1" spans="1:22" x14ac:dyDescent="0.25">
      <c r="A17" s="122" t="s">
        <v>187</v>
      </c>
      <c r="B17" s="123"/>
      <c r="C17" s="123"/>
      <c r="D17" s="122" t="s">
        <v>188</v>
      </c>
      <c r="E17" s="122" t="s">
        <v>778</v>
      </c>
      <c r="F17" s="122" t="s">
        <v>779</v>
      </c>
      <c r="G17" s="122" t="s">
        <v>780</v>
      </c>
      <c r="H17" s="122" t="s">
        <v>781</v>
      </c>
      <c r="I17" s="122" t="s">
        <v>733</v>
      </c>
      <c r="J17" s="122">
        <v>630</v>
      </c>
      <c r="K17" s="122">
        <v>650</v>
      </c>
      <c r="L17" s="122">
        <v>720</v>
      </c>
      <c r="M17" s="122">
        <v>660</v>
      </c>
      <c r="N17" s="122">
        <v>800</v>
      </c>
      <c r="O17" s="122">
        <v>1199</v>
      </c>
      <c r="P17" s="122">
        <v>62</v>
      </c>
      <c r="Q17" s="123"/>
      <c r="R17" s="123"/>
      <c r="S17" s="122">
        <v>1</v>
      </c>
      <c r="T17" s="122">
        <v>1</v>
      </c>
      <c r="U17" s="123"/>
      <c r="V17" s="122">
        <v>8858890716134</v>
      </c>
    </row>
    <row r="18" ht="15.75" customHeight="1" spans="1:22" x14ac:dyDescent="0.25">
      <c r="A18" s="122" t="s">
        <v>291</v>
      </c>
      <c r="B18" s="123"/>
      <c r="C18" s="123"/>
      <c r="D18" s="122" t="s">
        <v>782</v>
      </c>
      <c r="E18" s="122" t="s">
        <v>783</v>
      </c>
      <c r="F18" s="122" t="s">
        <v>779</v>
      </c>
      <c r="G18" s="122" t="s">
        <v>784</v>
      </c>
      <c r="H18" s="122" t="s">
        <v>785</v>
      </c>
      <c r="I18" s="122" t="s">
        <v>733</v>
      </c>
      <c r="J18" s="122">
        <v>154</v>
      </c>
      <c r="K18" s="122">
        <v>99</v>
      </c>
      <c r="L18" s="122">
        <v>190</v>
      </c>
      <c r="M18" s="122">
        <v>180</v>
      </c>
      <c r="N18" s="122">
        <v>210</v>
      </c>
      <c r="O18" s="122">
        <v>290</v>
      </c>
      <c r="P18" s="122">
        <v>93</v>
      </c>
      <c r="Q18" s="123"/>
      <c r="R18" s="123"/>
      <c r="S18" s="122">
        <v>1</v>
      </c>
      <c r="T18" s="122">
        <v>1</v>
      </c>
      <c r="U18" s="123"/>
      <c r="V18" s="122">
        <v>8858890713010</v>
      </c>
    </row>
    <row r="19" ht="15.75" customHeight="1" spans="1:22" x14ac:dyDescent="0.25">
      <c r="A19" s="122" t="s">
        <v>210</v>
      </c>
      <c r="B19" s="123"/>
      <c r="C19" s="123"/>
      <c r="D19" s="122" t="s">
        <v>211</v>
      </c>
      <c r="E19" s="122" t="s">
        <v>786</v>
      </c>
      <c r="F19" s="122" t="s">
        <v>779</v>
      </c>
      <c r="G19" s="122" t="s">
        <v>784</v>
      </c>
      <c r="H19" s="122" t="s">
        <v>787</v>
      </c>
      <c r="I19" s="122" t="s">
        <v>733</v>
      </c>
      <c r="J19" s="122">
        <v>160</v>
      </c>
      <c r="K19" s="122">
        <v>99</v>
      </c>
      <c r="L19" s="122">
        <v>180</v>
      </c>
      <c r="M19" s="122">
        <v>175</v>
      </c>
      <c r="N19" s="122">
        <v>210</v>
      </c>
      <c r="O19" s="122">
        <v>270</v>
      </c>
      <c r="P19" s="122">
        <v>150</v>
      </c>
      <c r="Q19" s="123"/>
      <c r="R19" s="123"/>
      <c r="S19" s="122">
        <v>1</v>
      </c>
      <c r="T19" s="122">
        <v>1</v>
      </c>
      <c r="U19" s="123"/>
      <c r="V19" s="122">
        <v>8858890716066</v>
      </c>
    </row>
    <row r="20" ht="15.75" customHeight="1" spans="1:22" x14ac:dyDescent="0.25">
      <c r="A20" s="122" t="s">
        <v>788</v>
      </c>
      <c r="B20" s="123"/>
      <c r="C20" s="123"/>
      <c r="D20" s="122" t="s">
        <v>789</v>
      </c>
      <c r="E20" s="122" t="s">
        <v>790</v>
      </c>
      <c r="F20" s="122" t="s">
        <v>779</v>
      </c>
      <c r="G20" s="122" t="s">
        <v>784</v>
      </c>
      <c r="H20" s="122" t="s">
        <v>785</v>
      </c>
      <c r="I20" s="122" t="s">
        <v>733</v>
      </c>
      <c r="J20" s="122">
        <v>149</v>
      </c>
      <c r="K20" s="122">
        <v>0</v>
      </c>
      <c r="L20" s="122">
        <v>180</v>
      </c>
      <c r="M20" s="122">
        <v>0</v>
      </c>
      <c r="N20" s="122">
        <v>210</v>
      </c>
      <c r="O20" s="122">
        <v>280</v>
      </c>
      <c r="P20" s="122">
        <v>0</v>
      </c>
      <c r="Q20" s="123"/>
      <c r="R20" s="123"/>
      <c r="S20" s="123"/>
      <c r="T20" s="123"/>
      <c r="U20" s="123"/>
      <c r="V20" s="122">
        <v>8858890712082</v>
      </c>
    </row>
    <row r="21" ht="15.75" customHeight="1" spans="1:22" x14ac:dyDescent="0.25">
      <c r="A21" s="122" t="s">
        <v>791</v>
      </c>
      <c r="B21" s="123"/>
      <c r="C21" s="123"/>
      <c r="D21" s="122" t="s">
        <v>792</v>
      </c>
      <c r="E21" s="122" t="s">
        <v>793</v>
      </c>
      <c r="F21" s="122" t="s">
        <v>779</v>
      </c>
      <c r="G21" s="122" t="s">
        <v>731</v>
      </c>
      <c r="H21" s="122" t="s">
        <v>794</v>
      </c>
      <c r="I21" s="122" t="s">
        <v>733</v>
      </c>
      <c r="J21" s="122">
        <v>154</v>
      </c>
      <c r="K21" s="122">
        <v>0</v>
      </c>
      <c r="L21" s="122">
        <v>200</v>
      </c>
      <c r="M21" s="122">
        <v>0</v>
      </c>
      <c r="N21" s="122">
        <v>230</v>
      </c>
      <c r="O21" s="122">
        <v>290</v>
      </c>
      <c r="P21" s="122">
        <v>1</v>
      </c>
      <c r="Q21" s="123"/>
      <c r="R21" s="123"/>
      <c r="S21" s="123"/>
      <c r="T21" s="123"/>
      <c r="U21" s="123"/>
      <c r="V21" s="122">
        <v>8858890714093</v>
      </c>
    </row>
    <row r="22" ht="15.75" customHeight="1" spans="1:22" x14ac:dyDescent="0.25">
      <c r="A22" s="122" t="s">
        <v>215</v>
      </c>
      <c r="B22" s="123"/>
      <c r="C22" s="123"/>
      <c r="D22" s="122" t="s">
        <v>216</v>
      </c>
      <c r="E22" s="122" t="s">
        <v>795</v>
      </c>
      <c r="F22" s="122" t="s">
        <v>779</v>
      </c>
      <c r="G22" s="122" t="s">
        <v>784</v>
      </c>
      <c r="H22" s="122" t="s">
        <v>785</v>
      </c>
      <c r="I22" s="122" t="s">
        <v>733</v>
      </c>
      <c r="J22" s="122">
        <v>285</v>
      </c>
      <c r="K22" s="122">
        <v>99</v>
      </c>
      <c r="L22" s="122">
        <v>300</v>
      </c>
      <c r="M22" s="122">
        <v>275</v>
      </c>
      <c r="N22" s="122">
        <v>320</v>
      </c>
      <c r="O22" s="122">
        <v>450</v>
      </c>
      <c r="P22" s="122">
        <v>57</v>
      </c>
      <c r="Q22" s="123"/>
      <c r="R22" s="123"/>
      <c r="S22" s="122">
        <v>1</v>
      </c>
      <c r="T22" s="122">
        <v>1</v>
      </c>
      <c r="U22" s="123"/>
      <c r="V22" s="122">
        <v>8858890712099</v>
      </c>
    </row>
    <row r="23" ht="15.75" customHeight="1" spans="1:22" x14ac:dyDescent="0.25">
      <c r="A23" s="122" t="s">
        <v>796</v>
      </c>
      <c r="B23" s="123"/>
      <c r="C23" s="123"/>
      <c r="D23" s="122" t="s">
        <v>797</v>
      </c>
      <c r="E23" s="122" t="s">
        <v>798</v>
      </c>
      <c r="F23" s="122" t="s">
        <v>779</v>
      </c>
      <c r="G23" s="122" t="s">
        <v>784</v>
      </c>
      <c r="H23" s="122" t="s">
        <v>785</v>
      </c>
      <c r="I23" s="122" t="s">
        <v>733</v>
      </c>
      <c r="J23" s="122">
        <v>217</v>
      </c>
      <c r="K23" s="122">
        <v>0</v>
      </c>
      <c r="L23" s="122">
        <v>290</v>
      </c>
      <c r="M23" s="122">
        <v>0</v>
      </c>
      <c r="N23" s="122">
        <v>320</v>
      </c>
      <c r="O23" s="122">
        <v>420</v>
      </c>
      <c r="P23" s="122">
        <v>0</v>
      </c>
      <c r="Q23" s="123"/>
      <c r="R23" s="123"/>
      <c r="S23" s="122">
        <v>1</v>
      </c>
      <c r="T23" s="122">
        <v>1</v>
      </c>
      <c r="U23" s="123"/>
      <c r="V23" s="122">
        <v>8858890712228</v>
      </c>
    </row>
    <row r="24" ht="15.75" customHeight="1" spans="1:22" x14ac:dyDescent="0.25">
      <c r="A24" s="122" t="s">
        <v>799</v>
      </c>
      <c r="B24" s="123"/>
      <c r="C24" s="123"/>
      <c r="D24" s="122" t="s">
        <v>800</v>
      </c>
      <c r="E24" s="122" t="s">
        <v>801</v>
      </c>
      <c r="F24" s="122" t="s">
        <v>779</v>
      </c>
      <c r="G24" s="122" t="s">
        <v>731</v>
      </c>
      <c r="H24" s="122" t="s">
        <v>794</v>
      </c>
      <c r="I24" s="122" t="s">
        <v>733</v>
      </c>
      <c r="J24" s="122">
        <v>167</v>
      </c>
      <c r="K24" s="122">
        <v>0</v>
      </c>
      <c r="L24" s="122">
        <v>195</v>
      </c>
      <c r="M24" s="122">
        <v>320</v>
      </c>
      <c r="N24" s="122">
        <v>220</v>
      </c>
      <c r="O24" s="122">
        <v>286</v>
      </c>
      <c r="P24" s="122">
        <v>0</v>
      </c>
      <c r="Q24" s="123"/>
      <c r="R24" s="123"/>
      <c r="S24" s="123"/>
      <c r="T24" s="123"/>
      <c r="U24" s="123"/>
      <c r="V24" s="122">
        <v>8858890716097</v>
      </c>
    </row>
    <row r="25" ht="15.75" customHeight="1" spans="1:22" x14ac:dyDescent="0.25">
      <c r="A25" s="122" t="s">
        <v>171</v>
      </c>
      <c r="B25" s="123"/>
      <c r="C25" s="123"/>
      <c r="D25" s="122" t="s">
        <v>172</v>
      </c>
      <c r="E25" s="122" t="s">
        <v>802</v>
      </c>
      <c r="F25" s="122" t="s">
        <v>779</v>
      </c>
      <c r="G25" s="122" t="s">
        <v>784</v>
      </c>
      <c r="H25" s="122" t="s">
        <v>785</v>
      </c>
      <c r="I25" s="122" t="s">
        <v>733</v>
      </c>
      <c r="J25" s="122">
        <v>1650</v>
      </c>
      <c r="K25" s="122">
        <v>1000</v>
      </c>
      <c r="L25" s="122">
        <v>1250</v>
      </c>
      <c r="M25" s="122">
        <v>1100</v>
      </c>
      <c r="N25" s="122">
        <v>1350</v>
      </c>
      <c r="O25" s="122">
        <v>2000</v>
      </c>
      <c r="P25" s="122">
        <v>592</v>
      </c>
      <c r="Q25" s="123"/>
      <c r="R25" s="123"/>
      <c r="S25" s="122">
        <v>1</v>
      </c>
      <c r="T25" s="122">
        <v>1</v>
      </c>
      <c r="U25" s="123"/>
      <c r="V25" s="122">
        <v>8858890714109</v>
      </c>
    </row>
    <row r="26" ht="15.75" customHeight="1" spans="1:22" x14ac:dyDescent="0.25">
      <c r="A26" s="122" t="s">
        <v>803</v>
      </c>
      <c r="B26" s="123"/>
      <c r="C26" s="123"/>
      <c r="D26" s="122" t="s">
        <v>804</v>
      </c>
      <c r="E26" s="122" t="s">
        <v>805</v>
      </c>
      <c r="F26" s="122" t="s">
        <v>779</v>
      </c>
      <c r="G26" s="122" t="s">
        <v>784</v>
      </c>
      <c r="H26" s="122" t="s">
        <v>785</v>
      </c>
      <c r="I26" s="122" t="s">
        <v>733</v>
      </c>
      <c r="J26" s="122">
        <v>257</v>
      </c>
      <c r="K26" s="122">
        <v>0</v>
      </c>
      <c r="L26" s="122">
        <v>300</v>
      </c>
      <c r="M26" s="122">
        <v>0</v>
      </c>
      <c r="N26" s="122">
        <v>350</v>
      </c>
      <c r="O26" s="122">
        <v>450</v>
      </c>
      <c r="P26" s="122">
        <v>14</v>
      </c>
      <c r="Q26" s="123"/>
      <c r="R26" s="123"/>
      <c r="S26" s="122">
        <v>1</v>
      </c>
      <c r="T26" s="122">
        <v>1</v>
      </c>
      <c r="U26" s="123"/>
      <c r="V26" s="122">
        <v>8858890714116</v>
      </c>
    </row>
    <row r="27" ht="15.75" customHeight="1" spans="1:22" x14ac:dyDescent="0.25">
      <c r="A27" s="122" t="s">
        <v>129</v>
      </c>
      <c r="B27" s="123"/>
      <c r="C27" s="123"/>
      <c r="D27" s="122" t="s">
        <v>130</v>
      </c>
      <c r="E27" s="122" t="s">
        <v>806</v>
      </c>
      <c r="F27" s="122" t="s">
        <v>779</v>
      </c>
      <c r="G27" s="122" t="s">
        <v>780</v>
      </c>
      <c r="H27" s="122" t="s">
        <v>807</v>
      </c>
      <c r="I27" s="122" t="s">
        <v>733</v>
      </c>
      <c r="J27" s="122">
        <v>288</v>
      </c>
      <c r="K27" s="122">
        <v>99</v>
      </c>
      <c r="L27" s="122">
        <v>340</v>
      </c>
      <c r="M27" s="122">
        <v>310</v>
      </c>
      <c r="N27" s="122">
        <v>390</v>
      </c>
      <c r="O27" s="122">
        <v>500</v>
      </c>
      <c r="P27" s="122">
        <v>146</v>
      </c>
      <c r="Q27" s="123"/>
      <c r="R27" s="123"/>
      <c r="S27" s="122">
        <v>1</v>
      </c>
      <c r="T27" s="122">
        <v>1</v>
      </c>
      <c r="U27" s="123"/>
      <c r="V27" s="122">
        <v>8858890710699</v>
      </c>
    </row>
    <row r="28" ht="15.75" customHeight="1" spans="1:22" x14ac:dyDescent="0.25">
      <c r="A28" s="122" t="s">
        <v>11</v>
      </c>
      <c r="B28" s="123"/>
      <c r="C28" s="123"/>
      <c r="D28" s="122" t="s">
        <v>808</v>
      </c>
      <c r="E28" s="122" t="s">
        <v>809</v>
      </c>
      <c r="F28" s="122" t="s">
        <v>742</v>
      </c>
      <c r="G28" s="122" t="s">
        <v>731</v>
      </c>
      <c r="H28" s="122" t="s">
        <v>732</v>
      </c>
      <c r="I28" s="122" t="s">
        <v>733</v>
      </c>
      <c r="J28" s="122">
        <v>99</v>
      </c>
      <c r="K28" s="122">
        <v>99</v>
      </c>
      <c r="L28" s="122">
        <v>215</v>
      </c>
      <c r="M28" s="122">
        <v>250</v>
      </c>
      <c r="N28" s="122">
        <v>240</v>
      </c>
      <c r="O28" s="122">
        <v>240</v>
      </c>
      <c r="P28" s="122">
        <v>413</v>
      </c>
      <c r="Q28" s="123"/>
      <c r="R28" s="123"/>
      <c r="S28" s="122">
        <v>1</v>
      </c>
      <c r="T28" s="122">
        <v>1</v>
      </c>
      <c r="U28" s="123"/>
      <c r="V28" s="122">
        <v>8858890715076</v>
      </c>
    </row>
    <row r="29" ht="15.75" customHeight="1" spans="1:22" x14ac:dyDescent="0.25">
      <c r="A29" s="122" t="s">
        <v>810</v>
      </c>
      <c r="B29" s="123"/>
      <c r="C29" s="123"/>
      <c r="D29" s="122" t="s">
        <v>811</v>
      </c>
      <c r="E29" s="122" t="s">
        <v>812</v>
      </c>
      <c r="F29" s="122" t="s">
        <v>742</v>
      </c>
      <c r="G29" s="122" t="s">
        <v>731</v>
      </c>
      <c r="H29" s="122" t="s">
        <v>732</v>
      </c>
      <c r="I29" s="122" t="s">
        <v>733</v>
      </c>
      <c r="J29" s="122">
        <v>160</v>
      </c>
      <c r="K29" s="122">
        <v>0</v>
      </c>
      <c r="L29" s="122">
        <v>215</v>
      </c>
      <c r="M29" s="122">
        <v>0</v>
      </c>
      <c r="N29" s="122">
        <v>240</v>
      </c>
      <c r="O29" s="122">
        <v>240</v>
      </c>
      <c r="P29" s="122">
        <v>0</v>
      </c>
      <c r="Q29" s="123"/>
      <c r="R29" s="123"/>
      <c r="S29" s="122">
        <v>1</v>
      </c>
      <c r="T29" s="122">
        <v>1</v>
      </c>
      <c r="U29" s="123"/>
      <c r="V29" s="122">
        <v>8858890715083</v>
      </c>
    </row>
    <row r="30" ht="15.75" customHeight="1" spans="1:22" x14ac:dyDescent="0.25">
      <c r="A30" s="122" t="s">
        <v>12</v>
      </c>
      <c r="B30" s="123"/>
      <c r="C30" s="123"/>
      <c r="D30" s="122" t="s">
        <v>813</v>
      </c>
      <c r="E30" s="122" t="s">
        <v>814</v>
      </c>
      <c r="F30" s="122" t="s">
        <v>742</v>
      </c>
      <c r="G30" s="122" t="s">
        <v>731</v>
      </c>
      <c r="H30" s="122" t="s">
        <v>732</v>
      </c>
      <c r="I30" s="122" t="s">
        <v>733</v>
      </c>
      <c r="J30" s="122">
        <v>170</v>
      </c>
      <c r="K30" s="122">
        <v>99</v>
      </c>
      <c r="L30" s="122">
        <v>215</v>
      </c>
      <c r="M30" s="122">
        <v>190</v>
      </c>
      <c r="N30" s="122">
        <v>240</v>
      </c>
      <c r="O30" s="122">
        <v>240</v>
      </c>
      <c r="P30" s="122">
        <v>61</v>
      </c>
      <c r="Q30" s="123"/>
      <c r="R30" s="123"/>
      <c r="S30" s="122">
        <v>1</v>
      </c>
      <c r="T30" s="122">
        <v>1</v>
      </c>
      <c r="U30" s="123"/>
      <c r="V30" s="122">
        <v>8858890715090</v>
      </c>
    </row>
    <row r="31" ht="15.75" customHeight="1" spans="1:22" x14ac:dyDescent="0.25">
      <c r="A31" s="122" t="s">
        <v>815</v>
      </c>
      <c r="B31" s="123"/>
      <c r="C31" s="123"/>
      <c r="D31" s="122" t="s">
        <v>816</v>
      </c>
      <c r="E31" s="122" t="s">
        <v>817</v>
      </c>
      <c r="F31" s="122" t="s">
        <v>742</v>
      </c>
      <c r="G31" s="122" t="s">
        <v>754</v>
      </c>
      <c r="H31" s="122" t="s">
        <v>818</v>
      </c>
      <c r="I31" s="122" t="s">
        <v>733</v>
      </c>
      <c r="J31" s="122">
        <v>65</v>
      </c>
      <c r="K31" s="122">
        <v>0</v>
      </c>
      <c r="L31" s="122">
        <v>281</v>
      </c>
      <c r="M31" s="122">
        <v>0</v>
      </c>
      <c r="N31" s="122">
        <v>300</v>
      </c>
      <c r="O31" s="122">
        <v>390</v>
      </c>
      <c r="P31" s="122">
        <v>16</v>
      </c>
      <c r="Q31" s="123"/>
      <c r="R31" s="122">
        <v>1</v>
      </c>
      <c r="S31" s="122">
        <v>1</v>
      </c>
      <c r="T31" s="122">
        <v>1</v>
      </c>
      <c r="U31" s="123"/>
      <c r="V31" s="122">
        <v>8858890794729</v>
      </c>
    </row>
    <row r="32" ht="15.75" customHeight="1" spans="1:22" x14ac:dyDescent="0.25">
      <c r="A32" s="122" t="s">
        <v>31</v>
      </c>
      <c r="B32" s="123"/>
      <c r="C32" s="123"/>
      <c r="D32" s="122" t="s">
        <v>819</v>
      </c>
      <c r="E32" s="122" t="s">
        <v>820</v>
      </c>
      <c r="F32" s="122" t="s">
        <v>753</v>
      </c>
      <c r="G32" s="122" t="s">
        <v>759</v>
      </c>
      <c r="H32" s="122" t="s">
        <v>821</v>
      </c>
      <c r="I32" s="122" t="s">
        <v>733</v>
      </c>
      <c r="J32" s="122">
        <v>315</v>
      </c>
      <c r="K32" s="122">
        <v>399</v>
      </c>
      <c r="L32" s="122">
        <v>350</v>
      </c>
      <c r="M32" s="122">
        <v>350</v>
      </c>
      <c r="N32" s="122">
        <v>450</v>
      </c>
      <c r="O32" s="122">
        <v>590</v>
      </c>
      <c r="P32" s="122">
        <v>4</v>
      </c>
      <c r="Q32" s="123"/>
      <c r="R32" s="122">
        <v>1</v>
      </c>
      <c r="S32" s="122">
        <v>1</v>
      </c>
      <c r="T32" s="122">
        <v>1</v>
      </c>
      <c r="U32" s="123"/>
      <c r="V32" s="122">
        <v>8858890761042</v>
      </c>
    </row>
    <row r="33" ht="15.75" customHeight="1" spans="1:22" x14ac:dyDescent="0.25">
      <c r="A33" s="122" t="s">
        <v>32</v>
      </c>
      <c r="B33" s="123"/>
      <c r="C33" s="123"/>
      <c r="D33" s="122" t="s">
        <v>822</v>
      </c>
      <c r="E33" s="122" t="s">
        <v>823</v>
      </c>
      <c r="F33" s="122" t="s">
        <v>753</v>
      </c>
      <c r="G33" s="122" t="s">
        <v>759</v>
      </c>
      <c r="H33" s="122" t="s">
        <v>821</v>
      </c>
      <c r="I33" s="122" t="s">
        <v>733</v>
      </c>
      <c r="J33" s="122">
        <v>325</v>
      </c>
      <c r="K33" s="122">
        <v>399</v>
      </c>
      <c r="L33" s="122">
        <v>350</v>
      </c>
      <c r="M33" s="122">
        <v>360</v>
      </c>
      <c r="N33" s="122">
        <v>450</v>
      </c>
      <c r="O33" s="122">
        <v>590</v>
      </c>
      <c r="P33" s="122">
        <v>91</v>
      </c>
      <c r="Q33" s="123"/>
      <c r="R33" s="122">
        <v>1</v>
      </c>
      <c r="S33" s="122">
        <v>1</v>
      </c>
      <c r="T33" s="122">
        <v>1</v>
      </c>
      <c r="U33" s="123"/>
      <c r="V33" s="122">
        <v>8858890761059</v>
      </c>
    </row>
    <row r="34" ht="15.75" customHeight="1" spans="1:22" x14ac:dyDescent="0.25">
      <c r="A34" s="122" t="s">
        <v>33</v>
      </c>
      <c r="B34" s="123"/>
      <c r="C34" s="123"/>
      <c r="D34" s="122" t="s">
        <v>824</v>
      </c>
      <c r="E34" s="122" t="s">
        <v>825</v>
      </c>
      <c r="F34" s="122" t="s">
        <v>753</v>
      </c>
      <c r="G34" s="122" t="s">
        <v>759</v>
      </c>
      <c r="H34" s="122" t="s">
        <v>821</v>
      </c>
      <c r="I34" s="122" t="s">
        <v>733</v>
      </c>
      <c r="J34" s="122">
        <v>320</v>
      </c>
      <c r="K34" s="122">
        <v>399</v>
      </c>
      <c r="L34" s="122">
        <v>390</v>
      </c>
      <c r="M34" s="122">
        <v>355</v>
      </c>
      <c r="N34" s="122">
        <v>450</v>
      </c>
      <c r="O34" s="122">
        <v>590</v>
      </c>
      <c r="P34" s="122">
        <v>29</v>
      </c>
      <c r="Q34" s="123"/>
      <c r="R34" s="122">
        <v>1</v>
      </c>
      <c r="S34" s="122">
        <v>1</v>
      </c>
      <c r="T34" s="122">
        <v>1</v>
      </c>
      <c r="U34" s="123"/>
      <c r="V34" s="122">
        <v>8858890761066</v>
      </c>
    </row>
    <row r="35" ht="15.75" customHeight="1" spans="1:22" x14ac:dyDescent="0.25">
      <c r="A35" s="122" t="s">
        <v>34</v>
      </c>
      <c r="B35" s="123"/>
      <c r="C35" s="123"/>
      <c r="D35" s="122" t="s">
        <v>826</v>
      </c>
      <c r="E35" s="122" t="s">
        <v>827</v>
      </c>
      <c r="F35" s="122" t="s">
        <v>753</v>
      </c>
      <c r="G35" s="122" t="s">
        <v>759</v>
      </c>
      <c r="H35" s="122" t="s">
        <v>821</v>
      </c>
      <c r="I35" s="122" t="s">
        <v>733</v>
      </c>
      <c r="J35" s="122">
        <v>319.88</v>
      </c>
      <c r="K35" s="122">
        <v>399</v>
      </c>
      <c r="L35" s="122">
        <v>390</v>
      </c>
      <c r="M35" s="122">
        <v>355</v>
      </c>
      <c r="N35" s="122">
        <v>450</v>
      </c>
      <c r="O35" s="122">
        <v>590</v>
      </c>
      <c r="P35" s="122">
        <v>110</v>
      </c>
      <c r="Q35" s="123"/>
      <c r="R35" s="122">
        <v>1</v>
      </c>
      <c r="S35" s="122">
        <v>1</v>
      </c>
      <c r="T35" s="122">
        <v>1</v>
      </c>
      <c r="U35" s="123"/>
      <c r="V35" s="122">
        <v>8858890761073</v>
      </c>
    </row>
    <row r="36" ht="15.75" customHeight="1" spans="1:22" x14ac:dyDescent="0.25">
      <c r="A36" s="122" t="s">
        <v>828</v>
      </c>
      <c r="B36" s="123"/>
      <c r="C36" s="123"/>
      <c r="D36" s="122" t="s">
        <v>829</v>
      </c>
      <c r="E36" s="122" t="s">
        <v>830</v>
      </c>
      <c r="F36" s="122" t="s">
        <v>742</v>
      </c>
      <c r="G36" s="122" t="s">
        <v>831</v>
      </c>
      <c r="H36" s="122" t="s">
        <v>832</v>
      </c>
      <c r="I36" s="122" t="s">
        <v>733</v>
      </c>
      <c r="J36" s="122">
        <v>87.08</v>
      </c>
      <c r="K36" s="122">
        <v>99</v>
      </c>
      <c r="L36" s="122">
        <v>105</v>
      </c>
      <c r="M36" s="122">
        <v>120</v>
      </c>
      <c r="N36" s="122">
        <v>120</v>
      </c>
      <c r="O36" s="122">
        <v>125</v>
      </c>
      <c r="P36" s="122">
        <v>111</v>
      </c>
      <c r="Q36" s="123"/>
      <c r="R36" s="122">
        <v>1</v>
      </c>
      <c r="S36" s="122">
        <v>1</v>
      </c>
      <c r="T36" s="122">
        <v>1</v>
      </c>
      <c r="U36" s="123"/>
      <c r="V36" s="122">
        <v>8858890794576</v>
      </c>
    </row>
    <row r="37" ht="15.75" customHeight="1" spans="1:22" x14ac:dyDescent="0.25">
      <c r="A37" s="122" t="s">
        <v>833</v>
      </c>
      <c r="B37" s="123"/>
      <c r="C37" s="123"/>
      <c r="D37" s="122" t="s">
        <v>834</v>
      </c>
      <c r="E37" s="122" t="s">
        <v>835</v>
      </c>
      <c r="F37" s="122" t="s">
        <v>742</v>
      </c>
      <c r="G37" s="122" t="s">
        <v>831</v>
      </c>
      <c r="H37" s="122" t="s">
        <v>832</v>
      </c>
      <c r="I37" s="122" t="s">
        <v>733</v>
      </c>
      <c r="J37" s="122">
        <v>87.08</v>
      </c>
      <c r="K37" s="122">
        <v>99</v>
      </c>
      <c r="L37" s="122">
        <v>105</v>
      </c>
      <c r="M37" s="122">
        <v>120</v>
      </c>
      <c r="N37" s="122">
        <v>120</v>
      </c>
      <c r="O37" s="122">
        <v>125</v>
      </c>
      <c r="P37" s="122">
        <v>3</v>
      </c>
      <c r="Q37" s="123"/>
      <c r="R37" s="122">
        <v>1</v>
      </c>
      <c r="S37" s="122">
        <v>1</v>
      </c>
      <c r="T37" s="122">
        <v>1</v>
      </c>
      <c r="U37" s="123"/>
      <c r="V37" s="122">
        <v>8858890794583</v>
      </c>
    </row>
    <row r="38" ht="15.75" customHeight="1" spans="1:22" x14ac:dyDescent="0.25">
      <c r="A38" s="122" t="s">
        <v>836</v>
      </c>
      <c r="B38" s="123"/>
      <c r="C38" s="123"/>
      <c r="D38" s="122" t="s">
        <v>837</v>
      </c>
      <c r="E38" s="122" t="s">
        <v>838</v>
      </c>
      <c r="F38" s="122" t="s">
        <v>753</v>
      </c>
      <c r="G38" s="122" t="s">
        <v>831</v>
      </c>
      <c r="H38" s="122" t="s">
        <v>832</v>
      </c>
      <c r="I38" s="122" t="s">
        <v>733</v>
      </c>
      <c r="J38" s="122">
        <v>154</v>
      </c>
      <c r="K38" s="122">
        <v>0</v>
      </c>
      <c r="L38" s="122">
        <v>170</v>
      </c>
      <c r="M38" s="122">
        <v>200</v>
      </c>
      <c r="N38" s="122">
        <v>195</v>
      </c>
      <c r="O38" s="122">
        <v>250</v>
      </c>
      <c r="P38" s="122">
        <v>128</v>
      </c>
      <c r="Q38" s="123"/>
      <c r="R38" s="122">
        <v>1</v>
      </c>
      <c r="S38" s="122">
        <v>1</v>
      </c>
      <c r="T38" s="122">
        <v>1</v>
      </c>
      <c r="U38" s="123"/>
      <c r="V38" s="122">
        <v>8858890795740</v>
      </c>
    </row>
    <row r="39" ht="15.75" customHeight="1" spans="1:22" x14ac:dyDescent="0.25">
      <c r="A39" s="122" t="s">
        <v>41</v>
      </c>
      <c r="B39" s="123"/>
      <c r="C39" s="123"/>
      <c r="D39" s="122" t="s">
        <v>839</v>
      </c>
      <c r="E39" s="122" t="s">
        <v>840</v>
      </c>
      <c r="F39" s="122" t="s">
        <v>742</v>
      </c>
      <c r="G39" s="122" t="s">
        <v>831</v>
      </c>
      <c r="H39" s="122" t="s">
        <v>832</v>
      </c>
      <c r="I39" s="122" t="s">
        <v>733</v>
      </c>
      <c r="J39" s="122">
        <v>170</v>
      </c>
      <c r="K39" s="122">
        <v>99</v>
      </c>
      <c r="L39" s="122">
        <v>210</v>
      </c>
      <c r="M39" s="122">
        <v>165</v>
      </c>
      <c r="N39" s="122">
        <v>190</v>
      </c>
      <c r="O39" s="122">
        <v>225</v>
      </c>
      <c r="P39" s="122">
        <v>23</v>
      </c>
      <c r="Q39" s="123"/>
      <c r="R39" s="122">
        <v>1</v>
      </c>
      <c r="S39" s="122">
        <v>1</v>
      </c>
      <c r="T39" s="122">
        <v>1</v>
      </c>
      <c r="U39" s="123"/>
      <c r="V39" s="122">
        <v>88588907958522</v>
      </c>
    </row>
    <row r="40" ht="15.75" customHeight="1" spans="1:22" x14ac:dyDescent="0.25">
      <c r="A40" s="122" t="s">
        <v>841</v>
      </c>
      <c r="B40" s="123"/>
      <c r="C40" s="123"/>
      <c r="D40" s="122" t="s">
        <v>842</v>
      </c>
      <c r="E40" s="122" t="s">
        <v>843</v>
      </c>
      <c r="F40" s="122" t="s">
        <v>753</v>
      </c>
      <c r="G40" s="122" t="s">
        <v>831</v>
      </c>
      <c r="H40" s="122" t="s">
        <v>832</v>
      </c>
      <c r="I40" s="122" t="s">
        <v>733</v>
      </c>
      <c r="J40" s="122">
        <v>125</v>
      </c>
      <c r="K40" s="122">
        <v>0</v>
      </c>
      <c r="L40" s="122">
        <v>148</v>
      </c>
      <c r="M40" s="122">
        <v>0</v>
      </c>
      <c r="N40" s="122">
        <v>165</v>
      </c>
      <c r="O40" s="122">
        <v>215</v>
      </c>
      <c r="P40" s="122">
        <v>0</v>
      </c>
      <c r="Q40" s="123"/>
      <c r="R40" s="123"/>
      <c r="S40" s="122">
        <v>1</v>
      </c>
      <c r="T40" s="122">
        <v>1</v>
      </c>
      <c r="U40" s="123"/>
      <c r="V40" s="122">
        <v>8858890725983</v>
      </c>
    </row>
    <row r="41" ht="15.75" customHeight="1" spans="1:22" x14ac:dyDescent="0.25">
      <c r="A41" s="122" t="s">
        <v>844</v>
      </c>
      <c r="B41" s="123"/>
      <c r="C41" s="123"/>
      <c r="D41" s="122" t="s">
        <v>845</v>
      </c>
      <c r="E41" s="122" t="s">
        <v>846</v>
      </c>
      <c r="F41" s="122" t="s">
        <v>753</v>
      </c>
      <c r="G41" s="122" t="s">
        <v>831</v>
      </c>
      <c r="H41" s="122" t="s">
        <v>832</v>
      </c>
      <c r="I41" s="122" t="s">
        <v>733</v>
      </c>
      <c r="J41" s="122">
        <v>84</v>
      </c>
      <c r="K41" s="122">
        <v>0</v>
      </c>
      <c r="L41" s="122">
        <v>100</v>
      </c>
      <c r="M41" s="122">
        <v>130</v>
      </c>
      <c r="N41" s="122">
        <v>120</v>
      </c>
      <c r="O41" s="122">
        <v>0</v>
      </c>
      <c r="P41" s="122">
        <v>75</v>
      </c>
      <c r="Q41" s="123"/>
      <c r="R41" s="122">
        <v>1</v>
      </c>
      <c r="S41" s="122">
        <v>1</v>
      </c>
      <c r="T41" s="122">
        <v>1</v>
      </c>
      <c r="U41" s="123"/>
      <c r="V41" s="122">
        <v>8858890795900</v>
      </c>
    </row>
    <row r="42" ht="15.75" customHeight="1" spans="1:22" x14ac:dyDescent="0.25">
      <c r="A42" s="122" t="s">
        <v>847</v>
      </c>
      <c r="B42" s="123"/>
      <c r="C42" s="123"/>
      <c r="D42" s="122" t="s">
        <v>848</v>
      </c>
      <c r="E42" s="122" t="s">
        <v>849</v>
      </c>
      <c r="F42" s="122" t="s">
        <v>742</v>
      </c>
      <c r="G42" s="122" t="s">
        <v>831</v>
      </c>
      <c r="H42" s="122" t="s">
        <v>832</v>
      </c>
      <c r="I42" s="122" t="s">
        <v>733</v>
      </c>
      <c r="J42" s="122">
        <v>84</v>
      </c>
      <c r="K42" s="122">
        <v>0</v>
      </c>
      <c r="L42" s="122">
        <v>100</v>
      </c>
      <c r="M42" s="122">
        <v>130</v>
      </c>
      <c r="N42" s="122">
        <v>120</v>
      </c>
      <c r="O42" s="122">
        <v>130</v>
      </c>
      <c r="P42" s="122">
        <v>103</v>
      </c>
      <c r="Q42" s="123"/>
      <c r="R42" s="122">
        <v>1</v>
      </c>
      <c r="S42" s="122">
        <v>1</v>
      </c>
      <c r="T42" s="122">
        <v>1</v>
      </c>
      <c r="U42" s="123"/>
      <c r="V42" s="122">
        <v>8858890795917</v>
      </c>
    </row>
    <row r="43" ht="15.75" customHeight="1" spans="1:22" x14ac:dyDescent="0.25">
      <c r="A43" s="122" t="s">
        <v>370</v>
      </c>
      <c r="B43" s="123"/>
      <c r="C43" s="123"/>
      <c r="D43" s="122" t="s">
        <v>850</v>
      </c>
      <c r="E43" s="122" t="s">
        <v>851</v>
      </c>
      <c r="F43" s="122" t="s">
        <v>753</v>
      </c>
      <c r="G43" s="122" t="s">
        <v>831</v>
      </c>
      <c r="H43" s="122" t="s">
        <v>832</v>
      </c>
      <c r="I43" s="122" t="s">
        <v>733</v>
      </c>
      <c r="J43" s="122">
        <v>165</v>
      </c>
      <c r="K43" s="122">
        <v>99</v>
      </c>
      <c r="L43" s="122">
        <v>195</v>
      </c>
      <c r="M43" s="122">
        <v>165</v>
      </c>
      <c r="N43" s="122">
        <v>200</v>
      </c>
      <c r="O43" s="122">
        <v>280</v>
      </c>
      <c r="P43" s="122">
        <v>56</v>
      </c>
      <c r="Q43" s="123"/>
      <c r="R43" s="122">
        <v>1</v>
      </c>
      <c r="S43" s="122">
        <v>1</v>
      </c>
      <c r="T43" s="122">
        <v>1</v>
      </c>
      <c r="U43" s="123"/>
      <c r="V43" s="122">
        <v>8858890795948</v>
      </c>
    </row>
    <row r="44" ht="15.75" customHeight="1" spans="1:22" x14ac:dyDescent="0.25">
      <c r="A44" s="122" t="s">
        <v>852</v>
      </c>
      <c r="B44" s="123"/>
      <c r="C44" s="123"/>
      <c r="D44" s="122" t="s">
        <v>853</v>
      </c>
      <c r="E44" s="122" t="s">
        <v>854</v>
      </c>
      <c r="F44" s="122" t="s">
        <v>753</v>
      </c>
      <c r="G44" s="122" t="s">
        <v>831</v>
      </c>
      <c r="H44" s="122" t="s">
        <v>832</v>
      </c>
      <c r="I44" s="122" t="s">
        <v>733</v>
      </c>
      <c r="J44" s="122">
        <v>154</v>
      </c>
      <c r="K44" s="122">
        <v>0</v>
      </c>
      <c r="L44" s="122">
        <v>165</v>
      </c>
      <c r="M44" s="122">
        <v>0</v>
      </c>
      <c r="N44" s="122">
        <v>180</v>
      </c>
      <c r="O44" s="122">
        <v>240</v>
      </c>
      <c r="P44" s="122">
        <v>0</v>
      </c>
      <c r="Q44" s="123"/>
      <c r="R44" s="122">
        <v>1</v>
      </c>
      <c r="S44" s="122">
        <v>1</v>
      </c>
      <c r="T44" s="122">
        <v>1</v>
      </c>
      <c r="U44" s="123"/>
      <c r="V44" s="122">
        <v>8858890795030</v>
      </c>
    </row>
    <row r="45" ht="15.75" customHeight="1" spans="1:22" x14ac:dyDescent="0.25">
      <c r="A45" s="122" t="s">
        <v>855</v>
      </c>
      <c r="B45" s="123"/>
      <c r="C45" s="123"/>
      <c r="D45" s="122" t="s">
        <v>856</v>
      </c>
      <c r="E45" s="122" t="s">
        <v>857</v>
      </c>
      <c r="F45" s="122" t="s">
        <v>753</v>
      </c>
      <c r="G45" s="122" t="s">
        <v>831</v>
      </c>
      <c r="H45" s="122" t="s">
        <v>832</v>
      </c>
      <c r="I45" s="122" t="s">
        <v>733</v>
      </c>
      <c r="J45" s="122">
        <v>85</v>
      </c>
      <c r="K45" s="122">
        <v>0</v>
      </c>
      <c r="L45" s="122">
        <v>106</v>
      </c>
      <c r="M45" s="122">
        <v>0</v>
      </c>
      <c r="N45" s="122">
        <v>120</v>
      </c>
      <c r="O45" s="122">
        <v>156</v>
      </c>
      <c r="P45" s="122">
        <v>0</v>
      </c>
      <c r="Q45" s="123"/>
      <c r="R45" s="123"/>
      <c r="S45" s="122">
        <v>1</v>
      </c>
      <c r="T45" s="122">
        <v>1</v>
      </c>
      <c r="U45" s="123"/>
      <c r="V45" s="122">
        <v>8858890795061</v>
      </c>
    </row>
    <row r="46" ht="15.75" customHeight="1" spans="1:22" x14ac:dyDescent="0.25">
      <c r="A46" s="122" t="s">
        <v>858</v>
      </c>
      <c r="B46" s="123"/>
      <c r="C46" s="123"/>
      <c r="D46" s="122" t="s">
        <v>859</v>
      </c>
      <c r="E46" s="122" t="s">
        <v>860</v>
      </c>
      <c r="F46" s="122" t="s">
        <v>753</v>
      </c>
      <c r="G46" s="122" t="s">
        <v>831</v>
      </c>
      <c r="H46" s="122" t="s">
        <v>832</v>
      </c>
      <c r="I46" s="122" t="s">
        <v>733</v>
      </c>
      <c r="J46" s="122">
        <v>97.85</v>
      </c>
      <c r="K46" s="122">
        <v>0</v>
      </c>
      <c r="L46" s="122">
        <v>105</v>
      </c>
      <c r="M46" s="122">
        <v>0</v>
      </c>
      <c r="N46" s="122">
        <v>130</v>
      </c>
      <c r="O46" s="122">
        <v>160</v>
      </c>
      <c r="P46" s="122">
        <v>9</v>
      </c>
      <c r="Q46" s="123"/>
      <c r="R46" s="122">
        <v>1</v>
      </c>
      <c r="S46" s="122">
        <v>1</v>
      </c>
      <c r="T46" s="122">
        <v>1</v>
      </c>
      <c r="U46" s="123"/>
      <c r="V46" s="122">
        <v>8858890795726</v>
      </c>
    </row>
    <row r="47" ht="15.75" customHeight="1" spans="1:22" x14ac:dyDescent="0.25">
      <c r="A47" s="122" t="s">
        <v>861</v>
      </c>
      <c r="B47" s="123"/>
      <c r="C47" s="123"/>
      <c r="D47" s="122" t="s">
        <v>862</v>
      </c>
      <c r="E47" s="122" t="s">
        <v>863</v>
      </c>
      <c r="F47" s="122" t="s">
        <v>753</v>
      </c>
      <c r="G47" s="122" t="s">
        <v>831</v>
      </c>
      <c r="H47" s="122" t="s">
        <v>832</v>
      </c>
      <c r="I47" s="123"/>
      <c r="J47" s="122">
        <v>85</v>
      </c>
      <c r="K47" s="122">
        <v>0</v>
      </c>
      <c r="L47" s="122">
        <v>105</v>
      </c>
      <c r="M47" s="122">
        <v>0</v>
      </c>
      <c r="N47" s="122">
        <v>130</v>
      </c>
      <c r="O47" s="122">
        <v>160</v>
      </c>
      <c r="P47" s="122">
        <v>0</v>
      </c>
      <c r="Q47" s="123"/>
      <c r="R47" s="122">
        <v>1</v>
      </c>
      <c r="S47" s="122">
        <v>1</v>
      </c>
      <c r="T47" s="122">
        <v>1</v>
      </c>
      <c r="U47" s="123"/>
      <c r="V47" s="123"/>
    </row>
    <row r="48" ht="15.75" customHeight="1" spans="1:22" x14ac:dyDescent="0.25">
      <c r="A48" s="122" t="s">
        <v>864</v>
      </c>
      <c r="B48" s="123"/>
      <c r="C48" s="123"/>
      <c r="D48" s="122" t="s">
        <v>865</v>
      </c>
      <c r="E48" s="122" t="s">
        <v>866</v>
      </c>
      <c r="F48" s="122" t="s">
        <v>753</v>
      </c>
      <c r="G48" s="122" t="s">
        <v>831</v>
      </c>
      <c r="H48" s="122" t="s">
        <v>832</v>
      </c>
      <c r="I48" s="122" t="s">
        <v>733</v>
      </c>
      <c r="J48" s="122">
        <v>125</v>
      </c>
      <c r="K48" s="122">
        <v>0</v>
      </c>
      <c r="L48" s="122">
        <v>150</v>
      </c>
      <c r="M48" s="122">
        <v>0</v>
      </c>
      <c r="N48" s="122">
        <v>165</v>
      </c>
      <c r="O48" s="122">
        <v>215</v>
      </c>
      <c r="P48" s="122">
        <v>0</v>
      </c>
      <c r="Q48" s="123"/>
      <c r="R48" s="123"/>
      <c r="S48" s="122">
        <v>1</v>
      </c>
      <c r="T48" s="122">
        <v>1</v>
      </c>
      <c r="U48" s="123"/>
      <c r="V48" s="122">
        <v>8858890725990</v>
      </c>
    </row>
    <row r="49" ht="15.75" customHeight="1" spans="1:22" x14ac:dyDescent="0.25">
      <c r="A49" s="122" t="s">
        <v>867</v>
      </c>
      <c r="B49" s="123"/>
      <c r="C49" s="123"/>
      <c r="D49" s="122" t="s">
        <v>868</v>
      </c>
      <c r="E49" s="122" t="s">
        <v>869</v>
      </c>
      <c r="F49" s="122" t="s">
        <v>753</v>
      </c>
      <c r="G49" s="122" t="s">
        <v>831</v>
      </c>
      <c r="H49" s="122" t="s">
        <v>832</v>
      </c>
      <c r="I49" s="122" t="s">
        <v>733</v>
      </c>
      <c r="J49" s="122">
        <v>125</v>
      </c>
      <c r="K49" s="122">
        <v>0</v>
      </c>
      <c r="L49" s="122">
        <v>150</v>
      </c>
      <c r="M49" s="122">
        <v>0</v>
      </c>
      <c r="N49" s="122">
        <v>150</v>
      </c>
      <c r="O49" s="122">
        <v>215</v>
      </c>
      <c r="P49" s="122">
        <v>21</v>
      </c>
      <c r="Q49" s="123"/>
      <c r="R49" s="123"/>
      <c r="S49" s="122">
        <v>1</v>
      </c>
      <c r="T49" s="122">
        <v>1</v>
      </c>
      <c r="U49" s="123"/>
      <c r="V49" s="122">
        <v>8858890726003</v>
      </c>
    </row>
    <row r="50" ht="15.75" customHeight="1" spans="1:22" x14ac:dyDescent="0.25">
      <c r="A50" s="122" t="s">
        <v>870</v>
      </c>
      <c r="B50" s="122" t="s">
        <v>750</v>
      </c>
      <c r="C50" s="123"/>
      <c r="D50" s="122" t="s">
        <v>871</v>
      </c>
      <c r="E50" s="122" t="s">
        <v>872</v>
      </c>
      <c r="F50" s="122" t="s">
        <v>753</v>
      </c>
      <c r="G50" s="122" t="s">
        <v>754</v>
      </c>
      <c r="H50" s="122" t="s">
        <v>775</v>
      </c>
      <c r="I50" s="122" t="s">
        <v>733</v>
      </c>
      <c r="J50" s="122">
        <v>140</v>
      </c>
      <c r="K50" s="122">
        <v>159</v>
      </c>
      <c r="L50" s="122">
        <v>155</v>
      </c>
      <c r="M50" s="122">
        <v>159</v>
      </c>
      <c r="N50" s="122">
        <v>180</v>
      </c>
      <c r="O50" s="122">
        <v>230</v>
      </c>
      <c r="P50" s="122">
        <v>4</v>
      </c>
      <c r="Q50" s="123"/>
      <c r="R50" s="122">
        <v>1</v>
      </c>
      <c r="S50" s="122">
        <v>1</v>
      </c>
      <c r="T50" s="122">
        <v>1</v>
      </c>
      <c r="U50" s="123"/>
      <c r="V50" s="122">
        <v>8858890796907</v>
      </c>
    </row>
    <row r="51" ht="15.75" customHeight="1" spans="1:22" x14ac:dyDescent="0.25">
      <c r="A51" s="122" t="s">
        <v>870</v>
      </c>
      <c r="B51" s="122" t="s">
        <v>873</v>
      </c>
      <c r="C51" s="123"/>
      <c r="D51" s="122" t="s">
        <v>871</v>
      </c>
      <c r="E51" s="122" t="s">
        <v>872</v>
      </c>
      <c r="F51" s="122" t="s">
        <v>753</v>
      </c>
      <c r="G51" s="122" t="s">
        <v>754</v>
      </c>
      <c r="H51" s="122" t="s">
        <v>775</v>
      </c>
      <c r="I51" s="122" t="s">
        <v>733</v>
      </c>
      <c r="J51" s="122">
        <v>140</v>
      </c>
      <c r="K51" s="122">
        <v>159</v>
      </c>
      <c r="L51" s="122">
        <v>155</v>
      </c>
      <c r="M51" s="122">
        <v>159</v>
      </c>
      <c r="N51" s="122">
        <v>180</v>
      </c>
      <c r="O51" s="122">
        <v>230</v>
      </c>
      <c r="P51" s="122">
        <v>15</v>
      </c>
      <c r="Q51" s="123"/>
      <c r="R51" s="122">
        <v>1</v>
      </c>
      <c r="S51" s="122">
        <v>1</v>
      </c>
      <c r="T51" s="122">
        <v>1</v>
      </c>
      <c r="U51" s="123"/>
      <c r="V51" s="122">
        <v>8858890796914</v>
      </c>
    </row>
    <row r="52" ht="15.75" customHeight="1" spans="1:22" x14ac:dyDescent="0.25">
      <c r="A52" s="122" t="s">
        <v>870</v>
      </c>
      <c r="B52" s="122" t="s">
        <v>874</v>
      </c>
      <c r="C52" s="123"/>
      <c r="D52" s="122" t="s">
        <v>871</v>
      </c>
      <c r="E52" s="122" t="s">
        <v>872</v>
      </c>
      <c r="F52" s="122" t="s">
        <v>753</v>
      </c>
      <c r="G52" s="122" t="s">
        <v>754</v>
      </c>
      <c r="H52" s="122" t="s">
        <v>775</v>
      </c>
      <c r="I52" s="122" t="s">
        <v>733</v>
      </c>
      <c r="J52" s="122">
        <v>140</v>
      </c>
      <c r="K52" s="122">
        <v>159</v>
      </c>
      <c r="L52" s="122">
        <v>155</v>
      </c>
      <c r="M52" s="122">
        <v>159</v>
      </c>
      <c r="N52" s="122">
        <v>180</v>
      </c>
      <c r="O52" s="122">
        <v>230</v>
      </c>
      <c r="P52" s="122">
        <v>0</v>
      </c>
      <c r="Q52" s="123"/>
      <c r="R52" s="122">
        <v>1</v>
      </c>
      <c r="S52" s="122">
        <v>1</v>
      </c>
      <c r="T52" s="122">
        <v>1</v>
      </c>
      <c r="U52" s="123"/>
      <c r="V52" s="122">
        <v>8858890796921</v>
      </c>
    </row>
    <row r="53" ht="15.75" customHeight="1" spans="1:22" x14ac:dyDescent="0.25">
      <c r="A53" s="122" t="s">
        <v>875</v>
      </c>
      <c r="B53" s="122" t="s">
        <v>750</v>
      </c>
      <c r="C53" s="123"/>
      <c r="D53" s="122" t="s">
        <v>876</v>
      </c>
      <c r="E53" s="123"/>
      <c r="F53" s="122" t="s">
        <v>753</v>
      </c>
      <c r="G53" s="122" t="s">
        <v>754</v>
      </c>
      <c r="H53" s="122" t="s">
        <v>775</v>
      </c>
      <c r="I53" s="122" t="s">
        <v>733</v>
      </c>
      <c r="J53" s="122">
        <v>47</v>
      </c>
      <c r="K53" s="122">
        <v>0</v>
      </c>
      <c r="L53" s="122">
        <v>60</v>
      </c>
      <c r="M53" s="122">
        <v>0</v>
      </c>
      <c r="N53" s="122">
        <v>70</v>
      </c>
      <c r="O53" s="122">
        <v>100</v>
      </c>
      <c r="P53" s="122">
        <v>29</v>
      </c>
      <c r="Q53" s="123"/>
      <c r="R53" s="122">
        <v>1</v>
      </c>
      <c r="S53" s="122">
        <v>1</v>
      </c>
      <c r="T53" s="122">
        <v>1</v>
      </c>
      <c r="U53" s="123"/>
      <c r="V53" s="122">
        <v>8858890791070</v>
      </c>
    </row>
    <row r="54" ht="15.75" customHeight="1" spans="1:22" x14ac:dyDescent="0.25">
      <c r="A54" s="122" t="s">
        <v>875</v>
      </c>
      <c r="B54" s="122" t="s">
        <v>776</v>
      </c>
      <c r="C54" s="123"/>
      <c r="D54" s="122" t="s">
        <v>876</v>
      </c>
      <c r="E54" s="123"/>
      <c r="F54" s="122" t="s">
        <v>753</v>
      </c>
      <c r="G54" s="122" t="s">
        <v>754</v>
      </c>
      <c r="H54" s="122" t="s">
        <v>775</v>
      </c>
      <c r="I54" s="122" t="s">
        <v>733</v>
      </c>
      <c r="J54" s="122">
        <v>47</v>
      </c>
      <c r="K54" s="122">
        <v>0</v>
      </c>
      <c r="L54" s="122">
        <v>60</v>
      </c>
      <c r="M54" s="122">
        <v>0</v>
      </c>
      <c r="N54" s="122">
        <v>70</v>
      </c>
      <c r="O54" s="122">
        <v>100</v>
      </c>
      <c r="P54" s="122">
        <v>16</v>
      </c>
      <c r="Q54" s="123"/>
      <c r="R54" s="122">
        <v>1</v>
      </c>
      <c r="S54" s="122">
        <v>1</v>
      </c>
      <c r="T54" s="122">
        <v>1</v>
      </c>
      <c r="U54" s="123"/>
      <c r="V54" s="122">
        <v>8858890796891</v>
      </c>
    </row>
    <row r="55" ht="15.75" customHeight="1" spans="1:22" x14ac:dyDescent="0.25">
      <c r="A55" s="122" t="s">
        <v>396</v>
      </c>
      <c r="B55" s="123"/>
      <c r="C55" s="123"/>
      <c r="D55" s="122" t="s">
        <v>877</v>
      </c>
      <c r="E55" s="122" t="s">
        <v>878</v>
      </c>
      <c r="F55" s="122" t="s">
        <v>753</v>
      </c>
      <c r="G55" s="122" t="s">
        <v>754</v>
      </c>
      <c r="H55" s="122" t="s">
        <v>775</v>
      </c>
      <c r="I55" s="122" t="s">
        <v>733</v>
      </c>
      <c r="J55" s="122">
        <v>82</v>
      </c>
      <c r="K55" s="122">
        <v>85</v>
      </c>
      <c r="L55" s="122">
        <v>105</v>
      </c>
      <c r="M55" s="122">
        <v>85</v>
      </c>
      <c r="N55" s="122">
        <v>120</v>
      </c>
      <c r="O55" s="122">
        <v>160</v>
      </c>
      <c r="P55" s="122">
        <v>8</v>
      </c>
      <c r="Q55" s="123"/>
      <c r="R55" s="123"/>
      <c r="S55" s="122">
        <v>1</v>
      </c>
      <c r="T55" s="122">
        <v>1</v>
      </c>
      <c r="U55" s="123"/>
      <c r="V55" s="122">
        <v>8858890795832</v>
      </c>
    </row>
    <row r="56" ht="15.75" customHeight="1" spans="1:22" x14ac:dyDescent="0.25">
      <c r="A56" s="122" t="s">
        <v>879</v>
      </c>
      <c r="B56" s="123"/>
      <c r="C56" s="123"/>
      <c r="D56" s="122" t="s">
        <v>880</v>
      </c>
      <c r="E56" s="122" t="s">
        <v>881</v>
      </c>
      <c r="F56" s="122" t="s">
        <v>753</v>
      </c>
      <c r="G56" s="122" t="s">
        <v>754</v>
      </c>
      <c r="H56" s="122" t="s">
        <v>775</v>
      </c>
      <c r="I56" s="122" t="s">
        <v>733</v>
      </c>
      <c r="J56" s="122">
        <v>82</v>
      </c>
      <c r="K56" s="122">
        <v>0</v>
      </c>
      <c r="L56" s="122">
        <v>105</v>
      </c>
      <c r="M56" s="122">
        <v>0</v>
      </c>
      <c r="N56" s="122">
        <v>120</v>
      </c>
      <c r="O56" s="122">
        <v>160</v>
      </c>
      <c r="P56" s="122">
        <v>1</v>
      </c>
      <c r="Q56" s="123"/>
      <c r="R56" s="123"/>
      <c r="S56" s="122">
        <v>1</v>
      </c>
      <c r="T56" s="122">
        <v>1</v>
      </c>
      <c r="U56" s="123"/>
      <c r="V56" s="122">
        <v>8858890795849</v>
      </c>
    </row>
    <row r="57" ht="15.75" customHeight="1" spans="1:22" x14ac:dyDescent="0.25">
      <c r="A57" s="122" t="s">
        <v>394</v>
      </c>
      <c r="B57" s="123"/>
      <c r="C57" s="123"/>
      <c r="D57" s="122" t="s">
        <v>882</v>
      </c>
      <c r="E57" s="122" t="s">
        <v>883</v>
      </c>
      <c r="F57" s="122" t="s">
        <v>753</v>
      </c>
      <c r="G57" s="122" t="s">
        <v>754</v>
      </c>
      <c r="H57" s="122" t="s">
        <v>775</v>
      </c>
      <c r="I57" s="122" t="s">
        <v>733</v>
      </c>
      <c r="J57" s="122">
        <v>35</v>
      </c>
      <c r="K57" s="122">
        <v>85</v>
      </c>
      <c r="L57" s="122">
        <v>45</v>
      </c>
      <c r="M57" s="122">
        <v>85</v>
      </c>
      <c r="N57" s="122">
        <v>65</v>
      </c>
      <c r="O57" s="122">
        <v>85</v>
      </c>
      <c r="P57" s="122">
        <v>6</v>
      </c>
      <c r="Q57" s="123"/>
      <c r="R57" s="122">
        <v>1</v>
      </c>
      <c r="S57" s="122">
        <v>1</v>
      </c>
      <c r="T57" s="122">
        <v>1</v>
      </c>
      <c r="U57" s="123"/>
      <c r="V57" s="122">
        <v>8858890793319</v>
      </c>
    </row>
    <row r="58" ht="15.75" customHeight="1" spans="1:22" x14ac:dyDescent="0.25">
      <c r="A58" s="122" t="s">
        <v>394</v>
      </c>
      <c r="B58" s="123"/>
      <c r="C58" s="122" t="s">
        <v>884</v>
      </c>
      <c r="D58" s="122" t="s">
        <v>882</v>
      </c>
      <c r="E58" s="122" t="s">
        <v>883</v>
      </c>
      <c r="F58" s="122" t="s">
        <v>753</v>
      </c>
      <c r="G58" s="122" t="s">
        <v>754</v>
      </c>
      <c r="H58" s="122" t="s">
        <v>775</v>
      </c>
      <c r="I58" s="122" t="s">
        <v>733</v>
      </c>
      <c r="J58" s="122">
        <v>35</v>
      </c>
      <c r="K58" s="122">
        <v>85</v>
      </c>
      <c r="L58" s="122">
        <v>45</v>
      </c>
      <c r="M58" s="122">
        <v>85</v>
      </c>
      <c r="N58" s="122">
        <v>65</v>
      </c>
      <c r="O58" s="122">
        <v>85</v>
      </c>
      <c r="P58" s="122">
        <v>0</v>
      </c>
      <c r="Q58" s="123"/>
      <c r="R58" s="122">
        <v>1</v>
      </c>
      <c r="S58" s="122">
        <v>1</v>
      </c>
      <c r="T58" s="122">
        <v>1</v>
      </c>
      <c r="U58" s="123"/>
      <c r="V58" s="122">
        <v>8858890793319</v>
      </c>
    </row>
    <row r="59" ht="15.75" customHeight="1" spans="1:22" x14ac:dyDescent="0.25">
      <c r="A59" s="122" t="s">
        <v>885</v>
      </c>
      <c r="B59" s="123"/>
      <c r="C59" s="123"/>
      <c r="D59" s="122" t="s">
        <v>886</v>
      </c>
      <c r="E59" s="122" t="s">
        <v>887</v>
      </c>
      <c r="F59" s="122" t="s">
        <v>742</v>
      </c>
      <c r="G59" s="122" t="s">
        <v>771</v>
      </c>
      <c r="H59" s="122" t="s">
        <v>772</v>
      </c>
      <c r="I59" s="122" t="s">
        <v>733</v>
      </c>
      <c r="J59" s="122">
        <v>64</v>
      </c>
      <c r="K59" s="122">
        <v>0</v>
      </c>
      <c r="L59" s="122">
        <v>80</v>
      </c>
      <c r="M59" s="122">
        <v>75</v>
      </c>
      <c r="N59" s="122">
        <v>100</v>
      </c>
      <c r="O59" s="122">
        <v>130</v>
      </c>
      <c r="P59" s="122">
        <v>62</v>
      </c>
      <c r="Q59" s="123"/>
      <c r="R59" s="122">
        <v>1</v>
      </c>
      <c r="S59" s="122">
        <v>1</v>
      </c>
      <c r="T59" s="122">
        <v>1</v>
      </c>
      <c r="U59" s="123"/>
      <c r="V59" s="122">
        <v>8858890782382</v>
      </c>
    </row>
    <row r="60" ht="15.75" customHeight="1" spans="1:22" x14ac:dyDescent="0.25">
      <c r="A60" s="122" t="s">
        <v>48</v>
      </c>
      <c r="B60" s="123"/>
      <c r="C60" s="123"/>
      <c r="D60" s="122" t="s">
        <v>888</v>
      </c>
      <c r="E60" s="122" t="s">
        <v>889</v>
      </c>
      <c r="F60" s="122" t="s">
        <v>742</v>
      </c>
      <c r="G60" s="122" t="s">
        <v>771</v>
      </c>
      <c r="H60" s="122" t="s">
        <v>772</v>
      </c>
      <c r="I60" s="122" t="s">
        <v>733</v>
      </c>
      <c r="J60" s="122">
        <v>95</v>
      </c>
      <c r="K60" s="122">
        <v>0</v>
      </c>
      <c r="L60" s="122">
        <v>120</v>
      </c>
      <c r="M60" s="122">
        <v>120</v>
      </c>
      <c r="N60" s="122">
        <v>135</v>
      </c>
      <c r="O60" s="122">
        <v>180</v>
      </c>
      <c r="P60" s="122">
        <v>88</v>
      </c>
      <c r="Q60" s="123"/>
      <c r="R60" s="122">
        <v>1</v>
      </c>
      <c r="S60" s="122">
        <v>1</v>
      </c>
      <c r="T60" s="122">
        <v>1</v>
      </c>
      <c r="U60" s="123"/>
      <c r="V60" s="122">
        <v>8858890782399</v>
      </c>
    </row>
    <row r="61" ht="15.75" customHeight="1" spans="1:22" x14ac:dyDescent="0.25">
      <c r="A61" s="122" t="s">
        <v>890</v>
      </c>
      <c r="B61" s="123"/>
      <c r="C61" s="123"/>
      <c r="D61" s="122" t="s">
        <v>891</v>
      </c>
      <c r="E61" s="122" t="s">
        <v>892</v>
      </c>
      <c r="F61" s="122" t="s">
        <v>742</v>
      </c>
      <c r="G61" s="122" t="s">
        <v>771</v>
      </c>
      <c r="H61" s="122" t="s">
        <v>772</v>
      </c>
      <c r="I61" s="122" t="s">
        <v>733</v>
      </c>
      <c r="J61" s="122">
        <v>90</v>
      </c>
      <c r="K61" s="122">
        <v>0</v>
      </c>
      <c r="L61" s="122">
        <v>120</v>
      </c>
      <c r="M61" s="122">
        <v>0</v>
      </c>
      <c r="N61" s="122">
        <v>135</v>
      </c>
      <c r="O61" s="122">
        <v>180</v>
      </c>
      <c r="P61" s="122">
        <v>0</v>
      </c>
      <c r="Q61" s="123"/>
      <c r="R61" s="122">
        <v>1</v>
      </c>
      <c r="S61" s="122">
        <v>1</v>
      </c>
      <c r="T61" s="122">
        <v>1</v>
      </c>
      <c r="U61" s="123"/>
      <c r="V61" s="122">
        <v>8858890782405</v>
      </c>
    </row>
    <row r="62" ht="15.75" customHeight="1" spans="1:22" x14ac:dyDescent="0.25">
      <c r="A62" s="122" t="s">
        <v>893</v>
      </c>
      <c r="B62" s="123"/>
      <c r="C62" s="123"/>
      <c r="D62" s="122" t="s">
        <v>894</v>
      </c>
      <c r="E62" s="122" t="s">
        <v>895</v>
      </c>
      <c r="F62" s="122" t="s">
        <v>742</v>
      </c>
      <c r="G62" s="122" t="s">
        <v>771</v>
      </c>
      <c r="H62" s="122" t="s">
        <v>772</v>
      </c>
      <c r="I62" s="122" t="s">
        <v>733</v>
      </c>
      <c r="J62" s="122">
        <v>68</v>
      </c>
      <c r="K62" s="122">
        <v>0</v>
      </c>
      <c r="L62" s="122">
        <v>85</v>
      </c>
      <c r="M62" s="122">
        <v>90</v>
      </c>
      <c r="N62" s="122">
        <v>100</v>
      </c>
      <c r="O62" s="122">
        <v>140</v>
      </c>
      <c r="P62" s="122">
        <v>2</v>
      </c>
      <c r="Q62" s="123"/>
      <c r="R62" s="122">
        <v>1</v>
      </c>
      <c r="S62" s="122">
        <v>1</v>
      </c>
      <c r="T62" s="122">
        <v>1</v>
      </c>
      <c r="U62" s="123"/>
      <c r="V62" s="122">
        <v>8858890782412</v>
      </c>
    </row>
    <row r="63" ht="15.75" customHeight="1" spans="1:22" x14ac:dyDescent="0.25">
      <c r="A63" s="122" t="s">
        <v>896</v>
      </c>
      <c r="B63" s="123"/>
      <c r="C63" s="123"/>
      <c r="D63" s="122" t="s">
        <v>897</v>
      </c>
      <c r="E63" s="122" t="s">
        <v>898</v>
      </c>
      <c r="F63" s="122" t="s">
        <v>753</v>
      </c>
      <c r="G63" s="122" t="s">
        <v>771</v>
      </c>
      <c r="H63" s="122" t="s">
        <v>772</v>
      </c>
      <c r="I63" s="122" t="s">
        <v>733</v>
      </c>
      <c r="J63" s="122">
        <v>65</v>
      </c>
      <c r="K63" s="122">
        <v>0</v>
      </c>
      <c r="L63" s="122">
        <v>80</v>
      </c>
      <c r="M63" s="122">
        <v>0</v>
      </c>
      <c r="N63" s="122">
        <v>100</v>
      </c>
      <c r="O63" s="122">
        <v>130</v>
      </c>
      <c r="P63" s="122">
        <v>11</v>
      </c>
      <c r="Q63" s="123"/>
      <c r="R63" s="122">
        <v>1</v>
      </c>
      <c r="S63" s="122">
        <v>1</v>
      </c>
      <c r="T63" s="122">
        <v>1</v>
      </c>
      <c r="U63" s="123"/>
      <c r="V63" s="122">
        <v>8858890782245</v>
      </c>
    </row>
    <row r="64" ht="15.75" customHeight="1" spans="1:22" x14ac:dyDescent="0.25">
      <c r="A64" s="122" t="s">
        <v>49</v>
      </c>
      <c r="B64" s="123"/>
      <c r="C64" s="123"/>
      <c r="D64" s="122" t="s">
        <v>899</v>
      </c>
      <c r="E64" s="122" t="s">
        <v>900</v>
      </c>
      <c r="F64" s="122" t="s">
        <v>753</v>
      </c>
      <c r="G64" s="122" t="s">
        <v>771</v>
      </c>
      <c r="H64" s="122" t="s">
        <v>772</v>
      </c>
      <c r="I64" s="122" t="s">
        <v>733</v>
      </c>
      <c r="J64" s="122">
        <v>103.5</v>
      </c>
      <c r="K64" s="122">
        <v>0</v>
      </c>
      <c r="L64" s="122">
        <v>125</v>
      </c>
      <c r="M64" s="122">
        <v>0</v>
      </c>
      <c r="N64" s="122">
        <v>150</v>
      </c>
      <c r="O64" s="122">
        <v>190</v>
      </c>
      <c r="P64" s="122">
        <v>40</v>
      </c>
      <c r="Q64" s="123"/>
      <c r="R64" s="122">
        <v>1</v>
      </c>
      <c r="S64" s="122">
        <v>1</v>
      </c>
      <c r="T64" s="122">
        <v>1</v>
      </c>
      <c r="U64" s="123"/>
      <c r="V64" s="122">
        <v>885889078242910</v>
      </c>
    </row>
    <row r="65" ht="15.75" customHeight="1" spans="1:22" x14ac:dyDescent="0.25">
      <c r="A65" s="122" t="s">
        <v>50</v>
      </c>
      <c r="B65" s="123"/>
      <c r="C65" s="123"/>
      <c r="D65" s="122" t="s">
        <v>901</v>
      </c>
      <c r="E65" s="122" t="s">
        <v>902</v>
      </c>
      <c r="F65" s="122" t="s">
        <v>753</v>
      </c>
      <c r="G65" s="122" t="s">
        <v>771</v>
      </c>
      <c r="H65" s="122" t="s">
        <v>772</v>
      </c>
      <c r="I65" s="122" t="s">
        <v>733</v>
      </c>
      <c r="J65" s="122">
        <v>103.5</v>
      </c>
      <c r="K65" s="122">
        <v>0</v>
      </c>
      <c r="L65" s="122">
        <v>135</v>
      </c>
      <c r="M65" s="122">
        <v>130</v>
      </c>
      <c r="N65" s="122">
        <v>150</v>
      </c>
      <c r="O65" s="122">
        <v>190</v>
      </c>
      <c r="P65" s="122">
        <v>11</v>
      </c>
      <c r="Q65" s="123"/>
      <c r="R65" s="122">
        <v>1</v>
      </c>
      <c r="S65" s="122">
        <v>1</v>
      </c>
      <c r="T65" s="122">
        <v>1</v>
      </c>
      <c r="U65" s="123"/>
      <c r="V65" s="122">
        <v>8858890782436</v>
      </c>
    </row>
    <row r="66" ht="15.75" customHeight="1" spans="1:22" x14ac:dyDescent="0.25">
      <c r="A66" s="122" t="s">
        <v>384</v>
      </c>
      <c r="B66" s="123"/>
      <c r="C66" s="123"/>
      <c r="D66" s="122" t="s">
        <v>903</v>
      </c>
      <c r="E66" s="122" t="s">
        <v>904</v>
      </c>
      <c r="F66" s="122" t="s">
        <v>753</v>
      </c>
      <c r="G66" s="122" t="s">
        <v>771</v>
      </c>
      <c r="H66" s="122" t="s">
        <v>772</v>
      </c>
      <c r="I66" s="122" t="s">
        <v>733</v>
      </c>
      <c r="J66" s="122">
        <v>91</v>
      </c>
      <c r="K66" s="122">
        <v>0</v>
      </c>
      <c r="L66" s="122">
        <v>115</v>
      </c>
      <c r="M66" s="122">
        <v>0</v>
      </c>
      <c r="N66" s="122">
        <v>125</v>
      </c>
      <c r="O66" s="122">
        <v>165</v>
      </c>
      <c r="P66" s="122">
        <v>13</v>
      </c>
      <c r="Q66" s="123"/>
      <c r="R66" s="123"/>
      <c r="S66" s="122">
        <v>1</v>
      </c>
      <c r="T66" s="122">
        <v>1</v>
      </c>
      <c r="U66" s="123"/>
      <c r="V66" s="122">
        <v>8858890782221</v>
      </c>
    </row>
    <row r="67" ht="15.75" customHeight="1" spans="1:22" x14ac:dyDescent="0.25">
      <c r="A67" s="122" t="s">
        <v>905</v>
      </c>
      <c r="B67" s="123"/>
      <c r="C67" s="123"/>
      <c r="D67" s="122" t="s">
        <v>906</v>
      </c>
      <c r="E67" s="122" t="s">
        <v>907</v>
      </c>
      <c r="F67" s="122" t="s">
        <v>753</v>
      </c>
      <c r="G67" s="122" t="s">
        <v>771</v>
      </c>
      <c r="H67" s="122" t="s">
        <v>772</v>
      </c>
      <c r="I67" s="122" t="s">
        <v>733</v>
      </c>
      <c r="J67" s="122">
        <v>58.5</v>
      </c>
      <c r="K67" s="122">
        <v>0</v>
      </c>
      <c r="L67" s="122">
        <v>80</v>
      </c>
      <c r="M67" s="122">
        <v>0</v>
      </c>
      <c r="N67" s="122">
        <v>100</v>
      </c>
      <c r="O67" s="122">
        <v>130</v>
      </c>
      <c r="P67" s="122">
        <v>0</v>
      </c>
      <c r="Q67" s="123"/>
      <c r="R67" s="122">
        <v>1</v>
      </c>
      <c r="S67" s="122">
        <v>1</v>
      </c>
      <c r="T67" s="122">
        <v>1</v>
      </c>
      <c r="U67" s="123"/>
      <c r="V67" s="122">
        <v>8858890782238</v>
      </c>
    </row>
    <row r="68" ht="15.75" customHeight="1" spans="1:22" x14ac:dyDescent="0.25">
      <c r="A68" s="122" t="s">
        <v>908</v>
      </c>
      <c r="B68" s="122" t="s">
        <v>909</v>
      </c>
      <c r="C68" s="123"/>
      <c r="D68" s="122" t="s">
        <v>910</v>
      </c>
      <c r="E68" s="122" t="s">
        <v>911</v>
      </c>
      <c r="F68" s="122" t="s">
        <v>753</v>
      </c>
      <c r="G68" s="122" t="s">
        <v>771</v>
      </c>
      <c r="H68" s="122" t="s">
        <v>772</v>
      </c>
      <c r="I68" s="122" t="s">
        <v>733</v>
      </c>
      <c r="J68" s="122">
        <v>75</v>
      </c>
      <c r="K68" s="122">
        <v>0</v>
      </c>
      <c r="L68" s="122">
        <v>90</v>
      </c>
      <c r="M68" s="122">
        <v>0</v>
      </c>
      <c r="N68" s="122">
        <v>85</v>
      </c>
      <c r="O68" s="122">
        <v>143</v>
      </c>
      <c r="P68" s="122">
        <v>24</v>
      </c>
      <c r="Q68" s="123"/>
      <c r="R68" s="122">
        <v>1</v>
      </c>
      <c r="S68" s="122">
        <v>1</v>
      </c>
      <c r="T68" s="122">
        <v>1</v>
      </c>
      <c r="U68" s="123"/>
      <c r="V68" s="122">
        <v>885889079588701</v>
      </c>
    </row>
    <row r="69" ht="15.75" customHeight="1" spans="1:22" x14ac:dyDescent="0.25">
      <c r="A69" s="122" t="s">
        <v>908</v>
      </c>
      <c r="B69" s="122" t="s">
        <v>776</v>
      </c>
      <c r="C69" s="123"/>
      <c r="D69" s="122" t="s">
        <v>910</v>
      </c>
      <c r="E69" s="122" t="s">
        <v>911</v>
      </c>
      <c r="F69" s="122" t="s">
        <v>753</v>
      </c>
      <c r="G69" s="122" t="s">
        <v>771</v>
      </c>
      <c r="H69" s="122" t="s">
        <v>772</v>
      </c>
      <c r="I69" s="122" t="s">
        <v>733</v>
      </c>
      <c r="J69" s="122">
        <v>75</v>
      </c>
      <c r="K69" s="122">
        <v>0</v>
      </c>
      <c r="L69" s="122">
        <v>90</v>
      </c>
      <c r="M69" s="122">
        <v>0</v>
      </c>
      <c r="N69" s="122">
        <v>85</v>
      </c>
      <c r="O69" s="122">
        <v>143</v>
      </c>
      <c r="P69" s="122">
        <v>19</v>
      </c>
      <c r="Q69" s="123"/>
      <c r="R69" s="122">
        <v>1</v>
      </c>
      <c r="S69" s="122">
        <v>1</v>
      </c>
      <c r="T69" s="122">
        <v>1</v>
      </c>
      <c r="U69" s="123"/>
      <c r="V69" s="122">
        <v>885889079588702</v>
      </c>
    </row>
    <row r="70" ht="15.75" customHeight="1" spans="1:22" x14ac:dyDescent="0.25">
      <c r="A70" s="122" t="s">
        <v>912</v>
      </c>
      <c r="B70" s="122" t="s">
        <v>913</v>
      </c>
      <c r="C70" s="123"/>
      <c r="D70" s="122" t="s">
        <v>914</v>
      </c>
      <c r="E70" s="122" t="s">
        <v>915</v>
      </c>
      <c r="F70" s="122" t="s">
        <v>753</v>
      </c>
      <c r="G70" s="122" t="s">
        <v>771</v>
      </c>
      <c r="H70" s="122" t="s">
        <v>772</v>
      </c>
      <c r="I70" s="122" t="s">
        <v>733</v>
      </c>
      <c r="J70" s="122">
        <v>25</v>
      </c>
      <c r="K70" s="122">
        <v>0</v>
      </c>
      <c r="L70" s="122">
        <v>35</v>
      </c>
      <c r="M70" s="122">
        <v>45</v>
      </c>
      <c r="N70" s="122">
        <v>60</v>
      </c>
      <c r="O70" s="122">
        <v>90</v>
      </c>
      <c r="P70" s="122">
        <v>28</v>
      </c>
      <c r="Q70" s="123"/>
      <c r="R70" s="122">
        <v>1</v>
      </c>
      <c r="S70" s="123"/>
      <c r="T70" s="122">
        <v>1</v>
      </c>
      <c r="U70" s="123"/>
      <c r="V70" s="122">
        <v>8858890796846</v>
      </c>
    </row>
    <row r="71" ht="15.75" customHeight="1" spans="1:22" x14ac:dyDescent="0.25">
      <c r="A71" s="122" t="s">
        <v>912</v>
      </c>
      <c r="B71" s="122" t="s">
        <v>762</v>
      </c>
      <c r="C71" s="123"/>
      <c r="D71" s="122" t="s">
        <v>914</v>
      </c>
      <c r="E71" s="122" t="s">
        <v>915</v>
      </c>
      <c r="F71" s="122" t="s">
        <v>753</v>
      </c>
      <c r="G71" s="122" t="s">
        <v>771</v>
      </c>
      <c r="H71" s="122" t="s">
        <v>772</v>
      </c>
      <c r="I71" s="122" t="s">
        <v>733</v>
      </c>
      <c r="J71" s="122">
        <v>25</v>
      </c>
      <c r="K71" s="122">
        <v>0</v>
      </c>
      <c r="L71" s="122">
        <v>35</v>
      </c>
      <c r="M71" s="122">
        <v>45</v>
      </c>
      <c r="N71" s="122">
        <v>60</v>
      </c>
      <c r="O71" s="122">
        <v>90</v>
      </c>
      <c r="P71" s="122">
        <v>86</v>
      </c>
      <c r="Q71" s="123"/>
      <c r="R71" s="122">
        <v>1</v>
      </c>
      <c r="S71" s="123"/>
      <c r="T71" s="122">
        <v>1</v>
      </c>
      <c r="U71" s="123"/>
      <c r="V71" s="122">
        <v>8858890796853</v>
      </c>
    </row>
    <row r="72" ht="15.75" customHeight="1" spans="1:22" x14ac:dyDescent="0.25">
      <c r="A72" s="122" t="s">
        <v>916</v>
      </c>
      <c r="B72" s="122" t="s">
        <v>917</v>
      </c>
      <c r="C72" s="123"/>
      <c r="D72" s="122" t="s">
        <v>918</v>
      </c>
      <c r="E72" s="122" t="s">
        <v>919</v>
      </c>
      <c r="F72" s="122" t="s">
        <v>753</v>
      </c>
      <c r="G72" s="122" t="s">
        <v>771</v>
      </c>
      <c r="H72" s="122" t="s">
        <v>772</v>
      </c>
      <c r="I72" s="122" t="s">
        <v>733</v>
      </c>
      <c r="J72" s="122">
        <v>55</v>
      </c>
      <c r="K72" s="122">
        <v>0</v>
      </c>
      <c r="L72" s="122">
        <v>70</v>
      </c>
      <c r="M72" s="122">
        <v>85</v>
      </c>
      <c r="N72" s="122">
        <v>78</v>
      </c>
      <c r="O72" s="122">
        <v>120</v>
      </c>
      <c r="P72" s="122">
        <v>0</v>
      </c>
      <c r="Q72" s="123"/>
      <c r="R72" s="122">
        <v>1</v>
      </c>
      <c r="S72" s="122">
        <v>1</v>
      </c>
      <c r="T72" s="122">
        <v>1</v>
      </c>
      <c r="U72" s="123"/>
      <c r="V72" s="122">
        <v>885889079425508</v>
      </c>
    </row>
    <row r="73" ht="15.75" customHeight="1" spans="1:22" x14ac:dyDescent="0.25">
      <c r="A73" s="122" t="s">
        <v>916</v>
      </c>
      <c r="B73" s="122" t="s">
        <v>913</v>
      </c>
      <c r="C73" s="123"/>
      <c r="D73" s="122" t="s">
        <v>918</v>
      </c>
      <c r="E73" s="122" t="s">
        <v>919</v>
      </c>
      <c r="F73" s="122" t="s">
        <v>753</v>
      </c>
      <c r="G73" s="122" t="s">
        <v>771</v>
      </c>
      <c r="H73" s="122" t="s">
        <v>772</v>
      </c>
      <c r="I73" s="122" t="s">
        <v>733</v>
      </c>
      <c r="J73" s="122">
        <v>55</v>
      </c>
      <c r="K73" s="122">
        <v>0</v>
      </c>
      <c r="L73" s="122">
        <v>70</v>
      </c>
      <c r="M73" s="122">
        <v>85</v>
      </c>
      <c r="N73" s="122">
        <v>78</v>
      </c>
      <c r="O73" s="122">
        <v>120</v>
      </c>
      <c r="P73" s="122">
        <v>1</v>
      </c>
      <c r="Q73" s="123"/>
      <c r="R73" s="122">
        <v>1</v>
      </c>
      <c r="S73" s="122">
        <v>1</v>
      </c>
      <c r="T73" s="122">
        <v>1</v>
      </c>
      <c r="U73" s="123"/>
      <c r="V73" s="122">
        <v>885889079425506</v>
      </c>
    </row>
    <row r="74" ht="15.75" customHeight="1" spans="1:22" x14ac:dyDescent="0.25">
      <c r="A74" s="122" t="s">
        <v>916</v>
      </c>
      <c r="B74" s="122" t="s">
        <v>920</v>
      </c>
      <c r="C74" s="123"/>
      <c r="D74" s="122" t="s">
        <v>918</v>
      </c>
      <c r="E74" s="122" t="s">
        <v>919</v>
      </c>
      <c r="F74" s="122" t="s">
        <v>753</v>
      </c>
      <c r="G74" s="122" t="s">
        <v>771</v>
      </c>
      <c r="H74" s="122" t="s">
        <v>772</v>
      </c>
      <c r="I74" s="122" t="s">
        <v>733</v>
      </c>
      <c r="J74" s="122">
        <v>55</v>
      </c>
      <c r="K74" s="122">
        <v>0</v>
      </c>
      <c r="L74" s="122">
        <v>70</v>
      </c>
      <c r="M74" s="122">
        <v>85</v>
      </c>
      <c r="N74" s="122">
        <v>78</v>
      </c>
      <c r="O74" s="122">
        <v>120</v>
      </c>
      <c r="P74" s="122">
        <v>20</v>
      </c>
      <c r="Q74" s="123"/>
      <c r="R74" s="122">
        <v>1</v>
      </c>
      <c r="S74" s="122">
        <v>1</v>
      </c>
      <c r="T74" s="122">
        <v>1</v>
      </c>
      <c r="U74" s="123"/>
      <c r="V74" s="122">
        <v>885889079425502</v>
      </c>
    </row>
    <row r="75" ht="15.75" customHeight="1" spans="1:22" x14ac:dyDescent="0.25">
      <c r="A75" s="122" t="s">
        <v>916</v>
      </c>
      <c r="B75" s="122" t="s">
        <v>921</v>
      </c>
      <c r="C75" s="123"/>
      <c r="D75" s="122" t="s">
        <v>918</v>
      </c>
      <c r="E75" s="122" t="s">
        <v>919</v>
      </c>
      <c r="F75" s="122" t="s">
        <v>753</v>
      </c>
      <c r="G75" s="122" t="s">
        <v>771</v>
      </c>
      <c r="H75" s="122" t="s">
        <v>772</v>
      </c>
      <c r="I75" s="122" t="s">
        <v>733</v>
      </c>
      <c r="J75" s="122">
        <v>55</v>
      </c>
      <c r="K75" s="122">
        <v>0</v>
      </c>
      <c r="L75" s="122">
        <v>70</v>
      </c>
      <c r="M75" s="122">
        <v>85</v>
      </c>
      <c r="N75" s="122">
        <v>78</v>
      </c>
      <c r="O75" s="122">
        <v>120</v>
      </c>
      <c r="P75" s="122">
        <v>0</v>
      </c>
      <c r="Q75" s="123"/>
      <c r="R75" s="122">
        <v>1</v>
      </c>
      <c r="S75" s="122">
        <v>1</v>
      </c>
      <c r="T75" s="122">
        <v>1</v>
      </c>
      <c r="U75" s="123"/>
      <c r="V75" s="122">
        <v>8858890796785</v>
      </c>
    </row>
    <row r="76" ht="15.75" customHeight="1" spans="1:22" x14ac:dyDescent="0.25">
      <c r="A76" s="122" t="s">
        <v>916</v>
      </c>
      <c r="B76" s="122" t="s">
        <v>762</v>
      </c>
      <c r="C76" s="123"/>
      <c r="D76" s="122" t="s">
        <v>918</v>
      </c>
      <c r="E76" s="122" t="s">
        <v>919</v>
      </c>
      <c r="F76" s="122" t="s">
        <v>753</v>
      </c>
      <c r="G76" s="122" t="s">
        <v>771</v>
      </c>
      <c r="H76" s="122" t="s">
        <v>772</v>
      </c>
      <c r="I76" s="122" t="s">
        <v>733</v>
      </c>
      <c r="J76" s="122">
        <v>55</v>
      </c>
      <c r="K76" s="122">
        <v>0</v>
      </c>
      <c r="L76" s="122">
        <v>70</v>
      </c>
      <c r="M76" s="122">
        <v>85</v>
      </c>
      <c r="N76" s="122">
        <v>78</v>
      </c>
      <c r="O76" s="122">
        <v>120</v>
      </c>
      <c r="P76" s="122">
        <v>10</v>
      </c>
      <c r="Q76" s="123"/>
      <c r="R76" s="122">
        <v>1</v>
      </c>
      <c r="S76" s="122">
        <v>1</v>
      </c>
      <c r="T76" s="122">
        <v>1</v>
      </c>
      <c r="U76" s="123"/>
      <c r="V76" s="122">
        <v>885889079425503</v>
      </c>
    </row>
    <row r="77" ht="15.75" customHeight="1" spans="1:22" x14ac:dyDescent="0.25">
      <c r="A77" s="122" t="s">
        <v>916</v>
      </c>
      <c r="B77" s="122" t="s">
        <v>922</v>
      </c>
      <c r="C77" s="123"/>
      <c r="D77" s="122" t="s">
        <v>918</v>
      </c>
      <c r="E77" s="122" t="s">
        <v>919</v>
      </c>
      <c r="F77" s="122" t="s">
        <v>753</v>
      </c>
      <c r="G77" s="122" t="s">
        <v>771</v>
      </c>
      <c r="H77" s="122" t="s">
        <v>772</v>
      </c>
      <c r="I77" s="122" t="s">
        <v>733</v>
      </c>
      <c r="J77" s="122">
        <v>55</v>
      </c>
      <c r="K77" s="122">
        <v>0</v>
      </c>
      <c r="L77" s="122">
        <v>70</v>
      </c>
      <c r="M77" s="122">
        <v>85</v>
      </c>
      <c r="N77" s="122">
        <v>78</v>
      </c>
      <c r="O77" s="122">
        <v>120</v>
      </c>
      <c r="P77" s="122">
        <v>0</v>
      </c>
      <c r="Q77" s="123"/>
      <c r="R77" s="122">
        <v>1</v>
      </c>
      <c r="S77" s="122">
        <v>1</v>
      </c>
      <c r="T77" s="122">
        <v>1</v>
      </c>
      <c r="U77" s="123"/>
      <c r="V77" s="122">
        <v>88858890796808</v>
      </c>
    </row>
    <row r="78" ht="15.75" customHeight="1" spans="1:22" x14ac:dyDescent="0.25">
      <c r="A78" s="122" t="s">
        <v>387</v>
      </c>
      <c r="B78" s="123"/>
      <c r="C78" s="123"/>
      <c r="D78" s="122" t="s">
        <v>923</v>
      </c>
      <c r="E78" s="122" t="s">
        <v>924</v>
      </c>
      <c r="F78" s="122" t="s">
        <v>753</v>
      </c>
      <c r="G78" s="122" t="s">
        <v>771</v>
      </c>
      <c r="H78" s="122" t="s">
        <v>772</v>
      </c>
      <c r="I78" s="122" t="s">
        <v>733</v>
      </c>
      <c r="J78" s="122">
        <v>18</v>
      </c>
      <c r="K78" s="122">
        <v>0</v>
      </c>
      <c r="L78" s="122">
        <v>25</v>
      </c>
      <c r="M78" s="122">
        <v>0</v>
      </c>
      <c r="N78" s="122">
        <v>35</v>
      </c>
      <c r="O78" s="122">
        <v>75</v>
      </c>
      <c r="P78" s="122">
        <v>33</v>
      </c>
      <c r="Q78" s="123"/>
      <c r="R78" s="122">
        <v>1</v>
      </c>
      <c r="S78" s="122">
        <v>1</v>
      </c>
      <c r="T78" s="122">
        <v>1</v>
      </c>
      <c r="U78" s="123"/>
      <c r="V78" s="122">
        <v>8858890793777</v>
      </c>
    </row>
    <row r="79" ht="15.75" customHeight="1" spans="1:22" x14ac:dyDescent="0.25">
      <c r="A79" s="122" t="s">
        <v>388</v>
      </c>
      <c r="B79" s="123"/>
      <c r="C79" s="123"/>
      <c r="D79" s="122" t="s">
        <v>925</v>
      </c>
      <c r="E79" s="122" t="s">
        <v>926</v>
      </c>
      <c r="F79" s="122" t="s">
        <v>753</v>
      </c>
      <c r="G79" s="122" t="s">
        <v>771</v>
      </c>
      <c r="H79" s="122" t="s">
        <v>772</v>
      </c>
      <c r="I79" s="122" t="s">
        <v>733</v>
      </c>
      <c r="J79" s="122">
        <v>13</v>
      </c>
      <c r="K79" s="122">
        <v>0</v>
      </c>
      <c r="L79" s="122">
        <v>20</v>
      </c>
      <c r="M79" s="122">
        <v>25</v>
      </c>
      <c r="N79" s="122">
        <v>50</v>
      </c>
      <c r="O79" s="122">
        <v>65</v>
      </c>
      <c r="P79" s="122">
        <v>121</v>
      </c>
      <c r="Q79" s="123"/>
      <c r="R79" s="122">
        <v>1</v>
      </c>
      <c r="S79" s="122">
        <v>1</v>
      </c>
      <c r="T79" s="122">
        <v>1</v>
      </c>
      <c r="U79" s="123"/>
      <c r="V79" s="122">
        <v>8858890791094</v>
      </c>
    </row>
    <row r="80" ht="15.75" customHeight="1" spans="1:22" x14ac:dyDescent="0.25">
      <c r="A80" s="122" t="s">
        <v>927</v>
      </c>
      <c r="B80" s="123"/>
      <c r="C80" s="123"/>
      <c r="D80" s="122" t="s">
        <v>928</v>
      </c>
      <c r="E80" s="122" t="s">
        <v>929</v>
      </c>
      <c r="F80" s="122" t="s">
        <v>753</v>
      </c>
      <c r="G80" s="122" t="s">
        <v>754</v>
      </c>
      <c r="H80" s="122" t="s">
        <v>818</v>
      </c>
      <c r="I80" s="122" t="s">
        <v>733</v>
      </c>
      <c r="J80" s="122">
        <v>100</v>
      </c>
      <c r="K80" s="122">
        <v>0</v>
      </c>
      <c r="L80" s="122">
        <v>110</v>
      </c>
      <c r="M80" s="122">
        <v>120</v>
      </c>
      <c r="N80" s="122">
        <v>125</v>
      </c>
      <c r="O80" s="122">
        <v>175</v>
      </c>
      <c r="P80" s="122">
        <v>0</v>
      </c>
      <c r="Q80" s="123"/>
      <c r="R80" s="122">
        <v>1</v>
      </c>
      <c r="S80" s="122">
        <v>1</v>
      </c>
      <c r="T80" s="122">
        <v>1</v>
      </c>
      <c r="U80" s="123"/>
      <c r="V80" s="122">
        <v>8858890795870</v>
      </c>
    </row>
    <row r="81" ht="15.75" customHeight="1" spans="1:22" x14ac:dyDescent="0.25">
      <c r="A81" s="122" t="s">
        <v>342</v>
      </c>
      <c r="B81" s="123"/>
      <c r="C81" s="123"/>
      <c r="D81" s="122" t="s">
        <v>930</v>
      </c>
      <c r="E81" s="122" t="s">
        <v>931</v>
      </c>
      <c r="F81" s="122" t="s">
        <v>753</v>
      </c>
      <c r="G81" s="122" t="s">
        <v>759</v>
      </c>
      <c r="H81" s="122" t="s">
        <v>821</v>
      </c>
      <c r="I81" s="122" t="s">
        <v>733</v>
      </c>
      <c r="J81" s="122">
        <v>290</v>
      </c>
      <c r="K81" s="122">
        <v>399</v>
      </c>
      <c r="L81" s="122">
        <v>350</v>
      </c>
      <c r="M81" s="122">
        <v>320</v>
      </c>
      <c r="N81" s="122">
        <v>450</v>
      </c>
      <c r="O81" s="122">
        <v>590</v>
      </c>
      <c r="P81" s="122">
        <v>85</v>
      </c>
      <c r="Q81" s="123"/>
      <c r="R81" s="122">
        <v>1</v>
      </c>
      <c r="S81" s="122">
        <v>1</v>
      </c>
      <c r="T81" s="122">
        <v>1</v>
      </c>
      <c r="U81" s="123"/>
      <c r="V81" s="122">
        <v>8858890760267</v>
      </c>
    </row>
    <row r="82" ht="15.75" customHeight="1" spans="1:22" x14ac:dyDescent="0.25">
      <c r="A82" s="122" t="s">
        <v>343</v>
      </c>
      <c r="B82" s="123"/>
      <c r="C82" s="123"/>
      <c r="D82" s="122" t="s">
        <v>932</v>
      </c>
      <c r="E82" s="122" t="s">
        <v>933</v>
      </c>
      <c r="F82" s="122" t="s">
        <v>753</v>
      </c>
      <c r="G82" s="122" t="s">
        <v>759</v>
      </c>
      <c r="H82" s="122" t="s">
        <v>821</v>
      </c>
      <c r="I82" s="122" t="s">
        <v>733</v>
      </c>
      <c r="J82" s="122">
        <v>275</v>
      </c>
      <c r="K82" s="122">
        <v>399</v>
      </c>
      <c r="L82" s="122">
        <v>350</v>
      </c>
      <c r="M82" s="122">
        <v>350</v>
      </c>
      <c r="N82" s="122">
        <v>450</v>
      </c>
      <c r="O82" s="122">
        <v>590</v>
      </c>
      <c r="P82" s="122">
        <v>13</v>
      </c>
      <c r="Q82" s="123"/>
      <c r="R82" s="122">
        <v>1</v>
      </c>
      <c r="S82" s="122">
        <v>1</v>
      </c>
      <c r="T82" s="122">
        <v>1</v>
      </c>
      <c r="U82" s="123"/>
      <c r="V82" s="122">
        <v>8858890760250</v>
      </c>
    </row>
    <row r="83" ht="15.75" customHeight="1" spans="1:22" x14ac:dyDescent="0.25">
      <c r="A83" s="122" t="s">
        <v>934</v>
      </c>
      <c r="B83" s="123"/>
      <c r="C83" s="123"/>
      <c r="D83" s="122" t="s">
        <v>935</v>
      </c>
      <c r="E83" s="122" t="s">
        <v>936</v>
      </c>
      <c r="F83" s="122" t="s">
        <v>753</v>
      </c>
      <c r="G83" s="122" t="s">
        <v>759</v>
      </c>
      <c r="H83" s="122" t="s">
        <v>760</v>
      </c>
      <c r="I83" s="122" t="s">
        <v>733</v>
      </c>
      <c r="J83" s="122">
        <v>528</v>
      </c>
      <c r="K83" s="122">
        <v>0</v>
      </c>
      <c r="L83" s="122">
        <v>585</v>
      </c>
      <c r="M83" s="122">
        <v>0</v>
      </c>
      <c r="N83" s="122">
        <v>650</v>
      </c>
      <c r="O83" s="122">
        <v>810</v>
      </c>
      <c r="P83" s="122">
        <v>89</v>
      </c>
      <c r="Q83" s="123"/>
      <c r="R83" s="122">
        <v>1</v>
      </c>
      <c r="S83" s="122">
        <v>1</v>
      </c>
      <c r="T83" s="122">
        <v>1</v>
      </c>
      <c r="U83" s="123"/>
      <c r="V83" s="122">
        <v>8858890760984</v>
      </c>
    </row>
    <row r="84" ht="15.75" customHeight="1" spans="1:22" x14ac:dyDescent="0.25">
      <c r="A84" s="122" t="s">
        <v>341</v>
      </c>
      <c r="B84" s="123"/>
      <c r="C84" s="123"/>
      <c r="D84" s="122" t="s">
        <v>937</v>
      </c>
      <c r="E84" s="122" t="s">
        <v>938</v>
      </c>
      <c r="F84" s="122" t="s">
        <v>753</v>
      </c>
      <c r="G84" s="122" t="s">
        <v>759</v>
      </c>
      <c r="H84" s="122" t="s">
        <v>760</v>
      </c>
      <c r="I84" s="122" t="s">
        <v>733</v>
      </c>
      <c r="J84" s="122">
        <v>528</v>
      </c>
      <c r="K84" s="122">
        <v>0</v>
      </c>
      <c r="L84" s="122">
        <v>585</v>
      </c>
      <c r="M84" s="122">
        <v>800</v>
      </c>
      <c r="N84" s="122">
        <v>650</v>
      </c>
      <c r="O84" s="122">
        <v>810</v>
      </c>
      <c r="P84" s="122">
        <v>9</v>
      </c>
      <c r="Q84" s="123"/>
      <c r="R84" s="122">
        <v>1</v>
      </c>
      <c r="S84" s="122">
        <v>1</v>
      </c>
      <c r="T84" s="122">
        <v>1</v>
      </c>
      <c r="U84" s="123"/>
      <c r="V84" s="122">
        <v>8858890760991</v>
      </c>
    </row>
    <row r="85" ht="15.75" customHeight="1" spans="1:22" x14ac:dyDescent="0.25">
      <c r="A85" s="122" t="s">
        <v>939</v>
      </c>
      <c r="B85" s="123"/>
      <c r="C85" s="123"/>
      <c r="D85" s="122" t="s">
        <v>940</v>
      </c>
      <c r="E85" s="122" t="s">
        <v>941</v>
      </c>
      <c r="F85" s="122" t="s">
        <v>753</v>
      </c>
      <c r="G85" s="122" t="s">
        <v>759</v>
      </c>
      <c r="H85" s="122" t="s">
        <v>821</v>
      </c>
      <c r="I85" s="122" t="s">
        <v>733</v>
      </c>
      <c r="J85" s="122">
        <v>45</v>
      </c>
      <c r="K85" s="122">
        <v>0</v>
      </c>
      <c r="L85" s="122">
        <v>56</v>
      </c>
      <c r="M85" s="122">
        <v>0</v>
      </c>
      <c r="N85" s="122">
        <v>76</v>
      </c>
      <c r="O85" s="122">
        <v>100</v>
      </c>
      <c r="P85" s="122">
        <v>0</v>
      </c>
      <c r="Q85" s="123"/>
      <c r="R85" s="122">
        <v>1</v>
      </c>
      <c r="S85" s="123"/>
      <c r="T85" s="122">
        <v>1</v>
      </c>
      <c r="U85" s="123"/>
      <c r="V85" s="122">
        <v>8858890760069</v>
      </c>
    </row>
    <row r="86" ht="15.75" customHeight="1" spans="1:22" x14ac:dyDescent="0.25">
      <c r="A86" s="122" t="s">
        <v>942</v>
      </c>
      <c r="B86" s="123"/>
      <c r="C86" s="123"/>
      <c r="D86" s="122" t="s">
        <v>943</v>
      </c>
      <c r="E86" s="122" t="s">
        <v>944</v>
      </c>
      <c r="F86" s="122" t="s">
        <v>753</v>
      </c>
      <c r="G86" s="122" t="s">
        <v>759</v>
      </c>
      <c r="H86" s="122" t="s">
        <v>821</v>
      </c>
      <c r="I86" s="122" t="s">
        <v>733</v>
      </c>
      <c r="J86" s="122">
        <v>58</v>
      </c>
      <c r="K86" s="122">
        <v>0</v>
      </c>
      <c r="L86" s="122">
        <v>70</v>
      </c>
      <c r="M86" s="122">
        <v>0</v>
      </c>
      <c r="N86" s="122">
        <v>85</v>
      </c>
      <c r="O86" s="122">
        <v>110</v>
      </c>
      <c r="P86" s="122">
        <v>0</v>
      </c>
      <c r="Q86" s="123"/>
      <c r="R86" s="123"/>
      <c r="S86" s="122">
        <v>1</v>
      </c>
      <c r="T86" s="122">
        <v>1</v>
      </c>
      <c r="U86" s="123"/>
      <c r="V86" s="122">
        <v>8858890760687</v>
      </c>
    </row>
    <row r="87" ht="15.75" customHeight="1" spans="1:22" x14ac:dyDescent="0.25">
      <c r="A87" s="122" t="s">
        <v>945</v>
      </c>
      <c r="B87" s="123"/>
      <c r="C87" s="123"/>
      <c r="D87" s="122" t="s">
        <v>946</v>
      </c>
      <c r="E87" s="122" t="s">
        <v>947</v>
      </c>
      <c r="F87" s="122" t="s">
        <v>753</v>
      </c>
      <c r="G87" s="122" t="s">
        <v>759</v>
      </c>
      <c r="H87" s="122" t="s">
        <v>948</v>
      </c>
      <c r="I87" s="122" t="s">
        <v>733</v>
      </c>
      <c r="J87" s="122">
        <v>241.95</v>
      </c>
      <c r="K87" s="122">
        <v>0</v>
      </c>
      <c r="L87" s="122">
        <v>280</v>
      </c>
      <c r="M87" s="122">
        <v>0</v>
      </c>
      <c r="N87" s="122">
        <v>300</v>
      </c>
      <c r="O87" s="122">
        <v>390</v>
      </c>
      <c r="P87" s="122">
        <v>0</v>
      </c>
      <c r="Q87" s="123"/>
      <c r="R87" s="122">
        <v>1</v>
      </c>
      <c r="S87" s="122">
        <v>1</v>
      </c>
      <c r="T87" s="122">
        <v>1</v>
      </c>
      <c r="U87" s="123"/>
      <c r="V87" s="122">
        <v>8858890793586</v>
      </c>
    </row>
    <row r="88" ht="15.75" customHeight="1" spans="1:22" x14ac:dyDescent="0.25">
      <c r="A88" s="122" t="s">
        <v>949</v>
      </c>
      <c r="B88" s="123"/>
      <c r="C88" s="123"/>
      <c r="D88" s="122" t="s">
        <v>950</v>
      </c>
      <c r="E88" s="122" t="s">
        <v>951</v>
      </c>
      <c r="F88" s="122" t="s">
        <v>753</v>
      </c>
      <c r="G88" s="122" t="s">
        <v>759</v>
      </c>
      <c r="H88" s="122" t="s">
        <v>948</v>
      </c>
      <c r="I88" s="122" t="s">
        <v>733</v>
      </c>
      <c r="J88" s="122">
        <v>195.48</v>
      </c>
      <c r="K88" s="122">
        <v>0</v>
      </c>
      <c r="L88" s="122">
        <v>230</v>
      </c>
      <c r="M88" s="122">
        <v>0</v>
      </c>
      <c r="N88" s="122">
        <v>255</v>
      </c>
      <c r="O88" s="122">
        <v>330</v>
      </c>
      <c r="P88" s="122">
        <v>0</v>
      </c>
      <c r="Q88" s="123"/>
      <c r="R88" s="123"/>
      <c r="S88" s="122">
        <v>1</v>
      </c>
      <c r="T88" s="122">
        <v>1</v>
      </c>
      <c r="U88" s="123"/>
      <c r="V88" s="122">
        <v>8858890793593</v>
      </c>
    </row>
    <row r="89" ht="15.75" customHeight="1" spans="1:22" x14ac:dyDescent="0.25">
      <c r="A89" s="122" t="s">
        <v>952</v>
      </c>
      <c r="B89" s="123"/>
      <c r="C89" s="123"/>
      <c r="D89" s="122" t="s">
        <v>953</v>
      </c>
      <c r="E89" s="122" t="s">
        <v>954</v>
      </c>
      <c r="F89" s="122" t="s">
        <v>753</v>
      </c>
      <c r="G89" s="122" t="s">
        <v>759</v>
      </c>
      <c r="H89" s="122" t="s">
        <v>948</v>
      </c>
      <c r="I89" s="122" t="s">
        <v>733</v>
      </c>
      <c r="J89" s="122">
        <v>198</v>
      </c>
      <c r="K89" s="122">
        <v>0</v>
      </c>
      <c r="L89" s="122">
        <v>230</v>
      </c>
      <c r="M89" s="122">
        <v>0</v>
      </c>
      <c r="N89" s="122">
        <v>255</v>
      </c>
      <c r="O89" s="122">
        <v>330</v>
      </c>
      <c r="P89" s="122">
        <v>0</v>
      </c>
      <c r="Q89" s="123"/>
      <c r="R89" s="123"/>
      <c r="S89" s="122">
        <v>1</v>
      </c>
      <c r="T89" s="122">
        <v>1</v>
      </c>
      <c r="U89" s="123"/>
      <c r="V89" s="122">
        <v>8858890793609</v>
      </c>
    </row>
    <row r="90" ht="15.75" customHeight="1" spans="1:22" x14ac:dyDescent="0.25">
      <c r="A90" s="122" t="s">
        <v>955</v>
      </c>
      <c r="B90" s="123"/>
      <c r="C90" s="123"/>
      <c r="D90" s="122" t="s">
        <v>956</v>
      </c>
      <c r="E90" s="122" t="s">
        <v>957</v>
      </c>
      <c r="F90" s="122" t="s">
        <v>753</v>
      </c>
      <c r="G90" s="122" t="s">
        <v>759</v>
      </c>
      <c r="H90" s="122" t="s">
        <v>948</v>
      </c>
      <c r="I90" s="122" t="s">
        <v>733</v>
      </c>
      <c r="J90" s="122">
        <v>178</v>
      </c>
      <c r="K90" s="122">
        <v>0</v>
      </c>
      <c r="L90" s="122">
        <v>210</v>
      </c>
      <c r="M90" s="122">
        <v>0</v>
      </c>
      <c r="N90" s="122">
        <v>255</v>
      </c>
      <c r="O90" s="122">
        <v>320</v>
      </c>
      <c r="P90" s="122">
        <v>0</v>
      </c>
      <c r="Q90" s="123"/>
      <c r="R90" s="122">
        <v>1</v>
      </c>
      <c r="S90" s="122">
        <v>1</v>
      </c>
      <c r="T90" s="122">
        <v>1</v>
      </c>
      <c r="U90" s="123"/>
      <c r="V90" s="122">
        <v>8858890794026</v>
      </c>
    </row>
    <row r="91" ht="15.75" customHeight="1" spans="1:22" x14ac:dyDescent="0.25">
      <c r="A91" s="122" t="s">
        <v>958</v>
      </c>
      <c r="B91" s="123"/>
      <c r="C91" s="123"/>
      <c r="D91" s="122" t="s">
        <v>959</v>
      </c>
      <c r="E91" s="122" t="s">
        <v>960</v>
      </c>
      <c r="F91" s="122" t="s">
        <v>753</v>
      </c>
      <c r="G91" s="122" t="s">
        <v>759</v>
      </c>
      <c r="H91" s="122" t="s">
        <v>948</v>
      </c>
      <c r="I91" s="122" t="s">
        <v>733</v>
      </c>
      <c r="J91" s="122">
        <v>308</v>
      </c>
      <c r="K91" s="122">
        <v>0</v>
      </c>
      <c r="L91" s="122">
        <v>350</v>
      </c>
      <c r="M91" s="122">
        <v>350</v>
      </c>
      <c r="N91" s="122">
        <v>350</v>
      </c>
      <c r="O91" s="122">
        <v>480</v>
      </c>
      <c r="P91" s="122">
        <v>22</v>
      </c>
      <c r="Q91" s="123"/>
      <c r="R91" s="123"/>
      <c r="S91" s="122">
        <v>1</v>
      </c>
      <c r="T91" s="122">
        <v>1</v>
      </c>
      <c r="U91" s="123"/>
      <c r="V91" s="122">
        <v>8858890793760</v>
      </c>
    </row>
    <row r="92" ht="15.75" customHeight="1" spans="1:22" x14ac:dyDescent="0.25">
      <c r="A92" s="122" t="s">
        <v>961</v>
      </c>
      <c r="B92" s="123"/>
      <c r="C92" s="123"/>
      <c r="D92" s="122" t="s">
        <v>962</v>
      </c>
      <c r="E92" s="122" t="s">
        <v>963</v>
      </c>
      <c r="F92" s="122" t="s">
        <v>753</v>
      </c>
      <c r="G92" s="122" t="s">
        <v>759</v>
      </c>
      <c r="H92" s="122" t="s">
        <v>948</v>
      </c>
      <c r="I92" s="122" t="s">
        <v>733</v>
      </c>
      <c r="J92" s="122">
        <v>316.8</v>
      </c>
      <c r="K92" s="122">
        <v>0</v>
      </c>
      <c r="L92" s="122">
        <v>350</v>
      </c>
      <c r="M92" s="122">
        <v>350</v>
      </c>
      <c r="N92" s="122">
        <v>370</v>
      </c>
      <c r="O92" s="122">
        <v>470</v>
      </c>
      <c r="P92" s="122">
        <v>9</v>
      </c>
      <c r="Q92" s="123"/>
      <c r="R92" s="123"/>
      <c r="S92" s="122">
        <v>1</v>
      </c>
      <c r="T92" s="122">
        <v>1</v>
      </c>
      <c r="U92" s="123"/>
      <c r="V92" s="122">
        <v>8858890794545</v>
      </c>
    </row>
    <row r="93" ht="15.75" customHeight="1" spans="1:22" x14ac:dyDescent="0.25">
      <c r="A93" s="122" t="s">
        <v>964</v>
      </c>
      <c r="B93" s="123"/>
      <c r="C93" s="123"/>
      <c r="D93" s="122" t="s">
        <v>965</v>
      </c>
      <c r="E93" s="122" t="s">
        <v>966</v>
      </c>
      <c r="F93" s="122" t="s">
        <v>753</v>
      </c>
      <c r="G93" s="122" t="s">
        <v>759</v>
      </c>
      <c r="H93" s="122" t="s">
        <v>948</v>
      </c>
      <c r="I93" s="122" t="s">
        <v>733</v>
      </c>
      <c r="J93" s="122">
        <v>250.12</v>
      </c>
      <c r="K93" s="122">
        <v>0</v>
      </c>
      <c r="L93" s="122">
        <v>320</v>
      </c>
      <c r="M93" s="122">
        <v>0</v>
      </c>
      <c r="N93" s="122">
        <v>360</v>
      </c>
      <c r="O93" s="122">
        <v>465</v>
      </c>
      <c r="P93" s="122">
        <v>0</v>
      </c>
      <c r="Q93" s="123"/>
      <c r="R93" s="123"/>
      <c r="S93" s="122">
        <v>1</v>
      </c>
      <c r="T93" s="122">
        <v>1</v>
      </c>
      <c r="U93" s="123"/>
      <c r="V93" s="122">
        <v>8858890794538</v>
      </c>
    </row>
    <row r="94" ht="15.75" customHeight="1" spans="1:22" x14ac:dyDescent="0.25">
      <c r="A94" s="122" t="s">
        <v>967</v>
      </c>
      <c r="B94" s="122" t="s">
        <v>750</v>
      </c>
      <c r="C94" s="123"/>
      <c r="D94" s="122" t="s">
        <v>968</v>
      </c>
      <c r="E94" s="122" t="s">
        <v>969</v>
      </c>
      <c r="F94" s="122" t="s">
        <v>753</v>
      </c>
      <c r="G94" s="122" t="s">
        <v>745</v>
      </c>
      <c r="H94" s="122" t="s">
        <v>970</v>
      </c>
      <c r="I94" s="122" t="s">
        <v>733</v>
      </c>
      <c r="J94" s="122">
        <v>414.96</v>
      </c>
      <c r="K94" s="122">
        <v>0</v>
      </c>
      <c r="L94" s="122">
        <v>540</v>
      </c>
      <c r="M94" s="122">
        <v>0</v>
      </c>
      <c r="N94" s="122">
        <v>499</v>
      </c>
      <c r="O94" s="122">
        <v>780</v>
      </c>
      <c r="P94" s="122">
        <v>10</v>
      </c>
      <c r="Q94" s="123"/>
      <c r="R94" s="122">
        <v>1</v>
      </c>
      <c r="S94" s="122">
        <v>1</v>
      </c>
      <c r="T94" s="122">
        <v>1</v>
      </c>
      <c r="U94" s="123"/>
      <c r="V94" s="122">
        <v>8858890720124</v>
      </c>
    </row>
    <row r="95" ht="15.75" customHeight="1" spans="1:22" x14ac:dyDescent="0.25">
      <c r="A95" s="122" t="s">
        <v>967</v>
      </c>
      <c r="B95" s="122" t="s">
        <v>917</v>
      </c>
      <c r="C95" s="123"/>
      <c r="D95" s="122" t="s">
        <v>968</v>
      </c>
      <c r="E95" s="122" t="s">
        <v>969</v>
      </c>
      <c r="F95" s="122" t="s">
        <v>753</v>
      </c>
      <c r="G95" s="122" t="s">
        <v>745</v>
      </c>
      <c r="H95" s="122" t="s">
        <v>970</v>
      </c>
      <c r="I95" s="122" t="s">
        <v>733</v>
      </c>
      <c r="J95" s="122">
        <v>414.96</v>
      </c>
      <c r="K95" s="122">
        <v>0</v>
      </c>
      <c r="L95" s="122">
        <v>540</v>
      </c>
      <c r="M95" s="122">
        <v>0</v>
      </c>
      <c r="N95" s="122">
        <v>499</v>
      </c>
      <c r="O95" s="122">
        <v>780</v>
      </c>
      <c r="P95" s="122">
        <v>2</v>
      </c>
      <c r="Q95" s="123"/>
      <c r="R95" s="122">
        <v>1</v>
      </c>
      <c r="S95" s="122">
        <v>1</v>
      </c>
      <c r="T95" s="122">
        <v>1</v>
      </c>
      <c r="U95" s="123"/>
      <c r="V95" s="122">
        <v>8858890723057</v>
      </c>
    </row>
    <row r="96" ht="15.75" customHeight="1" spans="1:22" x14ac:dyDescent="0.25">
      <c r="A96" s="122" t="s">
        <v>967</v>
      </c>
      <c r="B96" s="122" t="s">
        <v>971</v>
      </c>
      <c r="C96" s="123"/>
      <c r="D96" s="122" t="s">
        <v>968</v>
      </c>
      <c r="E96" s="122" t="s">
        <v>969</v>
      </c>
      <c r="F96" s="122" t="s">
        <v>753</v>
      </c>
      <c r="G96" s="122" t="s">
        <v>745</v>
      </c>
      <c r="H96" s="122" t="s">
        <v>970</v>
      </c>
      <c r="I96" s="122" t="s">
        <v>733</v>
      </c>
      <c r="J96" s="122">
        <v>414.96</v>
      </c>
      <c r="K96" s="122">
        <v>0</v>
      </c>
      <c r="L96" s="122">
        <v>540</v>
      </c>
      <c r="M96" s="122">
        <v>0</v>
      </c>
      <c r="N96" s="122">
        <v>499</v>
      </c>
      <c r="O96" s="122">
        <v>780</v>
      </c>
      <c r="P96" s="122">
        <v>3</v>
      </c>
      <c r="Q96" s="123"/>
      <c r="R96" s="122">
        <v>1</v>
      </c>
      <c r="S96" s="122">
        <v>1</v>
      </c>
      <c r="T96" s="122">
        <v>1</v>
      </c>
      <c r="U96" s="123"/>
      <c r="V96" s="122">
        <v>8858890723064</v>
      </c>
    </row>
    <row r="97" ht="15.75" customHeight="1" spans="1:22" x14ac:dyDescent="0.25">
      <c r="A97" s="122" t="s">
        <v>972</v>
      </c>
      <c r="B97" s="123"/>
      <c r="C97" s="123"/>
      <c r="D97" s="122" t="s">
        <v>973</v>
      </c>
      <c r="E97" s="122" t="s">
        <v>974</v>
      </c>
      <c r="F97" s="122" t="s">
        <v>753</v>
      </c>
      <c r="G97" s="122" t="s">
        <v>771</v>
      </c>
      <c r="H97" s="122" t="s">
        <v>975</v>
      </c>
      <c r="I97" s="122" t="s">
        <v>733</v>
      </c>
      <c r="J97" s="122">
        <v>27</v>
      </c>
      <c r="K97" s="122">
        <v>0</v>
      </c>
      <c r="L97" s="122">
        <v>45</v>
      </c>
      <c r="M97" s="122">
        <v>0</v>
      </c>
      <c r="N97" s="122">
        <v>100</v>
      </c>
      <c r="O97" s="122">
        <v>130</v>
      </c>
      <c r="P97" s="122">
        <v>24</v>
      </c>
      <c r="Q97" s="123"/>
      <c r="R97" s="122">
        <v>1</v>
      </c>
      <c r="S97" s="122">
        <v>1</v>
      </c>
      <c r="T97" s="122">
        <v>1</v>
      </c>
      <c r="U97" s="123"/>
      <c r="V97" s="123"/>
    </row>
    <row r="98" ht="15.75" customHeight="1" spans="1:22" x14ac:dyDescent="0.25">
      <c r="A98" s="122" t="s">
        <v>573</v>
      </c>
      <c r="B98" s="123"/>
      <c r="C98" s="123"/>
      <c r="D98" s="122" t="s">
        <v>976</v>
      </c>
      <c r="E98" s="122" t="s">
        <v>977</v>
      </c>
      <c r="F98" s="122" t="s">
        <v>753</v>
      </c>
      <c r="G98" s="122" t="s">
        <v>771</v>
      </c>
      <c r="H98" s="122" t="s">
        <v>978</v>
      </c>
      <c r="I98" s="122" t="s">
        <v>733</v>
      </c>
      <c r="J98" s="122">
        <v>11</v>
      </c>
      <c r="K98" s="122">
        <v>0</v>
      </c>
      <c r="L98" s="122">
        <v>20</v>
      </c>
      <c r="M98" s="122">
        <v>0</v>
      </c>
      <c r="N98" s="122">
        <v>35</v>
      </c>
      <c r="O98" s="122">
        <v>65</v>
      </c>
      <c r="P98" s="122">
        <v>25</v>
      </c>
      <c r="Q98" s="123"/>
      <c r="R98" s="122">
        <v>1</v>
      </c>
      <c r="S98" s="122">
        <v>1</v>
      </c>
      <c r="T98" s="122">
        <v>1</v>
      </c>
      <c r="U98" s="123"/>
      <c r="V98" s="122">
        <v>8858890781361</v>
      </c>
    </row>
    <row r="99" ht="15.75" customHeight="1" spans="1:22" x14ac:dyDescent="0.25">
      <c r="A99" s="122" t="s">
        <v>574</v>
      </c>
      <c r="B99" s="123"/>
      <c r="C99" s="123"/>
      <c r="D99" s="122" t="s">
        <v>979</v>
      </c>
      <c r="E99" s="122" t="s">
        <v>980</v>
      </c>
      <c r="F99" s="122" t="s">
        <v>753</v>
      </c>
      <c r="G99" s="122" t="s">
        <v>771</v>
      </c>
      <c r="H99" s="122" t="s">
        <v>978</v>
      </c>
      <c r="I99" s="122" t="s">
        <v>733</v>
      </c>
      <c r="J99" s="122">
        <v>18.34</v>
      </c>
      <c r="K99" s="122">
        <v>0</v>
      </c>
      <c r="L99" s="122">
        <v>30</v>
      </c>
      <c r="M99" s="122">
        <v>35</v>
      </c>
      <c r="N99" s="122">
        <v>50</v>
      </c>
      <c r="O99" s="122">
        <v>75</v>
      </c>
      <c r="P99" s="122">
        <v>441</v>
      </c>
      <c r="Q99" s="123"/>
      <c r="R99" s="122">
        <v>1</v>
      </c>
      <c r="S99" s="122">
        <v>1</v>
      </c>
      <c r="T99" s="122">
        <v>1</v>
      </c>
      <c r="U99" s="123"/>
      <c r="V99" s="122">
        <v>8858890782214</v>
      </c>
    </row>
    <row r="100" ht="15.75" customHeight="1" spans="1:22" x14ac:dyDescent="0.25">
      <c r="A100" s="122" t="s">
        <v>981</v>
      </c>
      <c r="B100" s="123"/>
      <c r="C100" s="123"/>
      <c r="D100" s="122" t="s">
        <v>982</v>
      </c>
      <c r="E100" s="122" t="s">
        <v>983</v>
      </c>
      <c r="F100" s="122" t="s">
        <v>753</v>
      </c>
      <c r="G100" s="122" t="s">
        <v>771</v>
      </c>
      <c r="H100" s="122" t="s">
        <v>978</v>
      </c>
      <c r="I100" s="122" t="s">
        <v>733</v>
      </c>
      <c r="J100" s="122">
        <v>24</v>
      </c>
      <c r="K100" s="122">
        <v>0</v>
      </c>
      <c r="L100" s="122">
        <v>30</v>
      </c>
      <c r="M100" s="122">
        <v>0</v>
      </c>
      <c r="N100" s="122">
        <v>50</v>
      </c>
      <c r="O100" s="122">
        <v>75</v>
      </c>
      <c r="P100" s="122">
        <v>14</v>
      </c>
      <c r="Q100" s="123"/>
      <c r="R100" s="123"/>
      <c r="S100" s="122">
        <v>1</v>
      </c>
      <c r="T100" s="122">
        <v>1</v>
      </c>
      <c r="U100" s="123"/>
      <c r="V100" s="122">
        <v>8858890720414</v>
      </c>
    </row>
    <row r="101" ht="15.75" customHeight="1" spans="1:22" x14ac:dyDescent="0.25">
      <c r="A101" s="122" t="s">
        <v>984</v>
      </c>
      <c r="B101" s="123"/>
      <c r="C101" s="123"/>
      <c r="D101" s="122" t="s">
        <v>985</v>
      </c>
      <c r="E101" s="122" t="s">
        <v>986</v>
      </c>
      <c r="F101" s="122" t="s">
        <v>753</v>
      </c>
      <c r="G101" s="122" t="s">
        <v>771</v>
      </c>
      <c r="H101" s="122" t="s">
        <v>978</v>
      </c>
      <c r="I101" s="122" t="s">
        <v>733</v>
      </c>
      <c r="J101" s="122">
        <v>22.92</v>
      </c>
      <c r="K101" s="122">
        <v>0</v>
      </c>
      <c r="L101" s="122">
        <v>35</v>
      </c>
      <c r="M101" s="122">
        <v>45</v>
      </c>
      <c r="N101" s="122">
        <v>50</v>
      </c>
      <c r="O101" s="122">
        <v>80</v>
      </c>
      <c r="P101" s="122">
        <v>118</v>
      </c>
      <c r="Q101" s="123"/>
      <c r="R101" s="122">
        <v>1</v>
      </c>
      <c r="S101" s="122">
        <v>1</v>
      </c>
      <c r="T101" s="122">
        <v>1</v>
      </c>
      <c r="U101" s="123"/>
      <c r="V101" s="122">
        <v>8858890780692</v>
      </c>
    </row>
    <row r="102" ht="15.75" customHeight="1" spans="1:22" x14ac:dyDescent="0.25">
      <c r="A102" s="122" t="s">
        <v>414</v>
      </c>
      <c r="B102" s="123"/>
      <c r="C102" s="123"/>
      <c r="D102" s="122" t="s">
        <v>987</v>
      </c>
      <c r="E102" s="122" t="s">
        <v>988</v>
      </c>
      <c r="F102" s="122" t="s">
        <v>753</v>
      </c>
      <c r="G102" s="122" t="s">
        <v>754</v>
      </c>
      <c r="H102" s="122" t="s">
        <v>755</v>
      </c>
      <c r="I102" s="122" t="s">
        <v>733</v>
      </c>
      <c r="J102" s="122">
        <v>200</v>
      </c>
      <c r="K102" s="122">
        <v>0</v>
      </c>
      <c r="L102" s="122">
        <v>270</v>
      </c>
      <c r="M102" s="122">
        <v>290</v>
      </c>
      <c r="N102" s="122">
        <v>350</v>
      </c>
      <c r="O102" s="122">
        <v>599</v>
      </c>
      <c r="P102" s="122">
        <v>99</v>
      </c>
      <c r="Q102" s="123"/>
      <c r="R102" s="122">
        <v>1</v>
      </c>
      <c r="S102" s="122">
        <v>1</v>
      </c>
      <c r="T102" s="122">
        <v>1</v>
      </c>
      <c r="U102" s="123"/>
      <c r="V102" s="122">
        <v>8858890793883</v>
      </c>
    </row>
    <row r="103" ht="15.75" customHeight="1" spans="1:22" x14ac:dyDescent="0.25">
      <c r="A103" s="122" t="s">
        <v>989</v>
      </c>
      <c r="B103" s="123"/>
      <c r="C103" s="123"/>
      <c r="D103" s="122" t="s">
        <v>990</v>
      </c>
      <c r="E103" s="122" t="s">
        <v>991</v>
      </c>
      <c r="F103" s="122" t="s">
        <v>753</v>
      </c>
      <c r="G103" s="122" t="s">
        <v>771</v>
      </c>
      <c r="H103" s="122" t="s">
        <v>978</v>
      </c>
      <c r="I103" s="122" t="s">
        <v>733</v>
      </c>
      <c r="J103" s="122">
        <v>26</v>
      </c>
      <c r="K103" s="122">
        <v>0</v>
      </c>
      <c r="L103" s="122">
        <v>35</v>
      </c>
      <c r="M103" s="122">
        <v>0</v>
      </c>
      <c r="N103" s="122">
        <v>50</v>
      </c>
      <c r="O103" s="122">
        <v>75</v>
      </c>
      <c r="P103" s="122">
        <v>0</v>
      </c>
      <c r="Q103" s="123"/>
      <c r="R103" s="123"/>
      <c r="S103" s="122">
        <v>1</v>
      </c>
      <c r="T103" s="122">
        <v>1</v>
      </c>
      <c r="U103" s="123"/>
      <c r="V103" s="122">
        <v>8858890780678</v>
      </c>
    </row>
    <row r="104" ht="15.75" customHeight="1" spans="1:22" x14ac:dyDescent="0.25">
      <c r="A104" s="122" t="s">
        <v>992</v>
      </c>
      <c r="B104" s="123"/>
      <c r="C104" s="123"/>
      <c r="D104" s="122" t="s">
        <v>993</v>
      </c>
      <c r="E104" s="122" t="s">
        <v>994</v>
      </c>
      <c r="F104" s="122" t="s">
        <v>753</v>
      </c>
      <c r="G104" s="122" t="s">
        <v>771</v>
      </c>
      <c r="H104" s="122" t="s">
        <v>978</v>
      </c>
      <c r="I104" s="122" t="s">
        <v>733</v>
      </c>
      <c r="J104" s="122">
        <v>25</v>
      </c>
      <c r="K104" s="122">
        <v>0</v>
      </c>
      <c r="L104" s="122">
        <v>35</v>
      </c>
      <c r="M104" s="122">
        <v>45</v>
      </c>
      <c r="N104" s="122">
        <v>50</v>
      </c>
      <c r="O104" s="122">
        <v>75</v>
      </c>
      <c r="P104" s="122">
        <v>3</v>
      </c>
      <c r="Q104" s="123"/>
      <c r="R104" s="123"/>
      <c r="S104" s="122">
        <v>1</v>
      </c>
      <c r="T104" s="122">
        <v>1</v>
      </c>
      <c r="U104" s="123"/>
      <c r="V104" s="122">
        <v>8858890780708</v>
      </c>
    </row>
    <row r="105" ht="15.75" customHeight="1" spans="1:22" x14ac:dyDescent="0.25">
      <c r="A105" s="122" t="s">
        <v>995</v>
      </c>
      <c r="B105" s="123"/>
      <c r="C105" s="123"/>
      <c r="D105" s="122" t="s">
        <v>996</v>
      </c>
      <c r="E105" s="122" t="s">
        <v>997</v>
      </c>
      <c r="F105" s="122" t="s">
        <v>753</v>
      </c>
      <c r="G105" s="122" t="s">
        <v>771</v>
      </c>
      <c r="H105" s="122" t="s">
        <v>978</v>
      </c>
      <c r="I105" s="122" t="s">
        <v>733</v>
      </c>
      <c r="J105" s="122">
        <v>25</v>
      </c>
      <c r="K105" s="122">
        <v>0</v>
      </c>
      <c r="L105" s="122">
        <v>35</v>
      </c>
      <c r="M105" s="122">
        <v>0</v>
      </c>
      <c r="N105" s="122">
        <v>50</v>
      </c>
      <c r="O105" s="122">
        <v>75</v>
      </c>
      <c r="P105" s="122">
        <v>8</v>
      </c>
      <c r="Q105" s="123"/>
      <c r="R105" s="123"/>
      <c r="S105" s="122">
        <v>1</v>
      </c>
      <c r="T105" s="122">
        <v>1</v>
      </c>
      <c r="U105" s="123"/>
      <c r="V105" s="122">
        <v>8858890780722</v>
      </c>
    </row>
    <row r="106" ht="15.75" customHeight="1" spans="1:22" x14ac:dyDescent="0.25">
      <c r="A106" s="122" t="s">
        <v>522</v>
      </c>
      <c r="B106" s="123"/>
      <c r="C106" s="123"/>
      <c r="D106" s="122" t="s">
        <v>998</v>
      </c>
      <c r="E106" s="122" t="s">
        <v>999</v>
      </c>
      <c r="F106" s="122" t="s">
        <v>753</v>
      </c>
      <c r="G106" s="122" t="s">
        <v>771</v>
      </c>
      <c r="H106" s="122" t="s">
        <v>1000</v>
      </c>
      <c r="I106" s="122" t="s">
        <v>733</v>
      </c>
      <c r="J106" s="122">
        <v>45</v>
      </c>
      <c r="K106" s="122">
        <v>0</v>
      </c>
      <c r="L106" s="122">
        <v>45</v>
      </c>
      <c r="M106" s="122">
        <v>0</v>
      </c>
      <c r="N106" s="122">
        <v>85</v>
      </c>
      <c r="O106" s="122">
        <v>100</v>
      </c>
      <c r="P106" s="122">
        <v>2</v>
      </c>
      <c r="Q106" s="123"/>
      <c r="R106" s="122">
        <v>1</v>
      </c>
      <c r="S106" s="122">
        <v>1</v>
      </c>
      <c r="T106" s="122">
        <v>1</v>
      </c>
      <c r="U106" s="123"/>
      <c r="V106" s="122">
        <v>8858890782078</v>
      </c>
    </row>
    <row r="107" ht="15.75" customHeight="1" spans="1:22" x14ac:dyDescent="0.25">
      <c r="A107" s="122" t="s">
        <v>524</v>
      </c>
      <c r="B107" s="123"/>
      <c r="C107" s="123"/>
      <c r="D107" s="122" t="s">
        <v>1001</v>
      </c>
      <c r="E107" s="122" t="s">
        <v>1002</v>
      </c>
      <c r="F107" s="122" t="s">
        <v>753</v>
      </c>
      <c r="G107" s="122" t="s">
        <v>771</v>
      </c>
      <c r="H107" s="122" t="s">
        <v>1000</v>
      </c>
      <c r="I107" s="122" t="s">
        <v>733</v>
      </c>
      <c r="J107" s="122">
        <v>50</v>
      </c>
      <c r="K107" s="122">
        <v>0</v>
      </c>
      <c r="L107" s="122">
        <v>65</v>
      </c>
      <c r="M107" s="122">
        <v>0</v>
      </c>
      <c r="N107" s="122">
        <v>85</v>
      </c>
      <c r="O107" s="122">
        <v>100</v>
      </c>
      <c r="P107" s="122">
        <v>99</v>
      </c>
      <c r="Q107" s="123"/>
      <c r="R107" s="122">
        <v>1</v>
      </c>
      <c r="S107" s="122">
        <v>1</v>
      </c>
      <c r="T107" s="122">
        <v>1</v>
      </c>
      <c r="U107" s="123"/>
      <c r="V107" s="122">
        <v>8858890782092</v>
      </c>
    </row>
    <row r="108" ht="15.75" customHeight="1" spans="1:22" x14ac:dyDescent="0.25">
      <c r="A108" s="122" t="s">
        <v>1003</v>
      </c>
      <c r="B108" s="123"/>
      <c r="C108" s="123"/>
      <c r="D108" s="122" t="s">
        <v>1004</v>
      </c>
      <c r="E108" s="122" t="s">
        <v>1005</v>
      </c>
      <c r="F108" s="122" t="s">
        <v>753</v>
      </c>
      <c r="G108" s="122" t="s">
        <v>771</v>
      </c>
      <c r="H108" s="122" t="s">
        <v>1000</v>
      </c>
      <c r="I108" s="122" t="s">
        <v>733</v>
      </c>
      <c r="J108" s="122">
        <v>59</v>
      </c>
      <c r="K108" s="122">
        <v>0</v>
      </c>
      <c r="L108" s="122">
        <v>0</v>
      </c>
      <c r="M108" s="122">
        <v>0</v>
      </c>
      <c r="N108" s="122">
        <v>100</v>
      </c>
      <c r="O108" s="122">
        <v>130</v>
      </c>
      <c r="P108" s="122">
        <v>2</v>
      </c>
      <c r="Q108" s="123"/>
      <c r="R108" s="123"/>
      <c r="S108" s="123"/>
      <c r="T108" s="122">
        <v>1</v>
      </c>
      <c r="U108" s="123"/>
      <c r="V108" s="122">
        <v>8858890782061</v>
      </c>
    </row>
    <row r="109" ht="15.75" customHeight="1" spans="1:22" x14ac:dyDescent="0.25">
      <c r="A109" s="122" t="s">
        <v>1006</v>
      </c>
      <c r="B109" s="123"/>
      <c r="C109" s="123"/>
      <c r="D109" s="122" t="s">
        <v>1007</v>
      </c>
      <c r="E109" s="122" t="s">
        <v>1008</v>
      </c>
      <c r="F109" s="122" t="s">
        <v>753</v>
      </c>
      <c r="G109" s="122" t="s">
        <v>771</v>
      </c>
      <c r="H109" s="122" t="s">
        <v>1000</v>
      </c>
      <c r="I109" s="122" t="s">
        <v>733</v>
      </c>
      <c r="J109" s="122">
        <v>59</v>
      </c>
      <c r="K109" s="122">
        <v>0</v>
      </c>
      <c r="L109" s="122">
        <v>0</v>
      </c>
      <c r="M109" s="122">
        <v>0</v>
      </c>
      <c r="N109" s="122">
        <v>100</v>
      </c>
      <c r="O109" s="122">
        <v>135</v>
      </c>
      <c r="P109" s="122">
        <v>5</v>
      </c>
      <c r="Q109" s="123"/>
      <c r="R109" s="123"/>
      <c r="S109" s="123"/>
      <c r="T109" s="122">
        <v>1</v>
      </c>
      <c r="U109" s="123"/>
      <c r="V109" s="122">
        <v>8858890782054</v>
      </c>
    </row>
    <row r="110" ht="15.75" customHeight="1" spans="1:22" x14ac:dyDescent="0.25">
      <c r="A110" s="122" t="s">
        <v>1009</v>
      </c>
      <c r="B110" s="123"/>
      <c r="C110" s="123"/>
      <c r="D110" s="122" t="s">
        <v>1010</v>
      </c>
      <c r="E110" s="122" t="s">
        <v>1011</v>
      </c>
      <c r="F110" s="122" t="s">
        <v>753</v>
      </c>
      <c r="G110" s="122" t="s">
        <v>771</v>
      </c>
      <c r="H110" s="122" t="s">
        <v>1012</v>
      </c>
      <c r="I110" s="122" t="s">
        <v>733</v>
      </c>
      <c r="J110" s="122">
        <v>67.5</v>
      </c>
      <c r="K110" s="122">
        <v>0</v>
      </c>
      <c r="L110" s="122">
        <v>0</v>
      </c>
      <c r="M110" s="122">
        <v>0</v>
      </c>
      <c r="N110" s="122">
        <v>100</v>
      </c>
      <c r="O110" s="122">
        <v>150</v>
      </c>
      <c r="P110" s="122">
        <v>1</v>
      </c>
      <c r="Q110" s="123"/>
      <c r="R110" s="122">
        <v>1</v>
      </c>
      <c r="S110" s="123"/>
      <c r="T110" s="122">
        <v>1</v>
      </c>
      <c r="U110" s="123"/>
      <c r="V110" s="122">
        <v>8858890781828</v>
      </c>
    </row>
    <row r="111" ht="15.75" customHeight="1" spans="1:22" x14ac:dyDescent="0.25">
      <c r="A111" s="122" t="s">
        <v>569</v>
      </c>
      <c r="B111" s="123"/>
      <c r="C111" s="123"/>
      <c r="D111" s="122" t="s">
        <v>1013</v>
      </c>
      <c r="E111" s="122" t="s">
        <v>1014</v>
      </c>
      <c r="F111" s="122" t="s">
        <v>753</v>
      </c>
      <c r="G111" s="122" t="s">
        <v>771</v>
      </c>
      <c r="H111" s="122" t="s">
        <v>978</v>
      </c>
      <c r="I111" s="122" t="s">
        <v>733</v>
      </c>
      <c r="J111" s="122">
        <v>42</v>
      </c>
      <c r="K111" s="122">
        <v>0</v>
      </c>
      <c r="L111" s="122">
        <v>60</v>
      </c>
      <c r="M111" s="122">
        <v>49</v>
      </c>
      <c r="N111" s="122">
        <v>65</v>
      </c>
      <c r="O111" s="122">
        <v>100</v>
      </c>
      <c r="P111" s="122">
        <v>2</v>
      </c>
      <c r="Q111" s="123"/>
      <c r="R111" s="122">
        <v>1</v>
      </c>
      <c r="S111" s="122">
        <v>1</v>
      </c>
      <c r="T111" s="122">
        <v>1</v>
      </c>
      <c r="U111" s="123"/>
      <c r="V111" s="122">
        <v>8858890782481</v>
      </c>
    </row>
    <row r="112" ht="15.75" customHeight="1" spans="1:22" x14ac:dyDescent="0.25">
      <c r="A112" s="122" t="s">
        <v>523</v>
      </c>
      <c r="B112" s="123"/>
      <c r="C112" s="123"/>
      <c r="D112" s="122" t="s">
        <v>1015</v>
      </c>
      <c r="E112" s="122" t="s">
        <v>1016</v>
      </c>
      <c r="F112" s="122" t="s">
        <v>753</v>
      </c>
      <c r="G112" s="122" t="s">
        <v>771</v>
      </c>
      <c r="H112" s="122" t="s">
        <v>1000</v>
      </c>
      <c r="I112" s="122" t="s">
        <v>733</v>
      </c>
      <c r="J112" s="122">
        <v>50</v>
      </c>
      <c r="K112" s="122">
        <v>0</v>
      </c>
      <c r="L112" s="122">
        <v>65</v>
      </c>
      <c r="M112" s="122">
        <v>0</v>
      </c>
      <c r="N112" s="122">
        <v>85</v>
      </c>
      <c r="O112" s="122">
        <v>100</v>
      </c>
      <c r="P112" s="122">
        <v>23</v>
      </c>
      <c r="Q112" s="123"/>
      <c r="R112" s="122">
        <v>1</v>
      </c>
      <c r="S112" s="122">
        <v>1</v>
      </c>
      <c r="T112" s="122">
        <v>1</v>
      </c>
      <c r="U112" s="123"/>
      <c r="V112" s="122">
        <v>88588907820850</v>
      </c>
    </row>
    <row r="113" ht="15.75" customHeight="1" spans="1:22" x14ac:dyDescent="0.25">
      <c r="A113" s="122" t="s">
        <v>1017</v>
      </c>
      <c r="B113" s="123"/>
      <c r="C113" s="123"/>
      <c r="D113" s="122" t="s">
        <v>1018</v>
      </c>
      <c r="E113" s="122" t="s">
        <v>1019</v>
      </c>
      <c r="F113" s="122" t="s">
        <v>753</v>
      </c>
      <c r="G113" s="122" t="s">
        <v>771</v>
      </c>
      <c r="H113" s="122" t="s">
        <v>1000</v>
      </c>
      <c r="I113" s="122" t="s">
        <v>733</v>
      </c>
      <c r="J113" s="122">
        <v>82</v>
      </c>
      <c r="K113" s="122">
        <v>0</v>
      </c>
      <c r="L113" s="122">
        <v>105</v>
      </c>
      <c r="M113" s="122">
        <v>0</v>
      </c>
      <c r="N113" s="122">
        <v>125</v>
      </c>
      <c r="O113" s="122">
        <v>165</v>
      </c>
      <c r="P113" s="122">
        <v>0</v>
      </c>
      <c r="Q113" s="123"/>
      <c r="R113" s="122">
        <v>1</v>
      </c>
      <c r="S113" s="123"/>
      <c r="T113" s="123"/>
      <c r="U113" s="123"/>
      <c r="V113" s="122">
        <v>8858890781378</v>
      </c>
    </row>
    <row r="114" ht="15.75" customHeight="1" spans="1:22" x14ac:dyDescent="0.25">
      <c r="A114" s="122" t="s">
        <v>1020</v>
      </c>
      <c r="B114" s="123"/>
      <c r="C114" s="123"/>
      <c r="D114" s="122" t="s">
        <v>1021</v>
      </c>
      <c r="E114" s="122" t="s">
        <v>1019</v>
      </c>
      <c r="F114" s="122" t="s">
        <v>753</v>
      </c>
      <c r="G114" s="122" t="s">
        <v>771</v>
      </c>
      <c r="H114" s="122" t="s">
        <v>1000</v>
      </c>
      <c r="I114" s="122" t="s">
        <v>733</v>
      </c>
      <c r="J114" s="122">
        <v>82</v>
      </c>
      <c r="K114" s="122">
        <v>0</v>
      </c>
      <c r="L114" s="122">
        <v>105</v>
      </c>
      <c r="M114" s="122">
        <v>0</v>
      </c>
      <c r="N114" s="122">
        <v>125</v>
      </c>
      <c r="O114" s="122">
        <v>165</v>
      </c>
      <c r="P114" s="122">
        <v>0</v>
      </c>
      <c r="Q114" s="123"/>
      <c r="R114" s="122">
        <v>1</v>
      </c>
      <c r="S114" s="122">
        <v>1</v>
      </c>
      <c r="T114" s="122">
        <v>1</v>
      </c>
      <c r="U114" s="123"/>
      <c r="V114" s="122">
        <v>8858890781385</v>
      </c>
    </row>
    <row r="115" ht="15.75" customHeight="1" spans="1:22" x14ac:dyDescent="0.25">
      <c r="A115" s="122" t="s">
        <v>1022</v>
      </c>
      <c r="B115" s="123"/>
      <c r="C115" s="123"/>
      <c r="D115" s="122" t="s">
        <v>1023</v>
      </c>
      <c r="E115" s="122" t="s">
        <v>1024</v>
      </c>
      <c r="F115" s="122" t="s">
        <v>753</v>
      </c>
      <c r="G115" s="122" t="s">
        <v>771</v>
      </c>
      <c r="H115" s="122" t="s">
        <v>1000</v>
      </c>
      <c r="I115" s="122" t="s">
        <v>733</v>
      </c>
      <c r="J115" s="122">
        <v>91</v>
      </c>
      <c r="K115" s="122">
        <v>0</v>
      </c>
      <c r="L115" s="122">
        <v>115</v>
      </c>
      <c r="M115" s="122">
        <v>0</v>
      </c>
      <c r="N115" s="122">
        <v>125</v>
      </c>
      <c r="O115" s="122">
        <v>165</v>
      </c>
      <c r="P115" s="122">
        <v>9</v>
      </c>
      <c r="Q115" s="123"/>
      <c r="R115" s="122">
        <v>1</v>
      </c>
      <c r="S115" s="123"/>
      <c r="T115" s="123"/>
      <c r="U115" s="123"/>
      <c r="V115" s="122">
        <v>8858890781392</v>
      </c>
    </row>
    <row r="116" ht="15.75" customHeight="1" spans="1:22" x14ac:dyDescent="0.25">
      <c r="A116" s="122" t="s">
        <v>1025</v>
      </c>
      <c r="B116" s="123"/>
      <c r="C116" s="123"/>
      <c r="D116" s="122" t="s">
        <v>1026</v>
      </c>
      <c r="E116" s="122" t="s">
        <v>1027</v>
      </c>
      <c r="F116" s="122" t="s">
        <v>753</v>
      </c>
      <c r="G116" s="122" t="s">
        <v>771</v>
      </c>
      <c r="H116" s="122" t="s">
        <v>975</v>
      </c>
      <c r="I116" s="122" t="s">
        <v>733</v>
      </c>
      <c r="J116" s="122">
        <v>46</v>
      </c>
      <c r="K116" s="122">
        <v>0</v>
      </c>
      <c r="L116" s="122">
        <v>0</v>
      </c>
      <c r="M116" s="122">
        <v>0</v>
      </c>
      <c r="N116" s="122">
        <v>85</v>
      </c>
      <c r="O116" s="122">
        <v>110</v>
      </c>
      <c r="P116" s="122">
        <v>0</v>
      </c>
      <c r="Q116" s="123"/>
      <c r="R116" s="123"/>
      <c r="S116" s="123"/>
      <c r="T116" s="122">
        <v>1</v>
      </c>
      <c r="U116" s="123"/>
      <c r="V116" s="122">
        <v>8858890781521</v>
      </c>
    </row>
    <row r="117" ht="15.75" customHeight="1" spans="1:22" x14ac:dyDescent="0.25">
      <c r="A117" s="122" t="s">
        <v>1028</v>
      </c>
      <c r="B117" s="123"/>
      <c r="C117" s="123"/>
      <c r="D117" s="122" t="s">
        <v>1029</v>
      </c>
      <c r="E117" s="122" t="s">
        <v>1030</v>
      </c>
      <c r="F117" s="122" t="s">
        <v>753</v>
      </c>
      <c r="G117" s="122" t="s">
        <v>771</v>
      </c>
      <c r="H117" s="122" t="s">
        <v>975</v>
      </c>
      <c r="I117" s="122" t="s">
        <v>733</v>
      </c>
      <c r="J117" s="122">
        <v>46</v>
      </c>
      <c r="K117" s="122">
        <v>0</v>
      </c>
      <c r="L117" s="122">
        <v>0</v>
      </c>
      <c r="M117" s="122">
        <v>0</v>
      </c>
      <c r="N117" s="122">
        <v>85</v>
      </c>
      <c r="O117" s="122">
        <v>110</v>
      </c>
      <c r="P117" s="122">
        <v>0</v>
      </c>
      <c r="Q117" s="123"/>
      <c r="R117" s="123"/>
      <c r="S117" s="123"/>
      <c r="T117" s="122">
        <v>1</v>
      </c>
      <c r="U117" s="123"/>
      <c r="V117" s="122">
        <v>8858890781415</v>
      </c>
    </row>
    <row r="118" ht="15.75" customHeight="1" spans="1:22" x14ac:dyDescent="0.25">
      <c r="A118" s="122" t="s">
        <v>518</v>
      </c>
      <c r="B118" s="123"/>
      <c r="C118" s="123"/>
      <c r="D118" s="122" t="s">
        <v>1031</v>
      </c>
      <c r="E118" s="122" t="s">
        <v>1032</v>
      </c>
      <c r="F118" s="122" t="s">
        <v>753</v>
      </c>
      <c r="G118" s="122" t="s">
        <v>771</v>
      </c>
      <c r="H118" s="122" t="s">
        <v>1000</v>
      </c>
      <c r="I118" s="122" t="s">
        <v>733</v>
      </c>
      <c r="J118" s="122">
        <v>85</v>
      </c>
      <c r="K118" s="122">
        <v>0</v>
      </c>
      <c r="L118" s="122">
        <v>105</v>
      </c>
      <c r="M118" s="122">
        <v>0</v>
      </c>
      <c r="N118" s="122">
        <v>125</v>
      </c>
      <c r="O118" s="122">
        <v>160</v>
      </c>
      <c r="P118" s="122">
        <v>1160</v>
      </c>
      <c r="Q118" s="123"/>
      <c r="R118" s="122">
        <v>1</v>
      </c>
      <c r="S118" s="122">
        <v>1</v>
      </c>
      <c r="T118" s="122">
        <v>1</v>
      </c>
      <c r="U118" s="123"/>
      <c r="V118" s="122">
        <v>8858890780937</v>
      </c>
    </row>
    <row r="119" ht="15.75" customHeight="1" spans="1:22" x14ac:dyDescent="0.25">
      <c r="A119" s="122" t="s">
        <v>519</v>
      </c>
      <c r="B119" s="123"/>
      <c r="C119" s="123"/>
      <c r="D119" s="122" t="s">
        <v>1033</v>
      </c>
      <c r="E119" s="122" t="s">
        <v>1034</v>
      </c>
      <c r="F119" s="122" t="s">
        <v>753</v>
      </c>
      <c r="G119" s="122" t="s">
        <v>771</v>
      </c>
      <c r="H119" s="122" t="s">
        <v>1000</v>
      </c>
      <c r="I119" s="122" t="s">
        <v>733</v>
      </c>
      <c r="J119" s="122">
        <v>86</v>
      </c>
      <c r="K119" s="122">
        <v>0</v>
      </c>
      <c r="L119" s="122">
        <v>110</v>
      </c>
      <c r="M119" s="122">
        <v>0</v>
      </c>
      <c r="N119" s="122">
        <v>130</v>
      </c>
      <c r="O119" s="122">
        <v>175</v>
      </c>
      <c r="P119" s="122">
        <v>153</v>
      </c>
      <c r="Q119" s="123"/>
      <c r="R119" s="122">
        <v>1</v>
      </c>
      <c r="S119" s="122">
        <v>1</v>
      </c>
      <c r="T119" s="122">
        <v>1</v>
      </c>
      <c r="U119" s="123"/>
      <c r="V119" s="122">
        <v>8858890780944</v>
      </c>
    </row>
    <row r="120" ht="15.75" customHeight="1" spans="1:22" x14ac:dyDescent="0.25">
      <c r="A120" s="122" t="s">
        <v>520</v>
      </c>
      <c r="B120" s="123"/>
      <c r="C120" s="123"/>
      <c r="D120" s="122" t="s">
        <v>1035</v>
      </c>
      <c r="E120" s="122" t="s">
        <v>1036</v>
      </c>
      <c r="F120" s="122" t="s">
        <v>753</v>
      </c>
      <c r="G120" s="122" t="s">
        <v>771</v>
      </c>
      <c r="H120" s="122" t="s">
        <v>1000</v>
      </c>
      <c r="I120" s="122" t="s">
        <v>733</v>
      </c>
      <c r="J120" s="122">
        <v>95</v>
      </c>
      <c r="K120" s="122">
        <v>0</v>
      </c>
      <c r="L120" s="122">
        <v>115</v>
      </c>
      <c r="M120" s="122">
        <v>0</v>
      </c>
      <c r="N120" s="122">
        <v>135</v>
      </c>
      <c r="O120" s="122">
        <v>175</v>
      </c>
      <c r="P120" s="122">
        <v>173</v>
      </c>
      <c r="Q120" s="123"/>
      <c r="R120" s="122">
        <v>1</v>
      </c>
      <c r="S120" s="122">
        <v>1</v>
      </c>
      <c r="T120" s="122">
        <v>1</v>
      </c>
      <c r="U120" s="123"/>
      <c r="V120" s="122">
        <v>8858890780951</v>
      </c>
    </row>
    <row r="121" ht="15.75" customHeight="1" spans="1:22" x14ac:dyDescent="0.25">
      <c r="A121" s="122" t="s">
        <v>521</v>
      </c>
      <c r="B121" s="123"/>
      <c r="C121" s="123"/>
      <c r="D121" s="122" t="s">
        <v>1037</v>
      </c>
      <c r="E121" s="122" t="s">
        <v>1036</v>
      </c>
      <c r="F121" s="122" t="s">
        <v>753</v>
      </c>
      <c r="G121" s="122" t="s">
        <v>771</v>
      </c>
      <c r="H121" s="122" t="s">
        <v>1000</v>
      </c>
      <c r="I121" s="122" t="s">
        <v>733</v>
      </c>
      <c r="J121" s="122">
        <v>90</v>
      </c>
      <c r="K121" s="122">
        <v>0</v>
      </c>
      <c r="L121" s="122">
        <v>120</v>
      </c>
      <c r="M121" s="122">
        <v>0</v>
      </c>
      <c r="N121" s="122">
        <v>140</v>
      </c>
      <c r="O121" s="122">
        <v>175</v>
      </c>
      <c r="P121" s="122">
        <v>180</v>
      </c>
      <c r="Q121" s="123"/>
      <c r="R121" s="122">
        <v>1</v>
      </c>
      <c r="S121" s="122">
        <v>1</v>
      </c>
      <c r="T121" s="122">
        <v>1</v>
      </c>
      <c r="U121" s="123"/>
      <c r="V121" s="122">
        <v>8858890780968</v>
      </c>
    </row>
    <row r="122" ht="15.75" customHeight="1" spans="1:22" x14ac:dyDescent="0.25">
      <c r="A122" s="122" t="s">
        <v>498</v>
      </c>
      <c r="B122" s="123"/>
      <c r="C122" s="123"/>
      <c r="D122" s="122" t="s">
        <v>1038</v>
      </c>
      <c r="E122" s="122" t="s">
        <v>1039</v>
      </c>
      <c r="F122" s="122" t="s">
        <v>753</v>
      </c>
      <c r="G122" s="122" t="s">
        <v>771</v>
      </c>
      <c r="H122" s="122" t="s">
        <v>1000</v>
      </c>
      <c r="I122" s="122" t="s">
        <v>733</v>
      </c>
      <c r="J122" s="122">
        <v>88</v>
      </c>
      <c r="K122" s="122">
        <v>0</v>
      </c>
      <c r="L122" s="122">
        <v>110</v>
      </c>
      <c r="M122" s="122">
        <v>120</v>
      </c>
      <c r="N122" s="122">
        <v>130</v>
      </c>
      <c r="O122" s="122">
        <v>170</v>
      </c>
      <c r="P122" s="122">
        <v>10</v>
      </c>
      <c r="Q122" s="123"/>
      <c r="R122" s="122">
        <v>1</v>
      </c>
      <c r="S122" s="122">
        <v>1</v>
      </c>
      <c r="T122" s="122">
        <v>1</v>
      </c>
      <c r="U122" s="123"/>
      <c r="V122" s="122">
        <v>8858890781088</v>
      </c>
    </row>
    <row r="123" ht="15.75" customHeight="1" spans="1:22" x14ac:dyDescent="0.25">
      <c r="A123" s="122" t="s">
        <v>499</v>
      </c>
      <c r="B123" s="123"/>
      <c r="C123" s="123"/>
      <c r="D123" s="122" t="s">
        <v>1040</v>
      </c>
      <c r="E123" s="122" t="s">
        <v>1041</v>
      </c>
      <c r="F123" s="122" t="s">
        <v>753</v>
      </c>
      <c r="G123" s="122" t="s">
        <v>771</v>
      </c>
      <c r="H123" s="122" t="s">
        <v>1000</v>
      </c>
      <c r="I123" s="122" t="s">
        <v>733</v>
      </c>
      <c r="J123" s="122">
        <v>93</v>
      </c>
      <c r="K123" s="122">
        <v>0</v>
      </c>
      <c r="L123" s="122">
        <v>115</v>
      </c>
      <c r="M123" s="122">
        <v>125</v>
      </c>
      <c r="N123" s="122">
        <v>135</v>
      </c>
      <c r="O123" s="122">
        <v>170</v>
      </c>
      <c r="P123" s="122">
        <v>99</v>
      </c>
      <c r="Q123" s="123"/>
      <c r="R123" s="122">
        <v>1</v>
      </c>
      <c r="S123" s="122">
        <v>1</v>
      </c>
      <c r="T123" s="122">
        <v>1</v>
      </c>
      <c r="U123" s="123"/>
      <c r="V123" s="122">
        <v>8858890781095</v>
      </c>
    </row>
    <row r="124" ht="15.75" customHeight="1" spans="1:22" x14ac:dyDescent="0.25">
      <c r="A124" s="122" t="s">
        <v>500</v>
      </c>
      <c r="B124" s="123"/>
      <c r="C124" s="123"/>
      <c r="D124" s="122" t="s">
        <v>1042</v>
      </c>
      <c r="E124" s="122" t="s">
        <v>1043</v>
      </c>
      <c r="F124" s="122" t="s">
        <v>753</v>
      </c>
      <c r="G124" s="122" t="s">
        <v>771</v>
      </c>
      <c r="H124" s="122" t="s">
        <v>1000</v>
      </c>
      <c r="I124" s="122" t="s">
        <v>733</v>
      </c>
      <c r="J124" s="122">
        <v>95</v>
      </c>
      <c r="K124" s="122">
        <v>0</v>
      </c>
      <c r="L124" s="122">
        <v>120</v>
      </c>
      <c r="M124" s="122">
        <v>130</v>
      </c>
      <c r="N124" s="122">
        <v>140</v>
      </c>
      <c r="O124" s="122">
        <v>170</v>
      </c>
      <c r="P124" s="122">
        <v>20</v>
      </c>
      <c r="Q124" s="123"/>
      <c r="R124" s="122">
        <v>1</v>
      </c>
      <c r="S124" s="122">
        <v>1</v>
      </c>
      <c r="T124" s="122">
        <v>1</v>
      </c>
      <c r="U124" s="123"/>
      <c r="V124" s="122">
        <v>8858890781101</v>
      </c>
    </row>
    <row r="125" ht="15.75" customHeight="1" spans="1:22" x14ac:dyDescent="0.25">
      <c r="A125" s="122" t="s">
        <v>501</v>
      </c>
      <c r="B125" s="123"/>
      <c r="C125" s="123"/>
      <c r="D125" s="122" t="s">
        <v>1044</v>
      </c>
      <c r="E125" s="122" t="s">
        <v>1045</v>
      </c>
      <c r="F125" s="122" t="s">
        <v>753</v>
      </c>
      <c r="G125" s="122" t="s">
        <v>771</v>
      </c>
      <c r="H125" s="122" t="s">
        <v>1000</v>
      </c>
      <c r="I125" s="122" t="s">
        <v>733</v>
      </c>
      <c r="J125" s="122">
        <v>100</v>
      </c>
      <c r="K125" s="122">
        <v>0</v>
      </c>
      <c r="L125" s="122">
        <v>125</v>
      </c>
      <c r="M125" s="122">
        <v>135</v>
      </c>
      <c r="N125" s="122">
        <v>145</v>
      </c>
      <c r="O125" s="122">
        <v>175</v>
      </c>
      <c r="P125" s="122">
        <v>18</v>
      </c>
      <c r="Q125" s="123"/>
      <c r="R125" s="122">
        <v>1</v>
      </c>
      <c r="S125" s="123"/>
      <c r="T125" s="122">
        <v>1</v>
      </c>
      <c r="U125" s="123"/>
      <c r="V125" s="122">
        <v>8858890781118</v>
      </c>
    </row>
    <row r="126" ht="15.75" customHeight="1" spans="1:22" x14ac:dyDescent="0.25">
      <c r="A126" s="122" t="s">
        <v>506</v>
      </c>
      <c r="B126" s="123"/>
      <c r="C126" s="123"/>
      <c r="D126" s="122" t="s">
        <v>1046</v>
      </c>
      <c r="E126" s="122" t="s">
        <v>1047</v>
      </c>
      <c r="F126" s="122" t="s">
        <v>753</v>
      </c>
      <c r="G126" s="122" t="s">
        <v>771</v>
      </c>
      <c r="H126" s="122" t="s">
        <v>1000</v>
      </c>
      <c r="I126" s="122" t="s">
        <v>733</v>
      </c>
      <c r="J126" s="122">
        <v>49</v>
      </c>
      <c r="K126" s="122">
        <v>0</v>
      </c>
      <c r="L126" s="122">
        <v>65</v>
      </c>
      <c r="M126" s="122">
        <v>0</v>
      </c>
      <c r="N126" s="122">
        <v>100</v>
      </c>
      <c r="O126" s="122">
        <v>120</v>
      </c>
      <c r="P126" s="122">
        <v>461</v>
      </c>
      <c r="Q126" s="123"/>
      <c r="R126" s="123"/>
      <c r="S126" s="122">
        <v>1</v>
      </c>
      <c r="T126" s="122">
        <v>1</v>
      </c>
      <c r="U126" s="123"/>
      <c r="V126" s="122">
        <v>8858890780852</v>
      </c>
    </row>
    <row r="127" ht="15.75" customHeight="1" spans="1:22" x14ac:dyDescent="0.25">
      <c r="A127" s="122" t="s">
        <v>507</v>
      </c>
      <c r="B127" s="123"/>
      <c r="C127" s="123"/>
      <c r="D127" s="122" t="s">
        <v>1048</v>
      </c>
      <c r="E127" s="122" t="s">
        <v>1047</v>
      </c>
      <c r="F127" s="122" t="s">
        <v>753</v>
      </c>
      <c r="G127" s="122" t="s">
        <v>771</v>
      </c>
      <c r="H127" s="122" t="s">
        <v>1000</v>
      </c>
      <c r="I127" s="122" t="s">
        <v>733</v>
      </c>
      <c r="J127" s="122">
        <v>52</v>
      </c>
      <c r="K127" s="122">
        <v>0</v>
      </c>
      <c r="L127" s="122">
        <v>65</v>
      </c>
      <c r="M127" s="122">
        <v>0</v>
      </c>
      <c r="N127" s="122">
        <v>100</v>
      </c>
      <c r="O127" s="122">
        <v>130</v>
      </c>
      <c r="P127" s="122">
        <v>47</v>
      </c>
      <c r="Q127" s="123"/>
      <c r="R127" s="123"/>
      <c r="S127" s="122">
        <v>1</v>
      </c>
      <c r="T127" s="122">
        <v>1</v>
      </c>
      <c r="U127" s="123"/>
      <c r="V127" s="122">
        <v>8858890780876</v>
      </c>
    </row>
    <row r="128" ht="15.75" customHeight="1" spans="1:22" x14ac:dyDescent="0.25">
      <c r="A128" s="122" t="s">
        <v>508</v>
      </c>
      <c r="B128" s="123"/>
      <c r="C128" s="123"/>
      <c r="D128" s="122" t="s">
        <v>1049</v>
      </c>
      <c r="E128" s="122" t="s">
        <v>1047</v>
      </c>
      <c r="F128" s="122" t="s">
        <v>753</v>
      </c>
      <c r="G128" s="122" t="s">
        <v>771</v>
      </c>
      <c r="H128" s="122" t="s">
        <v>1000</v>
      </c>
      <c r="I128" s="122" t="s">
        <v>733</v>
      </c>
      <c r="J128" s="122">
        <v>55</v>
      </c>
      <c r="K128" s="122">
        <v>0</v>
      </c>
      <c r="L128" s="122">
        <v>70</v>
      </c>
      <c r="M128" s="122">
        <v>0</v>
      </c>
      <c r="N128" s="122">
        <v>100</v>
      </c>
      <c r="O128" s="122">
        <v>130</v>
      </c>
      <c r="P128" s="122">
        <v>238</v>
      </c>
      <c r="Q128" s="123"/>
      <c r="R128" s="123"/>
      <c r="S128" s="122">
        <v>1</v>
      </c>
      <c r="T128" s="122">
        <v>1</v>
      </c>
      <c r="U128" s="123"/>
      <c r="V128" s="122">
        <v>8858890780890</v>
      </c>
    </row>
    <row r="129" ht="15.75" customHeight="1" spans="1:22" x14ac:dyDescent="0.25">
      <c r="A129" s="122" t="s">
        <v>509</v>
      </c>
      <c r="B129" s="123"/>
      <c r="C129" s="123"/>
      <c r="D129" s="122" t="s">
        <v>1050</v>
      </c>
      <c r="E129" s="122" t="s">
        <v>1047</v>
      </c>
      <c r="F129" s="122" t="s">
        <v>753</v>
      </c>
      <c r="G129" s="122" t="s">
        <v>771</v>
      </c>
      <c r="H129" s="122" t="s">
        <v>1000</v>
      </c>
      <c r="I129" s="122" t="s">
        <v>733</v>
      </c>
      <c r="J129" s="122">
        <v>60</v>
      </c>
      <c r="K129" s="122">
        <v>0</v>
      </c>
      <c r="L129" s="122">
        <v>75</v>
      </c>
      <c r="M129" s="122">
        <v>0</v>
      </c>
      <c r="N129" s="122">
        <v>100</v>
      </c>
      <c r="O129" s="122">
        <v>130</v>
      </c>
      <c r="P129" s="122">
        <v>290</v>
      </c>
      <c r="Q129" s="123"/>
      <c r="R129" s="123"/>
      <c r="S129" s="122">
        <v>1</v>
      </c>
      <c r="T129" s="122">
        <v>1</v>
      </c>
      <c r="U129" s="123"/>
      <c r="V129" s="122">
        <v>8858890780913</v>
      </c>
    </row>
    <row r="130" ht="15.75" customHeight="1" spans="1:22" x14ac:dyDescent="0.25">
      <c r="A130" s="122" t="s">
        <v>510</v>
      </c>
      <c r="B130" s="123"/>
      <c r="C130" s="123"/>
      <c r="D130" s="122" t="s">
        <v>1051</v>
      </c>
      <c r="E130" s="122" t="s">
        <v>1052</v>
      </c>
      <c r="F130" s="122" t="s">
        <v>753</v>
      </c>
      <c r="G130" s="122" t="s">
        <v>771</v>
      </c>
      <c r="H130" s="122" t="s">
        <v>1000</v>
      </c>
      <c r="I130" s="122" t="s">
        <v>733</v>
      </c>
      <c r="J130" s="122">
        <v>44</v>
      </c>
      <c r="K130" s="122">
        <v>0</v>
      </c>
      <c r="L130" s="122">
        <v>65</v>
      </c>
      <c r="M130" s="122">
        <v>0</v>
      </c>
      <c r="N130" s="122">
        <v>100</v>
      </c>
      <c r="O130" s="122">
        <v>110</v>
      </c>
      <c r="P130" s="122">
        <v>473</v>
      </c>
      <c r="Q130" s="123"/>
      <c r="R130" s="123"/>
      <c r="S130" s="122">
        <v>1</v>
      </c>
      <c r="T130" s="122">
        <v>1</v>
      </c>
      <c r="U130" s="123"/>
      <c r="V130" s="122">
        <v>8858890780869</v>
      </c>
    </row>
    <row r="131" ht="15.75" customHeight="1" spans="1:22" x14ac:dyDescent="0.25">
      <c r="A131" s="122" t="s">
        <v>511</v>
      </c>
      <c r="B131" s="123"/>
      <c r="C131" s="123"/>
      <c r="D131" s="122" t="s">
        <v>1053</v>
      </c>
      <c r="E131" s="122" t="s">
        <v>1052</v>
      </c>
      <c r="F131" s="122" t="s">
        <v>753</v>
      </c>
      <c r="G131" s="122" t="s">
        <v>771</v>
      </c>
      <c r="H131" s="122" t="s">
        <v>1000</v>
      </c>
      <c r="I131" s="122" t="s">
        <v>733</v>
      </c>
      <c r="J131" s="122">
        <v>52</v>
      </c>
      <c r="K131" s="122">
        <v>0</v>
      </c>
      <c r="L131" s="122">
        <v>65</v>
      </c>
      <c r="M131" s="122">
        <v>0</v>
      </c>
      <c r="N131" s="122">
        <v>100</v>
      </c>
      <c r="O131" s="122">
        <v>130</v>
      </c>
      <c r="P131" s="122">
        <v>446</v>
      </c>
      <c r="Q131" s="123"/>
      <c r="R131" s="123"/>
      <c r="S131" s="122">
        <v>1</v>
      </c>
      <c r="T131" s="122">
        <v>1</v>
      </c>
      <c r="U131" s="123"/>
      <c r="V131" s="122">
        <v>8858890780883</v>
      </c>
    </row>
    <row r="132" ht="15.75" customHeight="1" spans="1:22" x14ac:dyDescent="0.25">
      <c r="A132" s="122" t="s">
        <v>512</v>
      </c>
      <c r="B132" s="123"/>
      <c r="C132" s="123"/>
      <c r="D132" s="122" t="s">
        <v>1054</v>
      </c>
      <c r="E132" s="122" t="s">
        <v>1052</v>
      </c>
      <c r="F132" s="122" t="s">
        <v>753</v>
      </c>
      <c r="G132" s="122" t="s">
        <v>771</v>
      </c>
      <c r="H132" s="122" t="s">
        <v>1000</v>
      </c>
      <c r="I132" s="122" t="s">
        <v>733</v>
      </c>
      <c r="J132" s="122">
        <v>55</v>
      </c>
      <c r="K132" s="122">
        <v>0</v>
      </c>
      <c r="L132" s="122">
        <v>70</v>
      </c>
      <c r="M132" s="122">
        <v>0</v>
      </c>
      <c r="N132" s="122">
        <v>100</v>
      </c>
      <c r="O132" s="122">
        <v>130</v>
      </c>
      <c r="P132" s="122">
        <v>433</v>
      </c>
      <c r="Q132" s="123"/>
      <c r="R132" s="123"/>
      <c r="S132" s="122">
        <v>1</v>
      </c>
      <c r="T132" s="122">
        <v>1</v>
      </c>
      <c r="U132" s="123"/>
      <c r="V132" s="122">
        <v>8858890780906</v>
      </c>
    </row>
    <row r="133" ht="15.75" customHeight="1" spans="1:22" x14ac:dyDescent="0.25">
      <c r="A133" s="122" t="s">
        <v>513</v>
      </c>
      <c r="B133" s="123"/>
      <c r="C133" s="123"/>
      <c r="D133" s="122" t="s">
        <v>1055</v>
      </c>
      <c r="E133" s="122" t="s">
        <v>1052</v>
      </c>
      <c r="F133" s="122" t="s">
        <v>753</v>
      </c>
      <c r="G133" s="122" t="s">
        <v>771</v>
      </c>
      <c r="H133" s="122" t="s">
        <v>1000</v>
      </c>
      <c r="I133" s="122" t="s">
        <v>733</v>
      </c>
      <c r="J133" s="122">
        <v>60</v>
      </c>
      <c r="K133" s="122">
        <v>0</v>
      </c>
      <c r="L133" s="122">
        <v>75</v>
      </c>
      <c r="M133" s="122">
        <v>0</v>
      </c>
      <c r="N133" s="122">
        <v>100</v>
      </c>
      <c r="O133" s="122">
        <v>130</v>
      </c>
      <c r="P133" s="122">
        <v>8</v>
      </c>
      <c r="Q133" s="123"/>
      <c r="R133" s="123"/>
      <c r="S133" s="122">
        <v>1</v>
      </c>
      <c r="T133" s="122">
        <v>1</v>
      </c>
      <c r="U133" s="123"/>
      <c r="V133" s="122">
        <v>8858890780920</v>
      </c>
    </row>
    <row r="134" ht="15.75" customHeight="1" spans="1:22" x14ac:dyDescent="0.25">
      <c r="A134" s="122" t="s">
        <v>1056</v>
      </c>
      <c r="B134" s="123"/>
      <c r="C134" s="123"/>
      <c r="D134" s="122" t="s">
        <v>1057</v>
      </c>
      <c r="E134" s="122" t="s">
        <v>1058</v>
      </c>
      <c r="F134" s="122" t="s">
        <v>753</v>
      </c>
      <c r="G134" s="122" t="s">
        <v>771</v>
      </c>
      <c r="H134" s="122" t="s">
        <v>1000</v>
      </c>
      <c r="I134" s="122" t="s">
        <v>733</v>
      </c>
      <c r="J134" s="122">
        <v>46</v>
      </c>
      <c r="K134" s="122">
        <v>0</v>
      </c>
      <c r="L134" s="122">
        <v>60</v>
      </c>
      <c r="M134" s="122">
        <v>0</v>
      </c>
      <c r="N134" s="122">
        <v>85</v>
      </c>
      <c r="O134" s="122">
        <v>100</v>
      </c>
      <c r="P134" s="122">
        <v>98</v>
      </c>
      <c r="Q134" s="123"/>
      <c r="R134" s="122">
        <v>1</v>
      </c>
      <c r="S134" s="122">
        <v>1</v>
      </c>
      <c r="T134" s="122">
        <v>1</v>
      </c>
      <c r="U134" s="123"/>
      <c r="V134" s="122">
        <v>8858890781200</v>
      </c>
    </row>
    <row r="135" ht="15.75" customHeight="1" spans="1:22" x14ac:dyDescent="0.25">
      <c r="A135" s="122" t="s">
        <v>1059</v>
      </c>
      <c r="B135" s="123"/>
      <c r="C135" s="123"/>
      <c r="D135" s="122" t="s">
        <v>1060</v>
      </c>
      <c r="E135" s="122" t="s">
        <v>1061</v>
      </c>
      <c r="F135" s="122" t="s">
        <v>753</v>
      </c>
      <c r="G135" s="122" t="s">
        <v>771</v>
      </c>
      <c r="H135" s="122" t="s">
        <v>1000</v>
      </c>
      <c r="I135" s="122" t="s">
        <v>733</v>
      </c>
      <c r="J135" s="122">
        <v>30</v>
      </c>
      <c r="K135" s="122">
        <v>0</v>
      </c>
      <c r="L135" s="122">
        <v>60</v>
      </c>
      <c r="M135" s="122">
        <v>0</v>
      </c>
      <c r="N135" s="122">
        <v>85</v>
      </c>
      <c r="O135" s="122">
        <v>100</v>
      </c>
      <c r="P135" s="122">
        <v>5</v>
      </c>
      <c r="Q135" s="123"/>
      <c r="R135" s="122">
        <v>1</v>
      </c>
      <c r="S135" s="122">
        <v>1</v>
      </c>
      <c r="T135" s="122">
        <v>1</v>
      </c>
      <c r="U135" s="123"/>
      <c r="V135" s="122">
        <v>8858890781224</v>
      </c>
    </row>
    <row r="136" ht="15.75" customHeight="1" spans="1:22" x14ac:dyDescent="0.25">
      <c r="A136" s="122" t="s">
        <v>1062</v>
      </c>
      <c r="B136" s="123"/>
      <c r="C136" s="123"/>
      <c r="D136" s="122" t="s">
        <v>1063</v>
      </c>
      <c r="E136" s="122" t="s">
        <v>1064</v>
      </c>
      <c r="F136" s="122" t="s">
        <v>753</v>
      </c>
      <c r="G136" s="122" t="s">
        <v>771</v>
      </c>
      <c r="H136" s="122" t="s">
        <v>1000</v>
      </c>
      <c r="I136" s="122" t="s">
        <v>733</v>
      </c>
      <c r="J136" s="122">
        <v>46</v>
      </c>
      <c r="K136" s="122">
        <v>0</v>
      </c>
      <c r="L136" s="122">
        <v>60</v>
      </c>
      <c r="M136" s="122">
        <v>0</v>
      </c>
      <c r="N136" s="122">
        <v>85</v>
      </c>
      <c r="O136" s="122">
        <v>100</v>
      </c>
      <c r="P136" s="122">
        <v>32</v>
      </c>
      <c r="Q136" s="123"/>
      <c r="R136" s="123"/>
      <c r="S136" s="122">
        <v>1</v>
      </c>
      <c r="T136" s="122">
        <v>1</v>
      </c>
      <c r="U136" s="123"/>
      <c r="V136" s="122">
        <v>8858890781231</v>
      </c>
    </row>
    <row r="137" ht="15.75" customHeight="1" spans="1:22" x14ac:dyDescent="0.25">
      <c r="A137" s="122" t="s">
        <v>526</v>
      </c>
      <c r="B137" s="123"/>
      <c r="C137" s="123"/>
      <c r="D137" s="122" t="s">
        <v>1065</v>
      </c>
      <c r="E137" s="122" t="s">
        <v>1066</v>
      </c>
      <c r="F137" s="122" t="s">
        <v>753</v>
      </c>
      <c r="G137" s="122" t="s">
        <v>771</v>
      </c>
      <c r="H137" s="122" t="s">
        <v>1000</v>
      </c>
      <c r="I137" s="122" t="s">
        <v>733</v>
      </c>
      <c r="J137" s="122">
        <v>33</v>
      </c>
      <c r="K137" s="122">
        <v>0</v>
      </c>
      <c r="L137" s="122">
        <v>45</v>
      </c>
      <c r="M137" s="122">
        <v>0</v>
      </c>
      <c r="N137" s="122">
        <v>60</v>
      </c>
      <c r="O137" s="122">
        <v>100</v>
      </c>
      <c r="P137" s="122">
        <v>7</v>
      </c>
      <c r="Q137" s="123"/>
      <c r="R137" s="122">
        <v>1</v>
      </c>
      <c r="S137" s="122">
        <v>1</v>
      </c>
      <c r="T137" s="122">
        <v>1</v>
      </c>
      <c r="U137" s="123"/>
      <c r="V137" s="122">
        <v>8858890781637</v>
      </c>
    </row>
    <row r="138" ht="15.75" customHeight="1" spans="1:22" x14ac:dyDescent="0.25">
      <c r="A138" s="122" t="s">
        <v>527</v>
      </c>
      <c r="B138" s="123"/>
      <c r="C138" s="123"/>
      <c r="D138" s="122" t="s">
        <v>1067</v>
      </c>
      <c r="E138" s="122" t="s">
        <v>1066</v>
      </c>
      <c r="F138" s="122" t="s">
        <v>753</v>
      </c>
      <c r="G138" s="122" t="s">
        <v>771</v>
      </c>
      <c r="H138" s="122" t="s">
        <v>1000</v>
      </c>
      <c r="I138" s="122" t="s">
        <v>733</v>
      </c>
      <c r="J138" s="122">
        <v>35</v>
      </c>
      <c r="K138" s="122">
        <v>0</v>
      </c>
      <c r="L138" s="122">
        <v>45</v>
      </c>
      <c r="M138" s="122">
        <v>0</v>
      </c>
      <c r="N138" s="122">
        <v>60</v>
      </c>
      <c r="O138" s="122">
        <v>100</v>
      </c>
      <c r="P138" s="122">
        <v>181</v>
      </c>
      <c r="Q138" s="123"/>
      <c r="R138" s="122">
        <v>1</v>
      </c>
      <c r="S138" s="122">
        <v>1</v>
      </c>
      <c r="T138" s="122">
        <v>1</v>
      </c>
      <c r="U138" s="123"/>
      <c r="V138" s="122">
        <v>8858890781644</v>
      </c>
    </row>
    <row r="139" ht="15.75" customHeight="1" spans="1:22" x14ac:dyDescent="0.25">
      <c r="A139" s="122" t="s">
        <v>528</v>
      </c>
      <c r="B139" s="123"/>
      <c r="C139" s="123"/>
      <c r="D139" s="122" t="s">
        <v>1068</v>
      </c>
      <c r="E139" s="122" t="s">
        <v>1066</v>
      </c>
      <c r="F139" s="122" t="s">
        <v>753</v>
      </c>
      <c r="G139" s="122" t="s">
        <v>771</v>
      </c>
      <c r="H139" s="122" t="s">
        <v>1000</v>
      </c>
      <c r="I139" s="122" t="s">
        <v>733</v>
      </c>
      <c r="J139" s="122">
        <v>35</v>
      </c>
      <c r="K139" s="122">
        <v>0</v>
      </c>
      <c r="L139" s="122">
        <v>45</v>
      </c>
      <c r="M139" s="122">
        <v>0</v>
      </c>
      <c r="N139" s="122">
        <v>60</v>
      </c>
      <c r="O139" s="122">
        <v>100</v>
      </c>
      <c r="P139" s="122">
        <v>134</v>
      </c>
      <c r="Q139" s="123"/>
      <c r="R139" s="122">
        <v>1</v>
      </c>
      <c r="S139" s="122">
        <v>1</v>
      </c>
      <c r="T139" s="122">
        <v>1</v>
      </c>
      <c r="U139" s="123"/>
      <c r="V139" s="122">
        <v>8858890781651</v>
      </c>
    </row>
    <row r="140" ht="15.75" customHeight="1" spans="1:22" x14ac:dyDescent="0.25">
      <c r="A140" s="122" t="s">
        <v>1069</v>
      </c>
      <c r="B140" s="123"/>
      <c r="C140" s="123"/>
      <c r="D140" s="122" t="s">
        <v>1070</v>
      </c>
      <c r="E140" s="122" t="s">
        <v>1071</v>
      </c>
      <c r="F140" s="122" t="s">
        <v>753</v>
      </c>
      <c r="G140" s="122" t="s">
        <v>771</v>
      </c>
      <c r="H140" s="122" t="s">
        <v>1000</v>
      </c>
      <c r="I140" s="122" t="s">
        <v>733</v>
      </c>
      <c r="J140" s="122">
        <v>35</v>
      </c>
      <c r="K140" s="122">
        <v>0</v>
      </c>
      <c r="L140" s="122">
        <v>45</v>
      </c>
      <c r="M140" s="122">
        <v>0</v>
      </c>
      <c r="N140" s="122">
        <v>75</v>
      </c>
      <c r="O140" s="122">
        <v>100</v>
      </c>
      <c r="P140" s="122">
        <v>0</v>
      </c>
      <c r="Q140" s="123"/>
      <c r="R140" s="122">
        <v>1</v>
      </c>
      <c r="S140" s="122">
        <v>1</v>
      </c>
      <c r="T140" s="122">
        <v>1</v>
      </c>
      <c r="U140" s="123"/>
      <c r="V140" s="122">
        <v>8858890781712</v>
      </c>
    </row>
    <row r="141" ht="15.75" customHeight="1" spans="1:22" x14ac:dyDescent="0.25">
      <c r="A141" s="122" t="s">
        <v>1072</v>
      </c>
      <c r="B141" s="123"/>
      <c r="C141" s="123"/>
      <c r="D141" s="122" t="s">
        <v>1073</v>
      </c>
      <c r="E141" s="122" t="s">
        <v>1071</v>
      </c>
      <c r="F141" s="122" t="s">
        <v>753</v>
      </c>
      <c r="G141" s="122" t="s">
        <v>771</v>
      </c>
      <c r="H141" s="122" t="s">
        <v>1000</v>
      </c>
      <c r="I141" s="122" t="s">
        <v>733</v>
      </c>
      <c r="J141" s="122">
        <v>35</v>
      </c>
      <c r="K141" s="122">
        <v>0</v>
      </c>
      <c r="L141" s="122">
        <v>45</v>
      </c>
      <c r="M141" s="122">
        <v>0</v>
      </c>
      <c r="N141" s="122">
        <v>75</v>
      </c>
      <c r="O141" s="122">
        <v>100</v>
      </c>
      <c r="P141" s="122">
        <v>0</v>
      </c>
      <c r="Q141" s="123"/>
      <c r="R141" s="122">
        <v>1</v>
      </c>
      <c r="S141" s="122">
        <v>1</v>
      </c>
      <c r="T141" s="122">
        <v>1</v>
      </c>
      <c r="U141" s="123"/>
      <c r="V141" s="122">
        <v>8858890781729</v>
      </c>
    </row>
    <row r="142" ht="15.75" customHeight="1" spans="1:22" x14ac:dyDescent="0.25">
      <c r="A142" s="122" t="s">
        <v>1074</v>
      </c>
      <c r="B142" s="123"/>
      <c r="C142" s="123"/>
      <c r="D142" s="122" t="s">
        <v>1075</v>
      </c>
      <c r="E142" s="122" t="s">
        <v>1066</v>
      </c>
      <c r="F142" s="122" t="s">
        <v>753</v>
      </c>
      <c r="G142" s="122" t="s">
        <v>771</v>
      </c>
      <c r="H142" s="122" t="s">
        <v>1000</v>
      </c>
      <c r="I142" s="122" t="s">
        <v>733</v>
      </c>
      <c r="J142" s="122">
        <v>30</v>
      </c>
      <c r="K142" s="122">
        <v>0</v>
      </c>
      <c r="L142" s="122">
        <v>45</v>
      </c>
      <c r="M142" s="122">
        <v>0</v>
      </c>
      <c r="N142" s="122">
        <v>60</v>
      </c>
      <c r="O142" s="122">
        <v>100</v>
      </c>
      <c r="P142" s="122">
        <v>23</v>
      </c>
      <c r="Q142" s="123"/>
      <c r="R142" s="122">
        <v>1</v>
      </c>
      <c r="S142" s="122">
        <v>1</v>
      </c>
      <c r="T142" s="122">
        <v>1</v>
      </c>
      <c r="U142" s="123"/>
      <c r="V142" s="122">
        <v>8858890781736</v>
      </c>
    </row>
    <row r="143" ht="15.75" customHeight="1" spans="1:22" x14ac:dyDescent="0.25">
      <c r="A143" s="122" t="s">
        <v>1076</v>
      </c>
      <c r="B143" s="123"/>
      <c r="C143" s="123"/>
      <c r="D143" s="122" t="s">
        <v>1077</v>
      </c>
      <c r="E143" s="122" t="s">
        <v>1078</v>
      </c>
      <c r="F143" s="122" t="s">
        <v>753</v>
      </c>
      <c r="G143" s="122" t="s">
        <v>771</v>
      </c>
      <c r="H143" s="122" t="s">
        <v>1000</v>
      </c>
      <c r="I143" s="122" t="s">
        <v>733</v>
      </c>
      <c r="J143" s="122">
        <v>85.5</v>
      </c>
      <c r="K143" s="122">
        <v>0</v>
      </c>
      <c r="L143" s="122">
        <v>115</v>
      </c>
      <c r="M143" s="122">
        <v>0</v>
      </c>
      <c r="N143" s="122">
        <v>125</v>
      </c>
      <c r="O143" s="122">
        <v>165</v>
      </c>
      <c r="P143" s="122">
        <v>0</v>
      </c>
      <c r="Q143" s="123"/>
      <c r="R143" s="123"/>
      <c r="S143" s="122">
        <v>1</v>
      </c>
      <c r="T143" s="122">
        <v>1</v>
      </c>
      <c r="U143" s="123"/>
      <c r="V143" s="122">
        <v>8858890781231</v>
      </c>
    </row>
    <row r="144" ht="15.75" customHeight="1" spans="1:22" x14ac:dyDescent="0.25">
      <c r="A144" s="122" t="s">
        <v>1079</v>
      </c>
      <c r="B144" s="123"/>
      <c r="C144" s="123"/>
      <c r="D144" s="122" t="s">
        <v>1080</v>
      </c>
      <c r="E144" s="122" t="s">
        <v>1081</v>
      </c>
      <c r="F144" s="122" t="s">
        <v>753</v>
      </c>
      <c r="G144" s="122" t="s">
        <v>771</v>
      </c>
      <c r="H144" s="122" t="s">
        <v>1000</v>
      </c>
      <c r="I144" s="122" t="s">
        <v>733</v>
      </c>
      <c r="J144" s="122">
        <v>85.5</v>
      </c>
      <c r="K144" s="122">
        <v>0</v>
      </c>
      <c r="L144" s="122">
        <v>115</v>
      </c>
      <c r="M144" s="122">
        <v>0</v>
      </c>
      <c r="N144" s="122">
        <v>125</v>
      </c>
      <c r="O144" s="122">
        <v>165</v>
      </c>
      <c r="P144" s="122">
        <v>1</v>
      </c>
      <c r="Q144" s="123"/>
      <c r="R144" s="123"/>
      <c r="S144" s="122">
        <v>1</v>
      </c>
      <c r="T144" s="122">
        <v>1</v>
      </c>
      <c r="U144" s="123"/>
      <c r="V144" s="122">
        <v>8858890781972</v>
      </c>
    </row>
    <row r="145" ht="15.75" customHeight="1" spans="1:22" x14ac:dyDescent="0.25">
      <c r="A145" s="122" t="s">
        <v>1082</v>
      </c>
      <c r="B145" s="123"/>
      <c r="C145" s="123"/>
      <c r="D145" s="122" t="s">
        <v>1083</v>
      </c>
      <c r="E145" s="122" t="s">
        <v>1084</v>
      </c>
      <c r="F145" s="122" t="s">
        <v>753</v>
      </c>
      <c r="G145" s="122" t="s">
        <v>771</v>
      </c>
      <c r="H145" s="122" t="s">
        <v>1000</v>
      </c>
      <c r="I145" s="122" t="s">
        <v>733</v>
      </c>
      <c r="J145" s="122">
        <v>85.51</v>
      </c>
      <c r="K145" s="122">
        <v>0</v>
      </c>
      <c r="L145" s="122">
        <v>115</v>
      </c>
      <c r="M145" s="122">
        <v>0</v>
      </c>
      <c r="N145" s="122">
        <v>125</v>
      </c>
      <c r="O145" s="122">
        <v>165</v>
      </c>
      <c r="P145" s="122">
        <v>0</v>
      </c>
      <c r="Q145" s="123"/>
      <c r="R145" s="123"/>
      <c r="S145" s="122">
        <v>1</v>
      </c>
      <c r="T145" s="122">
        <v>1</v>
      </c>
      <c r="U145" s="123"/>
      <c r="V145" s="122">
        <v>8858890781989</v>
      </c>
    </row>
    <row r="146" ht="15.75" customHeight="1" spans="1:22" x14ac:dyDescent="0.25">
      <c r="A146" s="122" t="s">
        <v>1085</v>
      </c>
      <c r="B146" s="123"/>
      <c r="C146" s="123"/>
      <c r="D146" s="122" t="s">
        <v>1086</v>
      </c>
      <c r="E146" s="122" t="s">
        <v>1087</v>
      </c>
      <c r="F146" s="122" t="s">
        <v>753</v>
      </c>
      <c r="G146" s="122" t="s">
        <v>771</v>
      </c>
      <c r="H146" s="122" t="s">
        <v>1000</v>
      </c>
      <c r="I146" s="122" t="s">
        <v>733</v>
      </c>
      <c r="J146" s="122">
        <v>86</v>
      </c>
      <c r="K146" s="122">
        <v>0</v>
      </c>
      <c r="L146" s="122">
        <v>110</v>
      </c>
      <c r="M146" s="122">
        <v>0</v>
      </c>
      <c r="N146" s="122">
        <v>125</v>
      </c>
      <c r="O146" s="122">
        <v>165</v>
      </c>
      <c r="P146" s="122">
        <v>0</v>
      </c>
      <c r="Q146" s="123"/>
      <c r="R146" s="122">
        <v>1</v>
      </c>
      <c r="S146" s="122">
        <v>1</v>
      </c>
      <c r="T146" s="122">
        <v>1</v>
      </c>
      <c r="U146" s="123"/>
      <c r="V146" s="122">
        <v>8858890781927</v>
      </c>
    </row>
    <row r="147" ht="15.75" customHeight="1" spans="1:22" x14ac:dyDescent="0.25">
      <c r="A147" s="122" t="s">
        <v>1088</v>
      </c>
      <c r="B147" s="123"/>
      <c r="C147" s="123"/>
      <c r="D147" s="122" t="s">
        <v>1089</v>
      </c>
      <c r="E147" s="122" t="s">
        <v>1090</v>
      </c>
      <c r="F147" s="122" t="s">
        <v>753</v>
      </c>
      <c r="G147" s="122" t="s">
        <v>771</v>
      </c>
      <c r="H147" s="122" t="s">
        <v>1000</v>
      </c>
      <c r="I147" s="122" t="s">
        <v>733</v>
      </c>
      <c r="J147" s="122">
        <v>48</v>
      </c>
      <c r="K147" s="122">
        <v>0</v>
      </c>
      <c r="L147" s="122">
        <v>60</v>
      </c>
      <c r="M147" s="122">
        <v>0</v>
      </c>
      <c r="N147" s="122">
        <v>90</v>
      </c>
      <c r="O147" s="122">
        <v>120</v>
      </c>
      <c r="P147" s="122">
        <v>398</v>
      </c>
      <c r="Q147" s="123"/>
      <c r="R147" s="122">
        <v>1</v>
      </c>
      <c r="S147" s="122">
        <v>1</v>
      </c>
      <c r="T147" s="122">
        <v>1</v>
      </c>
      <c r="U147" s="123"/>
      <c r="V147" s="122">
        <v>8858890782450</v>
      </c>
    </row>
    <row r="148" ht="15.75" customHeight="1" spans="1:22" x14ac:dyDescent="0.25">
      <c r="A148" s="122" t="s">
        <v>1091</v>
      </c>
      <c r="B148" s="123"/>
      <c r="C148" s="123"/>
      <c r="D148" s="122" t="s">
        <v>1092</v>
      </c>
      <c r="E148" s="122" t="s">
        <v>1093</v>
      </c>
      <c r="F148" s="122" t="s">
        <v>753</v>
      </c>
      <c r="G148" s="122" t="s">
        <v>771</v>
      </c>
      <c r="H148" s="122" t="s">
        <v>1000</v>
      </c>
      <c r="I148" s="122" t="s">
        <v>733</v>
      </c>
      <c r="J148" s="122">
        <v>52</v>
      </c>
      <c r="K148" s="122">
        <v>0</v>
      </c>
      <c r="L148" s="122">
        <v>65</v>
      </c>
      <c r="M148" s="122">
        <v>65</v>
      </c>
      <c r="N148" s="122">
        <v>90</v>
      </c>
      <c r="O148" s="122">
        <v>125</v>
      </c>
      <c r="P148" s="122">
        <v>3</v>
      </c>
      <c r="Q148" s="123"/>
      <c r="R148" s="122">
        <v>1</v>
      </c>
      <c r="S148" s="122">
        <v>1</v>
      </c>
      <c r="T148" s="122">
        <v>1</v>
      </c>
      <c r="U148" s="123"/>
      <c r="V148" s="122">
        <v>8858890782467</v>
      </c>
    </row>
    <row r="149" ht="15.75" customHeight="1" spans="1:22" x14ac:dyDescent="0.25">
      <c r="A149" s="122" t="s">
        <v>1094</v>
      </c>
      <c r="B149" s="123"/>
      <c r="C149" s="123"/>
      <c r="D149" s="122" t="s">
        <v>1095</v>
      </c>
      <c r="E149" s="122" t="s">
        <v>1096</v>
      </c>
      <c r="F149" s="122" t="s">
        <v>753</v>
      </c>
      <c r="G149" s="122" t="s">
        <v>771</v>
      </c>
      <c r="H149" s="122" t="s">
        <v>1000</v>
      </c>
      <c r="I149" s="122" t="s">
        <v>733</v>
      </c>
      <c r="J149" s="122">
        <v>49</v>
      </c>
      <c r="K149" s="122">
        <v>0</v>
      </c>
      <c r="L149" s="122">
        <v>60</v>
      </c>
      <c r="M149" s="122">
        <v>0</v>
      </c>
      <c r="N149" s="122">
        <v>90</v>
      </c>
      <c r="O149" s="122">
        <v>120</v>
      </c>
      <c r="P149" s="122">
        <v>0</v>
      </c>
      <c r="Q149" s="123"/>
      <c r="R149" s="122">
        <v>1</v>
      </c>
      <c r="S149" s="122">
        <v>1</v>
      </c>
      <c r="T149" s="122">
        <v>1</v>
      </c>
      <c r="U149" s="123"/>
      <c r="V149" s="122">
        <v>8858890782443</v>
      </c>
    </row>
    <row r="150" ht="15.75" customHeight="1" spans="1:22" x14ac:dyDescent="0.25">
      <c r="A150" s="122" t="s">
        <v>1097</v>
      </c>
      <c r="B150" s="123"/>
      <c r="C150" s="123"/>
      <c r="D150" s="122" t="s">
        <v>1098</v>
      </c>
      <c r="E150" s="122" t="s">
        <v>1099</v>
      </c>
      <c r="F150" s="122" t="s">
        <v>753</v>
      </c>
      <c r="G150" s="122" t="s">
        <v>771</v>
      </c>
      <c r="H150" s="122" t="s">
        <v>1000</v>
      </c>
      <c r="I150" s="122" t="s">
        <v>733</v>
      </c>
      <c r="J150" s="122">
        <v>52</v>
      </c>
      <c r="K150" s="122">
        <v>0</v>
      </c>
      <c r="L150" s="122">
        <v>65</v>
      </c>
      <c r="M150" s="122">
        <v>0</v>
      </c>
      <c r="N150" s="122">
        <v>95</v>
      </c>
      <c r="O150" s="122">
        <v>125</v>
      </c>
      <c r="P150" s="122">
        <v>9</v>
      </c>
      <c r="Q150" s="123"/>
      <c r="R150" s="123"/>
      <c r="S150" s="123"/>
      <c r="T150" s="123"/>
      <c r="U150" s="123"/>
      <c r="V150" s="122">
        <v>8858890782474</v>
      </c>
    </row>
    <row r="151" ht="15.75" customHeight="1" spans="1:22" x14ac:dyDescent="0.25">
      <c r="A151" s="122" t="s">
        <v>1100</v>
      </c>
      <c r="B151" s="122" t="s">
        <v>917</v>
      </c>
      <c r="C151" s="123"/>
      <c r="D151" s="122" t="s">
        <v>1101</v>
      </c>
      <c r="E151" s="122" t="s">
        <v>1102</v>
      </c>
      <c r="F151" s="122" t="s">
        <v>753</v>
      </c>
      <c r="G151" s="122" t="s">
        <v>754</v>
      </c>
      <c r="H151" s="122" t="s">
        <v>775</v>
      </c>
      <c r="I151" s="122" t="s">
        <v>733</v>
      </c>
      <c r="J151" s="122">
        <v>12.51</v>
      </c>
      <c r="K151" s="122">
        <v>0</v>
      </c>
      <c r="L151" s="122">
        <v>20</v>
      </c>
      <c r="M151" s="122">
        <v>0</v>
      </c>
      <c r="N151" s="122">
        <v>35</v>
      </c>
      <c r="O151" s="122">
        <v>60</v>
      </c>
      <c r="P151" s="122">
        <v>9</v>
      </c>
      <c r="Q151" s="123"/>
      <c r="R151" s="122">
        <v>1</v>
      </c>
      <c r="S151" s="122">
        <v>1</v>
      </c>
      <c r="T151" s="122">
        <v>1</v>
      </c>
      <c r="U151" s="123"/>
      <c r="V151" s="122">
        <v>885889078198905</v>
      </c>
    </row>
    <row r="152" ht="15.75" customHeight="1" spans="1:22" x14ac:dyDescent="0.25">
      <c r="A152" s="122" t="s">
        <v>1100</v>
      </c>
      <c r="B152" s="122" t="s">
        <v>1103</v>
      </c>
      <c r="C152" s="123"/>
      <c r="D152" s="122" t="s">
        <v>1101</v>
      </c>
      <c r="E152" s="122" t="s">
        <v>1102</v>
      </c>
      <c r="F152" s="122" t="s">
        <v>753</v>
      </c>
      <c r="G152" s="122" t="s">
        <v>754</v>
      </c>
      <c r="H152" s="122" t="s">
        <v>775</v>
      </c>
      <c r="I152" s="122" t="s">
        <v>733</v>
      </c>
      <c r="J152" s="122">
        <v>12.51</v>
      </c>
      <c r="K152" s="122">
        <v>0</v>
      </c>
      <c r="L152" s="122">
        <v>20</v>
      </c>
      <c r="M152" s="122">
        <v>0</v>
      </c>
      <c r="N152" s="122">
        <v>35</v>
      </c>
      <c r="O152" s="122">
        <v>60</v>
      </c>
      <c r="P152" s="122">
        <v>1</v>
      </c>
      <c r="Q152" s="123"/>
      <c r="R152" s="122">
        <v>1</v>
      </c>
      <c r="S152" s="122">
        <v>1</v>
      </c>
      <c r="T152" s="122">
        <v>1</v>
      </c>
      <c r="U152" s="123"/>
      <c r="V152" s="122">
        <v>885889078198902</v>
      </c>
    </row>
    <row r="153" ht="15.75" customHeight="1" spans="1:22" x14ac:dyDescent="0.25">
      <c r="A153" s="122" t="s">
        <v>1100</v>
      </c>
      <c r="B153" s="122" t="s">
        <v>913</v>
      </c>
      <c r="C153" s="123"/>
      <c r="D153" s="122" t="s">
        <v>1101</v>
      </c>
      <c r="E153" s="122" t="s">
        <v>1102</v>
      </c>
      <c r="F153" s="122" t="s">
        <v>753</v>
      </c>
      <c r="G153" s="122" t="s">
        <v>754</v>
      </c>
      <c r="H153" s="122" t="s">
        <v>775</v>
      </c>
      <c r="I153" s="122" t="s">
        <v>733</v>
      </c>
      <c r="J153" s="122">
        <v>12.51</v>
      </c>
      <c r="K153" s="122">
        <v>0</v>
      </c>
      <c r="L153" s="122">
        <v>20</v>
      </c>
      <c r="M153" s="122">
        <v>0</v>
      </c>
      <c r="N153" s="122">
        <v>35</v>
      </c>
      <c r="O153" s="122">
        <v>60</v>
      </c>
      <c r="P153" s="122">
        <v>3</v>
      </c>
      <c r="Q153" s="123"/>
      <c r="R153" s="122">
        <v>1</v>
      </c>
      <c r="S153" s="122">
        <v>1</v>
      </c>
      <c r="T153" s="122">
        <v>1</v>
      </c>
      <c r="U153" s="123"/>
      <c r="V153" s="122">
        <v>885889078198903</v>
      </c>
    </row>
    <row r="154" ht="15.75" customHeight="1" spans="1:22" x14ac:dyDescent="0.25">
      <c r="A154" s="122" t="s">
        <v>1100</v>
      </c>
      <c r="B154" s="122" t="s">
        <v>873</v>
      </c>
      <c r="C154" s="123"/>
      <c r="D154" s="122" t="s">
        <v>1101</v>
      </c>
      <c r="E154" s="122" t="s">
        <v>1102</v>
      </c>
      <c r="F154" s="122" t="s">
        <v>753</v>
      </c>
      <c r="G154" s="122" t="s">
        <v>754</v>
      </c>
      <c r="H154" s="122" t="s">
        <v>775</v>
      </c>
      <c r="I154" s="122" t="s">
        <v>733</v>
      </c>
      <c r="J154" s="122">
        <v>12.51</v>
      </c>
      <c r="K154" s="122">
        <v>0</v>
      </c>
      <c r="L154" s="122">
        <v>20</v>
      </c>
      <c r="M154" s="122">
        <v>0</v>
      </c>
      <c r="N154" s="122">
        <v>35</v>
      </c>
      <c r="O154" s="122">
        <v>60</v>
      </c>
      <c r="P154" s="122">
        <v>10</v>
      </c>
      <c r="Q154" s="123"/>
      <c r="R154" s="122">
        <v>1</v>
      </c>
      <c r="S154" s="122">
        <v>1</v>
      </c>
      <c r="T154" s="122">
        <v>1</v>
      </c>
      <c r="U154" s="123"/>
      <c r="V154" s="122">
        <v>885889078198901</v>
      </c>
    </row>
    <row r="155" ht="15.75" customHeight="1" spans="1:22" x14ac:dyDescent="0.25">
      <c r="A155" s="122" t="s">
        <v>1100</v>
      </c>
      <c r="B155" s="122" t="s">
        <v>921</v>
      </c>
      <c r="C155" s="123"/>
      <c r="D155" s="122" t="s">
        <v>1101</v>
      </c>
      <c r="E155" s="122" t="s">
        <v>1102</v>
      </c>
      <c r="F155" s="122" t="s">
        <v>753</v>
      </c>
      <c r="G155" s="122" t="s">
        <v>754</v>
      </c>
      <c r="H155" s="122" t="s">
        <v>775</v>
      </c>
      <c r="I155" s="122" t="s">
        <v>733</v>
      </c>
      <c r="J155" s="122">
        <v>12.51</v>
      </c>
      <c r="K155" s="122">
        <v>0</v>
      </c>
      <c r="L155" s="122">
        <v>20</v>
      </c>
      <c r="M155" s="122">
        <v>0</v>
      </c>
      <c r="N155" s="122">
        <v>35</v>
      </c>
      <c r="O155" s="122">
        <v>60</v>
      </c>
      <c r="P155" s="122">
        <v>6</v>
      </c>
      <c r="Q155" s="123"/>
      <c r="R155" s="122">
        <v>1</v>
      </c>
      <c r="S155" s="122">
        <v>1</v>
      </c>
      <c r="T155" s="122">
        <v>1</v>
      </c>
      <c r="U155" s="123"/>
      <c r="V155" s="122">
        <v>885889078198906</v>
      </c>
    </row>
    <row r="156" ht="15.75" customHeight="1" spans="1:22" x14ac:dyDescent="0.25">
      <c r="A156" s="122" t="s">
        <v>1100</v>
      </c>
      <c r="B156" s="122" t="s">
        <v>762</v>
      </c>
      <c r="C156" s="123"/>
      <c r="D156" s="122" t="s">
        <v>1101</v>
      </c>
      <c r="E156" s="122" t="s">
        <v>1102</v>
      </c>
      <c r="F156" s="122" t="s">
        <v>753</v>
      </c>
      <c r="G156" s="122" t="s">
        <v>754</v>
      </c>
      <c r="H156" s="122" t="s">
        <v>775</v>
      </c>
      <c r="I156" s="122" t="s">
        <v>733</v>
      </c>
      <c r="J156" s="122">
        <v>12.51</v>
      </c>
      <c r="K156" s="122">
        <v>0</v>
      </c>
      <c r="L156" s="122">
        <v>20</v>
      </c>
      <c r="M156" s="122">
        <v>0</v>
      </c>
      <c r="N156" s="122">
        <v>35</v>
      </c>
      <c r="O156" s="122">
        <v>60</v>
      </c>
      <c r="P156" s="122">
        <v>4</v>
      </c>
      <c r="Q156" s="123"/>
      <c r="R156" s="122">
        <v>1</v>
      </c>
      <c r="S156" s="122">
        <v>1</v>
      </c>
      <c r="T156" s="122">
        <v>1</v>
      </c>
      <c r="U156" s="123"/>
      <c r="V156" s="122">
        <v>885889078198904</v>
      </c>
    </row>
    <row r="157" ht="15.75" customHeight="1" spans="1:22" x14ac:dyDescent="0.25">
      <c r="A157" s="122" t="s">
        <v>366</v>
      </c>
      <c r="B157" s="123"/>
      <c r="C157" s="123"/>
      <c r="D157" s="122" t="s">
        <v>1104</v>
      </c>
      <c r="E157" s="122" t="s">
        <v>1105</v>
      </c>
      <c r="F157" s="122" t="s">
        <v>753</v>
      </c>
      <c r="G157" s="122" t="s">
        <v>831</v>
      </c>
      <c r="H157" s="122" t="s">
        <v>1106</v>
      </c>
      <c r="I157" s="122" t="s">
        <v>733</v>
      </c>
      <c r="J157" s="122">
        <v>39</v>
      </c>
      <c r="K157" s="122">
        <v>0</v>
      </c>
      <c r="L157" s="122">
        <v>50</v>
      </c>
      <c r="M157" s="122">
        <v>45</v>
      </c>
      <c r="N157" s="122">
        <v>60</v>
      </c>
      <c r="O157" s="122">
        <v>100</v>
      </c>
      <c r="P157" s="122">
        <v>12</v>
      </c>
      <c r="Q157" s="123"/>
      <c r="R157" s="122">
        <v>1</v>
      </c>
      <c r="S157" s="122">
        <v>1</v>
      </c>
      <c r="T157" s="122">
        <v>1</v>
      </c>
      <c r="U157" s="123"/>
      <c r="V157" s="122">
        <v>8858890794385</v>
      </c>
    </row>
    <row r="158" ht="15.75" customHeight="1" spans="1:22" x14ac:dyDescent="0.25">
      <c r="A158" s="122" t="s">
        <v>367</v>
      </c>
      <c r="B158" s="122" t="s">
        <v>750</v>
      </c>
      <c r="C158" s="123"/>
      <c r="D158" s="122" t="s">
        <v>1107</v>
      </c>
      <c r="E158" s="122" t="s">
        <v>1108</v>
      </c>
      <c r="F158" s="122" t="s">
        <v>753</v>
      </c>
      <c r="G158" s="122" t="s">
        <v>831</v>
      </c>
      <c r="H158" s="122" t="s">
        <v>1106</v>
      </c>
      <c r="I158" s="122" t="s">
        <v>733</v>
      </c>
      <c r="J158" s="122">
        <v>73</v>
      </c>
      <c r="K158" s="122">
        <v>0</v>
      </c>
      <c r="L158" s="122">
        <v>80</v>
      </c>
      <c r="M158" s="122">
        <v>95</v>
      </c>
      <c r="N158" s="122">
        <v>100</v>
      </c>
      <c r="O158" s="122">
        <v>150</v>
      </c>
      <c r="P158" s="122">
        <v>95</v>
      </c>
      <c r="Q158" s="123"/>
      <c r="R158" s="122">
        <v>1</v>
      </c>
      <c r="S158" s="122">
        <v>1</v>
      </c>
      <c r="T158" s="122">
        <v>1</v>
      </c>
      <c r="U158" s="123"/>
      <c r="V158" s="122">
        <v>885889079101801</v>
      </c>
    </row>
    <row r="159" ht="15.75" customHeight="1" spans="1:22" x14ac:dyDescent="0.25">
      <c r="A159" s="122" t="s">
        <v>367</v>
      </c>
      <c r="B159" s="122" t="s">
        <v>921</v>
      </c>
      <c r="C159" s="123"/>
      <c r="D159" s="122" t="s">
        <v>1107</v>
      </c>
      <c r="E159" s="122" t="s">
        <v>1108</v>
      </c>
      <c r="F159" s="122" t="s">
        <v>753</v>
      </c>
      <c r="G159" s="122" t="s">
        <v>831</v>
      </c>
      <c r="H159" s="122" t="s">
        <v>1106</v>
      </c>
      <c r="I159" s="122" t="s">
        <v>733</v>
      </c>
      <c r="J159" s="122">
        <v>73</v>
      </c>
      <c r="K159" s="122">
        <v>0</v>
      </c>
      <c r="L159" s="122">
        <v>80</v>
      </c>
      <c r="M159" s="122">
        <v>95</v>
      </c>
      <c r="N159" s="122">
        <v>100</v>
      </c>
      <c r="O159" s="122">
        <v>150</v>
      </c>
      <c r="P159" s="122">
        <v>11</v>
      </c>
      <c r="Q159" s="123"/>
      <c r="R159" s="122">
        <v>1</v>
      </c>
      <c r="S159" s="122">
        <v>1</v>
      </c>
      <c r="T159" s="122">
        <v>1</v>
      </c>
      <c r="U159" s="123"/>
      <c r="V159" s="122">
        <v>885889079101802</v>
      </c>
    </row>
    <row r="160" ht="15.75" customHeight="1" spans="1:22" x14ac:dyDescent="0.25">
      <c r="A160" s="122" t="s">
        <v>1109</v>
      </c>
      <c r="B160" s="123"/>
      <c r="C160" s="123"/>
      <c r="D160" s="122" t="s">
        <v>1110</v>
      </c>
      <c r="E160" s="122" t="s">
        <v>1111</v>
      </c>
      <c r="F160" s="122" t="s">
        <v>753</v>
      </c>
      <c r="G160" s="122" t="s">
        <v>754</v>
      </c>
      <c r="H160" s="122" t="s">
        <v>1112</v>
      </c>
      <c r="I160" s="122" t="s">
        <v>733</v>
      </c>
      <c r="J160" s="122">
        <v>155</v>
      </c>
      <c r="K160" s="122">
        <v>0</v>
      </c>
      <c r="L160" s="122">
        <v>175</v>
      </c>
      <c r="M160" s="122">
        <v>0</v>
      </c>
      <c r="N160" s="122">
        <v>200</v>
      </c>
      <c r="O160" s="122">
        <v>325</v>
      </c>
      <c r="P160" s="122">
        <v>0</v>
      </c>
      <c r="Q160" s="123"/>
      <c r="R160" s="122">
        <v>1</v>
      </c>
      <c r="S160" s="122">
        <v>1</v>
      </c>
      <c r="T160" s="122">
        <v>1</v>
      </c>
      <c r="U160" s="123"/>
      <c r="V160" s="122">
        <v>8858890731687</v>
      </c>
    </row>
    <row r="161" ht="15.75" customHeight="1" spans="1:22" x14ac:dyDescent="0.25">
      <c r="A161" s="122" t="s">
        <v>1109</v>
      </c>
      <c r="B161" s="123"/>
      <c r="C161" s="122" t="s">
        <v>777</v>
      </c>
      <c r="D161" s="122" t="s">
        <v>1110</v>
      </c>
      <c r="E161" s="122" t="s">
        <v>1111</v>
      </c>
      <c r="F161" s="122" t="s">
        <v>753</v>
      </c>
      <c r="G161" s="122" t="s">
        <v>754</v>
      </c>
      <c r="H161" s="122" t="s">
        <v>1112</v>
      </c>
      <c r="I161" s="122" t="s">
        <v>733</v>
      </c>
      <c r="J161" s="122">
        <v>155</v>
      </c>
      <c r="K161" s="122">
        <v>0</v>
      </c>
      <c r="L161" s="122">
        <v>175</v>
      </c>
      <c r="M161" s="122">
        <v>0</v>
      </c>
      <c r="N161" s="122">
        <v>200</v>
      </c>
      <c r="O161" s="122">
        <v>325</v>
      </c>
      <c r="P161" s="122">
        <v>5</v>
      </c>
      <c r="Q161" s="123"/>
      <c r="R161" s="122">
        <v>1</v>
      </c>
      <c r="S161" s="122">
        <v>1</v>
      </c>
      <c r="T161" s="122">
        <v>1</v>
      </c>
      <c r="U161" s="123"/>
      <c r="V161" s="122">
        <v>8858890731687</v>
      </c>
    </row>
    <row r="162" ht="15.75" customHeight="1" spans="1:22" x14ac:dyDescent="0.25">
      <c r="A162" s="122" t="s">
        <v>1109</v>
      </c>
      <c r="B162" s="123"/>
      <c r="C162" s="122" t="s">
        <v>1113</v>
      </c>
      <c r="D162" s="122" t="s">
        <v>1110</v>
      </c>
      <c r="E162" s="122" t="s">
        <v>1111</v>
      </c>
      <c r="F162" s="122" t="s">
        <v>753</v>
      </c>
      <c r="G162" s="122" t="s">
        <v>754</v>
      </c>
      <c r="H162" s="122" t="s">
        <v>1112</v>
      </c>
      <c r="I162" s="122" t="s">
        <v>733</v>
      </c>
      <c r="J162" s="122">
        <v>155</v>
      </c>
      <c r="K162" s="122">
        <v>0</v>
      </c>
      <c r="L162" s="122">
        <v>175</v>
      </c>
      <c r="M162" s="122">
        <v>0</v>
      </c>
      <c r="N162" s="122">
        <v>200</v>
      </c>
      <c r="O162" s="122">
        <v>325</v>
      </c>
      <c r="P162" s="122">
        <v>4</v>
      </c>
      <c r="Q162" s="123"/>
      <c r="R162" s="122">
        <v>1</v>
      </c>
      <c r="S162" s="122">
        <v>1</v>
      </c>
      <c r="T162" s="122">
        <v>1</v>
      </c>
      <c r="U162" s="123"/>
      <c r="V162" s="122">
        <v>8858890731687</v>
      </c>
    </row>
    <row r="163" ht="15.75" customHeight="1" spans="1:22" x14ac:dyDescent="0.25">
      <c r="A163" s="122" t="s">
        <v>1109</v>
      </c>
      <c r="B163" s="123"/>
      <c r="C163" s="122" t="s">
        <v>884</v>
      </c>
      <c r="D163" s="122" t="s">
        <v>1110</v>
      </c>
      <c r="E163" s="122" t="s">
        <v>1111</v>
      </c>
      <c r="F163" s="122" t="s">
        <v>753</v>
      </c>
      <c r="G163" s="122" t="s">
        <v>754</v>
      </c>
      <c r="H163" s="122" t="s">
        <v>1112</v>
      </c>
      <c r="I163" s="122" t="s">
        <v>733</v>
      </c>
      <c r="J163" s="122">
        <v>155</v>
      </c>
      <c r="K163" s="122">
        <v>0</v>
      </c>
      <c r="L163" s="122">
        <v>175</v>
      </c>
      <c r="M163" s="122">
        <v>0</v>
      </c>
      <c r="N163" s="122">
        <v>200</v>
      </c>
      <c r="O163" s="122">
        <v>325</v>
      </c>
      <c r="P163" s="122">
        <v>9</v>
      </c>
      <c r="Q163" s="123"/>
      <c r="R163" s="122">
        <v>1</v>
      </c>
      <c r="S163" s="122">
        <v>1</v>
      </c>
      <c r="T163" s="122">
        <v>1</v>
      </c>
      <c r="U163" s="123"/>
      <c r="V163" s="122">
        <v>8858890731687</v>
      </c>
    </row>
    <row r="164" ht="15.75" customHeight="1" spans="1:22" x14ac:dyDescent="0.25">
      <c r="A164" s="122" t="s">
        <v>1114</v>
      </c>
      <c r="B164" s="123"/>
      <c r="C164" s="123"/>
      <c r="D164" s="122" t="s">
        <v>1115</v>
      </c>
      <c r="E164" s="122" t="s">
        <v>1116</v>
      </c>
      <c r="F164" s="122" t="s">
        <v>753</v>
      </c>
      <c r="G164" s="122" t="s">
        <v>754</v>
      </c>
      <c r="H164" s="122" t="s">
        <v>1117</v>
      </c>
      <c r="I164" s="122" t="s">
        <v>733</v>
      </c>
      <c r="J164" s="122">
        <v>35</v>
      </c>
      <c r="K164" s="122">
        <v>0</v>
      </c>
      <c r="L164" s="122">
        <v>45</v>
      </c>
      <c r="M164" s="122">
        <v>0</v>
      </c>
      <c r="N164" s="122">
        <v>60</v>
      </c>
      <c r="O164" s="122">
        <v>90</v>
      </c>
      <c r="P164" s="122">
        <v>12</v>
      </c>
      <c r="Q164" s="123"/>
      <c r="R164" s="122">
        <v>1</v>
      </c>
      <c r="S164" s="122">
        <v>1</v>
      </c>
      <c r="T164" s="122">
        <v>1</v>
      </c>
      <c r="U164" s="123"/>
      <c r="V164" s="122">
        <v>8858890791247</v>
      </c>
    </row>
    <row r="165" ht="15.75" customHeight="1" spans="1:22" x14ac:dyDescent="0.25">
      <c r="A165" s="122" t="s">
        <v>431</v>
      </c>
      <c r="B165" s="123"/>
      <c r="C165" s="123"/>
      <c r="D165" s="122" t="s">
        <v>1118</v>
      </c>
      <c r="E165" s="122" t="s">
        <v>1119</v>
      </c>
      <c r="F165" s="122" t="s">
        <v>753</v>
      </c>
      <c r="G165" s="122" t="s">
        <v>754</v>
      </c>
      <c r="H165" s="122" t="s">
        <v>1117</v>
      </c>
      <c r="I165" s="122" t="s">
        <v>733</v>
      </c>
      <c r="J165" s="122">
        <v>61</v>
      </c>
      <c r="K165" s="122">
        <v>0</v>
      </c>
      <c r="L165" s="122">
        <v>70</v>
      </c>
      <c r="M165" s="122">
        <v>0</v>
      </c>
      <c r="N165" s="122">
        <v>85</v>
      </c>
      <c r="O165" s="122">
        <v>110</v>
      </c>
      <c r="P165" s="122">
        <v>466</v>
      </c>
      <c r="Q165" s="123"/>
      <c r="R165" s="122">
        <v>1</v>
      </c>
      <c r="S165" s="122">
        <v>1</v>
      </c>
      <c r="T165" s="122">
        <v>1</v>
      </c>
      <c r="U165" s="123"/>
      <c r="V165" s="122">
        <v>8858890790585</v>
      </c>
    </row>
    <row r="166" ht="15.75" customHeight="1" spans="1:22" x14ac:dyDescent="0.25">
      <c r="A166" s="122" t="s">
        <v>1120</v>
      </c>
      <c r="B166" s="122" t="s">
        <v>750</v>
      </c>
      <c r="C166" s="123"/>
      <c r="D166" s="122" t="s">
        <v>1121</v>
      </c>
      <c r="E166" s="122" t="s">
        <v>1122</v>
      </c>
      <c r="F166" s="122" t="s">
        <v>753</v>
      </c>
      <c r="G166" s="122" t="s">
        <v>754</v>
      </c>
      <c r="H166" s="122" t="s">
        <v>1117</v>
      </c>
      <c r="I166" s="122" t="s">
        <v>733</v>
      </c>
      <c r="J166" s="122">
        <v>32</v>
      </c>
      <c r="K166" s="122">
        <v>0</v>
      </c>
      <c r="L166" s="122">
        <v>40</v>
      </c>
      <c r="M166" s="122">
        <v>45</v>
      </c>
      <c r="N166" s="122">
        <v>50</v>
      </c>
      <c r="O166" s="122">
        <v>85</v>
      </c>
      <c r="P166" s="122">
        <v>8</v>
      </c>
      <c r="Q166" s="123"/>
      <c r="R166" s="122">
        <v>1</v>
      </c>
      <c r="S166" s="122">
        <v>1</v>
      </c>
      <c r="T166" s="122">
        <v>1</v>
      </c>
      <c r="U166" s="123"/>
      <c r="V166" s="122">
        <v>8858890797058</v>
      </c>
    </row>
    <row r="167" ht="15.75" customHeight="1" spans="1:22" x14ac:dyDescent="0.25">
      <c r="A167" s="122" t="s">
        <v>1120</v>
      </c>
      <c r="B167" s="122" t="s">
        <v>917</v>
      </c>
      <c r="C167" s="123"/>
      <c r="D167" s="122" t="s">
        <v>1121</v>
      </c>
      <c r="E167" s="122" t="s">
        <v>1122</v>
      </c>
      <c r="F167" s="122" t="s">
        <v>753</v>
      </c>
      <c r="G167" s="122" t="s">
        <v>754</v>
      </c>
      <c r="H167" s="122" t="s">
        <v>1117</v>
      </c>
      <c r="I167" s="122" t="s">
        <v>733</v>
      </c>
      <c r="J167" s="122">
        <v>32</v>
      </c>
      <c r="K167" s="122">
        <v>0</v>
      </c>
      <c r="L167" s="122">
        <v>40</v>
      </c>
      <c r="M167" s="122">
        <v>45</v>
      </c>
      <c r="N167" s="122">
        <v>50</v>
      </c>
      <c r="O167" s="122">
        <v>85</v>
      </c>
      <c r="P167" s="122">
        <v>12</v>
      </c>
      <c r="Q167" s="123"/>
      <c r="R167" s="122">
        <v>1</v>
      </c>
      <c r="S167" s="122">
        <v>1</v>
      </c>
      <c r="T167" s="122">
        <v>1</v>
      </c>
      <c r="U167" s="123"/>
      <c r="V167" s="122">
        <v>8858890797027</v>
      </c>
    </row>
    <row r="168" ht="15.75" customHeight="1" spans="1:22" x14ac:dyDescent="0.25">
      <c r="A168" s="122" t="s">
        <v>1120</v>
      </c>
      <c r="B168" s="122" t="s">
        <v>873</v>
      </c>
      <c r="C168" s="123"/>
      <c r="D168" s="122" t="s">
        <v>1121</v>
      </c>
      <c r="E168" s="122" t="s">
        <v>1122</v>
      </c>
      <c r="F168" s="122" t="s">
        <v>753</v>
      </c>
      <c r="G168" s="122" t="s">
        <v>754</v>
      </c>
      <c r="H168" s="122" t="s">
        <v>1117</v>
      </c>
      <c r="I168" s="122" t="s">
        <v>733</v>
      </c>
      <c r="J168" s="122">
        <v>32</v>
      </c>
      <c r="K168" s="122">
        <v>0</v>
      </c>
      <c r="L168" s="122">
        <v>40</v>
      </c>
      <c r="M168" s="122">
        <v>45</v>
      </c>
      <c r="N168" s="122">
        <v>50</v>
      </c>
      <c r="O168" s="122">
        <v>85</v>
      </c>
      <c r="P168" s="122">
        <v>27</v>
      </c>
      <c r="Q168" s="123"/>
      <c r="R168" s="122">
        <v>1</v>
      </c>
      <c r="S168" s="122">
        <v>1</v>
      </c>
      <c r="T168" s="122">
        <v>1</v>
      </c>
      <c r="U168" s="123"/>
      <c r="V168" s="122">
        <v>8858890797034</v>
      </c>
    </row>
    <row r="169" ht="15.75" customHeight="1" spans="1:22" x14ac:dyDescent="0.25">
      <c r="A169" s="122" t="s">
        <v>1120</v>
      </c>
      <c r="B169" s="122" t="s">
        <v>921</v>
      </c>
      <c r="C169" s="123"/>
      <c r="D169" s="122" t="s">
        <v>1121</v>
      </c>
      <c r="E169" s="122" t="s">
        <v>1122</v>
      </c>
      <c r="F169" s="122" t="s">
        <v>753</v>
      </c>
      <c r="G169" s="122" t="s">
        <v>754</v>
      </c>
      <c r="H169" s="122" t="s">
        <v>1117</v>
      </c>
      <c r="I169" s="122" t="s">
        <v>733</v>
      </c>
      <c r="J169" s="122">
        <v>32</v>
      </c>
      <c r="K169" s="122">
        <v>0</v>
      </c>
      <c r="L169" s="122">
        <v>40</v>
      </c>
      <c r="M169" s="122">
        <v>45</v>
      </c>
      <c r="N169" s="122">
        <v>50</v>
      </c>
      <c r="O169" s="122">
        <v>85</v>
      </c>
      <c r="P169" s="122">
        <v>20</v>
      </c>
      <c r="Q169" s="123"/>
      <c r="R169" s="122">
        <v>1</v>
      </c>
      <c r="S169" s="122">
        <v>1</v>
      </c>
      <c r="T169" s="122">
        <v>1</v>
      </c>
      <c r="U169" s="123"/>
      <c r="V169" s="122">
        <v>8858890797041</v>
      </c>
    </row>
    <row r="170" ht="15.75" customHeight="1" spans="1:22" x14ac:dyDescent="0.25">
      <c r="A170" s="122" t="s">
        <v>1123</v>
      </c>
      <c r="B170" s="123"/>
      <c r="C170" s="123"/>
      <c r="D170" s="122" t="s">
        <v>1124</v>
      </c>
      <c r="E170" s="122" t="s">
        <v>1125</v>
      </c>
      <c r="F170" s="122" t="s">
        <v>753</v>
      </c>
      <c r="G170" s="122" t="s">
        <v>754</v>
      </c>
      <c r="H170" s="122" t="s">
        <v>1126</v>
      </c>
      <c r="I170" s="122" t="s">
        <v>733</v>
      </c>
      <c r="J170" s="122">
        <v>25</v>
      </c>
      <c r="K170" s="122">
        <v>0</v>
      </c>
      <c r="L170" s="122">
        <v>35</v>
      </c>
      <c r="M170" s="122">
        <v>0</v>
      </c>
      <c r="N170" s="122">
        <v>55</v>
      </c>
      <c r="O170" s="122">
        <v>75</v>
      </c>
      <c r="P170" s="122">
        <v>0</v>
      </c>
      <c r="Q170" s="123"/>
      <c r="R170" s="122">
        <v>1</v>
      </c>
      <c r="S170" s="122">
        <v>1</v>
      </c>
      <c r="T170" s="122">
        <v>1</v>
      </c>
      <c r="U170" s="123"/>
      <c r="V170" s="122">
        <v>8858890791339</v>
      </c>
    </row>
    <row r="171" ht="15.75" customHeight="1" spans="1:22" x14ac:dyDescent="0.25">
      <c r="A171" s="122" t="s">
        <v>401</v>
      </c>
      <c r="B171" s="123"/>
      <c r="C171" s="123"/>
      <c r="D171" s="122" t="s">
        <v>1127</v>
      </c>
      <c r="E171" s="122" t="s">
        <v>1128</v>
      </c>
      <c r="F171" s="122" t="s">
        <v>753</v>
      </c>
      <c r="G171" s="122" t="s">
        <v>754</v>
      </c>
      <c r="H171" s="122" t="s">
        <v>1126</v>
      </c>
      <c r="I171" s="122" t="s">
        <v>733</v>
      </c>
      <c r="J171" s="122">
        <v>25</v>
      </c>
      <c r="K171" s="122">
        <v>0</v>
      </c>
      <c r="L171" s="122">
        <v>35</v>
      </c>
      <c r="M171" s="122">
        <v>35</v>
      </c>
      <c r="N171" s="122">
        <v>60</v>
      </c>
      <c r="O171" s="122">
        <v>80</v>
      </c>
      <c r="P171" s="122">
        <v>114</v>
      </c>
      <c r="Q171" s="123"/>
      <c r="R171" s="122">
        <v>1</v>
      </c>
      <c r="S171" s="122">
        <v>1</v>
      </c>
      <c r="T171" s="122">
        <v>1</v>
      </c>
      <c r="U171" s="123"/>
      <c r="V171" s="122">
        <v>8858890798598</v>
      </c>
    </row>
    <row r="172" ht="15.75" customHeight="1" spans="1:22" x14ac:dyDescent="0.25">
      <c r="A172" s="122" t="s">
        <v>1129</v>
      </c>
      <c r="B172" s="122" t="s">
        <v>750</v>
      </c>
      <c r="C172" s="123"/>
      <c r="D172" s="122" t="s">
        <v>1130</v>
      </c>
      <c r="E172" s="122" t="s">
        <v>1131</v>
      </c>
      <c r="F172" s="122" t="s">
        <v>753</v>
      </c>
      <c r="G172" s="122" t="s">
        <v>754</v>
      </c>
      <c r="H172" s="122" t="s">
        <v>1126</v>
      </c>
      <c r="I172" s="122" t="s">
        <v>733</v>
      </c>
      <c r="J172" s="122">
        <v>60.5</v>
      </c>
      <c r="K172" s="122">
        <v>0</v>
      </c>
      <c r="L172" s="122">
        <v>75</v>
      </c>
      <c r="M172" s="122">
        <v>0</v>
      </c>
      <c r="N172" s="122">
        <v>100</v>
      </c>
      <c r="O172" s="122">
        <v>130</v>
      </c>
      <c r="P172" s="122">
        <v>0</v>
      </c>
      <c r="Q172" s="123"/>
      <c r="R172" s="122">
        <v>1</v>
      </c>
      <c r="S172" s="122">
        <v>1</v>
      </c>
      <c r="T172" s="122">
        <v>1</v>
      </c>
      <c r="U172" s="123"/>
      <c r="V172" s="122">
        <v>8858890794507</v>
      </c>
    </row>
    <row r="173" ht="15.75" customHeight="1" spans="1:22" x14ac:dyDescent="0.25">
      <c r="A173" s="122" t="s">
        <v>1129</v>
      </c>
      <c r="B173" s="122" t="s">
        <v>917</v>
      </c>
      <c r="C173" s="123"/>
      <c r="D173" s="122" t="s">
        <v>1130</v>
      </c>
      <c r="E173" s="122" t="s">
        <v>1131</v>
      </c>
      <c r="F173" s="122" t="s">
        <v>753</v>
      </c>
      <c r="G173" s="122" t="s">
        <v>754</v>
      </c>
      <c r="H173" s="122" t="s">
        <v>1126</v>
      </c>
      <c r="I173" s="122" t="s">
        <v>733</v>
      </c>
      <c r="J173" s="122">
        <v>60.5</v>
      </c>
      <c r="K173" s="122">
        <v>0</v>
      </c>
      <c r="L173" s="122">
        <v>75</v>
      </c>
      <c r="M173" s="122">
        <v>0</v>
      </c>
      <c r="N173" s="122">
        <v>100</v>
      </c>
      <c r="O173" s="122">
        <v>130</v>
      </c>
      <c r="P173" s="122">
        <v>0</v>
      </c>
      <c r="Q173" s="123"/>
      <c r="R173" s="122">
        <v>1</v>
      </c>
      <c r="S173" s="122">
        <v>1</v>
      </c>
      <c r="T173" s="122">
        <v>1</v>
      </c>
      <c r="U173" s="123"/>
      <c r="V173" s="122">
        <v>8858890794507</v>
      </c>
    </row>
    <row r="174" ht="15.75" customHeight="1" spans="1:22" x14ac:dyDescent="0.25">
      <c r="A174" s="122" t="s">
        <v>393</v>
      </c>
      <c r="B174" s="123"/>
      <c r="C174" s="123"/>
      <c r="D174" s="122" t="s">
        <v>1132</v>
      </c>
      <c r="E174" s="122" t="s">
        <v>1133</v>
      </c>
      <c r="F174" s="122" t="s">
        <v>753</v>
      </c>
      <c r="G174" s="122" t="s">
        <v>754</v>
      </c>
      <c r="H174" s="122" t="s">
        <v>818</v>
      </c>
      <c r="I174" s="122" t="s">
        <v>733</v>
      </c>
      <c r="J174" s="122">
        <v>37</v>
      </c>
      <c r="K174" s="122">
        <v>0</v>
      </c>
      <c r="L174" s="122">
        <v>45</v>
      </c>
      <c r="M174" s="122">
        <v>0</v>
      </c>
      <c r="N174" s="122">
        <v>60</v>
      </c>
      <c r="O174" s="122">
        <v>85</v>
      </c>
      <c r="P174" s="122">
        <v>13</v>
      </c>
      <c r="Q174" s="123"/>
      <c r="R174" s="122">
        <v>1</v>
      </c>
      <c r="S174" s="122">
        <v>1</v>
      </c>
      <c r="T174" s="122">
        <v>1</v>
      </c>
      <c r="U174" s="123"/>
      <c r="V174" s="122">
        <v>8858890795894</v>
      </c>
    </row>
    <row r="175" ht="15.75" customHeight="1" spans="1:22" x14ac:dyDescent="0.25">
      <c r="A175" s="122" t="s">
        <v>433</v>
      </c>
      <c r="B175" s="123"/>
      <c r="C175" s="123"/>
      <c r="D175" s="122" t="s">
        <v>1134</v>
      </c>
      <c r="E175" s="122" t="s">
        <v>1135</v>
      </c>
      <c r="F175" s="122" t="s">
        <v>753</v>
      </c>
      <c r="G175" s="122" t="s">
        <v>754</v>
      </c>
      <c r="H175" s="122" t="s">
        <v>1112</v>
      </c>
      <c r="I175" s="122" t="s">
        <v>733</v>
      </c>
      <c r="J175" s="122">
        <v>28</v>
      </c>
      <c r="K175" s="122">
        <v>0</v>
      </c>
      <c r="L175" s="122">
        <v>40</v>
      </c>
      <c r="M175" s="122">
        <v>0</v>
      </c>
      <c r="N175" s="122">
        <v>60</v>
      </c>
      <c r="O175" s="122">
        <v>85</v>
      </c>
      <c r="P175" s="122">
        <v>22</v>
      </c>
      <c r="Q175" s="123"/>
      <c r="R175" s="122">
        <v>1</v>
      </c>
      <c r="S175" s="122">
        <v>1</v>
      </c>
      <c r="T175" s="122">
        <v>1</v>
      </c>
      <c r="U175" s="123"/>
      <c r="V175" s="122">
        <v>8858890782368</v>
      </c>
    </row>
    <row r="176" ht="15.75" customHeight="1" spans="1:22" x14ac:dyDescent="0.25">
      <c r="A176" s="122" t="s">
        <v>29</v>
      </c>
      <c r="B176" s="123"/>
      <c r="C176" s="123"/>
      <c r="D176" s="122" t="s">
        <v>1136</v>
      </c>
      <c r="E176" s="122" t="s">
        <v>1137</v>
      </c>
      <c r="F176" s="122" t="s">
        <v>742</v>
      </c>
      <c r="G176" s="122" t="s">
        <v>745</v>
      </c>
      <c r="H176" s="122" t="s">
        <v>1138</v>
      </c>
      <c r="I176" s="122" t="s">
        <v>733</v>
      </c>
      <c r="J176" s="122">
        <v>200</v>
      </c>
      <c r="K176" s="122">
        <v>129</v>
      </c>
      <c r="L176" s="122">
        <v>200</v>
      </c>
      <c r="M176" s="122">
        <v>129</v>
      </c>
      <c r="N176" s="122">
        <v>250</v>
      </c>
      <c r="O176" s="122">
        <v>325</v>
      </c>
      <c r="P176" s="122">
        <v>32</v>
      </c>
      <c r="Q176" s="123"/>
      <c r="R176" s="123"/>
      <c r="S176" s="122">
        <v>1</v>
      </c>
      <c r="T176" s="122">
        <v>1</v>
      </c>
      <c r="U176" s="123"/>
      <c r="V176" s="122">
        <v>8858890793364</v>
      </c>
    </row>
    <row r="177" ht="15.75" customHeight="1" spans="1:22" x14ac:dyDescent="0.25">
      <c r="A177" s="122" t="s">
        <v>1139</v>
      </c>
      <c r="B177" s="123"/>
      <c r="C177" s="123"/>
      <c r="D177" s="122" t="s">
        <v>1140</v>
      </c>
      <c r="E177" s="122" t="s">
        <v>1141</v>
      </c>
      <c r="F177" s="122" t="s">
        <v>742</v>
      </c>
      <c r="G177" s="122" t="s">
        <v>745</v>
      </c>
      <c r="H177" s="122" t="s">
        <v>1142</v>
      </c>
      <c r="I177" s="122" t="s">
        <v>733</v>
      </c>
      <c r="J177" s="122">
        <v>550</v>
      </c>
      <c r="K177" s="122">
        <v>0</v>
      </c>
      <c r="L177" s="122">
        <v>850</v>
      </c>
      <c r="M177" s="122">
        <v>0</v>
      </c>
      <c r="N177" s="122">
        <v>950</v>
      </c>
      <c r="O177" s="122">
        <v>950</v>
      </c>
      <c r="P177" s="122">
        <v>17</v>
      </c>
      <c r="Q177" s="123"/>
      <c r="R177" s="123"/>
      <c r="S177" s="122">
        <v>1</v>
      </c>
      <c r="T177" s="122">
        <v>1</v>
      </c>
      <c r="U177" s="123"/>
      <c r="V177" s="122">
        <v>8858890721169</v>
      </c>
    </row>
    <row r="178" ht="15.75" customHeight="1" spans="1:22" x14ac:dyDescent="0.25">
      <c r="A178" s="122" t="s">
        <v>422</v>
      </c>
      <c r="B178" s="123"/>
      <c r="C178" s="123"/>
      <c r="D178" s="122" t="s">
        <v>1143</v>
      </c>
      <c r="E178" s="122" t="s">
        <v>1144</v>
      </c>
      <c r="F178" s="122" t="s">
        <v>753</v>
      </c>
      <c r="G178" s="122" t="s">
        <v>754</v>
      </c>
      <c r="H178" s="122" t="s">
        <v>818</v>
      </c>
      <c r="I178" s="122" t="s">
        <v>733</v>
      </c>
      <c r="J178" s="122">
        <v>230</v>
      </c>
      <c r="K178" s="122">
        <v>150</v>
      </c>
      <c r="L178" s="122">
        <v>290</v>
      </c>
      <c r="M178" s="122">
        <v>150</v>
      </c>
      <c r="N178" s="122">
        <v>350</v>
      </c>
      <c r="O178" s="122">
        <v>455</v>
      </c>
      <c r="P178" s="122">
        <v>51</v>
      </c>
      <c r="Q178" s="123"/>
      <c r="R178" s="122">
        <v>1</v>
      </c>
      <c r="S178" s="122">
        <v>1</v>
      </c>
      <c r="T178" s="122">
        <v>1</v>
      </c>
      <c r="U178" s="123"/>
      <c r="V178" s="122">
        <v>8858890796464</v>
      </c>
    </row>
    <row r="179" ht="15.75" customHeight="1" spans="1:22" x14ac:dyDescent="0.25">
      <c r="A179" s="122" t="s">
        <v>423</v>
      </c>
      <c r="B179" s="123"/>
      <c r="C179" s="123"/>
      <c r="D179" s="122" t="s">
        <v>1145</v>
      </c>
      <c r="E179" s="122" t="s">
        <v>1146</v>
      </c>
      <c r="F179" s="122" t="s">
        <v>753</v>
      </c>
      <c r="G179" s="122" t="s">
        <v>754</v>
      </c>
      <c r="H179" s="122" t="s">
        <v>818</v>
      </c>
      <c r="I179" s="122" t="s">
        <v>733</v>
      </c>
      <c r="J179" s="122">
        <v>300</v>
      </c>
      <c r="K179" s="122">
        <v>169</v>
      </c>
      <c r="L179" s="122">
        <v>345</v>
      </c>
      <c r="M179" s="122">
        <v>169</v>
      </c>
      <c r="N179" s="122">
        <v>395</v>
      </c>
      <c r="O179" s="122">
        <v>515</v>
      </c>
      <c r="P179" s="122">
        <v>43</v>
      </c>
      <c r="Q179" s="123"/>
      <c r="R179" s="122">
        <v>1</v>
      </c>
      <c r="S179" s="122">
        <v>1</v>
      </c>
      <c r="T179" s="122">
        <v>1</v>
      </c>
      <c r="U179" s="123"/>
      <c r="V179" s="122">
        <v>8858890796471</v>
      </c>
    </row>
    <row r="180" ht="15.75" customHeight="1" spans="1:22" x14ac:dyDescent="0.25">
      <c r="A180" s="122" t="s">
        <v>51</v>
      </c>
      <c r="B180" s="123"/>
      <c r="C180" s="123"/>
      <c r="D180" s="122" t="s">
        <v>1147</v>
      </c>
      <c r="E180" s="122" t="s">
        <v>1148</v>
      </c>
      <c r="F180" s="122" t="s">
        <v>753</v>
      </c>
      <c r="G180" s="122" t="s">
        <v>754</v>
      </c>
      <c r="H180" s="122" t="s">
        <v>818</v>
      </c>
      <c r="I180" s="122" t="s">
        <v>733</v>
      </c>
      <c r="J180" s="122">
        <v>28</v>
      </c>
      <c r="K180" s="122">
        <v>30</v>
      </c>
      <c r="L180" s="122">
        <v>40</v>
      </c>
      <c r="M180" s="122">
        <v>35</v>
      </c>
      <c r="N180" s="122">
        <v>60</v>
      </c>
      <c r="O180" s="122">
        <v>85</v>
      </c>
      <c r="P180" s="122">
        <v>60</v>
      </c>
      <c r="Q180" s="123"/>
      <c r="R180" s="122">
        <v>1</v>
      </c>
      <c r="S180" s="122">
        <v>1</v>
      </c>
      <c r="T180" s="122">
        <v>1</v>
      </c>
      <c r="U180" s="123"/>
      <c r="V180" s="122">
        <v>8858890782504</v>
      </c>
    </row>
    <row r="181" ht="15.75" customHeight="1" spans="1:22" x14ac:dyDescent="0.25">
      <c r="A181" s="122" t="s">
        <v>1149</v>
      </c>
      <c r="B181" s="123"/>
      <c r="C181" s="123"/>
      <c r="D181" s="122" t="s">
        <v>1150</v>
      </c>
      <c r="E181" s="122" t="s">
        <v>1151</v>
      </c>
      <c r="F181" s="122" t="s">
        <v>742</v>
      </c>
      <c r="G181" s="122" t="s">
        <v>754</v>
      </c>
      <c r="H181" s="122" t="s">
        <v>1126</v>
      </c>
      <c r="I181" s="122" t="s">
        <v>733</v>
      </c>
      <c r="J181" s="122">
        <v>68</v>
      </c>
      <c r="K181" s="122">
        <v>0</v>
      </c>
      <c r="L181" s="122">
        <v>0</v>
      </c>
      <c r="M181" s="122">
        <v>0</v>
      </c>
      <c r="N181" s="122">
        <v>100</v>
      </c>
      <c r="O181" s="122">
        <v>130</v>
      </c>
      <c r="P181" s="122">
        <v>0</v>
      </c>
      <c r="Q181" s="123"/>
      <c r="R181" s="122">
        <v>1</v>
      </c>
      <c r="S181" s="123"/>
      <c r="T181" s="123"/>
      <c r="U181" s="123"/>
      <c r="V181" s="122">
        <v>8858890791346</v>
      </c>
    </row>
    <row r="182" ht="15.75" customHeight="1" spans="1:22" x14ac:dyDescent="0.25">
      <c r="A182" s="122" t="s">
        <v>1152</v>
      </c>
      <c r="B182" s="122" t="s">
        <v>873</v>
      </c>
      <c r="C182" s="123"/>
      <c r="D182" s="122" t="s">
        <v>1153</v>
      </c>
      <c r="E182" s="122" t="s">
        <v>1154</v>
      </c>
      <c r="F182" s="122" t="s">
        <v>779</v>
      </c>
      <c r="G182" s="122" t="s">
        <v>831</v>
      </c>
      <c r="H182" s="122" t="s">
        <v>832</v>
      </c>
      <c r="I182" s="122" t="s">
        <v>733</v>
      </c>
      <c r="J182" s="122">
        <v>170</v>
      </c>
      <c r="K182" s="122">
        <v>0</v>
      </c>
      <c r="L182" s="122">
        <v>0</v>
      </c>
      <c r="M182" s="122">
        <v>0</v>
      </c>
      <c r="N182" s="122">
        <v>190</v>
      </c>
      <c r="O182" s="122">
        <v>280</v>
      </c>
      <c r="P182" s="122">
        <v>0</v>
      </c>
      <c r="Q182" s="123"/>
      <c r="R182" s="122">
        <v>1</v>
      </c>
      <c r="S182" s="123"/>
      <c r="T182" s="122">
        <v>1</v>
      </c>
      <c r="U182" s="123"/>
      <c r="V182" s="122">
        <v>8858890795764</v>
      </c>
    </row>
    <row r="183" ht="15.75" customHeight="1" spans="1:22" x14ac:dyDescent="0.25">
      <c r="A183" s="122" t="s">
        <v>1152</v>
      </c>
      <c r="B183" s="122" t="s">
        <v>762</v>
      </c>
      <c r="C183" s="123"/>
      <c r="D183" s="122" t="s">
        <v>1153</v>
      </c>
      <c r="E183" s="122" t="s">
        <v>1154</v>
      </c>
      <c r="F183" s="122" t="s">
        <v>779</v>
      </c>
      <c r="G183" s="122" t="s">
        <v>831</v>
      </c>
      <c r="H183" s="122" t="s">
        <v>832</v>
      </c>
      <c r="I183" s="122" t="s">
        <v>733</v>
      </c>
      <c r="J183" s="122">
        <v>170</v>
      </c>
      <c r="K183" s="122">
        <v>0</v>
      </c>
      <c r="L183" s="122">
        <v>0</v>
      </c>
      <c r="M183" s="122">
        <v>0</v>
      </c>
      <c r="N183" s="122">
        <v>190</v>
      </c>
      <c r="O183" s="122">
        <v>280</v>
      </c>
      <c r="P183" s="122">
        <v>1</v>
      </c>
      <c r="Q183" s="123"/>
      <c r="R183" s="122">
        <v>1</v>
      </c>
      <c r="S183" s="123"/>
      <c r="T183" s="122">
        <v>1</v>
      </c>
      <c r="U183" s="123"/>
      <c r="V183" s="122">
        <v>8858890795771</v>
      </c>
    </row>
    <row r="184" ht="15.75" customHeight="1" spans="1:22" x14ac:dyDescent="0.25">
      <c r="A184" s="122" t="s">
        <v>379</v>
      </c>
      <c r="B184" s="123"/>
      <c r="C184" s="123"/>
      <c r="D184" s="122" t="s">
        <v>1155</v>
      </c>
      <c r="E184" s="122" t="s">
        <v>1156</v>
      </c>
      <c r="F184" s="122" t="s">
        <v>753</v>
      </c>
      <c r="G184" s="122" t="s">
        <v>831</v>
      </c>
      <c r="H184" s="122" t="s">
        <v>832</v>
      </c>
      <c r="I184" s="122" t="s">
        <v>733</v>
      </c>
      <c r="J184" s="122">
        <v>160</v>
      </c>
      <c r="K184" s="122">
        <v>150</v>
      </c>
      <c r="L184" s="122">
        <v>0</v>
      </c>
      <c r="M184" s="122">
        <v>150</v>
      </c>
      <c r="N184" s="122">
        <v>120</v>
      </c>
      <c r="O184" s="122">
        <v>280</v>
      </c>
      <c r="P184" s="122">
        <v>44</v>
      </c>
      <c r="Q184" s="123"/>
      <c r="R184" s="122">
        <v>1</v>
      </c>
      <c r="S184" s="123"/>
      <c r="T184" s="122">
        <v>1</v>
      </c>
      <c r="U184" s="123"/>
      <c r="V184" s="122">
        <v>8858890726034</v>
      </c>
    </row>
    <row r="185" ht="15.75" customHeight="1" spans="1:22" x14ac:dyDescent="0.25">
      <c r="A185" s="122" t="s">
        <v>317</v>
      </c>
      <c r="B185" s="123"/>
      <c r="C185" s="123"/>
      <c r="D185" s="122" t="s">
        <v>1157</v>
      </c>
      <c r="E185" s="122" t="s">
        <v>1158</v>
      </c>
      <c r="F185" s="122" t="s">
        <v>753</v>
      </c>
      <c r="G185" s="122" t="s">
        <v>745</v>
      </c>
      <c r="H185" s="122" t="s">
        <v>1159</v>
      </c>
      <c r="I185" s="122" t="s">
        <v>733</v>
      </c>
      <c r="J185" s="122">
        <v>95</v>
      </c>
      <c r="K185" s="122">
        <v>0</v>
      </c>
      <c r="L185" s="122">
        <v>105</v>
      </c>
      <c r="M185" s="122">
        <v>0</v>
      </c>
      <c r="N185" s="122">
        <v>125</v>
      </c>
      <c r="O185" s="122">
        <v>165</v>
      </c>
      <c r="P185" s="122">
        <v>1</v>
      </c>
      <c r="Q185" s="123"/>
      <c r="R185" s="122">
        <v>1</v>
      </c>
      <c r="S185" s="122">
        <v>1</v>
      </c>
      <c r="T185" s="122">
        <v>1</v>
      </c>
      <c r="U185" s="123"/>
      <c r="V185" s="122">
        <v>8858890720582</v>
      </c>
    </row>
    <row r="186" ht="15.75" customHeight="1" spans="1:22" x14ac:dyDescent="0.25">
      <c r="A186" s="122" t="s">
        <v>319</v>
      </c>
      <c r="B186" s="123"/>
      <c r="C186" s="123"/>
      <c r="D186" s="122" t="s">
        <v>1160</v>
      </c>
      <c r="E186" s="123"/>
      <c r="F186" s="122" t="s">
        <v>753</v>
      </c>
      <c r="G186" s="122" t="s">
        <v>745</v>
      </c>
      <c r="H186" s="122" t="s">
        <v>1159</v>
      </c>
      <c r="I186" s="122" t="s">
        <v>733</v>
      </c>
      <c r="J186" s="122">
        <v>105</v>
      </c>
      <c r="K186" s="122">
        <v>0</v>
      </c>
      <c r="L186" s="122">
        <v>0</v>
      </c>
      <c r="M186" s="122">
        <v>150</v>
      </c>
      <c r="N186" s="122">
        <v>140</v>
      </c>
      <c r="O186" s="122">
        <v>175</v>
      </c>
      <c r="P186" s="122">
        <v>351</v>
      </c>
      <c r="Q186" s="123"/>
      <c r="R186" s="123"/>
      <c r="S186" s="123"/>
      <c r="T186" s="122">
        <v>1</v>
      </c>
      <c r="U186" s="123"/>
      <c r="V186" s="122">
        <v>8858890720599</v>
      </c>
    </row>
    <row r="187" ht="15.75" customHeight="1" spans="1:22" x14ac:dyDescent="0.25">
      <c r="A187" s="122" t="s">
        <v>123</v>
      </c>
      <c r="B187" s="123"/>
      <c r="C187" s="123"/>
      <c r="D187" s="122" t="s">
        <v>124</v>
      </c>
      <c r="E187" s="122" t="s">
        <v>1161</v>
      </c>
      <c r="F187" s="122" t="s">
        <v>779</v>
      </c>
      <c r="G187" s="122" t="s">
        <v>780</v>
      </c>
      <c r="H187" s="122" t="s">
        <v>807</v>
      </c>
      <c r="I187" s="122" t="s">
        <v>733</v>
      </c>
      <c r="J187" s="122">
        <v>290</v>
      </c>
      <c r="K187" s="122">
        <v>99</v>
      </c>
      <c r="L187" s="122">
        <v>335</v>
      </c>
      <c r="M187" s="122">
        <v>99</v>
      </c>
      <c r="N187" s="122">
        <v>365</v>
      </c>
      <c r="O187" s="122">
        <v>475</v>
      </c>
      <c r="P187" s="122">
        <v>162</v>
      </c>
      <c r="Q187" s="123"/>
      <c r="R187" s="123"/>
      <c r="S187" s="122">
        <v>1</v>
      </c>
      <c r="T187" s="122">
        <v>1</v>
      </c>
      <c r="U187" s="123"/>
      <c r="V187" s="122">
        <v>8858890710668</v>
      </c>
    </row>
    <row r="188" ht="15.75" customHeight="1" spans="1:22" x14ac:dyDescent="0.25">
      <c r="A188" s="122" t="s">
        <v>263</v>
      </c>
      <c r="B188" s="123"/>
      <c r="C188" s="123"/>
      <c r="D188" s="122" t="s">
        <v>1162</v>
      </c>
      <c r="E188" s="122" t="s">
        <v>1163</v>
      </c>
      <c r="F188" s="122" t="s">
        <v>779</v>
      </c>
      <c r="G188" s="122" t="s">
        <v>780</v>
      </c>
      <c r="H188" s="122" t="s">
        <v>1164</v>
      </c>
      <c r="I188" s="122" t="s">
        <v>733</v>
      </c>
      <c r="J188" s="122">
        <v>65</v>
      </c>
      <c r="K188" s="122">
        <v>20</v>
      </c>
      <c r="L188" s="122">
        <v>0</v>
      </c>
      <c r="M188" s="122">
        <v>20</v>
      </c>
      <c r="N188" s="122">
        <v>60</v>
      </c>
      <c r="O188" s="122">
        <v>100</v>
      </c>
      <c r="P188" s="122">
        <v>129</v>
      </c>
      <c r="Q188" s="123"/>
      <c r="R188" s="122">
        <v>1</v>
      </c>
      <c r="S188" s="123"/>
      <c r="T188" s="123"/>
      <c r="U188" s="123"/>
      <c r="V188" s="122">
        <v>8858890710828</v>
      </c>
    </row>
    <row r="189" ht="15.75" customHeight="1" spans="1:22" x14ac:dyDescent="0.25">
      <c r="A189" s="122" t="s">
        <v>1165</v>
      </c>
      <c r="B189" s="123"/>
      <c r="C189" s="123"/>
      <c r="D189" s="122" t="s">
        <v>1166</v>
      </c>
      <c r="E189" s="122" t="s">
        <v>1167</v>
      </c>
      <c r="F189" s="122" t="s">
        <v>779</v>
      </c>
      <c r="G189" s="122" t="s">
        <v>780</v>
      </c>
      <c r="H189" s="122" t="s">
        <v>1164</v>
      </c>
      <c r="I189" s="122" t="s">
        <v>733</v>
      </c>
      <c r="J189" s="122">
        <v>65</v>
      </c>
      <c r="K189" s="122">
        <v>0</v>
      </c>
      <c r="L189" s="122">
        <v>85</v>
      </c>
      <c r="M189" s="122">
        <v>0</v>
      </c>
      <c r="N189" s="122">
        <v>60</v>
      </c>
      <c r="O189" s="122">
        <v>100</v>
      </c>
      <c r="P189" s="122">
        <v>0</v>
      </c>
      <c r="Q189" s="123"/>
      <c r="R189" s="122">
        <v>1</v>
      </c>
      <c r="S189" s="122">
        <v>1</v>
      </c>
      <c r="T189" s="122">
        <v>1</v>
      </c>
      <c r="U189" s="123"/>
      <c r="V189" s="122">
        <v>8858890710835</v>
      </c>
    </row>
    <row r="190" ht="15.75" customHeight="1" spans="1:22" x14ac:dyDescent="0.25">
      <c r="A190" s="122" t="s">
        <v>264</v>
      </c>
      <c r="B190" s="123"/>
      <c r="C190" s="123"/>
      <c r="D190" s="122" t="s">
        <v>1168</v>
      </c>
      <c r="E190" s="122" t="s">
        <v>1169</v>
      </c>
      <c r="F190" s="122" t="s">
        <v>779</v>
      </c>
      <c r="G190" s="122" t="s">
        <v>780</v>
      </c>
      <c r="H190" s="122" t="s">
        <v>1164</v>
      </c>
      <c r="I190" s="122" t="s">
        <v>733</v>
      </c>
      <c r="J190" s="122">
        <v>65</v>
      </c>
      <c r="K190" s="122">
        <v>20</v>
      </c>
      <c r="L190" s="122">
        <v>85</v>
      </c>
      <c r="M190" s="122">
        <v>20</v>
      </c>
      <c r="N190" s="122">
        <v>60</v>
      </c>
      <c r="O190" s="122">
        <v>100</v>
      </c>
      <c r="P190" s="122">
        <v>113</v>
      </c>
      <c r="Q190" s="123"/>
      <c r="R190" s="122">
        <v>1</v>
      </c>
      <c r="S190" s="122">
        <v>1</v>
      </c>
      <c r="T190" s="122">
        <v>1</v>
      </c>
      <c r="U190" s="123"/>
      <c r="V190" s="122">
        <v>8858890710842</v>
      </c>
    </row>
    <row r="191" ht="15.75" customHeight="1" spans="1:22" x14ac:dyDescent="0.25">
      <c r="A191" s="122" t="s">
        <v>265</v>
      </c>
      <c r="B191" s="123"/>
      <c r="C191" s="123"/>
      <c r="D191" s="122" t="s">
        <v>1170</v>
      </c>
      <c r="E191" s="122" t="s">
        <v>1171</v>
      </c>
      <c r="F191" s="122" t="s">
        <v>779</v>
      </c>
      <c r="G191" s="122" t="s">
        <v>780</v>
      </c>
      <c r="H191" s="122" t="s">
        <v>1164</v>
      </c>
      <c r="I191" s="122" t="s">
        <v>733</v>
      </c>
      <c r="J191" s="122">
        <v>65</v>
      </c>
      <c r="K191" s="122">
        <v>20</v>
      </c>
      <c r="L191" s="122">
        <v>85</v>
      </c>
      <c r="M191" s="122">
        <v>20</v>
      </c>
      <c r="N191" s="122">
        <v>60</v>
      </c>
      <c r="O191" s="122">
        <v>100</v>
      </c>
      <c r="P191" s="122">
        <v>76</v>
      </c>
      <c r="Q191" s="123"/>
      <c r="R191" s="122">
        <v>1</v>
      </c>
      <c r="S191" s="122">
        <v>1</v>
      </c>
      <c r="T191" s="122">
        <v>1</v>
      </c>
      <c r="U191" s="123"/>
      <c r="V191" s="122">
        <v>8858890710859</v>
      </c>
    </row>
    <row r="192" ht="15.75" customHeight="1" spans="1:22" x14ac:dyDescent="0.25">
      <c r="A192" s="122" t="s">
        <v>266</v>
      </c>
      <c r="B192" s="123"/>
      <c r="C192" s="123"/>
      <c r="D192" s="122" t="s">
        <v>1172</v>
      </c>
      <c r="E192" s="122" t="s">
        <v>1173</v>
      </c>
      <c r="F192" s="122" t="s">
        <v>779</v>
      </c>
      <c r="G192" s="122" t="s">
        <v>780</v>
      </c>
      <c r="H192" s="122" t="s">
        <v>1164</v>
      </c>
      <c r="I192" s="122" t="s">
        <v>733</v>
      </c>
      <c r="J192" s="122">
        <v>65</v>
      </c>
      <c r="K192" s="122">
        <v>20</v>
      </c>
      <c r="L192" s="122">
        <v>85</v>
      </c>
      <c r="M192" s="122">
        <v>20</v>
      </c>
      <c r="N192" s="122">
        <v>60</v>
      </c>
      <c r="O192" s="122">
        <v>100</v>
      </c>
      <c r="P192" s="122">
        <v>148</v>
      </c>
      <c r="Q192" s="123"/>
      <c r="R192" s="122">
        <v>1</v>
      </c>
      <c r="S192" s="123"/>
      <c r="T192" s="123"/>
      <c r="U192" s="123"/>
      <c r="V192" s="122">
        <v>8858890710866</v>
      </c>
    </row>
    <row r="193" ht="15.75" customHeight="1" spans="1:22" x14ac:dyDescent="0.25">
      <c r="A193" s="122" t="s">
        <v>1174</v>
      </c>
      <c r="B193" s="123"/>
      <c r="C193" s="123"/>
      <c r="D193" s="122" t="s">
        <v>1175</v>
      </c>
      <c r="E193" s="122" t="s">
        <v>1176</v>
      </c>
      <c r="F193" s="122" t="s">
        <v>779</v>
      </c>
      <c r="G193" s="122" t="s">
        <v>780</v>
      </c>
      <c r="H193" s="122" t="s">
        <v>1164</v>
      </c>
      <c r="I193" s="122" t="s">
        <v>733</v>
      </c>
      <c r="J193" s="122">
        <v>65</v>
      </c>
      <c r="K193" s="122">
        <v>0</v>
      </c>
      <c r="L193" s="122">
        <v>85</v>
      </c>
      <c r="M193" s="122">
        <v>0</v>
      </c>
      <c r="N193" s="122">
        <v>60</v>
      </c>
      <c r="O193" s="122">
        <v>100</v>
      </c>
      <c r="P193" s="122">
        <v>0</v>
      </c>
      <c r="Q193" s="123"/>
      <c r="R193" s="122">
        <v>1</v>
      </c>
      <c r="S193" s="123"/>
      <c r="T193" s="123"/>
      <c r="U193" s="123"/>
      <c r="V193" s="122">
        <v>8858890710873</v>
      </c>
    </row>
    <row r="194" ht="15.75" customHeight="1" spans="1:22" x14ac:dyDescent="0.25">
      <c r="A194" s="122" t="s">
        <v>267</v>
      </c>
      <c r="B194" s="123"/>
      <c r="C194" s="123"/>
      <c r="D194" s="122" t="s">
        <v>1177</v>
      </c>
      <c r="E194" s="122" t="s">
        <v>1178</v>
      </c>
      <c r="F194" s="122" t="s">
        <v>779</v>
      </c>
      <c r="G194" s="122" t="s">
        <v>780</v>
      </c>
      <c r="H194" s="122" t="s">
        <v>1164</v>
      </c>
      <c r="I194" s="122" t="s">
        <v>733</v>
      </c>
      <c r="J194" s="122">
        <v>65</v>
      </c>
      <c r="K194" s="122">
        <v>20</v>
      </c>
      <c r="L194" s="122">
        <v>85</v>
      </c>
      <c r="M194" s="122">
        <v>20</v>
      </c>
      <c r="N194" s="122">
        <v>60</v>
      </c>
      <c r="O194" s="122">
        <v>100</v>
      </c>
      <c r="P194" s="122">
        <v>89</v>
      </c>
      <c r="Q194" s="123"/>
      <c r="R194" s="122">
        <v>1</v>
      </c>
      <c r="S194" s="122">
        <v>1</v>
      </c>
      <c r="T194" s="122">
        <v>1</v>
      </c>
      <c r="U194" s="123"/>
      <c r="V194" s="122">
        <v>8858890710880</v>
      </c>
    </row>
    <row r="195" ht="15.75" customHeight="1" spans="1:22" x14ac:dyDescent="0.25">
      <c r="A195" s="122" t="s">
        <v>268</v>
      </c>
      <c r="B195" s="123"/>
      <c r="C195" s="123"/>
      <c r="D195" s="122" t="s">
        <v>1179</v>
      </c>
      <c r="E195" s="122" t="s">
        <v>1180</v>
      </c>
      <c r="F195" s="122" t="s">
        <v>779</v>
      </c>
      <c r="G195" s="122" t="s">
        <v>780</v>
      </c>
      <c r="H195" s="122" t="s">
        <v>1164</v>
      </c>
      <c r="I195" s="122" t="s">
        <v>733</v>
      </c>
      <c r="J195" s="122">
        <v>65</v>
      </c>
      <c r="K195" s="122">
        <v>20</v>
      </c>
      <c r="L195" s="122">
        <v>85</v>
      </c>
      <c r="M195" s="122">
        <v>20</v>
      </c>
      <c r="N195" s="122">
        <v>60</v>
      </c>
      <c r="O195" s="122">
        <v>100</v>
      </c>
      <c r="P195" s="122">
        <v>63</v>
      </c>
      <c r="Q195" s="123"/>
      <c r="R195" s="122">
        <v>1</v>
      </c>
      <c r="S195" s="122">
        <v>1</v>
      </c>
      <c r="T195" s="122">
        <v>1</v>
      </c>
      <c r="U195" s="123"/>
      <c r="V195" s="122">
        <v>8858890710897</v>
      </c>
    </row>
    <row r="196" ht="15.75" customHeight="1" spans="1:22" x14ac:dyDescent="0.25">
      <c r="A196" s="122" t="s">
        <v>269</v>
      </c>
      <c r="B196" s="123"/>
      <c r="C196" s="123"/>
      <c r="D196" s="122" t="s">
        <v>1181</v>
      </c>
      <c r="E196" s="122" t="s">
        <v>1182</v>
      </c>
      <c r="F196" s="122" t="s">
        <v>779</v>
      </c>
      <c r="G196" s="122" t="s">
        <v>780</v>
      </c>
      <c r="H196" s="122" t="s">
        <v>1164</v>
      </c>
      <c r="I196" s="122" t="s">
        <v>733</v>
      </c>
      <c r="J196" s="122">
        <v>65</v>
      </c>
      <c r="K196" s="122">
        <v>20</v>
      </c>
      <c r="L196" s="122">
        <v>85</v>
      </c>
      <c r="M196" s="122">
        <v>20</v>
      </c>
      <c r="N196" s="122">
        <v>60</v>
      </c>
      <c r="O196" s="122">
        <v>100</v>
      </c>
      <c r="P196" s="122">
        <v>287</v>
      </c>
      <c r="Q196" s="123"/>
      <c r="R196" s="122">
        <v>1</v>
      </c>
      <c r="S196" s="122">
        <v>1</v>
      </c>
      <c r="T196" s="122">
        <v>1</v>
      </c>
      <c r="U196" s="123"/>
      <c r="V196" s="122">
        <v>8858890710903</v>
      </c>
    </row>
    <row r="197" ht="15.75" customHeight="1" spans="1:22" x14ac:dyDescent="0.25">
      <c r="A197" s="122" t="s">
        <v>270</v>
      </c>
      <c r="B197" s="123"/>
      <c r="C197" s="123"/>
      <c r="D197" s="122" t="s">
        <v>1183</v>
      </c>
      <c r="E197" s="122" t="s">
        <v>1184</v>
      </c>
      <c r="F197" s="122" t="s">
        <v>779</v>
      </c>
      <c r="G197" s="122" t="s">
        <v>780</v>
      </c>
      <c r="H197" s="122" t="s">
        <v>1164</v>
      </c>
      <c r="I197" s="122" t="s">
        <v>733</v>
      </c>
      <c r="J197" s="122">
        <v>65</v>
      </c>
      <c r="K197" s="122">
        <v>20</v>
      </c>
      <c r="L197" s="122">
        <v>85</v>
      </c>
      <c r="M197" s="122">
        <v>20</v>
      </c>
      <c r="N197" s="122">
        <v>60</v>
      </c>
      <c r="O197" s="122">
        <v>100</v>
      </c>
      <c r="P197" s="122">
        <v>129</v>
      </c>
      <c r="Q197" s="123"/>
      <c r="R197" s="122">
        <v>1</v>
      </c>
      <c r="S197" s="122">
        <v>1</v>
      </c>
      <c r="T197" s="122">
        <v>1</v>
      </c>
      <c r="U197" s="123"/>
      <c r="V197" s="122">
        <v>8858890710910</v>
      </c>
    </row>
    <row r="198" ht="15.75" customHeight="1" spans="1:22" x14ac:dyDescent="0.25">
      <c r="A198" s="122" t="s">
        <v>1185</v>
      </c>
      <c r="B198" s="123"/>
      <c r="C198" s="123"/>
      <c r="D198" s="122" t="s">
        <v>1186</v>
      </c>
      <c r="E198" s="122" t="s">
        <v>1187</v>
      </c>
      <c r="F198" s="122" t="s">
        <v>779</v>
      </c>
      <c r="G198" s="122" t="s">
        <v>780</v>
      </c>
      <c r="H198" s="122" t="s">
        <v>1164</v>
      </c>
      <c r="I198" s="122" t="s">
        <v>733</v>
      </c>
      <c r="J198" s="122">
        <v>70</v>
      </c>
      <c r="K198" s="122">
        <v>15</v>
      </c>
      <c r="L198" s="122">
        <v>85</v>
      </c>
      <c r="M198" s="122">
        <v>15</v>
      </c>
      <c r="N198" s="122">
        <v>60</v>
      </c>
      <c r="O198" s="122">
        <v>100</v>
      </c>
      <c r="P198" s="122">
        <v>62</v>
      </c>
      <c r="Q198" s="123"/>
      <c r="R198" s="122">
        <v>1</v>
      </c>
      <c r="S198" s="122">
        <v>1</v>
      </c>
      <c r="T198" s="122">
        <v>1</v>
      </c>
      <c r="U198" s="123"/>
      <c r="V198" s="122">
        <v>8858890710927</v>
      </c>
    </row>
    <row r="199" ht="15.75" customHeight="1" spans="1:22" x14ac:dyDescent="0.25">
      <c r="A199" s="122" t="s">
        <v>1188</v>
      </c>
      <c r="B199" s="123"/>
      <c r="C199" s="123"/>
      <c r="D199" s="122" t="s">
        <v>1189</v>
      </c>
      <c r="E199" s="122" t="s">
        <v>1190</v>
      </c>
      <c r="F199" s="122" t="s">
        <v>779</v>
      </c>
      <c r="G199" s="122" t="s">
        <v>780</v>
      </c>
      <c r="H199" s="122" t="s">
        <v>1164</v>
      </c>
      <c r="I199" s="122" t="s">
        <v>733</v>
      </c>
      <c r="J199" s="122">
        <v>65</v>
      </c>
      <c r="K199" s="122">
        <v>0</v>
      </c>
      <c r="L199" s="122">
        <v>85</v>
      </c>
      <c r="M199" s="122">
        <v>0</v>
      </c>
      <c r="N199" s="122">
        <v>60</v>
      </c>
      <c r="O199" s="122">
        <v>100</v>
      </c>
      <c r="P199" s="122">
        <v>29</v>
      </c>
      <c r="Q199" s="123"/>
      <c r="R199" s="122">
        <v>1</v>
      </c>
      <c r="S199" s="122">
        <v>1</v>
      </c>
      <c r="T199" s="122">
        <v>1</v>
      </c>
      <c r="U199" s="123"/>
      <c r="V199" s="122">
        <v>8858890710934</v>
      </c>
    </row>
    <row r="200" ht="15.75" customHeight="1" spans="1:22" x14ac:dyDescent="0.25">
      <c r="A200" s="122" t="s">
        <v>194</v>
      </c>
      <c r="B200" s="123"/>
      <c r="C200" s="123"/>
      <c r="D200" s="122" t="s">
        <v>195</v>
      </c>
      <c r="E200" s="122" t="s">
        <v>1191</v>
      </c>
      <c r="F200" s="122" t="s">
        <v>779</v>
      </c>
      <c r="G200" s="122" t="s">
        <v>780</v>
      </c>
      <c r="H200" s="122" t="s">
        <v>1192</v>
      </c>
      <c r="I200" s="122" t="s">
        <v>733</v>
      </c>
      <c r="J200" s="122">
        <v>311.5</v>
      </c>
      <c r="K200" s="122">
        <v>99</v>
      </c>
      <c r="L200" s="122">
        <v>150</v>
      </c>
      <c r="M200" s="122">
        <v>150</v>
      </c>
      <c r="N200" s="122">
        <v>150</v>
      </c>
      <c r="O200" s="122">
        <v>399</v>
      </c>
      <c r="P200" s="122">
        <v>0</v>
      </c>
      <c r="Q200" s="123"/>
      <c r="R200" s="122">
        <v>1</v>
      </c>
      <c r="S200" s="122">
        <v>1</v>
      </c>
      <c r="T200" s="122">
        <v>1</v>
      </c>
      <c r="U200" s="123"/>
      <c r="V200" s="122">
        <v>8858890711092</v>
      </c>
    </row>
    <row r="201" ht="15.75" customHeight="1" spans="1:22" x14ac:dyDescent="0.25">
      <c r="A201" s="122" t="s">
        <v>200</v>
      </c>
      <c r="B201" s="123"/>
      <c r="C201" s="123"/>
      <c r="D201" s="122" t="s">
        <v>201</v>
      </c>
      <c r="E201" s="122" t="s">
        <v>1193</v>
      </c>
      <c r="F201" s="122" t="s">
        <v>779</v>
      </c>
      <c r="G201" s="122" t="s">
        <v>780</v>
      </c>
      <c r="H201" s="122" t="s">
        <v>1192</v>
      </c>
      <c r="I201" s="122" t="s">
        <v>733</v>
      </c>
      <c r="J201" s="122">
        <v>320</v>
      </c>
      <c r="K201" s="122">
        <v>99</v>
      </c>
      <c r="L201" s="122">
        <v>150</v>
      </c>
      <c r="M201" s="122">
        <v>120</v>
      </c>
      <c r="N201" s="122">
        <v>150</v>
      </c>
      <c r="O201" s="122">
        <v>399</v>
      </c>
      <c r="P201" s="122">
        <v>93</v>
      </c>
      <c r="Q201" s="123"/>
      <c r="R201" s="123"/>
      <c r="S201" s="122">
        <v>1</v>
      </c>
      <c r="T201" s="122">
        <v>1</v>
      </c>
      <c r="U201" s="123"/>
      <c r="V201" s="122">
        <v>8858890711108</v>
      </c>
    </row>
    <row r="202" ht="15.75" customHeight="1" spans="1:22" x14ac:dyDescent="0.25">
      <c r="A202" s="122" t="s">
        <v>1194</v>
      </c>
      <c r="B202" s="123"/>
      <c r="C202" s="123"/>
      <c r="D202" s="122" t="s">
        <v>1195</v>
      </c>
      <c r="E202" s="122" t="s">
        <v>1196</v>
      </c>
      <c r="F202" s="122" t="s">
        <v>779</v>
      </c>
      <c r="G202" s="122" t="s">
        <v>784</v>
      </c>
      <c r="H202" s="122" t="s">
        <v>785</v>
      </c>
      <c r="I202" s="122" t="s">
        <v>733</v>
      </c>
      <c r="J202" s="122">
        <v>120</v>
      </c>
      <c r="K202" s="122">
        <v>0</v>
      </c>
      <c r="L202" s="122">
        <v>0</v>
      </c>
      <c r="M202" s="122">
        <v>0</v>
      </c>
      <c r="N202" s="122">
        <v>135</v>
      </c>
      <c r="O202" s="122">
        <v>210</v>
      </c>
      <c r="P202" s="122">
        <v>5</v>
      </c>
      <c r="Q202" s="123"/>
      <c r="R202" s="123"/>
      <c r="S202" s="122">
        <v>1</v>
      </c>
      <c r="T202" s="122">
        <v>1</v>
      </c>
      <c r="U202" s="123"/>
      <c r="V202" s="122">
        <v>8854052553036</v>
      </c>
    </row>
    <row r="203" ht="15.75" customHeight="1" spans="1:22" x14ac:dyDescent="0.25">
      <c r="A203" s="122" t="s">
        <v>202</v>
      </c>
      <c r="B203" s="123"/>
      <c r="C203" s="123"/>
      <c r="D203" s="122" t="s">
        <v>203</v>
      </c>
      <c r="E203" s="122" t="s">
        <v>1197</v>
      </c>
      <c r="F203" s="122" t="s">
        <v>779</v>
      </c>
      <c r="G203" s="122" t="s">
        <v>784</v>
      </c>
      <c r="H203" s="122" t="s">
        <v>787</v>
      </c>
      <c r="I203" s="122" t="s">
        <v>733</v>
      </c>
      <c r="J203" s="122">
        <v>320</v>
      </c>
      <c r="K203" s="122">
        <v>199</v>
      </c>
      <c r="L203" s="122">
        <v>359</v>
      </c>
      <c r="M203" s="122">
        <v>350</v>
      </c>
      <c r="N203" s="122">
        <v>399</v>
      </c>
      <c r="O203" s="122">
        <v>490</v>
      </c>
      <c r="P203" s="122">
        <v>55</v>
      </c>
      <c r="Q203" s="123"/>
      <c r="R203" s="122">
        <v>1</v>
      </c>
      <c r="S203" s="122">
        <v>1</v>
      </c>
      <c r="T203" s="122">
        <v>1</v>
      </c>
      <c r="U203" s="123"/>
      <c r="V203" s="122">
        <v>8858890716080</v>
      </c>
    </row>
    <row r="204" ht="15.75" customHeight="1" spans="1:22" x14ac:dyDescent="0.25">
      <c r="A204" s="122" t="s">
        <v>593</v>
      </c>
      <c r="B204" s="123"/>
      <c r="C204" s="123"/>
      <c r="D204" s="122" t="s">
        <v>1198</v>
      </c>
      <c r="E204" s="122" t="s">
        <v>1199</v>
      </c>
      <c r="F204" s="122" t="s">
        <v>753</v>
      </c>
      <c r="G204" s="122" t="s">
        <v>771</v>
      </c>
      <c r="H204" s="122" t="s">
        <v>975</v>
      </c>
      <c r="I204" s="122" t="s">
        <v>733</v>
      </c>
      <c r="J204" s="122">
        <v>15</v>
      </c>
      <c r="K204" s="122">
        <v>0</v>
      </c>
      <c r="L204" s="122">
        <v>25</v>
      </c>
      <c r="M204" s="122">
        <v>30</v>
      </c>
      <c r="N204" s="122">
        <v>45</v>
      </c>
      <c r="O204" s="122">
        <v>60</v>
      </c>
      <c r="P204" s="122">
        <v>95</v>
      </c>
      <c r="Q204" s="123"/>
      <c r="R204" s="123"/>
      <c r="S204" s="122">
        <v>1</v>
      </c>
      <c r="T204" s="122">
        <v>1</v>
      </c>
      <c r="U204" s="123"/>
      <c r="V204" s="122">
        <v>8858890780395</v>
      </c>
    </row>
    <row r="205" ht="15.75" customHeight="1" spans="1:22" x14ac:dyDescent="0.25">
      <c r="A205" s="122" t="s">
        <v>1200</v>
      </c>
      <c r="B205" s="123"/>
      <c r="C205" s="123"/>
      <c r="D205" s="122" t="s">
        <v>1201</v>
      </c>
      <c r="E205" s="122" t="s">
        <v>1202</v>
      </c>
      <c r="F205" s="122" t="s">
        <v>753</v>
      </c>
      <c r="G205" s="122" t="s">
        <v>831</v>
      </c>
      <c r="H205" s="122" t="s">
        <v>1203</v>
      </c>
      <c r="I205" s="122" t="s">
        <v>733</v>
      </c>
      <c r="J205" s="122">
        <v>76</v>
      </c>
      <c r="K205" s="122">
        <v>0</v>
      </c>
      <c r="L205" s="122">
        <v>0</v>
      </c>
      <c r="M205" s="122">
        <v>150</v>
      </c>
      <c r="N205" s="122">
        <v>105</v>
      </c>
      <c r="O205" s="122">
        <v>135</v>
      </c>
      <c r="P205" s="122">
        <v>15</v>
      </c>
      <c r="Q205" s="123"/>
      <c r="R205" s="123"/>
      <c r="S205" s="123"/>
      <c r="T205" s="122">
        <v>1</v>
      </c>
      <c r="U205" s="123"/>
      <c r="V205" s="122">
        <v>8858890790158</v>
      </c>
    </row>
    <row r="206" ht="15.75" customHeight="1" spans="1:22" x14ac:dyDescent="0.25">
      <c r="A206" s="122" t="s">
        <v>315</v>
      </c>
      <c r="B206" s="123"/>
      <c r="C206" s="123"/>
      <c r="D206" s="122" t="s">
        <v>1204</v>
      </c>
      <c r="E206" s="122" t="s">
        <v>1205</v>
      </c>
      <c r="F206" s="122" t="s">
        <v>753</v>
      </c>
      <c r="G206" s="122" t="s">
        <v>745</v>
      </c>
      <c r="H206" s="122" t="s">
        <v>1206</v>
      </c>
      <c r="I206" s="122" t="s">
        <v>733</v>
      </c>
      <c r="J206" s="122">
        <v>440</v>
      </c>
      <c r="K206" s="122">
        <v>0</v>
      </c>
      <c r="L206" s="122">
        <v>650</v>
      </c>
      <c r="M206" s="122">
        <v>990</v>
      </c>
      <c r="N206" s="122">
        <v>750</v>
      </c>
      <c r="O206" s="122">
        <v>790</v>
      </c>
      <c r="P206" s="122">
        <v>9</v>
      </c>
      <c r="Q206" s="123"/>
      <c r="R206" s="123"/>
      <c r="S206" s="122">
        <v>1</v>
      </c>
      <c r="T206" s="122">
        <v>1</v>
      </c>
      <c r="U206" s="123"/>
      <c r="V206" s="122">
        <v>8858890720827</v>
      </c>
    </row>
    <row r="207" ht="15.75" customHeight="1" spans="1:22" x14ac:dyDescent="0.25">
      <c r="A207" s="122" t="s">
        <v>313</v>
      </c>
      <c r="B207" s="123"/>
      <c r="C207" s="123"/>
      <c r="D207" s="122" t="s">
        <v>1207</v>
      </c>
      <c r="E207" s="122" t="s">
        <v>1208</v>
      </c>
      <c r="F207" s="122" t="s">
        <v>753</v>
      </c>
      <c r="G207" s="122" t="s">
        <v>745</v>
      </c>
      <c r="H207" s="122" t="s">
        <v>1206</v>
      </c>
      <c r="I207" s="122" t="s">
        <v>733</v>
      </c>
      <c r="J207" s="122">
        <v>1050</v>
      </c>
      <c r="K207" s="122">
        <v>799</v>
      </c>
      <c r="L207" s="122">
        <v>1150</v>
      </c>
      <c r="M207" s="122">
        <v>990</v>
      </c>
      <c r="N207" s="122">
        <v>1250</v>
      </c>
      <c r="O207" s="122">
        <v>1650</v>
      </c>
      <c r="P207" s="122">
        <v>39</v>
      </c>
      <c r="Q207" s="123"/>
      <c r="R207" s="123"/>
      <c r="S207" s="122">
        <v>1</v>
      </c>
      <c r="T207" s="122">
        <v>1</v>
      </c>
      <c r="U207" s="123"/>
      <c r="V207" s="122">
        <v>8858890721046</v>
      </c>
    </row>
    <row r="208" ht="15.75" customHeight="1" spans="1:22" x14ac:dyDescent="0.25">
      <c r="A208" s="122" t="s">
        <v>1209</v>
      </c>
      <c r="B208" s="123"/>
      <c r="C208" s="123"/>
      <c r="D208" s="122" t="s">
        <v>1210</v>
      </c>
      <c r="E208" s="122" t="s">
        <v>1211</v>
      </c>
      <c r="F208" s="122" t="s">
        <v>753</v>
      </c>
      <c r="G208" s="122" t="s">
        <v>745</v>
      </c>
      <c r="H208" s="122" t="s">
        <v>1206</v>
      </c>
      <c r="I208" s="122" t="s">
        <v>733</v>
      </c>
      <c r="J208" s="122">
        <v>1220</v>
      </c>
      <c r="K208" s="122">
        <v>0</v>
      </c>
      <c r="L208" s="122">
        <v>1150</v>
      </c>
      <c r="M208" s="122">
        <v>0</v>
      </c>
      <c r="N208" s="122">
        <v>1250</v>
      </c>
      <c r="O208" s="122">
        <v>1600</v>
      </c>
      <c r="P208" s="122">
        <v>0</v>
      </c>
      <c r="Q208" s="123"/>
      <c r="R208" s="123"/>
      <c r="S208" s="122">
        <v>1</v>
      </c>
      <c r="T208" s="122">
        <v>1</v>
      </c>
      <c r="U208" s="123"/>
      <c r="V208" s="122">
        <v>8858890720094</v>
      </c>
    </row>
    <row r="209" ht="15.75" customHeight="1" spans="1:22" x14ac:dyDescent="0.25">
      <c r="A209" s="122" t="s">
        <v>302</v>
      </c>
      <c r="B209" s="123"/>
      <c r="C209" s="123"/>
      <c r="D209" s="122" t="s">
        <v>1212</v>
      </c>
      <c r="E209" s="122" t="s">
        <v>1213</v>
      </c>
      <c r="F209" s="122" t="s">
        <v>753</v>
      </c>
      <c r="G209" s="122" t="s">
        <v>745</v>
      </c>
      <c r="H209" s="122" t="s">
        <v>1214</v>
      </c>
      <c r="I209" s="122" t="s">
        <v>733</v>
      </c>
      <c r="J209" s="122">
        <v>550</v>
      </c>
      <c r="K209" s="122">
        <v>599</v>
      </c>
      <c r="L209" s="122">
        <v>600</v>
      </c>
      <c r="M209" s="122">
        <v>650</v>
      </c>
      <c r="N209" s="122">
        <v>670</v>
      </c>
      <c r="O209" s="122">
        <v>870</v>
      </c>
      <c r="P209" s="122">
        <v>41</v>
      </c>
      <c r="Q209" s="123"/>
      <c r="R209" s="122">
        <v>1</v>
      </c>
      <c r="S209" s="122">
        <v>1</v>
      </c>
      <c r="T209" s="122">
        <v>1</v>
      </c>
      <c r="U209" s="123"/>
      <c r="V209" s="122">
        <v>8858890720636</v>
      </c>
    </row>
    <row r="210" ht="15.75" customHeight="1" spans="1:22" x14ac:dyDescent="0.25">
      <c r="A210" s="122" t="s">
        <v>303</v>
      </c>
      <c r="B210" s="123"/>
      <c r="C210" s="123"/>
      <c r="D210" s="122" t="s">
        <v>1215</v>
      </c>
      <c r="E210" s="122" t="s">
        <v>1216</v>
      </c>
      <c r="F210" s="122" t="s">
        <v>753</v>
      </c>
      <c r="G210" s="122" t="s">
        <v>745</v>
      </c>
      <c r="H210" s="122" t="s">
        <v>1214</v>
      </c>
      <c r="I210" s="122" t="s">
        <v>733</v>
      </c>
      <c r="J210" s="122">
        <v>950</v>
      </c>
      <c r="K210" s="122">
        <v>499</v>
      </c>
      <c r="L210" s="122">
        <v>1150</v>
      </c>
      <c r="M210" s="122">
        <v>1045</v>
      </c>
      <c r="N210" s="122">
        <v>1250</v>
      </c>
      <c r="O210" s="122">
        <v>1650</v>
      </c>
      <c r="P210" s="122">
        <v>80</v>
      </c>
      <c r="Q210" s="123"/>
      <c r="R210" s="122">
        <v>1</v>
      </c>
      <c r="S210" s="122">
        <v>1</v>
      </c>
      <c r="T210" s="122">
        <v>1</v>
      </c>
      <c r="U210" s="123"/>
      <c r="V210" s="122">
        <v>8858890720858</v>
      </c>
    </row>
    <row r="211" ht="15.75" customHeight="1" spans="1:22" x14ac:dyDescent="0.25">
      <c r="A211" s="122" t="s">
        <v>1217</v>
      </c>
      <c r="B211" s="123"/>
      <c r="C211" s="123"/>
      <c r="D211" s="122" t="s">
        <v>1218</v>
      </c>
      <c r="E211" s="122" t="s">
        <v>1219</v>
      </c>
      <c r="F211" s="122" t="s">
        <v>753</v>
      </c>
      <c r="G211" s="122" t="s">
        <v>745</v>
      </c>
      <c r="H211" s="122" t="s">
        <v>1220</v>
      </c>
      <c r="I211" s="122" t="s">
        <v>1221</v>
      </c>
      <c r="J211" s="122">
        <v>490</v>
      </c>
      <c r="K211" s="122">
        <v>0</v>
      </c>
      <c r="L211" s="122">
        <v>520</v>
      </c>
      <c r="M211" s="122">
        <v>0</v>
      </c>
      <c r="N211" s="122">
        <v>600</v>
      </c>
      <c r="O211" s="122">
        <v>780</v>
      </c>
      <c r="P211" s="122">
        <v>1</v>
      </c>
      <c r="Q211" s="123"/>
      <c r="R211" s="123"/>
      <c r="S211" s="122">
        <v>1</v>
      </c>
      <c r="T211" s="122">
        <v>1</v>
      </c>
      <c r="U211" s="123"/>
      <c r="V211" s="122">
        <v>8858890720643</v>
      </c>
    </row>
    <row r="212" ht="15.75" customHeight="1" spans="1:22" x14ac:dyDescent="0.25">
      <c r="A212" s="122" t="s">
        <v>455</v>
      </c>
      <c r="B212" s="123"/>
      <c r="C212" s="123"/>
      <c r="D212" s="122" t="s">
        <v>1222</v>
      </c>
      <c r="E212" s="122" t="s">
        <v>1223</v>
      </c>
      <c r="F212" s="122" t="s">
        <v>753</v>
      </c>
      <c r="G212" s="122" t="s">
        <v>780</v>
      </c>
      <c r="H212" s="122" t="s">
        <v>807</v>
      </c>
      <c r="I212" s="122" t="s">
        <v>733</v>
      </c>
      <c r="J212" s="122">
        <v>31</v>
      </c>
      <c r="K212" s="122">
        <v>0</v>
      </c>
      <c r="L212" s="122">
        <v>0</v>
      </c>
      <c r="M212" s="122">
        <v>0</v>
      </c>
      <c r="N212" s="122">
        <v>60</v>
      </c>
      <c r="O212" s="122">
        <v>79</v>
      </c>
      <c r="P212" s="122">
        <v>5</v>
      </c>
      <c r="Q212" s="123"/>
      <c r="R212" s="122">
        <v>1</v>
      </c>
      <c r="S212" s="123"/>
      <c r="T212" s="122">
        <v>1</v>
      </c>
      <c r="U212" s="123"/>
      <c r="V212" s="122">
        <v>8858890795931</v>
      </c>
    </row>
    <row r="213" ht="15.75" customHeight="1" spans="1:22" x14ac:dyDescent="0.25">
      <c r="A213" s="122" t="s">
        <v>1224</v>
      </c>
      <c r="B213" s="123"/>
      <c r="C213" s="123"/>
      <c r="D213" s="122" t="s">
        <v>1225</v>
      </c>
      <c r="E213" s="122" t="s">
        <v>1226</v>
      </c>
      <c r="F213" s="122" t="s">
        <v>753</v>
      </c>
      <c r="G213" s="122" t="s">
        <v>765</v>
      </c>
      <c r="H213" s="122" t="s">
        <v>1227</v>
      </c>
      <c r="I213" s="122" t="s">
        <v>733</v>
      </c>
      <c r="J213" s="122">
        <v>40</v>
      </c>
      <c r="K213" s="122">
        <v>0</v>
      </c>
      <c r="L213" s="122">
        <v>0</v>
      </c>
      <c r="M213" s="122">
        <v>0</v>
      </c>
      <c r="N213" s="122">
        <v>75</v>
      </c>
      <c r="O213" s="122">
        <v>100</v>
      </c>
      <c r="P213" s="122">
        <v>10</v>
      </c>
      <c r="Q213" s="123"/>
      <c r="R213" s="122">
        <v>1</v>
      </c>
      <c r="S213" s="123"/>
      <c r="T213" s="122">
        <v>1</v>
      </c>
      <c r="U213" s="123"/>
      <c r="V213" s="122">
        <v>8858890731212</v>
      </c>
    </row>
    <row r="214" ht="15.75" customHeight="1" spans="1:22" x14ac:dyDescent="0.25">
      <c r="A214" s="122" t="s">
        <v>1228</v>
      </c>
      <c r="B214" s="123"/>
      <c r="C214" s="123"/>
      <c r="D214" s="122" t="s">
        <v>1229</v>
      </c>
      <c r="E214" s="122" t="s">
        <v>1230</v>
      </c>
      <c r="F214" s="122" t="s">
        <v>753</v>
      </c>
      <c r="G214" s="122" t="s">
        <v>765</v>
      </c>
      <c r="H214" s="122" t="s">
        <v>1231</v>
      </c>
      <c r="I214" s="122" t="s">
        <v>733</v>
      </c>
      <c r="J214" s="122">
        <v>105</v>
      </c>
      <c r="K214" s="122">
        <v>0</v>
      </c>
      <c r="L214" s="122">
        <v>0</v>
      </c>
      <c r="M214" s="122">
        <v>0</v>
      </c>
      <c r="N214" s="122">
        <v>150</v>
      </c>
      <c r="O214" s="122">
        <v>200</v>
      </c>
      <c r="P214" s="122">
        <v>0</v>
      </c>
      <c r="Q214" s="123"/>
      <c r="R214" s="123"/>
      <c r="S214" s="123"/>
      <c r="T214" s="122">
        <v>1</v>
      </c>
      <c r="U214" s="123"/>
      <c r="V214" s="122">
        <v>8858890793104</v>
      </c>
    </row>
    <row r="215" ht="15.75" customHeight="1" spans="1:22" x14ac:dyDescent="0.25">
      <c r="A215" s="122" t="s">
        <v>1232</v>
      </c>
      <c r="B215" s="123"/>
      <c r="C215" s="123"/>
      <c r="D215" s="122" t="s">
        <v>1233</v>
      </c>
      <c r="E215" s="122" t="s">
        <v>1234</v>
      </c>
      <c r="F215" s="122" t="s">
        <v>753</v>
      </c>
      <c r="G215" s="122" t="s">
        <v>765</v>
      </c>
      <c r="H215" s="122" t="s">
        <v>766</v>
      </c>
      <c r="I215" s="122" t="s">
        <v>733</v>
      </c>
      <c r="J215" s="122">
        <v>55</v>
      </c>
      <c r="K215" s="122">
        <v>0</v>
      </c>
      <c r="L215" s="122">
        <v>0</v>
      </c>
      <c r="M215" s="122">
        <v>0</v>
      </c>
      <c r="N215" s="122">
        <v>90</v>
      </c>
      <c r="O215" s="122">
        <v>120</v>
      </c>
      <c r="P215" s="122">
        <v>2</v>
      </c>
      <c r="Q215" s="123"/>
      <c r="R215" s="123"/>
      <c r="S215" s="123"/>
      <c r="T215" s="123"/>
      <c r="U215" s="123"/>
      <c r="V215" s="122">
        <v>8858890730017</v>
      </c>
    </row>
    <row r="216" ht="15.75" customHeight="1" spans="1:22" x14ac:dyDescent="0.25">
      <c r="A216" s="122" t="s">
        <v>1235</v>
      </c>
      <c r="B216" s="123"/>
      <c r="C216" s="123"/>
      <c r="D216" s="122" t="s">
        <v>1236</v>
      </c>
      <c r="E216" s="122" t="s">
        <v>1237</v>
      </c>
      <c r="F216" s="122" t="s">
        <v>753</v>
      </c>
      <c r="G216" s="122" t="s">
        <v>765</v>
      </c>
      <c r="H216" s="122" t="s">
        <v>1231</v>
      </c>
      <c r="I216" s="122" t="s">
        <v>733</v>
      </c>
      <c r="J216" s="122">
        <v>21</v>
      </c>
      <c r="K216" s="122">
        <v>0</v>
      </c>
      <c r="L216" s="122">
        <v>0</v>
      </c>
      <c r="M216" s="122">
        <v>0</v>
      </c>
      <c r="N216" s="122">
        <v>45</v>
      </c>
      <c r="O216" s="122">
        <v>60</v>
      </c>
      <c r="P216" s="122">
        <v>1</v>
      </c>
      <c r="Q216" s="123"/>
      <c r="R216" s="123"/>
      <c r="S216" s="123"/>
      <c r="T216" s="122">
        <v>1</v>
      </c>
      <c r="U216" s="123"/>
      <c r="V216" s="122">
        <v>8858890732295</v>
      </c>
    </row>
    <row r="217" ht="15.75" customHeight="1" spans="1:22" x14ac:dyDescent="0.25">
      <c r="A217" s="122" t="s">
        <v>1238</v>
      </c>
      <c r="B217" s="123"/>
      <c r="C217" s="123"/>
      <c r="D217" s="122" t="s">
        <v>1239</v>
      </c>
      <c r="E217" s="122" t="s">
        <v>1240</v>
      </c>
      <c r="F217" s="122" t="s">
        <v>753</v>
      </c>
      <c r="G217" s="122" t="s">
        <v>765</v>
      </c>
      <c r="H217" s="122" t="s">
        <v>1227</v>
      </c>
      <c r="I217" s="122" t="s">
        <v>733</v>
      </c>
      <c r="J217" s="122">
        <v>10</v>
      </c>
      <c r="K217" s="122">
        <v>0</v>
      </c>
      <c r="L217" s="122">
        <v>0</v>
      </c>
      <c r="M217" s="122">
        <v>0</v>
      </c>
      <c r="N217" s="122">
        <v>45</v>
      </c>
      <c r="O217" s="122">
        <v>55</v>
      </c>
      <c r="P217" s="122">
        <v>7</v>
      </c>
      <c r="Q217" s="123"/>
      <c r="R217" s="122">
        <v>1</v>
      </c>
      <c r="S217" s="123"/>
      <c r="T217" s="122">
        <v>1</v>
      </c>
      <c r="U217" s="123"/>
      <c r="V217" s="122">
        <v>8858890730970</v>
      </c>
    </row>
    <row r="218" ht="15.75" customHeight="1" spans="1:22" x14ac:dyDescent="0.25">
      <c r="A218" s="122" t="s">
        <v>1241</v>
      </c>
      <c r="B218" s="123"/>
      <c r="C218" s="123"/>
      <c r="D218" s="122" t="s">
        <v>1242</v>
      </c>
      <c r="E218" s="122" t="s">
        <v>1243</v>
      </c>
      <c r="F218" s="122" t="s">
        <v>753</v>
      </c>
      <c r="G218" s="122" t="s">
        <v>765</v>
      </c>
      <c r="H218" s="122" t="s">
        <v>766</v>
      </c>
      <c r="I218" s="122" t="s">
        <v>733</v>
      </c>
      <c r="J218" s="122">
        <v>28</v>
      </c>
      <c r="K218" s="122">
        <v>0</v>
      </c>
      <c r="L218" s="122">
        <v>0</v>
      </c>
      <c r="M218" s="122">
        <v>0</v>
      </c>
      <c r="N218" s="122">
        <v>60</v>
      </c>
      <c r="O218" s="122">
        <v>78</v>
      </c>
      <c r="P218" s="122">
        <v>0</v>
      </c>
      <c r="Q218" s="123"/>
      <c r="R218" s="122">
        <v>1</v>
      </c>
      <c r="S218" s="123"/>
      <c r="T218" s="122">
        <v>1</v>
      </c>
      <c r="U218" s="123"/>
      <c r="V218" s="122">
        <v>8858890730192</v>
      </c>
    </row>
    <row r="219" ht="15.75" customHeight="1" spans="1:22" x14ac:dyDescent="0.25">
      <c r="A219" s="122" t="s">
        <v>1244</v>
      </c>
      <c r="B219" s="123"/>
      <c r="C219" s="123"/>
      <c r="D219" s="122" t="s">
        <v>1245</v>
      </c>
      <c r="E219" s="123"/>
      <c r="F219" s="122" t="s">
        <v>753</v>
      </c>
      <c r="G219" s="122" t="s">
        <v>765</v>
      </c>
      <c r="H219" s="122" t="s">
        <v>1231</v>
      </c>
      <c r="I219" s="122" t="s">
        <v>733</v>
      </c>
      <c r="J219" s="122">
        <v>10</v>
      </c>
      <c r="K219" s="122">
        <v>0</v>
      </c>
      <c r="L219" s="122">
        <v>0</v>
      </c>
      <c r="M219" s="122">
        <v>0</v>
      </c>
      <c r="N219" s="122">
        <v>35</v>
      </c>
      <c r="O219" s="122">
        <v>45</v>
      </c>
      <c r="P219" s="122">
        <v>11</v>
      </c>
      <c r="Q219" s="123"/>
      <c r="R219" s="123"/>
      <c r="S219" s="123"/>
      <c r="T219" s="122">
        <v>1</v>
      </c>
      <c r="U219" s="123"/>
      <c r="V219" s="122">
        <v>8858890732196</v>
      </c>
    </row>
    <row r="220" ht="15.75" customHeight="1" spans="1:22" x14ac:dyDescent="0.25">
      <c r="A220" s="122" t="s">
        <v>1246</v>
      </c>
      <c r="B220" s="123"/>
      <c r="C220" s="123"/>
      <c r="D220" s="122" t="s">
        <v>1247</v>
      </c>
      <c r="E220" s="122" t="s">
        <v>1248</v>
      </c>
      <c r="F220" s="122" t="s">
        <v>753</v>
      </c>
      <c r="G220" s="122" t="s">
        <v>754</v>
      </c>
      <c r="H220" s="122" t="s">
        <v>1112</v>
      </c>
      <c r="I220" s="122" t="s">
        <v>733</v>
      </c>
      <c r="J220" s="122">
        <v>17</v>
      </c>
      <c r="K220" s="122">
        <v>0</v>
      </c>
      <c r="L220" s="122">
        <v>0</v>
      </c>
      <c r="M220" s="122">
        <v>0</v>
      </c>
      <c r="N220" s="122">
        <v>52</v>
      </c>
      <c r="O220" s="122">
        <v>100</v>
      </c>
      <c r="P220" s="122">
        <v>18</v>
      </c>
      <c r="Q220" s="123"/>
      <c r="R220" s="122">
        <v>1</v>
      </c>
      <c r="S220" s="123"/>
      <c r="T220" s="122">
        <v>1</v>
      </c>
      <c r="U220" s="123"/>
      <c r="V220" s="122">
        <v>8858890790547</v>
      </c>
    </row>
    <row r="221" ht="15.75" customHeight="1" spans="1:22" x14ac:dyDescent="0.25">
      <c r="A221" s="122" t="s">
        <v>550</v>
      </c>
      <c r="B221" s="123"/>
      <c r="C221" s="123"/>
      <c r="D221" s="122" t="s">
        <v>1249</v>
      </c>
      <c r="E221" s="122" t="s">
        <v>1250</v>
      </c>
      <c r="F221" s="122" t="s">
        <v>753</v>
      </c>
      <c r="G221" s="122" t="s">
        <v>771</v>
      </c>
      <c r="H221" s="122" t="s">
        <v>1251</v>
      </c>
      <c r="I221" s="122" t="s">
        <v>733</v>
      </c>
      <c r="J221" s="122">
        <v>10</v>
      </c>
      <c r="K221" s="122">
        <v>0</v>
      </c>
      <c r="L221" s="122">
        <v>0</v>
      </c>
      <c r="M221" s="122">
        <v>0</v>
      </c>
      <c r="N221" s="122">
        <v>30</v>
      </c>
      <c r="O221" s="122">
        <v>100</v>
      </c>
      <c r="P221" s="122">
        <v>19</v>
      </c>
      <c r="Q221" s="123"/>
      <c r="R221" s="122">
        <v>1</v>
      </c>
      <c r="S221" s="122">
        <v>1</v>
      </c>
      <c r="T221" s="122">
        <v>1</v>
      </c>
      <c r="U221" s="123"/>
      <c r="V221" s="122">
        <v>8858890780128</v>
      </c>
    </row>
    <row r="222" ht="15.75" customHeight="1" spans="1:22" x14ac:dyDescent="0.25">
      <c r="A222" s="122" t="s">
        <v>1252</v>
      </c>
      <c r="B222" s="123"/>
      <c r="C222" s="123"/>
      <c r="D222" s="122" t="s">
        <v>1253</v>
      </c>
      <c r="E222" s="122" t="s">
        <v>1254</v>
      </c>
      <c r="F222" s="122" t="s">
        <v>753</v>
      </c>
      <c r="G222" s="122" t="s">
        <v>765</v>
      </c>
      <c r="H222" s="122" t="s">
        <v>1227</v>
      </c>
      <c r="I222" s="122" t="s">
        <v>733</v>
      </c>
      <c r="J222" s="122">
        <v>15</v>
      </c>
      <c r="K222" s="122">
        <v>0</v>
      </c>
      <c r="L222" s="122">
        <v>0</v>
      </c>
      <c r="M222" s="122">
        <v>0</v>
      </c>
      <c r="N222" s="122">
        <v>35</v>
      </c>
      <c r="O222" s="122">
        <v>100</v>
      </c>
      <c r="P222" s="122">
        <v>5</v>
      </c>
      <c r="Q222" s="123"/>
      <c r="R222" s="122">
        <v>1</v>
      </c>
      <c r="S222" s="123"/>
      <c r="T222" s="123"/>
      <c r="U222" s="123"/>
      <c r="V222" s="122">
        <v>858890792152</v>
      </c>
    </row>
    <row r="223" ht="15.75" customHeight="1" spans="1:22" x14ac:dyDescent="0.25">
      <c r="A223" s="122" t="s">
        <v>1255</v>
      </c>
      <c r="B223" s="123"/>
      <c r="C223" s="123"/>
      <c r="D223" s="122" t="s">
        <v>1256</v>
      </c>
      <c r="E223" s="122" t="s">
        <v>1257</v>
      </c>
      <c r="F223" s="122" t="s">
        <v>753</v>
      </c>
      <c r="G223" s="122" t="s">
        <v>754</v>
      </c>
      <c r="H223" s="122" t="s">
        <v>1112</v>
      </c>
      <c r="I223" s="122" t="s">
        <v>733</v>
      </c>
      <c r="J223" s="122">
        <v>100</v>
      </c>
      <c r="K223" s="122">
        <v>0</v>
      </c>
      <c r="L223" s="122">
        <v>200</v>
      </c>
      <c r="M223" s="122">
        <v>0</v>
      </c>
      <c r="N223" s="122">
        <v>250</v>
      </c>
      <c r="O223" s="122">
        <v>320</v>
      </c>
      <c r="P223" s="122">
        <v>10</v>
      </c>
      <c r="Q223" s="123"/>
      <c r="R223" s="123"/>
      <c r="S223" s="122">
        <v>1</v>
      </c>
      <c r="T223" s="122">
        <v>1</v>
      </c>
      <c r="U223" s="123"/>
      <c r="V223" s="122">
        <v>8858890795818</v>
      </c>
    </row>
    <row r="224" ht="15.75" customHeight="1" spans="1:22" x14ac:dyDescent="0.25">
      <c r="A224" s="122" t="s">
        <v>1258</v>
      </c>
      <c r="B224" s="123"/>
      <c r="C224" s="123"/>
      <c r="D224" s="122" t="s">
        <v>1259</v>
      </c>
      <c r="E224" s="122" t="s">
        <v>1260</v>
      </c>
      <c r="F224" s="122" t="s">
        <v>753</v>
      </c>
      <c r="G224" s="122" t="s">
        <v>759</v>
      </c>
      <c r="H224" s="122" t="s">
        <v>760</v>
      </c>
      <c r="I224" s="122" t="s">
        <v>733</v>
      </c>
      <c r="J224" s="122">
        <v>649</v>
      </c>
      <c r="K224" s="122">
        <v>0</v>
      </c>
      <c r="L224" s="122">
        <v>0</v>
      </c>
      <c r="M224" s="122">
        <v>0</v>
      </c>
      <c r="N224" s="122">
        <v>850</v>
      </c>
      <c r="O224" s="122">
        <v>1100</v>
      </c>
      <c r="P224" s="122">
        <v>0</v>
      </c>
      <c r="Q224" s="123"/>
      <c r="R224" s="123"/>
      <c r="S224" s="123"/>
      <c r="T224" s="122">
        <v>1</v>
      </c>
      <c r="U224" s="123"/>
      <c r="V224" s="122">
        <v>8858890760977</v>
      </c>
    </row>
    <row r="225" ht="15.75" customHeight="1" spans="1:22" x14ac:dyDescent="0.25">
      <c r="A225" s="122" t="s">
        <v>1261</v>
      </c>
      <c r="B225" s="123"/>
      <c r="C225" s="123"/>
      <c r="D225" s="122" t="s">
        <v>1262</v>
      </c>
      <c r="E225" s="122" t="s">
        <v>1263</v>
      </c>
      <c r="F225" s="122" t="s">
        <v>753</v>
      </c>
      <c r="G225" s="122" t="s">
        <v>784</v>
      </c>
      <c r="H225" s="122" t="s">
        <v>785</v>
      </c>
      <c r="I225" s="122" t="s">
        <v>733</v>
      </c>
      <c r="J225" s="122">
        <v>1</v>
      </c>
      <c r="K225" s="122">
        <v>0</v>
      </c>
      <c r="L225" s="122">
        <v>0</v>
      </c>
      <c r="M225" s="122">
        <v>0</v>
      </c>
      <c r="N225" s="122">
        <v>20</v>
      </c>
      <c r="O225" s="122">
        <v>26</v>
      </c>
      <c r="P225" s="122">
        <v>0</v>
      </c>
      <c r="Q225" s="123"/>
      <c r="R225" s="122">
        <v>1</v>
      </c>
      <c r="S225" s="123"/>
      <c r="T225" s="122">
        <v>1</v>
      </c>
      <c r="U225" s="123"/>
      <c r="V225" s="122">
        <v>8858890720452</v>
      </c>
    </row>
    <row r="226" ht="15.75" customHeight="1" spans="1:22" x14ac:dyDescent="0.25">
      <c r="A226" s="122" t="s">
        <v>1264</v>
      </c>
      <c r="B226" s="123"/>
      <c r="C226" s="123"/>
      <c r="D226" s="122" t="s">
        <v>1265</v>
      </c>
      <c r="E226" s="122" t="s">
        <v>1266</v>
      </c>
      <c r="F226" s="122" t="s">
        <v>753</v>
      </c>
      <c r="G226" s="122" t="s">
        <v>771</v>
      </c>
      <c r="H226" s="122" t="s">
        <v>1000</v>
      </c>
      <c r="I226" s="122" t="s">
        <v>733</v>
      </c>
      <c r="J226" s="122">
        <v>85</v>
      </c>
      <c r="K226" s="122">
        <v>0</v>
      </c>
      <c r="L226" s="122">
        <v>0</v>
      </c>
      <c r="M226" s="122">
        <v>0</v>
      </c>
      <c r="N226" s="122">
        <v>115</v>
      </c>
      <c r="O226" s="122">
        <v>165</v>
      </c>
      <c r="P226" s="122">
        <v>1168</v>
      </c>
      <c r="Q226" s="123"/>
      <c r="R226" s="122">
        <v>1</v>
      </c>
      <c r="S226" s="123"/>
      <c r="T226" s="122">
        <v>1</v>
      </c>
      <c r="U226" s="123"/>
      <c r="V226" s="122">
        <v>8858890781675</v>
      </c>
    </row>
    <row r="227" ht="15.75" customHeight="1" spans="1:22" x14ac:dyDescent="0.25">
      <c r="A227" s="122" t="s">
        <v>1267</v>
      </c>
      <c r="B227" s="123"/>
      <c r="C227" s="123"/>
      <c r="D227" s="122" t="s">
        <v>1268</v>
      </c>
      <c r="E227" s="122" t="s">
        <v>1266</v>
      </c>
      <c r="F227" s="122" t="s">
        <v>753</v>
      </c>
      <c r="G227" s="122" t="s">
        <v>771</v>
      </c>
      <c r="H227" s="122" t="s">
        <v>1000</v>
      </c>
      <c r="I227" s="122" t="s">
        <v>733</v>
      </c>
      <c r="J227" s="122">
        <v>90</v>
      </c>
      <c r="K227" s="122">
        <v>0</v>
      </c>
      <c r="L227" s="122">
        <v>0</v>
      </c>
      <c r="M227" s="122">
        <v>0</v>
      </c>
      <c r="N227" s="122">
        <v>120</v>
      </c>
      <c r="O227" s="122">
        <v>170</v>
      </c>
      <c r="P227" s="122">
        <v>110</v>
      </c>
      <c r="Q227" s="123"/>
      <c r="R227" s="122">
        <v>1</v>
      </c>
      <c r="S227" s="123"/>
      <c r="T227" s="122">
        <v>1</v>
      </c>
      <c r="U227" s="123"/>
      <c r="V227" s="122">
        <v>8858890781682</v>
      </c>
    </row>
    <row r="228" ht="15.75" customHeight="1" spans="1:22" x14ac:dyDescent="0.25">
      <c r="A228" s="122" t="s">
        <v>1269</v>
      </c>
      <c r="B228" s="123"/>
      <c r="C228" s="123"/>
      <c r="D228" s="122" t="s">
        <v>1270</v>
      </c>
      <c r="E228" s="122" t="s">
        <v>1266</v>
      </c>
      <c r="F228" s="122" t="s">
        <v>753</v>
      </c>
      <c r="G228" s="122" t="s">
        <v>771</v>
      </c>
      <c r="H228" s="122" t="s">
        <v>1000</v>
      </c>
      <c r="I228" s="122" t="s">
        <v>733</v>
      </c>
      <c r="J228" s="122">
        <v>95</v>
      </c>
      <c r="K228" s="122">
        <v>0</v>
      </c>
      <c r="L228" s="122">
        <v>0</v>
      </c>
      <c r="M228" s="122">
        <v>0</v>
      </c>
      <c r="N228" s="122">
        <v>125</v>
      </c>
      <c r="O228" s="122">
        <v>175</v>
      </c>
      <c r="P228" s="122">
        <v>169</v>
      </c>
      <c r="Q228" s="123"/>
      <c r="R228" s="123"/>
      <c r="S228" s="123"/>
      <c r="T228" s="122">
        <v>1</v>
      </c>
      <c r="U228" s="123"/>
      <c r="V228" s="122">
        <v>8858890781699</v>
      </c>
    </row>
    <row r="229" ht="15.75" customHeight="1" spans="1:22" x14ac:dyDescent="0.25">
      <c r="A229" s="122" t="s">
        <v>1271</v>
      </c>
      <c r="B229" s="123"/>
      <c r="C229" s="123"/>
      <c r="D229" s="122" t="s">
        <v>1272</v>
      </c>
      <c r="E229" s="122" t="s">
        <v>1273</v>
      </c>
      <c r="F229" s="122" t="s">
        <v>753</v>
      </c>
      <c r="G229" s="122" t="s">
        <v>771</v>
      </c>
      <c r="H229" s="122" t="s">
        <v>1000</v>
      </c>
      <c r="I229" s="122" t="s">
        <v>733</v>
      </c>
      <c r="J229" s="122">
        <v>105</v>
      </c>
      <c r="K229" s="122">
        <v>0</v>
      </c>
      <c r="L229" s="122">
        <v>0</v>
      </c>
      <c r="M229" s="122">
        <v>0</v>
      </c>
      <c r="N229" s="122">
        <v>130</v>
      </c>
      <c r="O229" s="122">
        <v>189</v>
      </c>
      <c r="P229" s="122">
        <v>143</v>
      </c>
      <c r="Q229" s="123"/>
      <c r="R229" s="122">
        <v>1</v>
      </c>
      <c r="S229" s="123"/>
      <c r="T229" s="122">
        <v>1</v>
      </c>
      <c r="U229" s="123"/>
      <c r="V229" s="122">
        <v>8858890781705</v>
      </c>
    </row>
    <row r="230" ht="15.75" customHeight="1" spans="1:22" x14ac:dyDescent="0.25">
      <c r="A230" s="122" t="s">
        <v>449</v>
      </c>
      <c r="B230" s="122" t="s">
        <v>750</v>
      </c>
      <c r="C230" s="123"/>
      <c r="D230" s="122" t="s">
        <v>1274</v>
      </c>
      <c r="E230" s="122" t="s">
        <v>1275</v>
      </c>
      <c r="F230" s="122" t="s">
        <v>753</v>
      </c>
      <c r="G230" s="122" t="s">
        <v>754</v>
      </c>
      <c r="H230" s="122" t="s">
        <v>1276</v>
      </c>
      <c r="I230" s="122" t="s">
        <v>733</v>
      </c>
      <c r="J230" s="122">
        <v>10</v>
      </c>
      <c r="K230" s="122">
        <v>0</v>
      </c>
      <c r="L230" s="122">
        <v>0</v>
      </c>
      <c r="M230" s="122">
        <v>20</v>
      </c>
      <c r="N230" s="122">
        <v>35</v>
      </c>
      <c r="O230" s="122">
        <v>45</v>
      </c>
      <c r="P230" s="122">
        <v>11</v>
      </c>
      <c r="Q230" s="123"/>
      <c r="R230" s="122">
        <v>1</v>
      </c>
      <c r="S230" s="123"/>
      <c r="T230" s="122">
        <v>1</v>
      </c>
      <c r="U230" s="123"/>
      <c r="V230" s="122">
        <v>8858890780999</v>
      </c>
    </row>
    <row r="231" ht="15.75" customHeight="1" spans="1:22" x14ac:dyDescent="0.25">
      <c r="A231" s="122" t="s">
        <v>449</v>
      </c>
      <c r="B231" s="122" t="s">
        <v>917</v>
      </c>
      <c r="C231" s="123"/>
      <c r="D231" s="122" t="s">
        <v>1274</v>
      </c>
      <c r="E231" s="122" t="s">
        <v>1275</v>
      </c>
      <c r="F231" s="122" t="s">
        <v>753</v>
      </c>
      <c r="G231" s="122" t="s">
        <v>754</v>
      </c>
      <c r="H231" s="122" t="s">
        <v>1276</v>
      </c>
      <c r="I231" s="122" t="s">
        <v>733</v>
      </c>
      <c r="J231" s="122">
        <v>10</v>
      </c>
      <c r="K231" s="122">
        <v>0</v>
      </c>
      <c r="L231" s="122">
        <v>0</v>
      </c>
      <c r="M231" s="122">
        <v>20</v>
      </c>
      <c r="N231" s="122">
        <v>35</v>
      </c>
      <c r="O231" s="122">
        <v>45</v>
      </c>
      <c r="P231" s="122">
        <v>0</v>
      </c>
      <c r="Q231" s="123"/>
      <c r="R231" s="122">
        <v>1</v>
      </c>
      <c r="S231" s="123"/>
      <c r="T231" s="122">
        <v>1</v>
      </c>
      <c r="U231" s="123"/>
      <c r="V231" s="122">
        <v>8858890780999</v>
      </c>
    </row>
    <row r="232" ht="15.75" customHeight="1" spans="1:22" x14ac:dyDescent="0.25">
      <c r="A232" s="122" t="s">
        <v>449</v>
      </c>
      <c r="B232" s="122" t="s">
        <v>873</v>
      </c>
      <c r="C232" s="123"/>
      <c r="D232" s="122" t="s">
        <v>1274</v>
      </c>
      <c r="E232" s="122" t="s">
        <v>1275</v>
      </c>
      <c r="F232" s="122" t="s">
        <v>753</v>
      </c>
      <c r="G232" s="122" t="s">
        <v>754</v>
      </c>
      <c r="H232" s="122" t="s">
        <v>1276</v>
      </c>
      <c r="I232" s="122" t="s">
        <v>733</v>
      </c>
      <c r="J232" s="122">
        <v>10</v>
      </c>
      <c r="K232" s="122">
        <v>0</v>
      </c>
      <c r="L232" s="122">
        <v>0</v>
      </c>
      <c r="M232" s="122">
        <v>20</v>
      </c>
      <c r="N232" s="122">
        <v>35</v>
      </c>
      <c r="O232" s="122">
        <v>45</v>
      </c>
      <c r="P232" s="122">
        <v>1</v>
      </c>
      <c r="Q232" s="123"/>
      <c r="R232" s="122">
        <v>1</v>
      </c>
      <c r="S232" s="123"/>
      <c r="T232" s="122">
        <v>1</v>
      </c>
      <c r="U232" s="123"/>
      <c r="V232" s="122">
        <v>885889078099901</v>
      </c>
    </row>
    <row r="233" ht="15.75" customHeight="1" spans="1:22" x14ac:dyDescent="0.25">
      <c r="A233" s="122" t="s">
        <v>449</v>
      </c>
      <c r="B233" s="122" t="s">
        <v>767</v>
      </c>
      <c r="C233" s="123"/>
      <c r="D233" s="122" t="s">
        <v>1274</v>
      </c>
      <c r="E233" s="122" t="s">
        <v>1275</v>
      </c>
      <c r="F233" s="122" t="s">
        <v>753</v>
      </c>
      <c r="G233" s="122" t="s">
        <v>754</v>
      </c>
      <c r="H233" s="122" t="s">
        <v>1276</v>
      </c>
      <c r="I233" s="122" t="s">
        <v>733</v>
      </c>
      <c r="J233" s="122">
        <v>10</v>
      </c>
      <c r="K233" s="122">
        <v>0</v>
      </c>
      <c r="L233" s="122">
        <v>0</v>
      </c>
      <c r="M233" s="122">
        <v>20</v>
      </c>
      <c r="N233" s="122">
        <v>35</v>
      </c>
      <c r="O233" s="122">
        <v>45</v>
      </c>
      <c r="P233" s="122">
        <v>0</v>
      </c>
      <c r="Q233" s="123"/>
      <c r="R233" s="122">
        <v>1</v>
      </c>
      <c r="S233" s="123"/>
      <c r="T233" s="122">
        <v>1</v>
      </c>
      <c r="U233" s="123"/>
      <c r="V233" s="122">
        <v>8858890780999</v>
      </c>
    </row>
    <row r="234" ht="15.75" customHeight="1" spans="1:22" x14ac:dyDescent="0.25">
      <c r="A234" s="122" t="s">
        <v>556</v>
      </c>
      <c r="B234" s="123"/>
      <c r="C234" s="123"/>
      <c r="D234" s="122" t="s">
        <v>1277</v>
      </c>
      <c r="E234" s="122" t="s">
        <v>1278</v>
      </c>
      <c r="F234" s="122" t="s">
        <v>753</v>
      </c>
      <c r="G234" s="122" t="s">
        <v>771</v>
      </c>
      <c r="H234" s="122" t="s">
        <v>1251</v>
      </c>
      <c r="I234" s="122" t="s">
        <v>733</v>
      </c>
      <c r="J234" s="122">
        <v>13</v>
      </c>
      <c r="K234" s="122">
        <v>0</v>
      </c>
      <c r="L234" s="122">
        <v>0</v>
      </c>
      <c r="M234" s="122">
        <v>20</v>
      </c>
      <c r="N234" s="122">
        <v>45</v>
      </c>
      <c r="O234" s="122">
        <v>60</v>
      </c>
      <c r="P234" s="122">
        <v>0</v>
      </c>
      <c r="Q234" s="123"/>
      <c r="R234" s="122">
        <v>1</v>
      </c>
      <c r="S234" s="123"/>
      <c r="T234" s="123"/>
      <c r="U234" s="123"/>
      <c r="V234" s="122">
        <v>8858890781149</v>
      </c>
    </row>
    <row r="235" ht="15.75" customHeight="1" spans="1:22" x14ac:dyDescent="0.25">
      <c r="A235" s="122" t="s">
        <v>1279</v>
      </c>
      <c r="B235" s="123"/>
      <c r="C235" s="123"/>
      <c r="D235" s="122" t="s">
        <v>1280</v>
      </c>
      <c r="E235" s="122" t="s">
        <v>1281</v>
      </c>
      <c r="F235" s="122" t="s">
        <v>753</v>
      </c>
      <c r="G235" s="122" t="s">
        <v>759</v>
      </c>
      <c r="H235" s="122" t="s">
        <v>821</v>
      </c>
      <c r="I235" s="122" t="s">
        <v>733</v>
      </c>
      <c r="J235" s="122">
        <v>78</v>
      </c>
      <c r="K235" s="122">
        <v>0</v>
      </c>
      <c r="L235" s="122">
        <v>0</v>
      </c>
      <c r="M235" s="122">
        <v>0</v>
      </c>
      <c r="N235" s="122">
        <v>120</v>
      </c>
      <c r="O235" s="122">
        <v>155</v>
      </c>
      <c r="P235" s="122">
        <v>0</v>
      </c>
      <c r="Q235" s="123"/>
      <c r="R235" s="123"/>
      <c r="S235" s="123"/>
      <c r="T235" s="122">
        <v>1</v>
      </c>
      <c r="U235" s="123"/>
      <c r="V235" s="122">
        <v>8858890760809</v>
      </c>
    </row>
    <row r="236" ht="15.75" customHeight="1" spans="1:22" x14ac:dyDescent="0.25">
      <c r="A236" s="122" t="s">
        <v>1282</v>
      </c>
      <c r="B236" s="123"/>
      <c r="C236" s="123"/>
      <c r="D236" s="122" t="s">
        <v>1283</v>
      </c>
      <c r="E236" s="122" t="s">
        <v>1284</v>
      </c>
      <c r="F236" s="122" t="s">
        <v>753</v>
      </c>
      <c r="G236" s="122" t="s">
        <v>771</v>
      </c>
      <c r="H236" s="122" t="s">
        <v>978</v>
      </c>
      <c r="I236" s="122" t="s">
        <v>733</v>
      </c>
      <c r="J236" s="122">
        <v>26</v>
      </c>
      <c r="K236" s="122">
        <v>0</v>
      </c>
      <c r="L236" s="122">
        <v>0</v>
      </c>
      <c r="M236" s="122">
        <v>0</v>
      </c>
      <c r="N236" s="122">
        <v>55</v>
      </c>
      <c r="O236" s="122">
        <v>75</v>
      </c>
      <c r="P236" s="122">
        <v>0</v>
      </c>
      <c r="Q236" s="123"/>
      <c r="R236" s="123"/>
      <c r="S236" s="123"/>
      <c r="T236" s="122">
        <v>1</v>
      </c>
      <c r="U236" s="123"/>
      <c r="V236" s="122">
        <v>8858890780043</v>
      </c>
    </row>
    <row r="237" ht="15.75" customHeight="1" spans="1:22" x14ac:dyDescent="0.25">
      <c r="A237" s="122" t="s">
        <v>1285</v>
      </c>
      <c r="B237" s="123"/>
      <c r="C237" s="123"/>
      <c r="D237" s="122" t="s">
        <v>1286</v>
      </c>
      <c r="E237" s="122" t="s">
        <v>1287</v>
      </c>
      <c r="F237" s="122" t="s">
        <v>753</v>
      </c>
      <c r="G237" s="122" t="s">
        <v>771</v>
      </c>
      <c r="H237" s="122" t="s">
        <v>975</v>
      </c>
      <c r="I237" s="122" t="s">
        <v>733</v>
      </c>
      <c r="J237" s="122">
        <v>13</v>
      </c>
      <c r="K237" s="122">
        <v>0</v>
      </c>
      <c r="L237" s="122">
        <v>0</v>
      </c>
      <c r="M237" s="122">
        <v>0</v>
      </c>
      <c r="N237" s="122">
        <v>35</v>
      </c>
      <c r="O237" s="122">
        <v>45</v>
      </c>
      <c r="P237" s="122">
        <v>3</v>
      </c>
      <c r="Q237" s="123"/>
      <c r="R237" s="123"/>
      <c r="S237" s="123"/>
      <c r="T237" s="122">
        <v>1</v>
      </c>
      <c r="U237" s="123"/>
      <c r="V237" s="122">
        <v>8858890782313</v>
      </c>
    </row>
    <row r="238" ht="15.75" customHeight="1" spans="1:22" x14ac:dyDescent="0.25">
      <c r="A238" s="122" t="s">
        <v>1288</v>
      </c>
      <c r="B238" s="123"/>
      <c r="C238" s="123"/>
      <c r="D238" s="122" t="s">
        <v>1289</v>
      </c>
      <c r="E238" s="122" t="s">
        <v>1290</v>
      </c>
      <c r="F238" s="122" t="s">
        <v>753</v>
      </c>
      <c r="G238" s="122" t="s">
        <v>771</v>
      </c>
      <c r="H238" s="122" t="s">
        <v>975</v>
      </c>
      <c r="I238" s="122" t="s">
        <v>733</v>
      </c>
      <c r="J238" s="122">
        <v>14</v>
      </c>
      <c r="K238" s="122">
        <v>0</v>
      </c>
      <c r="L238" s="122">
        <v>0</v>
      </c>
      <c r="M238" s="122">
        <v>0</v>
      </c>
      <c r="N238" s="122">
        <v>40</v>
      </c>
      <c r="O238" s="122">
        <v>56</v>
      </c>
      <c r="P238" s="122">
        <v>30</v>
      </c>
      <c r="Q238" s="123"/>
      <c r="R238" s="123"/>
      <c r="S238" s="123"/>
      <c r="T238" s="122">
        <v>1</v>
      </c>
      <c r="U238" s="123"/>
      <c r="V238" s="122">
        <v>8858890782320</v>
      </c>
    </row>
    <row r="239" ht="15.75" customHeight="1" spans="1:22" x14ac:dyDescent="0.25">
      <c r="A239" s="122" t="s">
        <v>1291</v>
      </c>
      <c r="B239" s="123"/>
      <c r="C239" s="123"/>
      <c r="D239" s="122" t="s">
        <v>1292</v>
      </c>
      <c r="E239" s="122" t="s">
        <v>1293</v>
      </c>
      <c r="F239" s="122" t="s">
        <v>753</v>
      </c>
      <c r="G239" s="122" t="s">
        <v>771</v>
      </c>
      <c r="H239" s="122" t="s">
        <v>978</v>
      </c>
      <c r="I239" s="122" t="s">
        <v>733</v>
      </c>
      <c r="J239" s="122">
        <v>22.92</v>
      </c>
      <c r="K239" s="122">
        <v>0</v>
      </c>
      <c r="L239" s="122">
        <v>35</v>
      </c>
      <c r="M239" s="122">
        <v>0</v>
      </c>
      <c r="N239" s="122">
        <v>50</v>
      </c>
      <c r="O239" s="122">
        <v>72</v>
      </c>
      <c r="P239" s="122">
        <v>7</v>
      </c>
      <c r="Q239" s="123"/>
      <c r="R239" s="123"/>
      <c r="S239" s="122">
        <v>1</v>
      </c>
      <c r="T239" s="122">
        <v>1</v>
      </c>
      <c r="U239" s="123"/>
      <c r="V239" s="122">
        <v>8858890780715</v>
      </c>
    </row>
    <row r="240" ht="15.75" customHeight="1" spans="1:22" x14ac:dyDescent="0.25">
      <c r="A240" s="122" t="s">
        <v>1294</v>
      </c>
      <c r="B240" s="123"/>
      <c r="C240" s="123"/>
      <c r="D240" s="122" t="s">
        <v>1295</v>
      </c>
      <c r="E240" s="122" t="s">
        <v>1296</v>
      </c>
      <c r="F240" s="122" t="s">
        <v>753</v>
      </c>
      <c r="G240" s="122" t="s">
        <v>771</v>
      </c>
      <c r="H240" s="122" t="s">
        <v>978</v>
      </c>
      <c r="I240" s="122" t="s">
        <v>733</v>
      </c>
      <c r="J240" s="122">
        <v>25</v>
      </c>
      <c r="K240" s="122">
        <v>0</v>
      </c>
      <c r="L240" s="122">
        <v>35</v>
      </c>
      <c r="M240" s="122">
        <v>0</v>
      </c>
      <c r="N240" s="122">
        <v>50</v>
      </c>
      <c r="O240" s="122">
        <v>72</v>
      </c>
      <c r="P240" s="122">
        <v>9</v>
      </c>
      <c r="Q240" s="123"/>
      <c r="R240" s="122">
        <v>1</v>
      </c>
      <c r="S240" s="122">
        <v>1</v>
      </c>
      <c r="T240" s="122">
        <v>1</v>
      </c>
      <c r="U240" s="123"/>
      <c r="V240" s="122">
        <v>8858890780685</v>
      </c>
    </row>
    <row r="241" ht="15.75" customHeight="1" spans="1:22" x14ac:dyDescent="0.25">
      <c r="A241" s="122" t="s">
        <v>1297</v>
      </c>
      <c r="B241" s="123"/>
      <c r="C241" s="123"/>
      <c r="D241" s="122" t="s">
        <v>1298</v>
      </c>
      <c r="E241" s="122" t="s">
        <v>1299</v>
      </c>
      <c r="F241" s="122" t="s">
        <v>753</v>
      </c>
      <c r="G241" s="122" t="s">
        <v>771</v>
      </c>
      <c r="H241" s="122" t="s">
        <v>975</v>
      </c>
      <c r="I241" s="122" t="s">
        <v>733</v>
      </c>
      <c r="J241" s="122">
        <v>15</v>
      </c>
      <c r="K241" s="122">
        <v>0</v>
      </c>
      <c r="L241" s="122">
        <v>0</v>
      </c>
      <c r="M241" s="122">
        <v>0</v>
      </c>
      <c r="N241" s="122">
        <v>40</v>
      </c>
      <c r="O241" s="122">
        <v>52</v>
      </c>
      <c r="P241" s="122">
        <v>43</v>
      </c>
      <c r="Q241" s="123"/>
      <c r="R241" s="123"/>
      <c r="S241" s="123"/>
      <c r="T241" s="122">
        <v>1</v>
      </c>
      <c r="U241" s="123"/>
      <c r="V241" s="122">
        <v>8858890782337</v>
      </c>
    </row>
    <row r="242" ht="15.75" customHeight="1" spans="1:22" x14ac:dyDescent="0.25">
      <c r="A242" s="122" t="s">
        <v>1300</v>
      </c>
      <c r="B242" s="122" t="s">
        <v>750</v>
      </c>
      <c r="C242" s="123"/>
      <c r="D242" s="122" t="s">
        <v>1301</v>
      </c>
      <c r="E242" s="122" t="s">
        <v>1302</v>
      </c>
      <c r="F242" s="122" t="s">
        <v>753</v>
      </c>
      <c r="G242" s="122" t="s">
        <v>745</v>
      </c>
      <c r="H242" s="122" t="s">
        <v>970</v>
      </c>
      <c r="I242" s="122" t="s">
        <v>733</v>
      </c>
      <c r="J242" s="122">
        <v>330</v>
      </c>
      <c r="K242" s="122">
        <v>0</v>
      </c>
      <c r="L242" s="122">
        <v>390</v>
      </c>
      <c r="M242" s="122">
        <v>0</v>
      </c>
      <c r="N242" s="122">
        <v>400</v>
      </c>
      <c r="O242" s="122">
        <v>590</v>
      </c>
      <c r="P242" s="122">
        <v>0</v>
      </c>
      <c r="Q242" s="123"/>
      <c r="R242" s="122">
        <v>1</v>
      </c>
      <c r="S242" s="123"/>
      <c r="T242" s="122">
        <v>1</v>
      </c>
      <c r="U242" s="123"/>
      <c r="V242" s="122">
        <v>8858890723074</v>
      </c>
    </row>
    <row r="243" ht="15.75" customHeight="1" spans="1:22" x14ac:dyDescent="0.25">
      <c r="A243" s="122" t="s">
        <v>1300</v>
      </c>
      <c r="B243" s="122" t="s">
        <v>917</v>
      </c>
      <c r="C243" s="123"/>
      <c r="D243" s="122" t="s">
        <v>1301</v>
      </c>
      <c r="E243" s="122" t="s">
        <v>1302</v>
      </c>
      <c r="F243" s="122" t="s">
        <v>753</v>
      </c>
      <c r="G243" s="122" t="s">
        <v>745</v>
      </c>
      <c r="H243" s="122" t="s">
        <v>970</v>
      </c>
      <c r="I243" s="122" t="s">
        <v>733</v>
      </c>
      <c r="J243" s="122">
        <v>330</v>
      </c>
      <c r="K243" s="122">
        <v>0</v>
      </c>
      <c r="L243" s="122">
        <v>390</v>
      </c>
      <c r="M243" s="122">
        <v>0</v>
      </c>
      <c r="N243" s="122">
        <v>400</v>
      </c>
      <c r="O243" s="122">
        <v>590</v>
      </c>
      <c r="P243" s="122">
        <v>2</v>
      </c>
      <c r="Q243" s="123"/>
      <c r="R243" s="122">
        <v>1</v>
      </c>
      <c r="S243" s="123"/>
      <c r="T243" s="122">
        <v>1</v>
      </c>
      <c r="U243" s="123"/>
      <c r="V243" s="122">
        <v>8858890728359</v>
      </c>
    </row>
    <row r="244" ht="15.75" customHeight="1" spans="1:22" x14ac:dyDescent="0.25">
      <c r="A244" s="122" t="s">
        <v>1300</v>
      </c>
      <c r="B244" s="122" t="s">
        <v>873</v>
      </c>
      <c r="C244" s="123"/>
      <c r="D244" s="122" t="s">
        <v>1301</v>
      </c>
      <c r="E244" s="122" t="s">
        <v>1302</v>
      </c>
      <c r="F244" s="122" t="s">
        <v>753</v>
      </c>
      <c r="G244" s="122" t="s">
        <v>745</v>
      </c>
      <c r="H244" s="122" t="s">
        <v>970</v>
      </c>
      <c r="I244" s="122" t="s">
        <v>733</v>
      </c>
      <c r="J244" s="122">
        <v>330</v>
      </c>
      <c r="K244" s="122">
        <v>0</v>
      </c>
      <c r="L244" s="122">
        <v>390</v>
      </c>
      <c r="M244" s="122">
        <v>0</v>
      </c>
      <c r="N244" s="122">
        <v>400</v>
      </c>
      <c r="O244" s="122">
        <v>590</v>
      </c>
      <c r="P244" s="122">
        <v>0</v>
      </c>
      <c r="Q244" s="123"/>
      <c r="R244" s="122">
        <v>1</v>
      </c>
      <c r="S244" s="123"/>
      <c r="T244" s="122">
        <v>1</v>
      </c>
      <c r="U244" s="123"/>
      <c r="V244" s="122">
        <v>8858890723095</v>
      </c>
    </row>
    <row r="245" ht="15.75" customHeight="1" spans="1:22" x14ac:dyDescent="0.25">
      <c r="A245" s="122" t="s">
        <v>1303</v>
      </c>
      <c r="B245" s="123"/>
      <c r="C245" s="123"/>
      <c r="D245" s="122" t="s">
        <v>1304</v>
      </c>
      <c r="E245" s="122" t="s">
        <v>1305</v>
      </c>
      <c r="F245" s="122" t="s">
        <v>753</v>
      </c>
      <c r="G245" s="122" t="s">
        <v>771</v>
      </c>
      <c r="H245" s="122" t="s">
        <v>1251</v>
      </c>
      <c r="I245" s="122" t="s">
        <v>733</v>
      </c>
      <c r="J245" s="122">
        <v>26</v>
      </c>
      <c r="K245" s="122">
        <v>0</v>
      </c>
      <c r="L245" s="122">
        <v>0</v>
      </c>
      <c r="M245" s="122">
        <v>0</v>
      </c>
      <c r="N245" s="122">
        <v>50</v>
      </c>
      <c r="O245" s="122">
        <v>72</v>
      </c>
      <c r="P245" s="122">
        <v>4</v>
      </c>
      <c r="Q245" s="123"/>
      <c r="R245" s="122">
        <v>1</v>
      </c>
      <c r="S245" s="123"/>
      <c r="T245" s="122">
        <v>1</v>
      </c>
      <c r="U245" s="123"/>
      <c r="V245" s="122">
        <v>8858890780777</v>
      </c>
    </row>
    <row r="246" ht="15.75" customHeight="1" spans="1:22" x14ac:dyDescent="0.25">
      <c r="A246" s="122" t="s">
        <v>1306</v>
      </c>
      <c r="B246" s="123"/>
      <c r="C246" s="123"/>
      <c r="D246" s="122" t="s">
        <v>1307</v>
      </c>
      <c r="E246" s="122" t="s">
        <v>1308</v>
      </c>
      <c r="F246" s="122" t="s">
        <v>753</v>
      </c>
      <c r="G246" s="122" t="s">
        <v>771</v>
      </c>
      <c r="H246" s="122" t="s">
        <v>1251</v>
      </c>
      <c r="I246" s="122" t="s">
        <v>733</v>
      </c>
      <c r="J246" s="122">
        <v>26</v>
      </c>
      <c r="K246" s="122">
        <v>0</v>
      </c>
      <c r="L246" s="122">
        <v>0</v>
      </c>
      <c r="M246" s="122">
        <v>40</v>
      </c>
      <c r="N246" s="122">
        <v>50</v>
      </c>
      <c r="O246" s="122">
        <v>75</v>
      </c>
      <c r="P246" s="122">
        <v>14</v>
      </c>
      <c r="Q246" s="123"/>
      <c r="R246" s="122">
        <v>1</v>
      </c>
      <c r="S246" s="123"/>
      <c r="T246" s="122">
        <v>1</v>
      </c>
      <c r="U246" s="123"/>
      <c r="V246" s="122">
        <v>8858890780784</v>
      </c>
    </row>
    <row r="247" ht="15.75" customHeight="1" spans="1:22" x14ac:dyDescent="0.25">
      <c r="A247" s="122" t="s">
        <v>352</v>
      </c>
      <c r="B247" s="123"/>
      <c r="C247" s="123"/>
      <c r="D247" s="122" t="s">
        <v>1309</v>
      </c>
      <c r="E247" s="122" t="s">
        <v>1310</v>
      </c>
      <c r="F247" s="122" t="s">
        <v>753</v>
      </c>
      <c r="G247" s="122" t="s">
        <v>759</v>
      </c>
      <c r="H247" s="122" t="s">
        <v>821</v>
      </c>
      <c r="I247" s="122" t="s">
        <v>733</v>
      </c>
      <c r="J247" s="122">
        <v>95</v>
      </c>
      <c r="K247" s="122">
        <v>0</v>
      </c>
      <c r="L247" s="122">
        <v>0</v>
      </c>
      <c r="M247" s="122">
        <v>0</v>
      </c>
      <c r="N247" s="122">
        <v>150</v>
      </c>
      <c r="O247" s="122">
        <v>189</v>
      </c>
      <c r="P247" s="122">
        <v>498</v>
      </c>
      <c r="Q247" s="123"/>
      <c r="R247" s="123"/>
      <c r="S247" s="123"/>
      <c r="T247" s="122">
        <v>1</v>
      </c>
      <c r="U247" s="123"/>
      <c r="V247" s="122">
        <v>8858890760823</v>
      </c>
    </row>
    <row r="248" ht="15.75" customHeight="1" spans="1:22" x14ac:dyDescent="0.25">
      <c r="A248" s="122" t="s">
        <v>1311</v>
      </c>
      <c r="B248" s="123"/>
      <c r="C248" s="123"/>
      <c r="D248" s="122" t="s">
        <v>1312</v>
      </c>
      <c r="E248" s="122" t="s">
        <v>1313</v>
      </c>
      <c r="F248" s="122" t="s">
        <v>753</v>
      </c>
      <c r="G248" s="122" t="s">
        <v>759</v>
      </c>
      <c r="H248" s="122" t="s">
        <v>821</v>
      </c>
      <c r="I248" s="122" t="s">
        <v>733</v>
      </c>
      <c r="J248" s="122">
        <v>252.5</v>
      </c>
      <c r="K248" s="122">
        <v>0</v>
      </c>
      <c r="L248" s="122">
        <v>315</v>
      </c>
      <c r="M248" s="122">
        <v>0</v>
      </c>
      <c r="N248" s="122">
        <v>415</v>
      </c>
      <c r="O248" s="122">
        <v>650</v>
      </c>
      <c r="P248" s="122">
        <v>4</v>
      </c>
      <c r="Q248" s="123"/>
      <c r="R248" s="122">
        <v>1</v>
      </c>
      <c r="S248" s="122">
        <v>1</v>
      </c>
      <c r="T248" s="122">
        <v>1</v>
      </c>
      <c r="U248" s="123"/>
      <c r="V248" s="122">
        <v>885889076055702</v>
      </c>
    </row>
    <row r="249" ht="15.75" customHeight="1" spans="1:22" x14ac:dyDescent="0.25">
      <c r="A249" s="122" t="s">
        <v>1314</v>
      </c>
      <c r="B249" s="123"/>
      <c r="C249" s="123"/>
      <c r="D249" s="122" t="s">
        <v>1315</v>
      </c>
      <c r="E249" s="122" t="s">
        <v>1316</v>
      </c>
      <c r="F249" s="122" t="s">
        <v>753</v>
      </c>
      <c r="G249" s="122" t="s">
        <v>759</v>
      </c>
      <c r="H249" s="122" t="s">
        <v>821</v>
      </c>
      <c r="I249" s="122" t="s">
        <v>733</v>
      </c>
      <c r="J249" s="122">
        <v>252.5</v>
      </c>
      <c r="K249" s="122">
        <v>0</v>
      </c>
      <c r="L249" s="122">
        <v>315</v>
      </c>
      <c r="M249" s="122">
        <v>0</v>
      </c>
      <c r="N249" s="122">
        <v>500</v>
      </c>
      <c r="O249" s="122">
        <v>650</v>
      </c>
      <c r="P249" s="122">
        <v>0</v>
      </c>
      <c r="Q249" s="123"/>
      <c r="R249" s="122">
        <v>1</v>
      </c>
      <c r="S249" s="122">
        <v>1</v>
      </c>
      <c r="T249" s="122">
        <v>1</v>
      </c>
      <c r="U249" s="123"/>
      <c r="V249" s="122">
        <v>885889076055701</v>
      </c>
    </row>
    <row r="250" ht="15.75" customHeight="1" spans="1:22" x14ac:dyDescent="0.25">
      <c r="A250" s="122" t="s">
        <v>1317</v>
      </c>
      <c r="B250" s="123"/>
      <c r="C250" s="123"/>
      <c r="D250" s="122" t="s">
        <v>1318</v>
      </c>
      <c r="E250" s="122" t="s">
        <v>1319</v>
      </c>
      <c r="F250" s="122" t="s">
        <v>753</v>
      </c>
      <c r="G250" s="122" t="s">
        <v>759</v>
      </c>
      <c r="H250" s="122" t="s">
        <v>760</v>
      </c>
      <c r="I250" s="122" t="s">
        <v>733</v>
      </c>
      <c r="J250" s="122">
        <v>505</v>
      </c>
      <c r="K250" s="122">
        <v>0</v>
      </c>
      <c r="L250" s="122">
        <v>635</v>
      </c>
      <c r="M250" s="122">
        <v>0</v>
      </c>
      <c r="N250" s="122">
        <v>900</v>
      </c>
      <c r="O250" s="122">
        <v>1300</v>
      </c>
      <c r="P250" s="122">
        <v>0</v>
      </c>
      <c r="Q250" s="123"/>
      <c r="R250" s="123"/>
      <c r="S250" s="122">
        <v>1</v>
      </c>
      <c r="T250" s="122">
        <v>1</v>
      </c>
      <c r="U250" s="123"/>
      <c r="V250" s="122">
        <v>8858890760557</v>
      </c>
    </row>
    <row r="251" ht="15.75" customHeight="1" spans="1:22" x14ac:dyDescent="0.25">
      <c r="A251" s="122" t="s">
        <v>597</v>
      </c>
      <c r="B251" s="123"/>
      <c r="C251" s="123"/>
      <c r="D251" s="122" t="s">
        <v>1320</v>
      </c>
      <c r="E251" s="122" t="s">
        <v>1321</v>
      </c>
      <c r="F251" s="122" t="s">
        <v>753</v>
      </c>
      <c r="G251" s="122" t="s">
        <v>771</v>
      </c>
      <c r="H251" s="122" t="s">
        <v>975</v>
      </c>
      <c r="I251" s="122" t="s">
        <v>733</v>
      </c>
      <c r="J251" s="122">
        <v>83</v>
      </c>
      <c r="K251" s="122">
        <v>0</v>
      </c>
      <c r="L251" s="122">
        <v>110</v>
      </c>
      <c r="M251" s="122">
        <v>0</v>
      </c>
      <c r="N251" s="122">
        <v>130</v>
      </c>
      <c r="O251" s="122">
        <v>170</v>
      </c>
      <c r="P251" s="122">
        <v>27</v>
      </c>
      <c r="Q251" s="123"/>
      <c r="R251" s="122">
        <v>1</v>
      </c>
      <c r="S251" s="123"/>
      <c r="T251" s="122">
        <v>1</v>
      </c>
      <c r="U251" s="123"/>
      <c r="V251" s="122">
        <v>8858890781842</v>
      </c>
    </row>
    <row r="252" ht="15.75" customHeight="1" spans="1:22" x14ac:dyDescent="0.25">
      <c r="A252" s="122" t="s">
        <v>1322</v>
      </c>
      <c r="B252" s="123"/>
      <c r="C252" s="123"/>
      <c r="D252" s="122" t="s">
        <v>1323</v>
      </c>
      <c r="E252" s="122" t="s">
        <v>1324</v>
      </c>
      <c r="F252" s="122" t="s">
        <v>753</v>
      </c>
      <c r="G252" s="122" t="s">
        <v>759</v>
      </c>
      <c r="H252" s="122" t="s">
        <v>821</v>
      </c>
      <c r="I252" s="122" t="s">
        <v>733</v>
      </c>
      <c r="J252" s="122">
        <v>252.5</v>
      </c>
      <c r="K252" s="122">
        <v>0</v>
      </c>
      <c r="L252" s="122">
        <v>315</v>
      </c>
      <c r="M252" s="122">
        <v>0</v>
      </c>
      <c r="N252" s="122">
        <v>450</v>
      </c>
      <c r="O252" s="122">
        <v>650</v>
      </c>
      <c r="P252" s="122">
        <v>0</v>
      </c>
      <c r="Q252" s="123"/>
      <c r="R252" s="122">
        <v>1</v>
      </c>
      <c r="S252" s="123"/>
      <c r="T252" s="122">
        <v>1</v>
      </c>
      <c r="U252" s="123"/>
      <c r="V252" s="122">
        <v>885889076061801</v>
      </c>
    </row>
    <row r="253" ht="15.75" customHeight="1" spans="1:22" x14ac:dyDescent="0.25">
      <c r="A253" s="122" t="s">
        <v>1325</v>
      </c>
      <c r="B253" s="123"/>
      <c r="C253" s="123"/>
      <c r="D253" s="122" t="s">
        <v>1326</v>
      </c>
      <c r="E253" s="122" t="s">
        <v>1327</v>
      </c>
      <c r="F253" s="122" t="s">
        <v>753</v>
      </c>
      <c r="G253" s="122" t="s">
        <v>759</v>
      </c>
      <c r="H253" s="122" t="s">
        <v>821</v>
      </c>
      <c r="I253" s="122" t="s">
        <v>733</v>
      </c>
      <c r="J253" s="122">
        <v>252.5</v>
      </c>
      <c r="K253" s="122">
        <v>0</v>
      </c>
      <c r="L253" s="122">
        <v>315</v>
      </c>
      <c r="M253" s="122">
        <v>0</v>
      </c>
      <c r="N253" s="122">
        <v>425</v>
      </c>
      <c r="O253" s="122">
        <v>650</v>
      </c>
      <c r="P253" s="122">
        <v>6</v>
      </c>
      <c r="Q253" s="123"/>
      <c r="R253" s="122">
        <v>1</v>
      </c>
      <c r="S253" s="122">
        <v>1</v>
      </c>
      <c r="T253" s="122">
        <v>1</v>
      </c>
      <c r="U253" s="123"/>
      <c r="V253" s="122">
        <v>885889076061802</v>
      </c>
    </row>
    <row r="254" ht="15.75" customHeight="1" spans="1:22" x14ac:dyDescent="0.25">
      <c r="A254" s="122" t="s">
        <v>1328</v>
      </c>
      <c r="B254" s="123"/>
      <c r="C254" s="123"/>
      <c r="D254" s="122" t="s">
        <v>1329</v>
      </c>
      <c r="E254" s="122" t="s">
        <v>1330</v>
      </c>
      <c r="F254" s="122" t="s">
        <v>753</v>
      </c>
      <c r="G254" s="122" t="s">
        <v>759</v>
      </c>
      <c r="H254" s="122" t="s">
        <v>760</v>
      </c>
      <c r="I254" s="122" t="s">
        <v>733</v>
      </c>
      <c r="J254" s="122">
        <v>505</v>
      </c>
      <c r="K254" s="122">
        <v>0</v>
      </c>
      <c r="L254" s="122">
        <v>750</v>
      </c>
      <c r="M254" s="122">
        <v>0</v>
      </c>
      <c r="N254" s="122">
        <v>900</v>
      </c>
      <c r="O254" s="122">
        <v>1300</v>
      </c>
      <c r="P254" s="122">
        <v>0</v>
      </c>
      <c r="Q254" s="123"/>
      <c r="R254" s="123"/>
      <c r="S254" s="122">
        <v>1</v>
      </c>
      <c r="T254" s="122">
        <v>1</v>
      </c>
      <c r="U254" s="123"/>
      <c r="V254" s="122">
        <v>8858890760618</v>
      </c>
    </row>
    <row r="255" ht="15.75" customHeight="1" spans="1:22" x14ac:dyDescent="0.25">
      <c r="A255" s="122" t="s">
        <v>592</v>
      </c>
      <c r="B255" s="122" t="s">
        <v>750</v>
      </c>
      <c r="C255" s="123"/>
      <c r="D255" s="122" t="s">
        <v>1331</v>
      </c>
      <c r="E255" s="122" t="s">
        <v>1332</v>
      </c>
      <c r="F255" s="122" t="s">
        <v>753</v>
      </c>
      <c r="G255" s="122" t="s">
        <v>771</v>
      </c>
      <c r="H255" s="122" t="s">
        <v>1012</v>
      </c>
      <c r="I255" s="122" t="s">
        <v>733</v>
      </c>
      <c r="J255" s="122">
        <v>53</v>
      </c>
      <c r="K255" s="122">
        <v>0</v>
      </c>
      <c r="L255" s="122">
        <v>0</v>
      </c>
      <c r="M255" s="122">
        <v>85</v>
      </c>
      <c r="N255" s="122">
        <v>80</v>
      </c>
      <c r="O255" s="122">
        <v>130</v>
      </c>
      <c r="P255" s="122">
        <v>31</v>
      </c>
      <c r="Q255" s="123"/>
      <c r="R255" s="122">
        <v>1</v>
      </c>
      <c r="S255" s="123"/>
      <c r="T255" s="122">
        <v>1</v>
      </c>
      <c r="U255" s="123"/>
      <c r="V255" s="122">
        <v>8858890780975</v>
      </c>
    </row>
    <row r="256" ht="15.75" customHeight="1" spans="1:22" x14ac:dyDescent="0.25">
      <c r="A256" s="122" t="s">
        <v>592</v>
      </c>
      <c r="B256" s="122" t="s">
        <v>917</v>
      </c>
      <c r="C256" s="123"/>
      <c r="D256" s="122" t="s">
        <v>1331</v>
      </c>
      <c r="E256" s="122" t="s">
        <v>1332</v>
      </c>
      <c r="F256" s="122" t="s">
        <v>753</v>
      </c>
      <c r="G256" s="122" t="s">
        <v>771</v>
      </c>
      <c r="H256" s="122" t="s">
        <v>1012</v>
      </c>
      <c r="I256" s="122" t="s">
        <v>733</v>
      </c>
      <c r="J256" s="122">
        <v>53</v>
      </c>
      <c r="K256" s="122">
        <v>0</v>
      </c>
      <c r="L256" s="122">
        <v>0</v>
      </c>
      <c r="M256" s="122">
        <v>85</v>
      </c>
      <c r="N256" s="122">
        <v>80</v>
      </c>
      <c r="O256" s="122">
        <v>130</v>
      </c>
      <c r="P256" s="122">
        <v>0</v>
      </c>
      <c r="Q256" s="123"/>
      <c r="R256" s="122">
        <v>1</v>
      </c>
      <c r="S256" s="123"/>
      <c r="T256" s="122">
        <v>1</v>
      </c>
      <c r="U256" s="123"/>
      <c r="V256" s="122">
        <v>8858890780975</v>
      </c>
    </row>
    <row r="257" ht="15.75" customHeight="1" spans="1:22" x14ac:dyDescent="0.25">
      <c r="A257" s="122" t="s">
        <v>592</v>
      </c>
      <c r="B257" s="122" t="s">
        <v>873</v>
      </c>
      <c r="C257" s="123"/>
      <c r="D257" s="122" t="s">
        <v>1331</v>
      </c>
      <c r="E257" s="122" t="s">
        <v>1332</v>
      </c>
      <c r="F257" s="122" t="s">
        <v>753</v>
      </c>
      <c r="G257" s="122" t="s">
        <v>771</v>
      </c>
      <c r="H257" s="122" t="s">
        <v>1012</v>
      </c>
      <c r="I257" s="122" t="s">
        <v>733</v>
      </c>
      <c r="J257" s="122">
        <v>53</v>
      </c>
      <c r="K257" s="122">
        <v>0</v>
      </c>
      <c r="L257" s="122">
        <v>0</v>
      </c>
      <c r="M257" s="122">
        <v>85</v>
      </c>
      <c r="N257" s="122">
        <v>80</v>
      </c>
      <c r="O257" s="122">
        <v>130</v>
      </c>
      <c r="P257" s="122">
        <v>2</v>
      </c>
      <c r="Q257" s="123"/>
      <c r="R257" s="122">
        <v>1</v>
      </c>
      <c r="S257" s="123"/>
      <c r="T257" s="122">
        <v>1</v>
      </c>
      <c r="U257" s="123"/>
      <c r="V257" s="122">
        <v>8858890780975</v>
      </c>
    </row>
    <row r="258" ht="15.75" customHeight="1" spans="1:22" x14ac:dyDescent="0.25">
      <c r="A258" s="122" t="s">
        <v>592</v>
      </c>
      <c r="B258" s="122" t="s">
        <v>921</v>
      </c>
      <c r="C258" s="123"/>
      <c r="D258" s="122" t="s">
        <v>1331</v>
      </c>
      <c r="E258" s="122" t="s">
        <v>1332</v>
      </c>
      <c r="F258" s="122" t="s">
        <v>753</v>
      </c>
      <c r="G258" s="122" t="s">
        <v>771</v>
      </c>
      <c r="H258" s="122" t="s">
        <v>1012</v>
      </c>
      <c r="I258" s="122" t="s">
        <v>733</v>
      </c>
      <c r="J258" s="122">
        <v>53</v>
      </c>
      <c r="K258" s="122">
        <v>0</v>
      </c>
      <c r="L258" s="122">
        <v>0</v>
      </c>
      <c r="M258" s="122">
        <v>85</v>
      </c>
      <c r="N258" s="122">
        <v>80</v>
      </c>
      <c r="O258" s="122">
        <v>130</v>
      </c>
      <c r="P258" s="122">
        <v>1</v>
      </c>
      <c r="Q258" s="123"/>
      <c r="R258" s="122">
        <v>1</v>
      </c>
      <c r="S258" s="123"/>
      <c r="T258" s="122">
        <v>1</v>
      </c>
      <c r="U258" s="123"/>
      <c r="V258" s="122">
        <v>8858890780975</v>
      </c>
    </row>
    <row r="259" ht="15.75" customHeight="1" spans="1:22" x14ac:dyDescent="0.25">
      <c r="A259" s="122" t="s">
        <v>1333</v>
      </c>
      <c r="B259" s="123"/>
      <c r="C259" s="123"/>
      <c r="D259" s="122" t="s">
        <v>1334</v>
      </c>
      <c r="E259" s="122" t="s">
        <v>1335</v>
      </c>
      <c r="F259" s="122" t="s">
        <v>753</v>
      </c>
      <c r="G259" s="122" t="s">
        <v>771</v>
      </c>
      <c r="H259" s="122" t="s">
        <v>1012</v>
      </c>
      <c r="I259" s="122" t="s">
        <v>733</v>
      </c>
      <c r="J259" s="122">
        <v>67</v>
      </c>
      <c r="K259" s="122">
        <v>0</v>
      </c>
      <c r="L259" s="122">
        <v>0</v>
      </c>
      <c r="M259" s="122">
        <v>0</v>
      </c>
      <c r="N259" s="122">
        <v>100</v>
      </c>
      <c r="O259" s="122">
        <v>120</v>
      </c>
      <c r="P259" s="122">
        <v>10</v>
      </c>
      <c r="Q259" s="123"/>
      <c r="R259" s="122">
        <v>1</v>
      </c>
      <c r="S259" s="123"/>
      <c r="T259" s="122">
        <v>1</v>
      </c>
      <c r="U259" s="123"/>
      <c r="V259" s="122">
        <v>8858890781545</v>
      </c>
    </row>
    <row r="260" ht="15.75" customHeight="1" spans="1:22" x14ac:dyDescent="0.25">
      <c r="A260" s="122" t="s">
        <v>1336</v>
      </c>
      <c r="B260" s="123"/>
      <c r="C260" s="123"/>
      <c r="D260" s="122" t="s">
        <v>1337</v>
      </c>
      <c r="E260" s="122" t="s">
        <v>1338</v>
      </c>
      <c r="F260" s="122" t="s">
        <v>753</v>
      </c>
      <c r="G260" s="122" t="s">
        <v>765</v>
      </c>
      <c r="H260" s="122" t="s">
        <v>1231</v>
      </c>
      <c r="I260" s="122" t="s">
        <v>733</v>
      </c>
      <c r="J260" s="122">
        <v>118</v>
      </c>
      <c r="K260" s="122">
        <v>0</v>
      </c>
      <c r="L260" s="122">
        <v>0</v>
      </c>
      <c r="M260" s="122">
        <v>0</v>
      </c>
      <c r="N260" s="122">
        <v>150</v>
      </c>
      <c r="O260" s="122">
        <v>230</v>
      </c>
      <c r="P260" s="122">
        <v>6</v>
      </c>
      <c r="Q260" s="123"/>
      <c r="R260" s="123"/>
      <c r="S260" s="123"/>
      <c r="T260" s="122">
        <v>1</v>
      </c>
      <c r="U260" s="123"/>
      <c r="V260" s="122">
        <v>8858890795863</v>
      </c>
    </row>
    <row r="261" ht="15.75" customHeight="1" spans="1:22" x14ac:dyDescent="0.25">
      <c r="A261" s="122" t="s">
        <v>1339</v>
      </c>
      <c r="B261" s="123"/>
      <c r="C261" s="123"/>
      <c r="D261" s="122" t="s">
        <v>1340</v>
      </c>
      <c r="E261" s="122" t="s">
        <v>1341</v>
      </c>
      <c r="F261" s="122" t="s">
        <v>753</v>
      </c>
      <c r="G261" s="122" t="s">
        <v>759</v>
      </c>
      <c r="H261" s="122" t="s">
        <v>821</v>
      </c>
      <c r="I261" s="122" t="s">
        <v>733</v>
      </c>
      <c r="J261" s="122">
        <v>100</v>
      </c>
      <c r="K261" s="122">
        <v>0</v>
      </c>
      <c r="L261" s="122">
        <v>0</v>
      </c>
      <c r="M261" s="122">
        <v>0</v>
      </c>
      <c r="N261" s="122">
        <v>100</v>
      </c>
      <c r="O261" s="122">
        <v>130</v>
      </c>
      <c r="P261" s="122">
        <v>7</v>
      </c>
      <c r="Q261" s="123"/>
      <c r="R261" s="123"/>
      <c r="S261" s="123"/>
      <c r="T261" s="122">
        <v>1</v>
      </c>
      <c r="U261" s="123"/>
      <c r="V261" s="122">
        <v>8858890766816</v>
      </c>
    </row>
    <row r="262" ht="15.75" customHeight="1" spans="1:22" x14ac:dyDescent="0.25">
      <c r="A262" s="122" t="s">
        <v>39</v>
      </c>
      <c r="B262" s="123"/>
      <c r="C262" s="123"/>
      <c r="D262" s="122" t="s">
        <v>1342</v>
      </c>
      <c r="E262" s="122" t="s">
        <v>1343</v>
      </c>
      <c r="F262" s="122" t="s">
        <v>753</v>
      </c>
      <c r="G262" s="122" t="s">
        <v>831</v>
      </c>
      <c r="H262" s="122" t="s">
        <v>832</v>
      </c>
      <c r="I262" s="122" t="s">
        <v>733</v>
      </c>
      <c r="J262" s="122">
        <v>160</v>
      </c>
      <c r="K262" s="122">
        <v>99</v>
      </c>
      <c r="L262" s="122">
        <v>180</v>
      </c>
      <c r="M262" s="122">
        <v>150</v>
      </c>
      <c r="N262" s="122">
        <v>200</v>
      </c>
      <c r="O262" s="122">
        <v>260</v>
      </c>
      <c r="P262" s="122">
        <v>40</v>
      </c>
      <c r="Q262" s="123"/>
      <c r="R262" s="122">
        <v>1</v>
      </c>
      <c r="S262" s="122">
        <v>1</v>
      </c>
      <c r="T262" s="122">
        <v>1</v>
      </c>
      <c r="U262" s="123"/>
      <c r="V262" s="122">
        <v>8858890796488</v>
      </c>
    </row>
    <row r="263" ht="15.75" customHeight="1" spans="1:22" x14ac:dyDescent="0.25">
      <c r="A263" s="122" t="s">
        <v>1344</v>
      </c>
      <c r="B263" s="123"/>
      <c r="C263" s="123"/>
      <c r="D263" s="122" t="s">
        <v>1345</v>
      </c>
      <c r="E263" s="122" t="s">
        <v>1346</v>
      </c>
      <c r="F263" s="122" t="s">
        <v>753</v>
      </c>
      <c r="G263" s="122" t="s">
        <v>745</v>
      </c>
      <c r="H263" s="122" t="s">
        <v>1214</v>
      </c>
      <c r="I263" s="122" t="s">
        <v>733</v>
      </c>
      <c r="J263" s="122">
        <v>2165</v>
      </c>
      <c r="K263" s="122">
        <v>0</v>
      </c>
      <c r="L263" s="122">
        <v>2600</v>
      </c>
      <c r="M263" s="122">
        <v>0</v>
      </c>
      <c r="N263" s="122">
        <v>2890</v>
      </c>
      <c r="O263" s="122">
        <v>3750</v>
      </c>
      <c r="P263" s="122">
        <v>1</v>
      </c>
      <c r="Q263" s="123"/>
      <c r="R263" s="122">
        <v>1</v>
      </c>
      <c r="S263" s="123"/>
      <c r="T263" s="122">
        <v>1</v>
      </c>
      <c r="U263" s="123"/>
      <c r="V263" s="122">
        <v>8858890720841</v>
      </c>
    </row>
    <row r="264" ht="15.75" customHeight="1" spans="1:22" x14ac:dyDescent="0.25">
      <c r="A264" s="122" t="s">
        <v>413</v>
      </c>
      <c r="B264" s="123"/>
      <c r="C264" s="123"/>
      <c r="D264" s="122" t="s">
        <v>1347</v>
      </c>
      <c r="E264" s="122" t="s">
        <v>1348</v>
      </c>
      <c r="F264" s="122" t="s">
        <v>753</v>
      </c>
      <c r="G264" s="122" t="s">
        <v>754</v>
      </c>
      <c r="H264" s="122" t="s">
        <v>818</v>
      </c>
      <c r="I264" s="122" t="s">
        <v>733</v>
      </c>
      <c r="J264" s="122">
        <v>55</v>
      </c>
      <c r="K264" s="122">
        <v>65</v>
      </c>
      <c r="L264" s="122">
        <v>0</v>
      </c>
      <c r="M264" s="122">
        <v>65</v>
      </c>
      <c r="N264" s="122">
        <v>99</v>
      </c>
      <c r="O264" s="122">
        <v>129</v>
      </c>
      <c r="P264" s="122">
        <v>41</v>
      </c>
      <c r="Q264" s="123"/>
      <c r="R264" s="122">
        <v>1</v>
      </c>
      <c r="S264" s="123"/>
      <c r="T264" s="122">
        <v>1</v>
      </c>
      <c r="U264" s="123"/>
      <c r="V264" s="122">
        <v>8858890796457</v>
      </c>
    </row>
    <row r="265" ht="15.75" customHeight="1" spans="1:22" x14ac:dyDescent="0.25">
      <c r="A265" s="122" t="s">
        <v>594</v>
      </c>
      <c r="B265" s="123"/>
      <c r="C265" s="123"/>
      <c r="D265" s="122" t="s">
        <v>1349</v>
      </c>
      <c r="E265" s="122" t="s">
        <v>1350</v>
      </c>
      <c r="F265" s="122" t="s">
        <v>753</v>
      </c>
      <c r="G265" s="122" t="s">
        <v>771</v>
      </c>
      <c r="H265" s="122" t="s">
        <v>975</v>
      </c>
      <c r="I265" s="122" t="s">
        <v>733</v>
      </c>
      <c r="J265" s="122">
        <v>98</v>
      </c>
      <c r="K265" s="122">
        <v>0</v>
      </c>
      <c r="L265" s="122">
        <v>120</v>
      </c>
      <c r="M265" s="122">
        <v>120</v>
      </c>
      <c r="N265" s="122">
        <v>130</v>
      </c>
      <c r="O265" s="122">
        <v>190</v>
      </c>
      <c r="P265" s="122">
        <v>66</v>
      </c>
      <c r="Q265" s="123"/>
      <c r="R265" s="122">
        <v>1</v>
      </c>
      <c r="S265" s="123"/>
      <c r="T265" s="122">
        <v>1</v>
      </c>
      <c r="U265" s="123"/>
      <c r="V265" s="122">
        <v>8858890780258</v>
      </c>
    </row>
    <row r="266" ht="15.75" customHeight="1" spans="1:22" x14ac:dyDescent="0.25">
      <c r="A266" s="122" t="s">
        <v>466</v>
      </c>
      <c r="B266" s="123"/>
      <c r="C266" s="123"/>
      <c r="D266" s="122" t="s">
        <v>1351</v>
      </c>
      <c r="E266" s="122" t="s">
        <v>1352</v>
      </c>
      <c r="F266" s="122" t="s">
        <v>753</v>
      </c>
      <c r="G266" s="122" t="s">
        <v>754</v>
      </c>
      <c r="H266" s="122" t="s">
        <v>1112</v>
      </c>
      <c r="I266" s="122" t="s">
        <v>733</v>
      </c>
      <c r="J266" s="122">
        <v>35</v>
      </c>
      <c r="K266" s="122">
        <v>0</v>
      </c>
      <c r="L266" s="122">
        <v>0</v>
      </c>
      <c r="M266" s="122">
        <v>39</v>
      </c>
      <c r="N266" s="122">
        <v>60</v>
      </c>
      <c r="O266" s="122">
        <v>88</v>
      </c>
      <c r="P266" s="122">
        <v>107</v>
      </c>
      <c r="Q266" s="123"/>
      <c r="R266" s="122">
        <v>1</v>
      </c>
      <c r="S266" s="123"/>
      <c r="T266" s="122">
        <v>1</v>
      </c>
      <c r="U266" s="123"/>
      <c r="V266" s="122">
        <v>8858890794651</v>
      </c>
    </row>
    <row r="267" ht="15.75" customHeight="1" spans="1:22" x14ac:dyDescent="0.25">
      <c r="A267" s="122" t="s">
        <v>1353</v>
      </c>
      <c r="B267" s="123"/>
      <c r="C267" s="123"/>
      <c r="D267" s="122" t="s">
        <v>1354</v>
      </c>
      <c r="E267" s="122" t="s">
        <v>1355</v>
      </c>
      <c r="F267" s="122" t="s">
        <v>753</v>
      </c>
      <c r="G267" s="122" t="s">
        <v>771</v>
      </c>
      <c r="H267" s="122" t="s">
        <v>975</v>
      </c>
      <c r="I267" s="122" t="s">
        <v>733</v>
      </c>
      <c r="J267" s="122">
        <v>19</v>
      </c>
      <c r="K267" s="122">
        <v>0</v>
      </c>
      <c r="L267" s="122">
        <v>0</v>
      </c>
      <c r="M267" s="122">
        <v>0</v>
      </c>
      <c r="N267" s="122">
        <v>45</v>
      </c>
      <c r="O267" s="122">
        <v>59</v>
      </c>
      <c r="P267" s="122">
        <v>0</v>
      </c>
      <c r="Q267" s="123"/>
      <c r="R267" s="122">
        <v>1</v>
      </c>
      <c r="S267" s="123"/>
      <c r="T267" s="122">
        <v>1</v>
      </c>
      <c r="U267" s="123"/>
      <c r="V267" s="122">
        <v>8858890780593</v>
      </c>
    </row>
    <row r="268" ht="15.75" customHeight="1" spans="1:22" x14ac:dyDescent="0.25">
      <c r="A268" s="122" t="s">
        <v>572</v>
      </c>
      <c r="B268" s="123"/>
      <c r="C268" s="123"/>
      <c r="D268" s="122" t="s">
        <v>1356</v>
      </c>
      <c r="E268" s="122" t="s">
        <v>1357</v>
      </c>
      <c r="F268" s="122" t="s">
        <v>753</v>
      </c>
      <c r="G268" s="122" t="s">
        <v>771</v>
      </c>
      <c r="H268" s="122" t="s">
        <v>975</v>
      </c>
      <c r="I268" s="122" t="s">
        <v>733</v>
      </c>
      <c r="J268" s="122">
        <v>19</v>
      </c>
      <c r="K268" s="122">
        <v>0</v>
      </c>
      <c r="L268" s="122">
        <v>0</v>
      </c>
      <c r="M268" s="122">
        <v>35</v>
      </c>
      <c r="N268" s="122">
        <v>35</v>
      </c>
      <c r="O268" s="122">
        <v>59</v>
      </c>
      <c r="P268" s="122">
        <v>298</v>
      </c>
      <c r="Q268" s="123"/>
      <c r="R268" s="122">
        <v>1</v>
      </c>
      <c r="S268" s="123"/>
      <c r="T268" s="122">
        <v>1</v>
      </c>
      <c r="U268" s="123"/>
      <c r="V268" s="122">
        <v>8858890780500</v>
      </c>
    </row>
    <row r="269" ht="15.75" customHeight="1" spans="1:22" x14ac:dyDescent="0.25">
      <c r="A269" s="122" t="s">
        <v>1358</v>
      </c>
      <c r="B269" s="123"/>
      <c r="C269" s="123"/>
      <c r="D269" s="122" t="s">
        <v>1359</v>
      </c>
      <c r="E269" s="122" t="s">
        <v>1360</v>
      </c>
      <c r="F269" s="122" t="s">
        <v>753</v>
      </c>
      <c r="G269" s="122" t="s">
        <v>759</v>
      </c>
      <c r="H269" s="122" t="s">
        <v>821</v>
      </c>
      <c r="I269" s="122" t="s">
        <v>733</v>
      </c>
      <c r="J269" s="122">
        <v>153</v>
      </c>
      <c r="K269" s="122">
        <v>0</v>
      </c>
      <c r="L269" s="122">
        <v>0</v>
      </c>
      <c r="M269" s="122">
        <v>0</v>
      </c>
      <c r="N269" s="122">
        <v>210</v>
      </c>
      <c r="O269" s="122">
        <v>285</v>
      </c>
      <c r="P269" s="122">
        <v>48</v>
      </c>
      <c r="Q269" s="123"/>
      <c r="R269" s="123"/>
      <c r="S269" s="122">
        <v>1</v>
      </c>
      <c r="T269" s="122">
        <v>1</v>
      </c>
      <c r="U269" s="123"/>
      <c r="V269" s="122">
        <v>8858890760915</v>
      </c>
    </row>
    <row r="270" ht="15.75" customHeight="1" spans="1:22" x14ac:dyDescent="0.25">
      <c r="A270" s="122" t="s">
        <v>1361</v>
      </c>
      <c r="B270" s="123"/>
      <c r="C270" s="123"/>
      <c r="D270" s="122" t="s">
        <v>1362</v>
      </c>
      <c r="E270" s="122" t="s">
        <v>1363</v>
      </c>
      <c r="F270" s="122" t="s">
        <v>753</v>
      </c>
      <c r="G270" s="122" t="s">
        <v>759</v>
      </c>
      <c r="H270" s="122" t="s">
        <v>821</v>
      </c>
      <c r="I270" s="122" t="s">
        <v>733</v>
      </c>
      <c r="J270" s="122">
        <v>183</v>
      </c>
      <c r="K270" s="122">
        <v>0</v>
      </c>
      <c r="L270" s="122">
        <v>0</v>
      </c>
      <c r="M270" s="122">
        <v>0</v>
      </c>
      <c r="N270" s="122">
        <v>250</v>
      </c>
      <c r="O270" s="122">
        <v>335</v>
      </c>
      <c r="P270" s="122">
        <v>6</v>
      </c>
      <c r="Q270" s="123"/>
      <c r="R270" s="123"/>
      <c r="S270" s="122">
        <v>1</v>
      </c>
      <c r="T270" s="122">
        <v>1</v>
      </c>
      <c r="U270" s="123"/>
      <c r="V270" s="122">
        <v>8858890760908</v>
      </c>
    </row>
    <row r="271" ht="15.75" customHeight="1" spans="1:22" x14ac:dyDescent="0.25">
      <c r="A271" s="122" t="s">
        <v>312</v>
      </c>
      <c r="B271" s="123"/>
      <c r="C271" s="123"/>
      <c r="D271" s="122" t="s">
        <v>1364</v>
      </c>
      <c r="E271" s="122" t="s">
        <v>1365</v>
      </c>
      <c r="F271" s="122" t="s">
        <v>753</v>
      </c>
      <c r="G271" s="122" t="s">
        <v>745</v>
      </c>
      <c r="H271" s="122" t="s">
        <v>1214</v>
      </c>
      <c r="I271" s="122" t="s">
        <v>733</v>
      </c>
      <c r="J271" s="122">
        <v>725.49</v>
      </c>
      <c r="K271" s="122">
        <v>399</v>
      </c>
      <c r="L271" s="122">
        <v>1050</v>
      </c>
      <c r="M271" s="122">
        <v>699</v>
      </c>
      <c r="N271" s="122">
        <v>1250</v>
      </c>
      <c r="O271" s="122">
        <v>1299</v>
      </c>
      <c r="P271" s="122">
        <v>57</v>
      </c>
      <c r="Q271" s="123"/>
      <c r="R271" s="123"/>
      <c r="S271" s="122">
        <v>1</v>
      </c>
      <c r="T271" s="122">
        <v>1</v>
      </c>
      <c r="U271" s="123"/>
      <c r="V271" s="122">
        <v>8858890721022</v>
      </c>
    </row>
    <row r="272" ht="15.75" customHeight="1" spans="1:22" x14ac:dyDescent="0.25">
      <c r="A272" s="122" t="s">
        <v>589</v>
      </c>
      <c r="B272" s="122" t="s">
        <v>874</v>
      </c>
      <c r="C272" s="123"/>
      <c r="D272" s="122" t="s">
        <v>1366</v>
      </c>
      <c r="E272" s="122" t="s">
        <v>1367</v>
      </c>
      <c r="F272" s="122" t="s">
        <v>753</v>
      </c>
      <c r="G272" s="122" t="s">
        <v>771</v>
      </c>
      <c r="H272" s="122" t="s">
        <v>1012</v>
      </c>
      <c r="I272" s="122" t="s">
        <v>733</v>
      </c>
      <c r="J272" s="122">
        <v>74.99</v>
      </c>
      <c r="K272" s="122">
        <v>0</v>
      </c>
      <c r="L272" s="122">
        <v>95</v>
      </c>
      <c r="M272" s="122">
        <v>0</v>
      </c>
      <c r="N272" s="122">
        <v>105</v>
      </c>
      <c r="O272" s="122">
        <v>135</v>
      </c>
      <c r="P272" s="122">
        <v>4</v>
      </c>
      <c r="Q272" s="123"/>
      <c r="R272" s="122">
        <v>1</v>
      </c>
      <c r="S272" s="122">
        <v>1</v>
      </c>
      <c r="T272" s="122">
        <v>1</v>
      </c>
      <c r="U272" s="123"/>
      <c r="V272" s="122">
        <v>885889078199602</v>
      </c>
    </row>
    <row r="273" ht="15.75" customHeight="1" spans="1:22" x14ac:dyDescent="0.25">
      <c r="A273" s="122" t="s">
        <v>589</v>
      </c>
      <c r="B273" s="122" t="s">
        <v>909</v>
      </c>
      <c r="C273" s="123"/>
      <c r="D273" s="122" t="s">
        <v>1366</v>
      </c>
      <c r="E273" s="122" t="s">
        <v>1367</v>
      </c>
      <c r="F273" s="122" t="s">
        <v>753</v>
      </c>
      <c r="G273" s="122" t="s">
        <v>771</v>
      </c>
      <c r="H273" s="122" t="s">
        <v>1012</v>
      </c>
      <c r="I273" s="122" t="s">
        <v>733</v>
      </c>
      <c r="J273" s="122">
        <v>74.99</v>
      </c>
      <c r="K273" s="122">
        <v>0</v>
      </c>
      <c r="L273" s="122">
        <v>95</v>
      </c>
      <c r="M273" s="122">
        <v>0</v>
      </c>
      <c r="N273" s="122">
        <v>105</v>
      </c>
      <c r="O273" s="122">
        <v>135</v>
      </c>
      <c r="P273" s="122">
        <v>4</v>
      </c>
      <c r="Q273" s="123"/>
      <c r="R273" s="122">
        <v>1</v>
      </c>
      <c r="S273" s="122">
        <v>1</v>
      </c>
      <c r="T273" s="122">
        <v>1</v>
      </c>
      <c r="U273" s="123"/>
      <c r="V273" s="122">
        <v>885889078199601</v>
      </c>
    </row>
    <row r="274" ht="15.75" customHeight="1" spans="1:22" x14ac:dyDescent="0.25">
      <c r="A274" s="122" t="s">
        <v>590</v>
      </c>
      <c r="B274" s="122" t="s">
        <v>750</v>
      </c>
      <c r="C274" s="123"/>
      <c r="D274" s="122" t="s">
        <v>1368</v>
      </c>
      <c r="E274" s="122" t="s">
        <v>1369</v>
      </c>
      <c r="F274" s="122" t="s">
        <v>753</v>
      </c>
      <c r="G274" s="122" t="s">
        <v>771</v>
      </c>
      <c r="H274" s="122" t="s">
        <v>1012</v>
      </c>
      <c r="I274" s="122" t="s">
        <v>733</v>
      </c>
      <c r="J274" s="122">
        <v>70</v>
      </c>
      <c r="K274" s="122">
        <v>0</v>
      </c>
      <c r="L274" s="122">
        <v>85</v>
      </c>
      <c r="M274" s="122">
        <v>0</v>
      </c>
      <c r="N274" s="122">
        <v>99</v>
      </c>
      <c r="O274" s="122">
        <v>125</v>
      </c>
      <c r="P274" s="122">
        <v>268</v>
      </c>
      <c r="Q274" s="123"/>
      <c r="R274" s="122">
        <v>1</v>
      </c>
      <c r="S274" s="123"/>
      <c r="T274" s="122">
        <v>1</v>
      </c>
      <c r="U274" s="123"/>
      <c r="V274" s="122">
        <v>8858890782009</v>
      </c>
    </row>
    <row r="275" ht="15.75" customHeight="1" spans="1:22" x14ac:dyDescent="0.25">
      <c r="A275" s="122" t="s">
        <v>590</v>
      </c>
      <c r="B275" s="122" t="s">
        <v>874</v>
      </c>
      <c r="C275" s="123"/>
      <c r="D275" s="122" t="s">
        <v>1368</v>
      </c>
      <c r="E275" s="122" t="s">
        <v>1369</v>
      </c>
      <c r="F275" s="122" t="s">
        <v>753</v>
      </c>
      <c r="G275" s="122" t="s">
        <v>771</v>
      </c>
      <c r="H275" s="122" t="s">
        <v>1012</v>
      </c>
      <c r="I275" s="122" t="s">
        <v>733</v>
      </c>
      <c r="J275" s="122">
        <v>70</v>
      </c>
      <c r="K275" s="122">
        <v>0</v>
      </c>
      <c r="L275" s="122">
        <v>85</v>
      </c>
      <c r="M275" s="122">
        <v>0</v>
      </c>
      <c r="N275" s="122">
        <v>99</v>
      </c>
      <c r="O275" s="122">
        <v>125</v>
      </c>
      <c r="P275" s="122">
        <v>442</v>
      </c>
      <c r="Q275" s="123"/>
      <c r="R275" s="122">
        <v>1</v>
      </c>
      <c r="S275" s="123"/>
      <c r="T275" s="122">
        <v>1</v>
      </c>
      <c r="U275" s="123"/>
      <c r="V275" s="122">
        <v>885889078200902</v>
      </c>
    </row>
    <row r="276" ht="15.75" customHeight="1" spans="1:22" x14ac:dyDescent="0.25">
      <c r="A276" s="122" t="s">
        <v>1370</v>
      </c>
      <c r="B276" s="123"/>
      <c r="C276" s="123"/>
      <c r="D276" s="122" t="s">
        <v>1371</v>
      </c>
      <c r="E276" s="123"/>
      <c r="F276" s="122" t="s">
        <v>742</v>
      </c>
      <c r="G276" s="122" t="s">
        <v>831</v>
      </c>
      <c r="H276" s="122" t="s">
        <v>832</v>
      </c>
      <c r="I276" s="122" t="s">
        <v>733</v>
      </c>
      <c r="J276" s="122">
        <v>138.6</v>
      </c>
      <c r="K276" s="122">
        <v>0</v>
      </c>
      <c r="L276" s="122">
        <v>0</v>
      </c>
      <c r="M276" s="122">
        <v>0</v>
      </c>
      <c r="N276" s="122">
        <v>190</v>
      </c>
      <c r="O276" s="122">
        <v>250</v>
      </c>
      <c r="P276" s="122">
        <v>0</v>
      </c>
      <c r="Q276" s="123"/>
      <c r="R276" s="122">
        <v>1</v>
      </c>
      <c r="S276" s="123"/>
      <c r="T276" s="122">
        <v>1</v>
      </c>
      <c r="U276" s="123"/>
      <c r="V276" s="122">
        <v>8858890795740</v>
      </c>
    </row>
    <row r="277" ht="15.75" customHeight="1" spans="1:22" x14ac:dyDescent="0.25">
      <c r="A277" s="122" t="s">
        <v>1372</v>
      </c>
      <c r="B277" s="123"/>
      <c r="C277" s="123"/>
      <c r="D277" s="122" t="s">
        <v>1373</v>
      </c>
      <c r="E277" s="122" t="s">
        <v>1374</v>
      </c>
      <c r="F277" s="122" t="s">
        <v>742</v>
      </c>
      <c r="G277" s="122" t="s">
        <v>745</v>
      </c>
      <c r="H277" s="122" t="s">
        <v>970</v>
      </c>
      <c r="I277" s="122" t="s">
        <v>733</v>
      </c>
      <c r="J277" s="122">
        <v>905</v>
      </c>
      <c r="K277" s="122">
        <v>0</v>
      </c>
      <c r="L277" s="122">
        <v>0</v>
      </c>
      <c r="M277" s="122">
        <v>0</v>
      </c>
      <c r="N277" s="122">
        <v>1250</v>
      </c>
      <c r="O277" s="122">
        <v>1560</v>
      </c>
      <c r="P277" s="122">
        <v>0</v>
      </c>
      <c r="Q277" s="123"/>
      <c r="R277" s="123"/>
      <c r="S277" s="123"/>
      <c r="T277" s="123"/>
      <c r="U277" s="123"/>
      <c r="V277" s="122">
        <v>8858890721984</v>
      </c>
    </row>
    <row r="278" ht="15.75" customHeight="1" spans="1:22" x14ac:dyDescent="0.25">
      <c r="A278" s="122" t="s">
        <v>465</v>
      </c>
      <c r="B278" s="123"/>
      <c r="C278" s="123"/>
      <c r="D278" s="122" t="s">
        <v>1375</v>
      </c>
      <c r="E278" s="122" t="s">
        <v>1376</v>
      </c>
      <c r="F278" s="122" t="s">
        <v>753</v>
      </c>
      <c r="G278" s="122" t="s">
        <v>754</v>
      </c>
      <c r="H278" s="122" t="s">
        <v>1112</v>
      </c>
      <c r="I278" s="122" t="s">
        <v>733</v>
      </c>
      <c r="J278" s="122">
        <v>65</v>
      </c>
      <c r="K278" s="122">
        <v>0</v>
      </c>
      <c r="L278" s="122">
        <v>0</v>
      </c>
      <c r="M278" s="122">
        <v>79</v>
      </c>
      <c r="N278" s="122">
        <v>100</v>
      </c>
      <c r="O278" s="122">
        <v>145</v>
      </c>
      <c r="P278" s="122">
        <v>6</v>
      </c>
      <c r="Q278" s="123"/>
      <c r="R278" s="123"/>
      <c r="S278" s="123"/>
      <c r="T278" s="122">
        <v>1</v>
      </c>
      <c r="U278" s="123"/>
      <c r="V278" s="122">
        <v>8858890793630</v>
      </c>
    </row>
    <row r="279" ht="15.75" customHeight="1" spans="1:22" x14ac:dyDescent="0.25">
      <c r="A279" s="122" t="s">
        <v>441</v>
      </c>
      <c r="B279" s="123"/>
      <c r="C279" s="123"/>
      <c r="D279" s="122" t="s">
        <v>1377</v>
      </c>
      <c r="E279" s="122" t="s">
        <v>1378</v>
      </c>
      <c r="F279" s="122" t="s">
        <v>753</v>
      </c>
      <c r="G279" s="122" t="s">
        <v>754</v>
      </c>
      <c r="H279" s="122" t="s">
        <v>1117</v>
      </c>
      <c r="I279" s="122" t="s">
        <v>733</v>
      </c>
      <c r="J279" s="122">
        <v>70</v>
      </c>
      <c r="K279" s="122">
        <v>0</v>
      </c>
      <c r="L279" s="122">
        <v>0</v>
      </c>
      <c r="M279" s="122">
        <v>0</v>
      </c>
      <c r="N279" s="122">
        <v>100</v>
      </c>
      <c r="O279" s="122">
        <v>150</v>
      </c>
      <c r="P279" s="122">
        <v>5</v>
      </c>
      <c r="Q279" s="123"/>
      <c r="R279" s="123"/>
      <c r="S279" s="123"/>
      <c r="T279" s="122">
        <v>1</v>
      </c>
      <c r="U279" s="123"/>
      <c r="V279" s="122">
        <v>8858890792961</v>
      </c>
    </row>
    <row r="280" ht="15.75" customHeight="1" spans="1:22" x14ac:dyDescent="0.25">
      <c r="A280" s="122" t="s">
        <v>1379</v>
      </c>
      <c r="B280" s="123"/>
      <c r="C280" s="123"/>
      <c r="D280" s="122" t="s">
        <v>1380</v>
      </c>
      <c r="E280" s="122" t="s">
        <v>1381</v>
      </c>
      <c r="F280" s="122" t="s">
        <v>753</v>
      </c>
      <c r="G280" s="122" t="s">
        <v>745</v>
      </c>
      <c r="H280" s="122" t="s">
        <v>1214</v>
      </c>
      <c r="I280" s="122" t="s">
        <v>733</v>
      </c>
      <c r="J280" s="122">
        <v>860</v>
      </c>
      <c r="K280" s="122">
        <v>799</v>
      </c>
      <c r="L280" s="122">
        <v>1050</v>
      </c>
      <c r="M280" s="122">
        <v>1045</v>
      </c>
      <c r="N280" s="122">
        <v>1250</v>
      </c>
      <c r="O280" s="122">
        <v>1590</v>
      </c>
      <c r="P280" s="122">
        <v>86</v>
      </c>
      <c r="Q280" s="123"/>
      <c r="R280" s="123"/>
      <c r="S280" s="122">
        <v>1</v>
      </c>
      <c r="T280" s="122">
        <v>1</v>
      </c>
      <c r="U280" s="123"/>
      <c r="V280" s="122">
        <v>8858890721190</v>
      </c>
    </row>
    <row r="281" ht="15.75" customHeight="1" spans="1:22" x14ac:dyDescent="0.25">
      <c r="A281" s="122" t="s">
        <v>1382</v>
      </c>
      <c r="B281" s="123"/>
      <c r="C281" s="123"/>
      <c r="D281" s="122" t="s">
        <v>1383</v>
      </c>
      <c r="E281" s="122" t="s">
        <v>1381</v>
      </c>
      <c r="F281" s="122" t="s">
        <v>753</v>
      </c>
      <c r="G281" s="122" t="s">
        <v>745</v>
      </c>
      <c r="H281" s="122" t="s">
        <v>1214</v>
      </c>
      <c r="I281" s="122" t="s">
        <v>733</v>
      </c>
      <c r="J281" s="122">
        <v>860</v>
      </c>
      <c r="K281" s="122">
        <v>799</v>
      </c>
      <c r="L281" s="122">
        <v>1050</v>
      </c>
      <c r="M281" s="122">
        <v>1100</v>
      </c>
      <c r="N281" s="122">
        <v>1250</v>
      </c>
      <c r="O281" s="122">
        <v>1590</v>
      </c>
      <c r="P281" s="122">
        <v>66</v>
      </c>
      <c r="Q281" s="123"/>
      <c r="R281" s="123"/>
      <c r="S281" s="122">
        <v>1</v>
      </c>
      <c r="T281" s="122">
        <v>1</v>
      </c>
      <c r="U281" s="123"/>
      <c r="V281" s="122">
        <v>8858890720872</v>
      </c>
    </row>
    <row r="282" ht="15.75" customHeight="1" spans="1:22" x14ac:dyDescent="0.25">
      <c r="A282" s="122" t="s">
        <v>1384</v>
      </c>
      <c r="B282" s="123"/>
      <c r="C282" s="123"/>
      <c r="D282" s="122" t="s">
        <v>1385</v>
      </c>
      <c r="E282" s="122" t="s">
        <v>1386</v>
      </c>
      <c r="F282" s="122" t="s">
        <v>753</v>
      </c>
      <c r="G282" s="122" t="s">
        <v>754</v>
      </c>
      <c r="H282" s="122" t="s">
        <v>1387</v>
      </c>
      <c r="I282" s="122" t="s">
        <v>733</v>
      </c>
      <c r="J282" s="122">
        <v>30</v>
      </c>
      <c r="K282" s="122">
        <v>0</v>
      </c>
      <c r="L282" s="122">
        <v>0</v>
      </c>
      <c r="M282" s="122">
        <v>30</v>
      </c>
      <c r="N282" s="122">
        <v>55</v>
      </c>
      <c r="O282" s="122">
        <v>72</v>
      </c>
      <c r="P282" s="122">
        <v>44</v>
      </c>
      <c r="Q282" s="123"/>
      <c r="R282" s="123"/>
      <c r="S282" s="123"/>
      <c r="T282" s="122">
        <v>1</v>
      </c>
      <c r="U282" s="123"/>
      <c r="V282" s="122">
        <v>8858890792848</v>
      </c>
    </row>
    <row r="283" ht="15.75" customHeight="1" spans="1:22" x14ac:dyDescent="0.25">
      <c r="A283" s="122" t="s">
        <v>1388</v>
      </c>
      <c r="B283" s="123"/>
      <c r="C283" s="123"/>
      <c r="D283" s="122" t="s">
        <v>1389</v>
      </c>
      <c r="E283" s="122" t="s">
        <v>1390</v>
      </c>
      <c r="F283" s="122" t="s">
        <v>753</v>
      </c>
      <c r="G283" s="122" t="s">
        <v>754</v>
      </c>
      <c r="H283" s="122" t="s">
        <v>1387</v>
      </c>
      <c r="I283" s="122" t="s">
        <v>733</v>
      </c>
      <c r="J283" s="122">
        <v>20</v>
      </c>
      <c r="K283" s="122">
        <v>0</v>
      </c>
      <c r="L283" s="122">
        <v>0</v>
      </c>
      <c r="M283" s="122">
        <v>27</v>
      </c>
      <c r="N283" s="122">
        <v>55</v>
      </c>
      <c r="O283" s="122">
        <v>72</v>
      </c>
      <c r="P283" s="122">
        <v>83</v>
      </c>
      <c r="Q283" s="123"/>
      <c r="R283" s="123"/>
      <c r="S283" s="123"/>
      <c r="T283" s="122">
        <v>1</v>
      </c>
      <c r="U283" s="123"/>
      <c r="V283" s="122">
        <v>8885889079831</v>
      </c>
    </row>
    <row r="284" ht="15.75" customHeight="1" spans="1:22" x14ac:dyDescent="0.25">
      <c r="A284" s="122" t="s">
        <v>440</v>
      </c>
      <c r="B284" s="123"/>
      <c r="C284" s="123"/>
      <c r="D284" s="122" t="s">
        <v>1391</v>
      </c>
      <c r="E284" s="122" t="s">
        <v>1392</v>
      </c>
      <c r="F284" s="122" t="s">
        <v>753</v>
      </c>
      <c r="G284" s="122" t="s">
        <v>754</v>
      </c>
      <c r="H284" s="122" t="s">
        <v>1117</v>
      </c>
      <c r="I284" s="122" t="s">
        <v>733</v>
      </c>
      <c r="J284" s="122">
        <v>33</v>
      </c>
      <c r="K284" s="122">
        <v>0</v>
      </c>
      <c r="L284" s="122">
        <v>0</v>
      </c>
      <c r="M284" s="122">
        <v>0</v>
      </c>
      <c r="N284" s="122">
        <v>60</v>
      </c>
      <c r="O284" s="122">
        <v>100</v>
      </c>
      <c r="P284" s="122">
        <v>19</v>
      </c>
      <c r="Q284" s="123"/>
      <c r="R284" s="123"/>
      <c r="S284" s="123"/>
      <c r="T284" s="122">
        <v>1</v>
      </c>
      <c r="U284" s="123"/>
      <c r="V284" s="122">
        <v>88588907927630</v>
      </c>
    </row>
    <row r="285" ht="15.75" customHeight="1" spans="1:22" x14ac:dyDescent="0.25">
      <c r="A285" s="122" t="s">
        <v>1393</v>
      </c>
      <c r="B285" s="123"/>
      <c r="C285" s="123"/>
      <c r="D285" s="122" t="s">
        <v>1394</v>
      </c>
      <c r="E285" s="122" t="s">
        <v>1395</v>
      </c>
      <c r="F285" s="122" t="s">
        <v>753</v>
      </c>
      <c r="G285" s="122" t="s">
        <v>754</v>
      </c>
      <c r="H285" s="122" t="s">
        <v>1117</v>
      </c>
      <c r="I285" s="122" t="s">
        <v>733</v>
      </c>
      <c r="J285" s="122">
        <v>10</v>
      </c>
      <c r="K285" s="122">
        <v>0</v>
      </c>
      <c r="L285" s="122">
        <v>0</v>
      </c>
      <c r="M285" s="122">
        <v>0</v>
      </c>
      <c r="N285" s="122">
        <v>50</v>
      </c>
      <c r="O285" s="122">
        <v>65</v>
      </c>
      <c r="P285" s="122">
        <v>16</v>
      </c>
      <c r="Q285" s="123"/>
      <c r="R285" s="122">
        <v>1</v>
      </c>
      <c r="S285" s="123"/>
      <c r="T285" s="122">
        <v>1</v>
      </c>
      <c r="U285" s="123"/>
      <c r="V285" s="122">
        <v>8858890793858</v>
      </c>
    </row>
    <row r="286" ht="15.75" customHeight="1" spans="1:22" x14ac:dyDescent="0.25">
      <c r="A286" s="122" t="s">
        <v>432</v>
      </c>
      <c r="B286" s="123"/>
      <c r="C286" s="123"/>
      <c r="D286" s="122" t="s">
        <v>1396</v>
      </c>
      <c r="E286" s="122" t="s">
        <v>1397</v>
      </c>
      <c r="F286" s="122" t="s">
        <v>753</v>
      </c>
      <c r="G286" s="122" t="s">
        <v>754</v>
      </c>
      <c r="H286" s="122" t="s">
        <v>1276</v>
      </c>
      <c r="I286" s="122" t="s">
        <v>733</v>
      </c>
      <c r="J286" s="122">
        <v>36</v>
      </c>
      <c r="K286" s="122">
        <v>0</v>
      </c>
      <c r="L286" s="122">
        <v>0</v>
      </c>
      <c r="M286" s="122">
        <v>45</v>
      </c>
      <c r="N286" s="122">
        <v>60</v>
      </c>
      <c r="O286" s="122">
        <v>85</v>
      </c>
      <c r="P286" s="122">
        <v>8</v>
      </c>
      <c r="Q286" s="123"/>
      <c r="R286" s="122">
        <v>1</v>
      </c>
      <c r="S286" s="123"/>
      <c r="T286" s="122">
        <v>1</v>
      </c>
      <c r="U286" s="123"/>
      <c r="V286" s="122">
        <v>8858890794033</v>
      </c>
    </row>
    <row r="287" ht="15.75" customHeight="1" spans="1:22" x14ac:dyDescent="0.25">
      <c r="A287" s="122" t="s">
        <v>1398</v>
      </c>
      <c r="B287" s="123"/>
      <c r="C287" s="123"/>
      <c r="D287" s="122" t="s">
        <v>1399</v>
      </c>
      <c r="E287" s="122" t="s">
        <v>1400</v>
      </c>
      <c r="F287" s="122" t="s">
        <v>753</v>
      </c>
      <c r="G287" s="122" t="s">
        <v>754</v>
      </c>
      <c r="H287" s="122" t="s">
        <v>1117</v>
      </c>
      <c r="I287" s="122" t="s">
        <v>733</v>
      </c>
      <c r="J287" s="122">
        <v>64</v>
      </c>
      <c r="K287" s="122">
        <v>0</v>
      </c>
      <c r="L287" s="122">
        <v>0</v>
      </c>
      <c r="M287" s="122">
        <v>0</v>
      </c>
      <c r="N287" s="122">
        <v>100</v>
      </c>
      <c r="O287" s="122">
        <v>135</v>
      </c>
      <c r="P287" s="122">
        <v>2</v>
      </c>
      <c r="Q287" s="123"/>
      <c r="R287" s="122">
        <v>1</v>
      </c>
      <c r="S287" s="123"/>
      <c r="T287" s="122">
        <v>1</v>
      </c>
      <c r="U287" s="123"/>
      <c r="V287" s="122">
        <v>8858890793210</v>
      </c>
    </row>
    <row r="288" ht="15.75" customHeight="1" spans="1:22" x14ac:dyDescent="0.25">
      <c r="A288" s="122" t="s">
        <v>1401</v>
      </c>
      <c r="B288" s="123"/>
      <c r="C288" s="123"/>
      <c r="D288" s="122" t="s">
        <v>1402</v>
      </c>
      <c r="E288" s="122" t="s">
        <v>1403</v>
      </c>
      <c r="F288" s="122" t="s">
        <v>753</v>
      </c>
      <c r="G288" s="122" t="s">
        <v>754</v>
      </c>
      <c r="H288" s="122" t="s">
        <v>1112</v>
      </c>
      <c r="I288" s="122" t="s">
        <v>733</v>
      </c>
      <c r="J288" s="122">
        <v>100.09</v>
      </c>
      <c r="K288" s="122">
        <v>0</v>
      </c>
      <c r="L288" s="122">
        <v>0</v>
      </c>
      <c r="M288" s="122">
        <v>0</v>
      </c>
      <c r="N288" s="122">
        <v>200</v>
      </c>
      <c r="O288" s="122">
        <v>260</v>
      </c>
      <c r="P288" s="122">
        <v>3</v>
      </c>
      <c r="Q288" s="123"/>
      <c r="R288" s="123"/>
      <c r="S288" s="123"/>
      <c r="T288" s="122">
        <v>1</v>
      </c>
      <c r="U288" s="123"/>
      <c r="V288" s="122">
        <v>8858890796426</v>
      </c>
    </row>
    <row r="289" ht="15.75" customHeight="1" spans="1:22" x14ac:dyDescent="0.25">
      <c r="A289" s="122" t="s">
        <v>1404</v>
      </c>
      <c r="B289" s="123"/>
      <c r="C289" s="123"/>
      <c r="D289" s="122" t="s">
        <v>1405</v>
      </c>
      <c r="E289" s="122" t="s">
        <v>1406</v>
      </c>
      <c r="F289" s="122" t="s">
        <v>753</v>
      </c>
      <c r="G289" s="122" t="s">
        <v>754</v>
      </c>
      <c r="H289" s="122" t="s">
        <v>1407</v>
      </c>
      <c r="I289" s="122" t="s">
        <v>733</v>
      </c>
      <c r="J289" s="122">
        <v>299</v>
      </c>
      <c r="K289" s="122">
        <v>0</v>
      </c>
      <c r="L289" s="122">
        <v>0</v>
      </c>
      <c r="M289" s="122">
        <v>0</v>
      </c>
      <c r="N289" s="122">
        <v>150</v>
      </c>
      <c r="O289" s="122">
        <v>299</v>
      </c>
      <c r="P289" s="122">
        <v>8</v>
      </c>
      <c r="Q289" s="123"/>
      <c r="R289" s="122">
        <v>1</v>
      </c>
      <c r="S289" s="123"/>
      <c r="T289" s="122">
        <v>1</v>
      </c>
      <c r="U289" s="123"/>
      <c r="V289" s="123"/>
    </row>
    <row r="290" ht="15.75" customHeight="1" spans="1:22" x14ac:dyDescent="0.25">
      <c r="A290" s="122" t="s">
        <v>1408</v>
      </c>
      <c r="B290" s="123"/>
      <c r="C290" s="123"/>
      <c r="D290" s="122" t="s">
        <v>1409</v>
      </c>
      <c r="E290" s="122" t="s">
        <v>1410</v>
      </c>
      <c r="F290" s="122" t="s">
        <v>753</v>
      </c>
      <c r="G290" s="122" t="s">
        <v>754</v>
      </c>
      <c r="H290" s="122" t="s">
        <v>1407</v>
      </c>
      <c r="I290" s="122" t="s">
        <v>733</v>
      </c>
      <c r="J290" s="122">
        <v>10</v>
      </c>
      <c r="K290" s="122">
        <v>0</v>
      </c>
      <c r="L290" s="122">
        <v>0</v>
      </c>
      <c r="M290" s="122">
        <v>0</v>
      </c>
      <c r="N290" s="122">
        <v>140</v>
      </c>
      <c r="O290" s="122">
        <v>182</v>
      </c>
      <c r="P290" s="122">
        <v>20</v>
      </c>
      <c r="Q290" s="123"/>
      <c r="R290" s="122">
        <v>1</v>
      </c>
      <c r="S290" s="123"/>
      <c r="T290" s="122">
        <v>1</v>
      </c>
      <c r="U290" s="123"/>
      <c r="V290" s="122">
        <v>8858890794446</v>
      </c>
    </row>
    <row r="291" ht="15.75" customHeight="1" spans="1:22" x14ac:dyDescent="0.25">
      <c r="A291" s="122" t="s">
        <v>1411</v>
      </c>
      <c r="B291" s="123"/>
      <c r="C291" s="123"/>
      <c r="D291" s="122" t="s">
        <v>1412</v>
      </c>
      <c r="E291" s="122" t="s">
        <v>1413</v>
      </c>
      <c r="F291" s="122" t="s">
        <v>753</v>
      </c>
      <c r="G291" s="122" t="s">
        <v>754</v>
      </c>
      <c r="H291" s="122" t="s">
        <v>1407</v>
      </c>
      <c r="I291" s="122" t="s">
        <v>733</v>
      </c>
      <c r="J291" s="122">
        <v>32</v>
      </c>
      <c r="K291" s="122">
        <v>0</v>
      </c>
      <c r="L291" s="122">
        <v>0</v>
      </c>
      <c r="M291" s="122">
        <v>0</v>
      </c>
      <c r="N291" s="122">
        <v>55</v>
      </c>
      <c r="O291" s="122">
        <v>72</v>
      </c>
      <c r="P291" s="122">
        <v>2</v>
      </c>
      <c r="Q291" s="123"/>
      <c r="R291" s="123"/>
      <c r="S291" s="123"/>
      <c r="T291" s="122">
        <v>1</v>
      </c>
      <c r="U291" s="123"/>
      <c r="V291" s="122">
        <v>8858890791582</v>
      </c>
    </row>
    <row r="292" ht="15.75" customHeight="1" spans="1:22" x14ac:dyDescent="0.25">
      <c r="A292" s="122" t="s">
        <v>1414</v>
      </c>
      <c r="B292" s="123"/>
      <c r="C292" s="123"/>
      <c r="D292" s="122" t="s">
        <v>1415</v>
      </c>
      <c r="E292" s="122" t="s">
        <v>1416</v>
      </c>
      <c r="F292" s="122" t="s">
        <v>753</v>
      </c>
      <c r="G292" s="122" t="s">
        <v>771</v>
      </c>
      <c r="H292" s="122" t="s">
        <v>975</v>
      </c>
      <c r="I292" s="122" t="s">
        <v>733</v>
      </c>
      <c r="J292" s="122">
        <v>28</v>
      </c>
      <c r="K292" s="122">
        <v>0</v>
      </c>
      <c r="L292" s="122">
        <v>40</v>
      </c>
      <c r="M292" s="122">
        <v>0</v>
      </c>
      <c r="N292" s="122">
        <v>45</v>
      </c>
      <c r="O292" s="122">
        <v>80</v>
      </c>
      <c r="P292" s="122">
        <v>458</v>
      </c>
      <c r="Q292" s="123"/>
      <c r="R292" s="123"/>
      <c r="S292" s="122">
        <v>1</v>
      </c>
      <c r="T292" s="122">
        <v>1</v>
      </c>
      <c r="U292" s="123"/>
      <c r="V292" s="122">
        <v>8858890782528</v>
      </c>
    </row>
    <row r="293" ht="15.75" customHeight="1" spans="1:22" x14ac:dyDescent="0.25">
      <c r="A293" s="122" t="s">
        <v>1417</v>
      </c>
      <c r="B293" s="123"/>
      <c r="C293" s="123"/>
      <c r="D293" s="122" t="s">
        <v>1418</v>
      </c>
      <c r="E293" s="122" t="s">
        <v>1416</v>
      </c>
      <c r="F293" s="122" t="s">
        <v>753</v>
      </c>
      <c r="G293" s="122" t="s">
        <v>771</v>
      </c>
      <c r="H293" s="122" t="s">
        <v>975</v>
      </c>
      <c r="I293" s="122" t="s">
        <v>733</v>
      </c>
      <c r="J293" s="122">
        <v>34</v>
      </c>
      <c r="K293" s="122">
        <v>0</v>
      </c>
      <c r="L293" s="122">
        <v>50</v>
      </c>
      <c r="M293" s="122">
        <v>0</v>
      </c>
      <c r="N293" s="122">
        <v>60</v>
      </c>
      <c r="O293" s="122">
        <v>100</v>
      </c>
      <c r="P293" s="122">
        <v>461</v>
      </c>
      <c r="Q293" s="123"/>
      <c r="R293" s="122">
        <v>1</v>
      </c>
      <c r="S293" s="122">
        <v>1</v>
      </c>
      <c r="T293" s="122">
        <v>1</v>
      </c>
      <c r="U293" s="123"/>
      <c r="V293" s="122">
        <v>8858890782535</v>
      </c>
    </row>
    <row r="294" ht="15.75" customHeight="1" spans="1:22" x14ac:dyDescent="0.25">
      <c r="A294" s="122" t="s">
        <v>59</v>
      </c>
      <c r="B294" s="123"/>
      <c r="C294" s="123"/>
      <c r="D294" s="122" t="s">
        <v>1419</v>
      </c>
      <c r="E294" s="122" t="s">
        <v>1420</v>
      </c>
      <c r="F294" s="122" t="s">
        <v>742</v>
      </c>
      <c r="G294" s="122" t="s">
        <v>771</v>
      </c>
      <c r="H294" s="122" t="s">
        <v>978</v>
      </c>
      <c r="I294" s="122" t="s">
        <v>733</v>
      </c>
      <c r="J294" s="122">
        <v>45</v>
      </c>
      <c r="K294" s="122">
        <v>59</v>
      </c>
      <c r="L294" s="122">
        <v>150</v>
      </c>
      <c r="M294" s="122">
        <v>65</v>
      </c>
      <c r="N294" s="122">
        <v>150</v>
      </c>
      <c r="O294" s="122">
        <v>250</v>
      </c>
      <c r="P294" s="122">
        <v>112</v>
      </c>
      <c r="Q294" s="123"/>
      <c r="R294" s="122">
        <v>1</v>
      </c>
      <c r="S294" s="122">
        <v>1</v>
      </c>
      <c r="T294" s="122">
        <v>1</v>
      </c>
      <c r="U294" s="123"/>
      <c r="V294" s="122">
        <v>8858890782511</v>
      </c>
    </row>
    <row r="295" ht="15.75" customHeight="1" spans="1:22" x14ac:dyDescent="0.25">
      <c r="A295" s="122" t="s">
        <v>1421</v>
      </c>
      <c r="B295" s="123"/>
      <c r="C295" s="123"/>
      <c r="D295" s="122" t="s">
        <v>1422</v>
      </c>
      <c r="E295" s="122" t="s">
        <v>1423</v>
      </c>
      <c r="F295" s="122" t="s">
        <v>753</v>
      </c>
      <c r="G295" s="122" t="s">
        <v>771</v>
      </c>
      <c r="H295" s="122" t="s">
        <v>975</v>
      </c>
      <c r="I295" s="122" t="s">
        <v>733</v>
      </c>
      <c r="J295" s="122">
        <v>14</v>
      </c>
      <c r="K295" s="122">
        <v>0</v>
      </c>
      <c r="L295" s="122">
        <v>0</v>
      </c>
      <c r="M295" s="122">
        <v>0</v>
      </c>
      <c r="N295" s="122">
        <v>40</v>
      </c>
      <c r="O295" s="122">
        <v>52</v>
      </c>
      <c r="P295" s="122">
        <v>0</v>
      </c>
      <c r="Q295" s="123"/>
      <c r="R295" s="122">
        <v>1</v>
      </c>
      <c r="S295" s="123"/>
      <c r="T295" s="123"/>
      <c r="U295" s="123"/>
      <c r="V295" s="122">
        <v>8858890782344</v>
      </c>
    </row>
    <row r="296" ht="15.75" customHeight="1" spans="1:22" x14ac:dyDescent="0.25">
      <c r="A296" s="122" t="s">
        <v>1424</v>
      </c>
      <c r="B296" s="123"/>
      <c r="C296" s="123"/>
      <c r="D296" s="122" t="s">
        <v>1425</v>
      </c>
      <c r="E296" s="122" t="s">
        <v>1426</v>
      </c>
      <c r="F296" s="122" t="s">
        <v>753</v>
      </c>
      <c r="G296" s="122" t="s">
        <v>759</v>
      </c>
      <c r="H296" s="122" t="s">
        <v>821</v>
      </c>
      <c r="I296" s="122" t="s">
        <v>733</v>
      </c>
      <c r="J296" s="122">
        <v>138</v>
      </c>
      <c r="K296" s="122">
        <v>0</v>
      </c>
      <c r="L296" s="122">
        <v>0</v>
      </c>
      <c r="M296" s="122">
        <v>0</v>
      </c>
      <c r="N296" s="122">
        <v>200</v>
      </c>
      <c r="O296" s="122">
        <v>260</v>
      </c>
      <c r="P296" s="122">
        <v>11</v>
      </c>
      <c r="Q296" s="123"/>
      <c r="R296" s="122">
        <v>1</v>
      </c>
      <c r="S296" s="123"/>
      <c r="T296" s="122">
        <v>1</v>
      </c>
      <c r="U296" s="123"/>
      <c r="V296" s="122">
        <v>8858890760748</v>
      </c>
    </row>
    <row r="297" ht="15.75" customHeight="1" spans="1:22" x14ac:dyDescent="0.25">
      <c r="A297" s="122" t="s">
        <v>1427</v>
      </c>
      <c r="B297" s="123"/>
      <c r="C297" s="123"/>
      <c r="D297" s="122" t="s">
        <v>1428</v>
      </c>
      <c r="E297" s="122" t="s">
        <v>1429</v>
      </c>
      <c r="F297" s="122" t="s">
        <v>753</v>
      </c>
      <c r="G297" s="122" t="s">
        <v>759</v>
      </c>
      <c r="H297" s="122" t="s">
        <v>821</v>
      </c>
      <c r="I297" s="122" t="s">
        <v>733</v>
      </c>
      <c r="J297" s="122">
        <v>155</v>
      </c>
      <c r="K297" s="122">
        <v>0</v>
      </c>
      <c r="L297" s="122">
        <v>0</v>
      </c>
      <c r="M297" s="122">
        <v>0</v>
      </c>
      <c r="N297" s="122">
        <v>205</v>
      </c>
      <c r="O297" s="122">
        <v>265</v>
      </c>
      <c r="P297" s="122">
        <v>0</v>
      </c>
      <c r="Q297" s="123"/>
      <c r="R297" s="122">
        <v>1</v>
      </c>
      <c r="S297" s="123"/>
      <c r="T297" s="123"/>
      <c r="U297" s="123"/>
      <c r="V297" s="122">
        <v>8858890760953</v>
      </c>
    </row>
    <row r="298" ht="15.75" customHeight="1" spans="1:22" x14ac:dyDescent="0.25">
      <c r="A298" s="122" t="s">
        <v>1430</v>
      </c>
      <c r="B298" s="123"/>
      <c r="C298" s="123"/>
      <c r="D298" s="122" t="s">
        <v>1431</v>
      </c>
      <c r="E298" s="122" t="s">
        <v>1432</v>
      </c>
      <c r="F298" s="122" t="s">
        <v>753</v>
      </c>
      <c r="G298" s="122" t="s">
        <v>759</v>
      </c>
      <c r="H298" s="122" t="s">
        <v>821</v>
      </c>
      <c r="I298" s="122" t="s">
        <v>733</v>
      </c>
      <c r="J298" s="122">
        <v>255</v>
      </c>
      <c r="K298" s="122">
        <v>0</v>
      </c>
      <c r="L298" s="122">
        <v>0</v>
      </c>
      <c r="M298" s="122">
        <v>0</v>
      </c>
      <c r="N298" s="122">
        <v>410</v>
      </c>
      <c r="O298" s="122">
        <v>399</v>
      </c>
      <c r="P298" s="122">
        <v>1</v>
      </c>
      <c r="Q298" s="123"/>
      <c r="R298" s="122">
        <v>1</v>
      </c>
      <c r="S298" s="123"/>
      <c r="T298" s="123"/>
      <c r="U298" s="123"/>
      <c r="V298" s="122">
        <v>885889076029801</v>
      </c>
    </row>
    <row r="299" ht="15.75" customHeight="1" spans="1:22" x14ac:dyDescent="0.25">
      <c r="A299" s="122" t="s">
        <v>1433</v>
      </c>
      <c r="B299" s="123"/>
      <c r="C299" s="123"/>
      <c r="D299" s="122" t="s">
        <v>1434</v>
      </c>
      <c r="E299" s="122" t="s">
        <v>1435</v>
      </c>
      <c r="F299" s="122" t="s">
        <v>753</v>
      </c>
      <c r="G299" s="122" t="s">
        <v>759</v>
      </c>
      <c r="H299" s="122" t="s">
        <v>821</v>
      </c>
      <c r="I299" s="122" t="s">
        <v>733</v>
      </c>
      <c r="J299" s="122">
        <v>165</v>
      </c>
      <c r="K299" s="122">
        <v>0</v>
      </c>
      <c r="L299" s="122">
        <v>0</v>
      </c>
      <c r="M299" s="122">
        <v>0</v>
      </c>
      <c r="N299" s="122">
        <v>290</v>
      </c>
      <c r="O299" s="122">
        <v>370</v>
      </c>
      <c r="P299" s="122">
        <v>0</v>
      </c>
      <c r="Q299" s="123"/>
      <c r="R299" s="122">
        <v>1</v>
      </c>
      <c r="S299" s="123"/>
      <c r="T299" s="122">
        <v>1</v>
      </c>
      <c r="U299" s="123"/>
      <c r="V299" s="122">
        <v>885889076094601</v>
      </c>
    </row>
    <row r="300" ht="15.75" customHeight="1" spans="1:22" x14ac:dyDescent="0.25">
      <c r="A300" s="122" t="s">
        <v>1436</v>
      </c>
      <c r="B300" s="123"/>
      <c r="C300" s="123"/>
      <c r="D300" s="122" t="s">
        <v>1437</v>
      </c>
      <c r="E300" s="122" t="s">
        <v>1438</v>
      </c>
      <c r="F300" s="122" t="s">
        <v>753</v>
      </c>
      <c r="G300" s="122" t="s">
        <v>759</v>
      </c>
      <c r="H300" s="122" t="s">
        <v>821</v>
      </c>
      <c r="I300" s="122" t="s">
        <v>733</v>
      </c>
      <c r="J300" s="122">
        <v>165</v>
      </c>
      <c r="K300" s="122">
        <v>0</v>
      </c>
      <c r="L300" s="122">
        <v>0</v>
      </c>
      <c r="M300" s="122">
        <v>0</v>
      </c>
      <c r="N300" s="122">
        <v>290</v>
      </c>
      <c r="O300" s="122">
        <v>370</v>
      </c>
      <c r="P300" s="122">
        <v>0</v>
      </c>
      <c r="Q300" s="123"/>
      <c r="R300" s="122">
        <v>1</v>
      </c>
      <c r="S300" s="123"/>
      <c r="T300" s="122">
        <v>1</v>
      </c>
      <c r="U300" s="123"/>
      <c r="V300" s="122">
        <v>885889076094602</v>
      </c>
    </row>
    <row r="301" ht="15.75" customHeight="1" spans="1:22" x14ac:dyDescent="0.25">
      <c r="A301" s="122" t="s">
        <v>1439</v>
      </c>
      <c r="B301" s="123"/>
      <c r="C301" s="123"/>
      <c r="D301" s="122" t="s">
        <v>1440</v>
      </c>
      <c r="E301" s="122" t="s">
        <v>1441</v>
      </c>
      <c r="F301" s="122" t="s">
        <v>753</v>
      </c>
      <c r="G301" s="122" t="s">
        <v>759</v>
      </c>
      <c r="H301" s="122" t="s">
        <v>760</v>
      </c>
      <c r="I301" s="122" t="s">
        <v>733</v>
      </c>
      <c r="J301" s="122">
        <v>530</v>
      </c>
      <c r="K301" s="122">
        <v>0</v>
      </c>
      <c r="L301" s="122">
        <v>0</v>
      </c>
      <c r="M301" s="122">
        <v>0</v>
      </c>
      <c r="N301" s="122">
        <v>650</v>
      </c>
      <c r="O301" s="122">
        <v>850</v>
      </c>
      <c r="P301" s="122">
        <v>0</v>
      </c>
      <c r="Q301" s="123"/>
      <c r="R301" s="122">
        <v>1</v>
      </c>
      <c r="S301" s="123"/>
      <c r="T301" s="123"/>
      <c r="U301" s="123"/>
      <c r="V301" s="122">
        <v>8858890760731</v>
      </c>
    </row>
    <row r="302" ht="15.75" customHeight="1" spans="1:22" x14ac:dyDescent="0.25">
      <c r="A302" s="122" t="s">
        <v>1442</v>
      </c>
      <c r="B302" s="123"/>
      <c r="C302" s="123"/>
      <c r="D302" s="122" t="s">
        <v>1443</v>
      </c>
      <c r="E302" s="122" t="s">
        <v>1444</v>
      </c>
      <c r="F302" s="122" t="s">
        <v>753</v>
      </c>
      <c r="G302" s="122" t="s">
        <v>771</v>
      </c>
      <c r="H302" s="122" t="s">
        <v>1000</v>
      </c>
      <c r="I302" s="122" t="s">
        <v>733</v>
      </c>
      <c r="J302" s="122">
        <v>55</v>
      </c>
      <c r="K302" s="122">
        <v>0</v>
      </c>
      <c r="L302" s="122">
        <v>70</v>
      </c>
      <c r="M302" s="122">
        <v>0</v>
      </c>
      <c r="N302" s="122">
        <v>90</v>
      </c>
      <c r="O302" s="122">
        <v>117</v>
      </c>
      <c r="P302" s="122">
        <v>0</v>
      </c>
      <c r="Q302" s="123"/>
      <c r="R302" s="122">
        <v>1</v>
      </c>
      <c r="S302" s="122">
        <v>1</v>
      </c>
      <c r="T302" s="122">
        <v>1</v>
      </c>
      <c r="U302" s="123"/>
      <c r="V302" s="123"/>
    </row>
    <row r="303" ht="15.75" customHeight="1" spans="1:22" x14ac:dyDescent="0.25">
      <c r="A303" s="122" t="s">
        <v>1445</v>
      </c>
      <c r="B303" s="123"/>
      <c r="C303" s="123"/>
      <c r="D303" s="122" t="s">
        <v>1446</v>
      </c>
      <c r="E303" s="122" t="s">
        <v>1447</v>
      </c>
      <c r="F303" s="122" t="s">
        <v>753</v>
      </c>
      <c r="G303" s="122" t="s">
        <v>771</v>
      </c>
      <c r="H303" s="122" t="s">
        <v>1000</v>
      </c>
      <c r="I303" s="122" t="s">
        <v>733</v>
      </c>
      <c r="J303" s="122">
        <v>60</v>
      </c>
      <c r="K303" s="122">
        <v>0</v>
      </c>
      <c r="L303" s="122">
        <v>70</v>
      </c>
      <c r="M303" s="122">
        <v>0</v>
      </c>
      <c r="N303" s="122">
        <v>90</v>
      </c>
      <c r="O303" s="122">
        <v>130</v>
      </c>
      <c r="P303" s="122">
        <v>0</v>
      </c>
      <c r="Q303" s="123"/>
      <c r="R303" s="122">
        <v>1</v>
      </c>
      <c r="S303" s="122">
        <v>1</v>
      </c>
      <c r="T303" s="122">
        <v>1</v>
      </c>
      <c r="U303" s="123"/>
      <c r="V303" s="122">
        <v>8858890781903</v>
      </c>
    </row>
    <row r="304" ht="15.75" customHeight="1" spans="1:22" x14ac:dyDescent="0.25">
      <c r="A304" s="122" t="s">
        <v>1448</v>
      </c>
      <c r="B304" s="123"/>
      <c r="C304" s="123"/>
      <c r="D304" s="122" t="s">
        <v>1449</v>
      </c>
      <c r="E304" s="123"/>
      <c r="F304" s="122" t="s">
        <v>753</v>
      </c>
      <c r="G304" s="122" t="s">
        <v>759</v>
      </c>
      <c r="H304" s="122" t="s">
        <v>760</v>
      </c>
      <c r="I304" s="122" t="s">
        <v>733</v>
      </c>
      <c r="J304" s="122">
        <v>530</v>
      </c>
      <c r="K304" s="122">
        <v>0</v>
      </c>
      <c r="L304" s="122">
        <v>0</v>
      </c>
      <c r="M304" s="122">
        <v>0</v>
      </c>
      <c r="N304" s="122">
        <v>650</v>
      </c>
      <c r="O304" s="122">
        <v>850</v>
      </c>
      <c r="P304" s="122">
        <v>0</v>
      </c>
      <c r="Q304" s="123"/>
      <c r="R304" s="122">
        <v>1</v>
      </c>
      <c r="S304" s="123"/>
      <c r="T304" s="123"/>
      <c r="U304" s="123"/>
      <c r="V304" s="122">
        <v>8858890760724</v>
      </c>
    </row>
    <row r="305" ht="15.75" customHeight="1" spans="1:22" x14ac:dyDescent="0.25">
      <c r="A305" s="122" t="s">
        <v>1450</v>
      </c>
      <c r="B305" s="123"/>
      <c r="C305" s="123"/>
      <c r="D305" s="122" t="s">
        <v>1451</v>
      </c>
      <c r="E305" s="122" t="s">
        <v>1452</v>
      </c>
      <c r="F305" s="122" t="s">
        <v>779</v>
      </c>
      <c r="G305" s="122" t="s">
        <v>831</v>
      </c>
      <c r="H305" s="122" t="s">
        <v>1106</v>
      </c>
      <c r="I305" s="122" t="s">
        <v>733</v>
      </c>
      <c r="J305" s="122">
        <v>48</v>
      </c>
      <c r="K305" s="122">
        <v>0</v>
      </c>
      <c r="L305" s="122">
        <v>60</v>
      </c>
      <c r="M305" s="122">
        <v>55</v>
      </c>
      <c r="N305" s="122">
        <v>80</v>
      </c>
      <c r="O305" s="122">
        <v>105</v>
      </c>
      <c r="P305" s="122">
        <v>24</v>
      </c>
      <c r="Q305" s="123"/>
      <c r="R305" s="122">
        <v>1</v>
      </c>
      <c r="S305" s="122">
        <v>1</v>
      </c>
      <c r="T305" s="122">
        <v>1</v>
      </c>
      <c r="U305" s="123"/>
      <c r="V305" s="122">
        <v>8858890790219</v>
      </c>
    </row>
    <row r="306" ht="15.75" customHeight="1" spans="1:22" x14ac:dyDescent="0.25">
      <c r="A306" s="122" t="s">
        <v>262</v>
      </c>
      <c r="B306" s="123"/>
      <c r="C306" s="123"/>
      <c r="D306" s="122" t="s">
        <v>1453</v>
      </c>
      <c r="E306" s="122" t="s">
        <v>1454</v>
      </c>
      <c r="F306" s="122" t="s">
        <v>779</v>
      </c>
      <c r="G306" s="122" t="s">
        <v>780</v>
      </c>
      <c r="H306" s="122" t="s">
        <v>1164</v>
      </c>
      <c r="I306" s="122" t="s">
        <v>733</v>
      </c>
      <c r="J306" s="122">
        <v>65</v>
      </c>
      <c r="K306" s="122">
        <v>20</v>
      </c>
      <c r="L306" s="122">
        <v>85</v>
      </c>
      <c r="M306" s="122">
        <v>20</v>
      </c>
      <c r="N306" s="122">
        <v>60</v>
      </c>
      <c r="O306" s="122">
        <v>100</v>
      </c>
      <c r="P306" s="122">
        <v>146</v>
      </c>
      <c r="Q306" s="123"/>
      <c r="R306" s="122">
        <v>1</v>
      </c>
      <c r="S306" s="122">
        <v>1</v>
      </c>
      <c r="T306" s="122">
        <v>1</v>
      </c>
      <c r="U306" s="123"/>
      <c r="V306" s="122">
        <v>8858890710811</v>
      </c>
    </row>
    <row r="307" ht="15.75" customHeight="1" spans="1:22" x14ac:dyDescent="0.25">
      <c r="A307" s="122" t="s">
        <v>560</v>
      </c>
      <c r="B307" s="123"/>
      <c r="C307" s="123"/>
      <c r="D307" s="122" t="s">
        <v>1455</v>
      </c>
      <c r="E307" s="122" t="s">
        <v>1456</v>
      </c>
      <c r="F307" s="122" t="s">
        <v>753</v>
      </c>
      <c r="G307" s="122" t="s">
        <v>771</v>
      </c>
      <c r="H307" s="122" t="s">
        <v>978</v>
      </c>
      <c r="I307" s="122" t="s">
        <v>733</v>
      </c>
      <c r="J307" s="122">
        <v>57</v>
      </c>
      <c r="K307" s="122">
        <v>0</v>
      </c>
      <c r="L307" s="122">
        <v>75</v>
      </c>
      <c r="M307" s="122">
        <v>70</v>
      </c>
      <c r="N307" s="122">
        <v>80</v>
      </c>
      <c r="O307" s="122">
        <v>117</v>
      </c>
      <c r="P307" s="122">
        <v>315</v>
      </c>
      <c r="Q307" s="123"/>
      <c r="R307" s="122">
        <v>1</v>
      </c>
      <c r="S307" s="122">
        <v>1</v>
      </c>
      <c r="T307" s="122">
        <v>1</v>
      </c>
      <c r="U307" s="123"/>
      <c r="V307" s="122">
        <v>8858890782559</v>
      </c>
    </row>
    <row r="308" ht="15.75" customHeight="1" spans="1:22" x14ac:dyDescent="0.25">
      <c r="A308" s="122" t="s">
        <v>561</v>
      </c>
      <c r="B308" s="123"/>
      <c r="C308" s="123"/>
      <c r="D308" s="122" t="s">
        <v>1457</v>
      </c>
      <c r="E308" s="122" t="s">
        <v>1458</v>
      </c>
      <c r="F308" s="122" t="s">
        <v>753</v>
      </c>
      <c r="G308" s="122" t="s">
        <v>771</v>
      </c>
      <c r="H308" s="122" t="s">
        <v>978</v>
      </c>
      <c r="I308" s="122" t="s">
        <v>733</v>
      </c>
      <c r="J308" s="122">
        <v>57</v>
      </c>
      <c r="K308" s="122">
        <v>0</v>
      </c>
      <c r="L308" s="122">
        <v>75</v>
      </c>
      <c r="M308" s="122">
        <v>65</v>
      </c>
      <c r="N308" s="122">
        <v>80</v>
      </c>
      <c r="O308" s="122">
        <v>117</v>
      </c>
      <c r="P308" s="122">
        <v>316</v>
      </c>
      <c r="Q308" s="123"/>
      <c r="R308" s="122">
        <v>1</v>
      </c>
      <c r="S308" s="122">
        <v>1</v>
      </c>
      <c r="T308" s="122">
        <v>1</v>
      </c>
      <c r="U308" s="123"/>
      <c r="V308" s="122">
        <v>8858890782542</v>
      </c>
    </row>
    <row r="309" ht="15.75" customHeight="1" spans="1:22" x14ac:dyDescent="0.25">
      <c r="A309" s="122" t="s">
        <v>1459</v>
      </c>
      <c r="B309" s="123"/>
      <c r="C309" s="123"/>
      <c r="D309" s="122" t="s">
        <v>1460</v>
      </c>
      <c r="E309" s="122" t="s">
        <v>1461</v>
      </c>
      <c r="F309" s="122" t="s">
        <v>742</v>
      </c>
      <c r="G309" s="122" t="s">
        <v>745</v>
      </c>
      <c r="H309" s="122" t="s">
        <v>1462</v>
      </c>
      <c r="I309" s="122" t="s">
        <v>733</v>
      </c>
      <c r="J309" s="122">
        <v>199</v>
      </c>
      <c r="K309" s="122">
        <v>199</v>
      </c>
      <c r="L309" s="122">
        <v>370</v>
      </c>
      <c r="M309" s="122">
        <v>250</v>
      </c>
      <c r="N309" s="122">
        <v>390</v>
      </c>
      <c r="O309" s="122">
        <v>590</v>
      </c>
      <c r="P309" s="122">
        <v>187</v>
      </c>
      <c r="Q309" s="123"/>
      <c r="R309" s="122">
        <v>1</v>
      </c>
      <c r="S309" s="122">
        <v>1</v>
      </c>
      <c r="T309" s="122">
        <v>1</v>
      </c>
      <c r="U309" s="123"/>
      <c r="V309" s="122">
        <v>8858890721190</v>
      </c>
    </row>
    <row r="310" ht="15.75" customHeight="1" spans="1:22" x14ac:dyDescent="0.25">
      <c r="A310" s="122" t="s">
        <v>1463</v>
      </c>
      <c r="B310" s="123"/>
      <c r="C310" s="123"/>
      <c r="D310" s="122" t="s">
        <v>1464</v>
      </c>
      <c r="E310" s="122" t="s">
        <v>1465</v>
      </c>
      <c r="F310" s="122" t="s">
        <v>779</v>
      </c>
      <c r="G310" s="122" t="s">
        <v>784</v>
      </c>
      <c r="H310" s="122" t="s">
        <v>785</v>
      </c>
      <c r="I310" s="122" t="s">
        <v>733</v>
      </c>
      <c r="J310" s="122">
        <v>167</v>
      </c>
      <c r="K310" s="122">
        <v>0</v>
      </c>
      <c r="L310" s="122">
        <v>200</v>
      </c>
      <c r="M310" s="122">
        <v>0</v>
      </c>
      <c r="N310" s="122">
        <v>230</v>
      </c>
      <c r="O310" s="122">
        <v>290</v>
      </c>
      <c r="P310" s="122">
        <v>1</v>
      </c>
      <c r="Q310" s="123"/>
      <c r="R310" s="122">
        <v>1</v>
      </c>
      <c r="S310" s="122">
        <v>1</v>
      </c>
      <c r="T310" s="122">
        <v>1</v>
      </c>
      <c r="U310" s="123"/>
      <c r="V310" s="123"/>
    </row>
    <row r="311" ht="15.75" customHeight="1" spans="1:22" x14ac:dyDescent="0.25">
      <c r="A311" s="122" t="s">
        <v>1466</v>
      </c>
      <c r="B311" s="123"/>
      <c r="C311" s="123"/>
      <c r="D311" s="122" t="s">
        <v>1467</v>
      </c>
      <c r="E311" s="122" t="s">
        <v>1468</v>
      </c>
      <c r="F311" s="122" t="s">
        <v>742</v>
      </c>
      <c r="G311" s="122" t="s">
        <v>754</v>
      </c>
      <c r="H311" s="122" t="s">
        <v>818</v>
      </c>
      <c r="I311" s="122" t="s">
        <v>733</v>
      </c>
      <c r="J311" s="122">
        <v>169</v>
      </c>
      <c r="K311" s="122">
        <v>169</v>
      </c>
      <c r="L311" s="122">
        <v>250</v>
      </c>
      <c r="M311" s="122">
        <v>169</v>
      </c>
      <c r="N311" s="122">
        <v>300</v>
      </c>
      <c r="O311" s="122">
        <v>390</v>
      </c>
      <c r="P311" s="122">
        <v>55</v>
      </c>
      <c r="Q311" s="123"/>
      <c r="R311" s="122">
        <v>1</v>
      </c>
      <c r="S311" s="122">
        <v>1</v>
      </c>
      <c r="T311" s="122">
        <v>1</v>
      </c>
      <c r="U311" s="123"/>
      <c r="V311" s="122">
        <v>8858890795757</v>
      </c>
    </row>
    <row r="312" ht="15.75" customHeight="1" spans="1:22" x14ac:dyDescent="0.25">
      <c r="A312" s="122" t="s">
        <v>421</v>
      </c>
      <c r="B312" s="123"/>
      <c r="C312" s="123"/>
      <c r="D312" s="122" t="s">
        <v>1469</v>
      </c>
      <c r="E312" s="122" t="s">
        <v>1470</v>
      </c>
      <c r="F312" s="122" t="s">
        <v>753</v>
      </c>
      <c r="G312" s="122" t="s">
        <v>754</v>
      </c>
      <c r="H312" s="122" t="s">
        <v>755</v>
      </c>
      <c r="I312" s="122" t="s">
        <v>733</v>
      </c>
      <c r="J312" s="122">
        <v>95</v>
      </c>
      <c r="K312" s="122">
        <v>0</v>
      </c>
      <c r="L312" s="122">
        <v>110</v>
      </c>
      <c r="M312" s="122">
        <v>130</v>
      </c>
      <c r="N312" s="122">
        <v>125</v>
      </c>
      <c r="O312" s="122">
        <v>165</v>
      </c>
      <c r="P312" s="122">
        <v>15</v>
      </c>
      <c r="Q312" s="123"/>
      <c r="R312" s="122">
        <v>1</v>
      </c>
      <c r="S312" s="122">
        <v>1</v>
      </c>
      <c r="T312" s="122">
        <v>1</v>
      </c>
      <c r="U312" s="123"/>
      <c r="V312" s="122">
        <v>8858890790325</v>
      </c>
    </row>
    <row r="313" ht="15.75" customHeight="1" spans="1:22" x14ac:dyDescent="0.25">
      <c r="A313" s="122" t="s">
        <v>27</v>
      </c>
      <c r="B313" s="123"/>
      <c r="C313" s="123"/>
      <c r="D313" s="122" t="s">
        <v>1471</v>
      </c>
      <c r="E313" s="122" t="s">
        <v>1472</v>
      </c>
      <c r="F313" s="122" t="s">
        <v>742</v>
      </c>
      <c r="G313" s="122" t="s">
        <v>745</v>
      </c>
      <c r="H313" s="122" t="s">
        <v>1138</v>
      </c>
      <c r="I313" s="122" t="s">
        <v>733</v>
      </c>
      <c r="J313" s="122">
        <v>75</v>
      </c>
      <c r="K313" s="122">
        <v>0</v>
      </c>
      <c r="L313" s="122">
        <v>150</v>
      </c>
      <c r="M313" s="122">
        <v>99</v>
      </c>
      <c r="N313" s="122">
        <v>200</v>
      </c>
      <c r="O313" s="122">
        <v>260</v>
      </c>
      <c r="P313" s="122">
        <v>12</v>
      </c>
      <c r="Q313" s="123"/>
      <c r="R313" s="122">
        <v>1</v>
      </c>
      <c r="S313" s="122">
        <v>1</v>
      </c>
      <c r="T313" s="122">
        <v>1</v>
      </c>
      <c r="U313" s="123"/>
      <c r="V313" s="122">
        <v>8858890796501</v>
      </c>
    </row>
    <row r="314" ht="15.75" customHeight="1" spans="1:22" x14ac:dyDescent="0.25">
      <c r="A314" s="122" t="s">
        <v>1473</v>
      </c>
      <c r="B314" s="123"/>
      <c r="C314" s="123"/>
      <c r="D314" s="122" t="s">
        <v>1474</v>
      </c>
      <c r="E314" s="123"/>
      <c r="F314" s="122" t="s">
        <v>753</v>
      </c>
      <c r="G314" s="122" t="s">
        <v>745</v>
      </c>
      <c r="H314" s="122" t="s">
        <v>1220</v>
      </c>
      <c r="I314" s="122" t="s">
        <v>733</v>
      </c>
      <c r="J314" s="122">
        <v>1400</v>
      </c>
      <c r="K314" s="122">
        <v>0</v>
      </c>
      <c r="L314" s="122">
        <v>1450</v>
      </c>
      <c r="M314" s="122">
        <v>0</v>
      </c>
      <c r="N314" s="122">
        <v>1600</v>
      </c>
      <c r="O314" s="122">
        <v>2080</v>
      </c>
      <c r="P314" s="122">
        <v>0</v>
      </c>
      <c r="Q314" s="123"/>
      <c r="R314" s="122">
        <v>1</v>
      </c>
      <c r="S314" s="122">
        <v>1</v>
      </c>
      <c r="T314" s="122">
        <v>1</v>
      </c>
      <c r="U314" s="123"/>
      <c r="V314" s="123"/>
    </row>
    <row r="315" ht="15.75" customHeight="1" spans="1:22" x14ac:dyDescent="0.25">
      <c r="A315" s="122" t="s">
        <v>443</v>
      </c>
      <c r="B315" s="123"/>
      <c r="C315" s="123"/>
      <c r="D315" s="122" t="s">
        <v>1475</v>
      </c>
      <c r="E315" s="122" t="s">
        <v>1476</v>
      </c>
      <c r="F315" s="122" t="s">
        <v>753</v>
      </c>
      <c r="G315" s="122" t="s">
        <v>754</v>
      </c>
      <c r="H315" s="122" t="s">
        <v>1276</v>
      </c>
      <c r="I315" s="122" t="s">
        <v>733</v>
      </c>
      <c r="J315" s="122">
        <v>14</v>
      </c>
      <c r="K315" s="122">
        <v>0</v>
      </c>
      <c r="L315" s="122">
        <v>30</v>
      </c>
      <c r="M315" s="122">
        <v>20</v>
      </c>
      <c r="N315" s="122">
        <v>50</v>
      </c>
      <c r="O315" s="122">
        <v>69</v>
      </c>
      <c r="P315" s="122">
        <v>20</v>
      </c>
      <c r="Q315" s="123"/>
      <c r="R315" s="122">
        <v>1</v>
      </c>
      <c r="S315" s="122">
        <v>1</v>
      </c>
      <c r="T315" s="122">
        <v>1</v>
      </c>
      <c r="U315" s="123"/>
      <c r="V315" s="122">
        <v>8858890794453</v>
      </c>
    </row>
    <row r="316" ht="15.75" customHeight="1" spans="1:22" x14ac:dyDescent="0.25">
      <c r="A316" s="122" t="s">
        <v>443</v>
      </c>
      <c r="B316" s="123"/>
      <c r="C316" s="122" t="s">
        <v>777</v>
      </c>
      <c r="D316" s="122" t="s">
        <v>1475</v>
      </c>
      <c r="E316" s="122" t="s">
        <v>1476</v>
      </c>
      <c r="F316" s="122" t="s">
        <v>753</v>
      </c>
      <c r="G316" s="122" t="s">
        <v>754</v>
      </c>
      <c r="H316" s="122" t="s">
        <v>1276</v>
      </c>
      <c r="I316" s="122" t="s">
        <v>733</v>
      </c>
      <c r="J316" s="122">
        <v>14</v>
      </c>
      <c r="K316" s="122">
        <v>0</v>
      </c>
      <c r="L316" s="122">
        <v>30</v>
      </c>
      <c r="M316" s="122">
        <v>20</v>
      </c>
      <c r="N316" s="122">
        <v>50</v>
      </c>
      <c r="O316" s="122">
        <v>69</v>
      </c>
      <c r="P316" s="122">
        <v>0</v>
      </c>
      <c r="Q316" s="123"/>
      <c r="R316" s="122">
        <v>1</v>
      </c>
      <c r="S316" s="122">
        <v>1</v>
      </c>
      <c r="T316" s="122">
        <v>1</v>
      </c>
      <c r="U316" s="123"/>
      <c r="V316" s="122">
        <v>88588907944533</v>
      </c>
    </row>
    <row r="317" ht="15.75" customHeight="1" spans="1:22" x14ac:dyDescent="0.25">
      <c r="A317" s="122" t="s">
        <v>26</v>
      </c>
      <c r="B317" s="123"/>
      <c r="C317" s="123"/>
      <c r="D317" s="122" t="s">
        <v>1477</v>
      </c>
      <c r="E317" s="122" t="s">
        <v>1478</v>
      </c>
      <c r="F317" s="122" t="s">
        <v>742</v>
      </c>
      <c r="G317" s="122" t="s">
        <v>745</v>
      </c>
      <c r="H317" s="122" t="s">
        <v>1142</v>
      </c>
      <c r="I317" s="122" t="s">
        <v>733</v>
      </c>
      <c r="J317" s="122">
        <v>420</v>
      </c>
      <c r="K317" s="122">
        <v>600</v>
      </c>
      <c r="L317" s="122">
        <v>650</v>
      </c>
      <c r="M317" s="122">
        <v>490</v>
      </c>
      <c r="N317" s="122">
        <v>750</v>
      </c>
      <c r="O317" s="122">
        <v>750</v>
      </c>
      <c r="P317" s="122">
        <v>539</v>
      </c>
      <c r="Q317" s="123"/>
      <c r="R317" s="122">
        <v>1</v>
      </c>
      <c r="S317" s="122">
        <v>1</v>
      </c>
      <c r="T317" s="122">
        <v>1</v>
      </c>
      <c r="U317" s="123"/>
      <c r="V317" s="122">
        <v>8858890721077</v>
      </c>
    </row>
    <row r="318" ht="15.75" customHeight="1" spans="1:22" x14ac:dyDescent="0.25">
      <c r="A318" s="122" t="s">
        <v>1479</v>
      </c>
      <c r="B318" s="123"/>
      <c r="C318" s="123"/>
      <c r="D318" s="122" t="s">
        <v>1480</v>
      </c>
      <c r="E318" s="123"/>
      <c r="F318" s="122" t="s">
        <v>753</v>
      </c>
      <c r="G318" s="122" t="s">
        <v>745</v>
      </c>
      <c r="H318" s="122" t="s">
        <v>1214</v>
      </c>
      <c r="I318" s="122" t="s">
        <v>733</v>
      </c>
      <c r="J318" s="122">
        <v>1170</v>
      </c>
      <c r="K318" s="122">
        <v>0</v>
      </c>
      <c r="L318" s="122">
        <v>1300</v>
      </c>
      <c r="M318" s="122">
        <v>0</v>
      </c>
      <c r="N318" s="122">
        <v>1450</v>
      </c>
      <c r="O318" s="122">
        <v>1900</v>
      </c>
      <c r="P318" s="122">
        <v>1</v>
      </c>
      <c r="Q318" s="123"/>
      <c r="R318" s="122">
        <v>1</v>
      </c>
      <c r="S318" s="122">
        <v>1</v>
      </c>
      <c r="T318" s="122">
        <v>1</v>
      </c>
      <c r="U318" s="123"/>
      <c r="V318" s="122">
        <v>8858890720124</v>
      </c>
    </row>
    <row r="319" ht="15.75" customHeight="1" spans="1:22" x14ac:dyDescent="0.25">
      <c r="A319" s="122" t="s">
        <v>525</v>
      </c>
      <c r="B319" s="123"/>
      <c r="C319" s="123"/>
      <c r="D319" s="122" t="s">
        <v>1481</v>
      </c>
      <c r="E319" s="123"/>
      <c r="F319" s="122" t="s">
        <v>753</v>
      </c>
      <c r="G319" s="122" t="s">
        <v>771</v>
      </c>
      <c r="H319" s="122" t="s">
        <v>1000</v>
      </c>
      <c r="I319" s="122" t="s">
        <v>733</v>
      </c>
      <c r="J319" s="122">
        <v>50</v>
      </c>
      <c r="K319" s="122">
        <v>0</v>
      </c>
      <c r="L319" s="122">
        <v>65</v>
      </c>
      <c r="M319" s="122">
        <v>0</v>
      </c>
      <c r="N319" s="122">
        <v>85</v>
      </c>
      <c r="O319" s="122">
        <v>100</v>
      </c>
      <c r="P319" s="122">
        <v>21</v>
      </c>
      <c r="Q319" s="123"/>
      <c r="R319" s="122">
        <v>1</v>
      </c>
      <c r="S319" s="122">
        <v>1</v>
      </c>
      <c r="T319" s="122">
        <v>1</v>
      </c>
      <c r="U319" s="123"/>
      <c r="V319" s="122">
        <v>8858890782108</v>
      </c>
    </row>
    <row r="320" ht="15.75" customHeight="1" spans="1:22" x14ac:dyDescent="0.25">
      <c r="A320" s="122" t="s">
        <v>1482</v>
      </c>
      <c r="B320" s="123"/>
      <c r="C320" s="123"/>
      <c r="D320" s="122" t="s">
        <v>1483</v>
      </c>
      <c r="E320" s="123"/>
      <c r="F320" s="122" t="s">
        <v>753</v>
      </c>
      <c r="G320" s="122" t="s">
        <v>765</v>
      </c>
      <c r="H320" s="122" t="s">
        <v>766</v>
      </c>
      <c r="I320" s="122" t="s">
        <v>733</v>
      </c>
      <c r="J320" s="122">
        <v>61</v>
      </c>
      <c r="K320" s="122">
        <v>0</v>
      </c>
      <c r="L320" s="122">
        <v>0</v>
      </c>
      <c r="M320" s="122">
        <v>0</v>
      </c>
      <c r="N320" s="122">
        <v>90</v>
      </c>
      <c r="O320" s="122">
        <v>120</v>
      </c>
      <c r="P320" s="122">
        <v>0</v>
      </c>
      <c r="Q320" s="123"/>
      <c r="R320" s="122">
        <v>1</v>
      </c>
      <c r="S320" s="123"/>
      <c r="T320" s="122">
        <v>1</v>
      </c>
      <c r="U320" s="123"/>
      <c r="V320" s="122">
        <v>8858890730154</v>
      </c>
    </row>
    <row r="321" ht="15.75" customHeight="1" spans="1:22" x14ac:dyDescent="0.25">
      <c r="A321" s="122" t="s">
        <v>1484</v>
      </c>
      <c r="B321" s="123"/>
      <c r="C321" s="123"/>
      <c r="D321" s="122" t="s">
        <v>1485</v>
      </c>
      <c r="E321" s="123"/>
      <c r="F321" s="122" t="s">
        <v>730</v>
      </c>
      <c r="G321" s="122" t="s">
        <v>731</v>
      </c>
      <c r="H321" s="122" t="s">
        <v>732</v>
      </c>
      <c r="I321" s="122" t="s">
        <v>733</v>
      </c>
      <c r="J321" s="122">
        <v>0</v>
      </c>
      <c r="K321" s="122">
        <v>0</v>
      </c>
      <c r="L321" s="122">
        <v>0</v>
      </c>
      <c r="M321" s="122">
        <v>0</v>
      </c>
      <c r="N321" s="122">
        <v>220</v>
      </c>
      <c r="O321" s="122">
        <v>0</v>
      </c>
      <c r="P321" s="122">
        <v>3</v>
      </c>
      <c r="Q321" s="123"/>
      <c r="R321" s="122">
        <v>1</v>
      </c>
      <c r="S321" s="123"/>
      <c r="T321" s="123"/>
      <c r="U321" s="123"/>
      <c r="V321" s="123"/>
    </row>
    <row r="322" ht="15.75" customHeight="1" spans="1:22" x14ac:dyDescent="0.25">
      <c r="A322" s="122" t="s">
        <v>1486</v>
      </c>
      <c r="B322" s="123"/>
      <c r="C322" s="123"/>
      <c r="D322" s="122" t="s">
        <v>1487</v>
      </c>
      <c r="E322" s="123"/>
      <c r="F322" s="122" t="s">
        <v>742</v>
      </c>
      <c r="G322" s="122" t="s">
        <v>1488</v>
      </c>
      <c r="H322" s="122" t="s">
        <v>1489</v>
      </c>
      <c r="I322" s="122" t="s">
        <v>733</v>
      </c>
      <c r="J322" s="122">
        <v>52.6</v>
      </c>
      <c r="K322" s="122">
        <v>0</v>
      </c>
      <c r="L322" s="122">
        <v>0</v>
      </c>
      <c r="M322" s="122">
        <v>0</v>
      </c>
      <c r="N322" s="122">
        <v>150</v>
      </c>
      <c r="O322" s="122">
        <v>0</v>
      </c>
      <c r="P322" s="122">
        <v>0</v>
      </c>
      <c r="Q322" s="123"/>
      <c r="R322" s="122">
        <v>1</v>
      </c>
      <c r="S322" s="123"/>
      <c r="T322" s="122">
        <v>1</v>
      </c>
      <c r="U322" s="123"/>
      <c r="V322" s="123"/>
    </row>
    <row r="323" ht="15.75" customHeight="1" spans="1:22" x14ac:dyDescent="0.25">
      <c r="A323" s="122" t="s">
        <v>456</v>
      </c>
      <c r="B323" s="123"/>
      <c r="C323" s="123"/>
      <c r="D323" s="122" t="s">
        <v>1490</v>
      </c>
      <c r="E323" s="122" t="s">
        <v>1491</v>
      </c>
      <c r="F323" s="122" t="s">
        <v>753</v>
      </c>
      <c r="G323" s="122" t="s">
        <v>754</v>
      </c>
      <c r="H323" s="122" t="s">
        <v>1112</v>
      </c>
      <c r="I323" s="122" t="s">
        <v>733</v>
      </c>
      <c r="J323" s="122">
        <v>28</v>
      </c>
      <c r="K323" s="122">
        <v>0</v>
      </c>
      <c r="L323" s="122">
        <v>0</v>
      </c>
      <c r="M323" s="122">
        <v>39</v>
      </c>
      <c r="N323" s="122">
        <v>55</v>
      </c>
      <c r="O323" s="122">
        <v>75</v>
      </c>
      <c r="P323" s="122">
        <v>2</v>
      </c>
      <c r="Q323" s="123"/>
      <c r="R323" s="122">
        <v>1</v>
      </c>
      <c r="S323" s="123"/>
      <c r="T323" s="122">
        <v>1</v>
      </c>
      <c r="U323" s="123"/>
      <c r="V323" s="122">
        <v>8858890793388</v>
      </c>
    </row>
    <row r="324" ht="15.75" customHeight="1" spans="1:22" x14ac:dyDescent="0.25">
      <c r="A324" s="122" t="s">
        <v>1492</v>
      </c>
      <c r="B324" s="123"/>
      <c r="C324" s="123"/>
      <c r="D324" s="122" t="s">
        <v>1493</v>
      </c>
      <c r="E324" s="122" t="s">
        <v>1494</v>
      </c>
      <c r="F324" s="122" t="s">
        <v>742</v>
      </c>
      <c r="G324" s="122" t="s">
        <v>1495</v>
      </c>
      <c r="H324" s="122" t="s">
        <v>1496</v>
      </c>
      <c r="I324" s="122" t="s">
        <v>733</v>
      </c>
      <c r="J324" s="122">
        <v>120</v>
      </c>
      <c r="K324" s="122">
        <v>0</v>
      </c>
      <c r="L324" s="122">
        <v>0</v>
      </c>
      <c r="M324" s="122">
        <v>0</v>
      </c>
      <c r="N324" s="122">
        <v>200</v>
      </c>
      <c r="O324" s="122">
        <v>350</v>
      </c>
      <c r="P324" s="122">
        <v>5</v>
      </c>
      <c r="Q324" s="123"/>
      <c r="R324" s="122">
        <v>1</v>
      </c>
      <c r="S324" s="123"/>
      <c r="T324" s="123"/>
      <c r="U324" s="123"/>
      <c r="V324" s="122" t="s">
        <v>1497</v>
      </c>
    </row>
    <row r="325" ht="15.75" customHeight="1" spans="1:22" x14ac:dyDescent="0.25">
      <c r="A325" s="122" t="s">
        <v>1498</v>
      </c>
      <c r="B325" s="123"/>
      <c r="C325" s="123"/>
      <c r="D325" s="122" t="s">
        <v>1499</v>
      </c>
      <c r="E325" s="123"/>
      <c r="F325" s="122" t="s">
        <v>742</v>
      </c>
      <c r="G325" s="122" t="s">
        <v>1495</v>
      </c>
      <c r="H325" s="122" t="s">
        <v>1500</v>
      </c>
      <c r="I325" s="122" t="s">
        <v>733</v>
      </c>
      <c r="J325" s="122">
        <v>10</v>
      </c>
      <c r="K325" s="122">
        <v>0</v>
      </c>
      <c r="L325" s="122">
        <v>0</v>
      </c>
      <c r="M325" s="122">
        <v>0</v>
      </c>
      <c r="N325" s="122">
        <v>80</v>
      </c>
      <c r="O325" s="122">
        <v>150</v>
      </c>
      <c r="P325" s="122">
        <v>4</v>
      </c>
      <c r="Q325" s="123"/>
      <c r="R325" s="122">
        <v>1</v>
      </c>
      <c r="S325" s="123"/>
      <c r="T325" s="123"/>
      <c r="U325" s="123"/>
      <c r="V325" s="122">
        <v>8858890797546</v>
      </c>
    </row>
    <row r="326" ht="15.75" customHeight="1" spans="1:22" x14ac:dyDescent="0.25">
      <c r="A326" s="122" t="s">
        <v>1501</v>
      </c>
      <c r="B326" s="122" t="s">
        <v>917</v>
      </c>
      <c r="C326" s="123"/>
      <c r="D326" s="122" t="s">
        <v>1502</v>
      </c>
      <c r="E326" s="123"/>
      <c r="F326" s="122" t="s">
        <v>753</v>
      </c>
      <c r="G326" s="122" t="s">
        <v>754</v>
      </c>
      <c r="H326" s="122" t="s">
        <v>1112</v>
      </c>
      <c r="I326" s="122" t="s">
        <v>733</v>
      </c>
      <c r="J326" s="122">
        <v>27</v>
      </c>
      <c r="K326" s="122">
        <v>0</v>
      </c>
      <c r="L326" s="122">
        <v>35</v>
      </c>
      <c r="M326" s="122">
        <v>0</v>
      </c>
      <c r="N326" s="122">
        <v>55</v>
      </c>
      <c r="O326" s="122">
        <v>75</v>
      </c>
      <c r="P326" s="122">
        <v>3</v>
      </c>
      <c r="Q326" s="123"/>
      <c r="R326" s="122">
        <v>1</v>
      </c>
      <c r="S326" s="122">
        <v>1</v>
      </c>
      <c r="T326" s="122">
        <v>1</v>
      </c>
      <c r="U326" s="123"/>
      <c r="V326" s="122">
        <v>8858890797263</v>
      </c>
    </row>
    <row r="327" ht="15.75" customHeight="1" spans="1:22" x14ac:dyDescent="0.25">
      <c r="A327" s="122" t="s">
        <v>1501</v>
      </c>
      <c r="B327" s="122" t="s">
        <v>1103</v>
      </c>
      <c r="C327" s="123"/>
      <c r="D327" s="122" t="s">
        <v>1502</v>
      </c>
      <c r="E327" s="123"/>
      <c r="F327" s="122" t="s">
        <v>753</v>
      </c>
      <c r="G327" s="122" t="s">
        <v>754</v>
      </c>
      <c r="H327" s="122" t="s">
        <v>1112</v>
      </c>
      <c r="I327" s="122" t="s">
        <v>733</v>
      </c>
      <c r="J327" s="122">
        <v>27</v>
      </c>
      <c r="K327" s="122">
        <v>0</v>
      </c>
      <c r="L327" s="122">
        <v>35</v>
      </c>
      <c r="M327" s="122">
        <v>0</v>
      </c>
      <c r="N327" s="122">
        <v>55</v>
      </c>
      <c r="O327" s="122">
        <v>75</v>
      </c>
      <c r="P327" s="122">
        <v>10</v>
      </c>
      <c r="Q327" s="123"/>
      <c r="R327" s="122">
        <v>1</v>
      </c>
      <c r="S327" s="122">
        <v>1</v>
      </c>
      <c r="T327" s="122">
        <v>1</v>
      </c>
      <c r="U327" s="123"/>
      <c r="V327" s="122">
        <v>8858890797270</v>
      </c>
    </row>
    <row r="328" ht="15.75" customHeight="1" spans="1:22" x14ac:dyDescent="0.25">
      <c r="A328" s="122" t="s">
        <v>1501</v>
      </c>
      <c r="B328" s="122" t="s">
        <v>873</v>
      </c>
      <c r="C328" s="123"/>
      <c r="D328" s="122" t="s">
        <v>1502</v>
      </c>
      <c r="E328" s="123"/>
      <c r="F328" s="122" t="s">
        <v>753</v>
      </c>
      <c r="G328" s="122" t="s">
        <v>754</v>
      </c>
      <c r="H328" s="122" t="s">
        <v>1112</v>
      </c>
      <c r="I328" s="122" t="s">
        <v>733</v>
      </c>
      <c r="J328" s="122">
        <v>27</v>
      </c>
      <c r="K328" s="122">
        <v>0</v>
      </c>
      <c r="L328" s="122">
        <v>35</v>
      </c>
      <c r="M328" s="122">
        <v>0</v>
      </c>
      <c r="N328" s="122">
        <v>55</v>
      </c>
      <c r="O328" s="122">
        <v>75</v>
      </c>
      <c r="P328" s="122">
        <v>0</v>
      </c>
      <c r="Q328" s="123"/>
      <c r="R328" s="122">
        <v>1</v>
      </c>
      <c r="S328" s="122">
        <v>1</v>
      </c>
      <c r="T328" s="122">
        <v>1</v>
      </c>
      <c r="U328" s="123"/>
      <c r="V328" s="122">
        <v>8858890797287</v>
      </c>
    </row>
    <row r="329" ht="15.75" customHeight="1" spans="1:22" x14ac:dyDescent="0.25">
      <c r="A329" s="122" t="s">
        <v>1501</v>
      </c>
      <c r="B329" s="122" t="s">
        <v>909</v>
      </c>
      <c r="C329" s="123"/>
      <c r="D329" s="122" t="s">
        <v>1502</v>
      </c>
      <c r="E329" s="123"/>
      <c r="F329" s="122" t="s">
        <v>753</v>
      </c>
      <c r="G329" s="122" t="s">
        <v>754</v>
      </c>
      <c r="H329" s="122" t="s">
        <v>1112</v>
      </c>
      <c r="I329" s="122" t="s">
        <v>733</v>
      </c>
      <c r="J329" s="122">
        <v>27</v>
      </c>
      <c r="K329" s="122">
        <v>0</v>
      </c>
      <c r="L329" s="122">
        <v>35</v>
      </c>
      <c r="M329" s="122">
        <v>0</v>
      </c>
      <c r="N329" s="122">
        <v>55</v>
      </c>
      <c r="O329" s="122">
        <v>75</v>
      </c>
      <c r="P329" s="122">
        <v>10</v>
      </c>
      <c r="Q329" s="123"/>
      <c r="R329" s="122">
        <v>1</v>
      </c>
      <c r="S329" s="122">
        <v>1</v>
      </c>
      <c r="T329" s="122">
        <v>1</v>
      </c>
      <c r="U329" s="123"/>
      <c r="V329" s="122">
        <v>8858890797294</v>
      </c>
    </row>
    <row r="330" ht="15.75" customHeight="1" spans="1:22" x14ac:dyDescent="0.25">
      <c r="A330" s="122" t="s">
        <v>1503</v>
      </c>
      <c r="B330" s="123"/>
      <c r="C330" s="123"/>
      <c r="D330" s="122" t="s">
        <v>1504</v>
      </c>
      <c r="E330" s="123"/>
      <c r="F330" s="122" t="s">
        <v>753</v>
      </c>
      <c r="G330" s="122" t="s">
        <v>754</v>
      </c>
      <c r="H330" s="122" t="s">
        <v>1112</v>
      </c>
      <c r="I330" s="122" t="s">
        <v>733</v>
      </c>
      <c r="J330" s="122">
        <v>50</v>
      </c>
      <c r="K330" s="122">
        <v>0</v>
      </c>
      <c r="L330" s="122">
        <v>50</v>
      </c>
      <c r="M330" s="122">
        <v>0</v>
      </c>
      <c r="N330" s="122">
        <v>60</v>
      </c>
      <c r="O330" s="122">
        <v>80</v>
      </c>
      <c r="P330" s="122">
        <v>0</v>
      </c>
      <c r="Q330" s="123"/>
      <c r="R330" s="122">
        <v>1</v>
      </c>
      <c r="S330" s="123"/>
      <c r="T330" s="123"/>
      <c r="U330" s="123"/>
      <c r="V330" s="123"/>
    </row>
    <row r="331" ht="15.75" customHeight="1" spans="1:22" x14ac:dyDescent="0.25">
      <c r="A331" s="122" t="s">
        <v>1505</v>
      </c>
      <c r="B331" s="123"/>
      <c r="C331" s="123"/>
      <c r="D331" s="122" t="s">
        <v>1506</v>
      </c>
      <c r="E331" s="123"/>
      <c r="F331" s="122" t="s">
        <v>779</v>
      </c>
      <c r="G331" s="122" t="s">
        <v>780</v>
      </c>
      <c r="H331" s="122" t="s">
        <v>1507</v>
      </c>
      <c r="I331" s="122" t="s">
        <v>733</v>
      </c>
      <c r="J331" s="122">
        <v>33</v>
      </c>
      <c r="K331" s="122">
        <v>0</v>
      </c>
      <c r="L331" s="122">
        <v>0</v>
      </c>
      <c r="M331" s="122">
        <v>0</v>
      </c>
      <c r="N331" s="122">
        <v>60</v>
      </c>
      <c r="O331" s="122">
        <v>80</v>
      </c>
      <c r="P331" s="122">
        <v>12</v>
      </c>
      <c r="Q331" s="123"/>
      <c r="R331" s="122">
        <v>1</v>
      </c>
      <c r="S331" s="123"/>
      <c r="T331" s="123"/>
      <c r="U331" s="123"/>
      <c r="V331" s="122">
        <v>8858890798277</v>
      </c>
    </row>
    <row r="332" ht="15.75" customHeight="1" spans="1:22" x14ac:dyDescent="0.25">
      <c r="A332" s="122" t="s">
        <v>290</v>
      </c>
      <c r="B332" s="123"/>
      <c r="C332" s="123"/>
      <c r="D332" s="122" t="s">
        <v>1508</v>
      </c>
      <c r="E332" s="122" t="s">
        <v>1509</v>
      </c>
      <c r="F332" s="122" t="s">
        <v>779</v>
      </c>
      <c r="G332" s="122" t="s">
        <v>784</v>
      </c>
      <c r="H332" s="122" t="s">
        <v>787</v>
      </c>
      <c r="I332" s="122" t="s">
        <v>733</v>
      </c>
      <c r="J332" s="122">
        <v>168</v>
      </c>
      <c r="K332" s="122">
        <v>99</v>
      </c>
      <c r="L332" s="122">
        <v>225</v>
      </c>
      <c r="M332" s="122">
        <v>210</v>
      </c>
      <c r="N332" s="122">
        <v>240</v>
      </c>
      <c r="O332" s="122">
        <v>320</v>
      </c>
      <c r="P332" s="122">
        <v>117</v>
      </c>
      <c r="Q332" s="123"/>
      <c r="R332" s="122">
        <v>1</v>
      </c>
      <c r="S332" s="122">
        <v>1</v>
      </c>
      <c r="T332" s="122">
        <v>1</v>
      </c>
      <c r="U332" s="123"/>
      <c r="V332" s="122">
        <v>8858890716103</v>
      </c>
    </row>
    <row r="333" ht="15.75" customHeight="1" spans="1:22" x14ac:dyDescent="0.25">
      <c r="A333" s="122" t="s">
        <v>1510</v>
      </c>
      <c r="B333" s="123"/>
      <c r="C333" s="123"/>
      <c r="D333" s="122" t="s">
        <v>1511</v>
      </c>
      <c r="E333" s="123"/>
      <c r="F333" s="122" t="s">
        <v>779</v>
      </c>
      <c r="G333" s="122" t="s">
        <v>780</v>
      </c>
      <c r="H333" s="122" t="s">
        <v>1164</v>
      </c>
      <c r="I333" s="122" t="s">
        <v>733</v>
      </c>
      <c r="J333" s="122">
        <v>33</v>
      </c>
      <c r="K333" s="122">
        <v>0</v>
      </c>
      <c r="L333" s="122">
        <v>0</v>
      </c>
      <c r="M333" s="122">
        <v>0</v>
      </c>
      <c r="N333" s="122">
        <v>60</v>
      </c>
      <c r="O333" s="122">
        <v>80</v>
      </c>
      <c r="P333" s="122">
        <v>0</v>
      </c>
      <c r="Q333" s="123"/>
      <c r="R333" s="122">
        <v>1</v>
      </c>
      <c r="S333" s="123"/>
      <c r="T333" s="123"/>
      <c r="U333" s="123"/>
      <c r="V333" s="123"/>
    </row>
    <row r="334" ht="15.75" customHeight="1" spans="1:22" x14ac:dyDescent="0.25">
      <c r="A334" s="122" t="s">
        <v>1512</v>
      </c>
      <c r="B334" s="123"/>
      <c r="C334" s="123"/>
      <c r="D334" s="122" t="s">
        <v>1513</v>
      </c>
      <c r="E334" s="122" t="s">
        <v>1514</v>
      </c>
      <c r="F334" s="122" t="s">
        <v>753</v>
      </c>
      <c r="G334" s="122" t="s">
        <v>759</v>
      </c>
      <c r="H334" s="122" t="s">
        <v>821</v>
      </c>
      <c r="I334" s="122" t="s">
        <v>733</v>
      </c>
      <c r="J334" s="122">
        <v>80</v>
      </c>
      <c r="K334" s="122">
        <v>0</v>
      </c>
      <c r="L334" s="122">
        <v>0</v>
      </c>
      <c r="M334" s="122">
        <v>0</v>
      </c>
      <c r="N334" s="122">
        <v>125</v>
      </c>
      <c r="O334" s="122">
        <v>150</v>
      </c>
      <c r="P334" s="122">
        <v>5</v>
      </c>
      <c r="Q334" s="123"/>
      <c r="R334" s="122">
        <v>1</v>
      </c>
      <c r="S334" s="123"/>
      <c r="T334" s="123"/>
      <c r="U334" s="123"/>
      <c r="V334" s="122">
        <v>8858890760786</v>
      </c>
    </row>
    <row r="335" ht="15.75" customHeight="1" spans="1:22" x14ac:dyDescent="0.25">
      <c r="A335" s="122" t="s">
        <v>1515</v>
      </c>
      <c r="B335" s="123"/>
      <c r="C335" s="123"/>
      <c r="D335" s="122" t="s">
        <v>1516</v>
      </c>
      <c r="E335" s="123"/>
      <c r="F335" s="122" t="s">
        <v>753</v>
      </c>
      <c r="G335" s="122" t="s">
        <v>754</v>
      </c>
      <c r="H335" s="122" t="s">
        <v>1126</v>
      </c>
      <c r="I335" s="122" t="s">
        <v>733</v>
      </c>
      <c r="J335" s="122">
        <v>50</v>
      </c>
      <c r="K335" s="122">
        <v>50</v>
      </c>
      <c r="L335" s="122">
        <v>60</v>
      </c>
      <c r="M335" s="122">
        <v>50</v>
      </c>
      <c r="N335" s="122">
        <v>70</v>
      </c>
      <c r="O335" s="122">
        <v>80</v>
      </c>
      <c r="P335" s="122">
        <v>0</v>
      </c>
      <c r="Q335" s="123"/>
      <c r="R335" s="122">
        <v>1</v>
      </c>
      <c r="S335" s="123"/>
      <c r="T335" s="123"/>
      <c r="U335" s="123"/>
      <c r="V335" s="123"/>
    </row>
    <row r="336" ht="15.75" customHeight="1" spans="1:22" x14ac:dyDescent="0.25">
      <c r="A336" s="122" t="s">
        <v>1517</v>
      </c>
      <c r="B336" s="123"/>
      <c r="C336" s="123"/>
      <c r="D336" s="122" t="s">
        <v>1518</v>
      </c>
      <c r="E336" s="123"/>
      <c r="F336" s="122" t="s">
        <v>753</v>
      </c>
      <c r="G336" s="122" t="s">
        <v>771</v>
      </c>
      <c r="H336" s="122" t="s">
        <v>1012</v>
      </c>
      <c r="I336" s="122" t="s">
        <v>733</v>
      </c>
      <c r="J336" s="122">
        <v>50</v>
      </c>
      <c r="K336" s="122">
        <v>0</v>
      </c>
      <c r="L336" s="122">
        <v>0</v>
      </c>
      <c r="M336" s="122">
        <v>0</v>
      </c>
      <c r="N336" s="122">
        <v>95</v>
      </c>
      <c r="O336" s="122">
        <v>125</v>
      </c>
      <c r="P336" s="122">
        <v>0</v>
      </c>
      <c r="Q336" s="123"/>
      <c r="R336" s="122">
        <v>1</v>
      </c>
      <c r="S336" s="123"/>
      <c r="T336" s="122">
        <v>1</v>
      </c>
      <c r="U336" s="123"/>
      <c r="V336" s="122">
        <v>8858890781569</v>
      </c>
    </row>
    <row r="337" ht="15.75" customHeight="1" spans="1:22" x14ac:dyDescent="0.25">
      <c r="A337" s="122" t="s">
        <v>1519</v>
      </c>
      <c r="B337" s="123"/>
      <c r="C337" s="123"/>
      <c r="D337" s="122" t="s">
        <v>1520</v>
      </c>
      <c r="E337" s="122" t="s">
        <v>1521</v>
      </c>
      <c r="F337" s="122" t="s">
        <v>753</v>
      </c>
      <c r="G337" s="122" t="s">
        <v>754</v>
      </c>
      <c r="H337" s="122" t="s">
        <v>1522</v>
      </c>
      <c r="I337" s="122" t="s">
        <v>733</v>
      </c>
      <c r="J337" s="122">
        <v>25</v>
      </c>
      <c r="K337" s="122">
        <v>0</v>
      </c>
      <c r="L337" s="122">
        <v>0</v>
      </c>
      <c r="M337" s="122">
        <v>32</v>
      </c>
      <c r="N337" s="122">
        <v>55</v>
      </c>
      <c r="O337" s="122">
        <v>64</v>
      </c>
      <c r="P337" s="122">
        <v>47</v>
      </c>
      <c r="Q337" s="123"/>
      <c r="R337" s="122">
        <v>1</v>
      </c>
      <c r="S337" s="123"/>
      <c r="T337" s="122">
        <v>1</v>
      </c>
      <c r="U337" s="123"/>
      <c r="V337" s="122">
        <v>8858890791926</v>
      </c>
    </row>
    <row r="338" ht="15.75" customHeight="1" spans="1:22" x14ac:dyDescent="0.25">
      <c r="A338" s="122" t="s">
        <v>1523</v>
      </c>
      <c r="B338" s="123"/>
      <c r="C338" s="123"/>
      <c r="D338" s="122" t="s">
        <v>1524</v>
      </c>
      <c r="E338" s="122" t="s">
        <v>1525</v>
      </c>
      <c r="F338" s="122" t="s">
        <v>753</v>
      </c>
      <c r="G338" s="122" t="s">
        <v>754</v>
      </c>
      <c r="H338" s="122" t="s">
        <v>1522</v>
      </c>
      <c r="I338" s="122" t="s">
        <v>733</v>
      </c>
      <c r="J338" s="122">
        <v>27</v>
      </c>
      <c r="K338" s="122">
        <v>0</v>
      </c>
      <c r="L338" s="122">
        <v>0</v>
      </c>
      <c r="M338" s="122">
        <v>34</v>
      </c>
      <c r="N338" s="122">
        <v>55</v>
      </c>
      <c r="O338" s="122">
        <v>66</v>
      </c>
      <c r="P338" s="122">
        <v>0</v>
      </c>
      <c r="Q338" s="123"/>
      <c r="R338" s="122">
        <v>1</v>
      </c>
      <c r="S338" s="123"/>
      <c r="T338" s="122">
        <v>1</v>
      </c>
      <c r="U338" s="123"/>
      <c r="V338" s="122">
        <v>8858890791537</v>
      </c>
    </row>
    <row r="339" ht="15.75" customHeight="1" spans="1:22" x14ac:dyDescent="0.25">
      <c r="A339" s="122" t="s">
        <v>1526</v>
      </c>
      <c r="B339" s="123"/>
      <c r="C339" s="123"/>
      <c r="D339" s="122" t="s">
        <v>1527</v>
      </c>
      <c r="E339" s="122" t="s">
        <v>1528</v>
      </c>
      <c r="F339" s="122" t="s">
        <v>753</v>
      </c>
      <c r="G339" s="122" t="s">
        <v>754</v>
      </c>
      <c r="H339" s="122" t="s">
        <v>1522</v>
      </c>
      <c r="I339" s="122" t="s">
        <v>733</v>
      </c>
      <c r="J339" s="122">
        <v>31</v>
      </c>
      <c r="K339" s="122">
        <v>0</v>
      </c>
      <c r="L339" s="122">
        <v>0</v>
      </c>
      <c r="M339" s="122">
        <v>39</v>
      </c>
      <c r="N339" s="122">
        <v>55</v>
      </c>
      <c r="O339" s="122">
        <v>74</v>
      </c>
      <c r="P339" s="122">
        <v>10</v>
      </c>
      <c r="Q339" s="123"/>
      <c r="R339" s="122">
        <v>1</v>
      </c>
      <c r="S339" s="123"/>
      <c r="T339" s="122">
        <v>1</v>
      </c>
      <c r="U339" s="123"/>
      <c r="V339" s="122">
        <v>8858890791520</v>
      </c>
    </row>
    <row r="340" ht="15.75" customHeight="1" spans="1:22" x14ac:dyDescent="0.25">
      <c r="A340" s="122" t="s">
        <v>1529</v>
      </c>
      <c r="B340" s="123"/>
      <c r="C340" s="123"/>
      <c r="D340" s="122" t="s">
        <v>1530</v>
      </c>
      <c r="E340" s="122" t="s">
        <v>1521</v>
      </c>
      <c r="F340" s="122" t="s">
        <v>753</v>
      </c>
      <c r="G340" s="122" t="s">
        <v>754</v>
      </c>
      <c r="H340" s="122" t="s">
        <v>1522</v>
      </c>
      <c r="I340" s="122" t="s">
        <v>733</v>
      </c>
      <c r="J340" s="122">
        <v>32</v>
      </c>
      <c r="K340" s="122">
        <v>0</v>
      </c>
      <c r="L340" s="122">
        <v>0</v>
      </c>
      <c r="M340" s="122">
        <v>40</v>
      </c>
      <c r="N340" s="122">
        <v>55</v>
      </c>
      <c r="O340" s="122">
        <v>75</v>
      </c>
      <c r="P340" s="122">
        <v>1</v>
      </c>
      <c r="Q340" s="123"/>
      <c r="R340" s="122">
        <v>1</v>
      </c>
      <c r="S340" s="123"/>
      <c r="T340" s="122">
        <v>1</v>
      </c>
      <c r="U340" s="123"/>
      <c r="V340" s="122">
        <v>8858890791483</v>
      </c>
    </row>
    <row r="341" ht="15.75" customHeight="1" spans="1:22" x14ac:dyDescent="0.25">
      <c r="A341" s="122" t="s">
        <v>1531</v>
      </c>
      <c r="B341" s="123"/>
      <c r="C341" s="123"/>
      <c r="D341" s="122" t="s">
        <v>1532</v>
      </c>
      <c r="E341" s="122" t="s">
        <v>1533</v>
      </c>
      <c r="F341" s="122" t="s">
        <v>753</v>
      </c>
      <c r="G341" s="122" t="s">
        <v>754</v>
      </c>
      <c r="H341" s="122" t="s">
        <v>1522</v>
      </c>
      <c r="I341" s="122" t="s">
        <v>733</v>
      </c>
      <c r="J341" s="122">
        <v>35</v>
      </c>
      <c r="K341" s="122">
        <v>0</v>
      </c>
      <c r="L341" s="122">
        <v>0</v>
      </c>
      <c r="M341" s="122">
        <v>44</v>
      </c>
      <c r="N341" s="122">
        <v>55</v>
      </c>
      <c r="O341" s="122">
        <v>79</v>
      </c>
      <c r="P341" s="122">
        <v>1</v>
      </c>
      <c r="Q341" s="123"/>
      <c r="R341" s="122">
        <v>1</v>
      </c>
      <c r="S341" s="123"/>
      <c r="T341" s="122">
        <v>1</v>
      </c>
      <c r="U341" s="123"/>
      <c r="V341" s="122">
        <v>8858890791513</v>
      </c>
    </row>
    <row r="342" ht="15.75" customHeight="1" spans="1:22" x14ac:dyDescent="0.25">
      <c r="A342" s="122" t="s">
        <v>1534</v>
      </c>
      <c r="B342" s="123"/>
      <c r="C342" s="123"/>
      <c r="D342" s="122" t="s">
        <v>1535</v>
      </c>
      <c r="E342" s="122" t="s">
        <v>1528</v>
      </c>
      <c r="F342" s="122" t="s">
        <v>753</v>
      </c>
      <c r="G342" s="122" t="s">
        <v>754</v>
      </c>
      <c r="H342" s="122" t="s">
        <v>1522</v>
      </c>
      <c r="I342" s="122" t="s">
        <v>733</v>
      </c>
      <c r="J342" s="122">
        <v>38</v>
      </c>
      <c r="K342" s="122">
        <v>0</v>
      </c>
      <c r="L342" s="122">
        <v>0</v>
      </c>
      <c r="M342" s="122">
        <v>0</v>
      </c>
      <c r="N342" s="122">
        <v>55</v>
      </c>
      <c r="O342" s="122">
        <v>84</v>
      </c>
      <c r="P342" s="122">
        <v>2</v>
      </c>
      <c r="Q342" s="123"/>
      <c r="R342" s="122">
        <v>1</v>
      </c>
      <c r="S342" s="123"/>
      <c r="T342" s="122">
        <v>1</v>
      </c>
      <c r="U342" s="123"/>
      <c r="V342" s="122">
        <v>8858890791919</v>
      </c>
    </row>
    <row r="343" ht="15.75" customHeight="1" spans="1:22" x14ac:dyDescent="0.25">
      <c r="A343" s="122" t="s">
        <v>1536</v>
      </c>
      <c r="B343" s="123"/>
      <c r="C343" s="123"/>
      <c r="D343" s="122" t="s">
        <v>1537</v>
      </c>
      <c r="E343" s="122" t="s">
        <v>1528</v>
      </c>
      <c r="F343" s="122" t="s">
        <v>753</v>
      </c>
      <c r="G343" s="122" t="s">
        <v>754</v>
      </c>
      <c r="H343" s="122" t="s">
        <v>1522</v>
      </c>
      <c r="I343" s="122" t="s">
        <v>733</v>
      </c>
      <c r="J343" s="122">
        <v>42</v>
      </c>
      <c r="K343" s="122">
        <v>0</v>
      </c>
      <c r="L343" s="122">
        <v>0</v>
      </c>
      <c r="M343" s="122">
        <v>0</v>
      </c>
      <c r="N343" s="122">
        <v>60</v>
      </c>
      <c r="O343" s="122">
        <v>86</v>
      </c>
      <c r="P343" s="122">
        <v>0</v>
      </c>
      <c r="Q343" s="123"/>
      <c r="R343" s="122">
        <v>1</v>
      </c>
      <c r="S343" s="123"/>
      <c r="T343" s="122">
        <v>1</v>
      </c>
      <c r="U343" s="123"/>
      <c r="V343" s="122">
        <v>8858890791490</v>
      </c>
    </row>
    <row r="344" ht="15.75" customHeight="1" spans="1:22" x14ac:dyDescent="0.25">
      <c r="A344" s="122" t="s">
        <v>1538</v>
      </c>
      <c r="B344" s="123"/>
      <c r="C344" s="123"/>
      <c r="D344" s="122" t="s">
        <v>1539</v>
      </c>
      <c r="E344" s="122" t="s">
        <v>1528</v>
      </c>
      <c r="F344" s="122" t="s">
        <v>753</v>
      </c>
      <c r="G344" s="122" t="s">
        <v>754</v>
      </c>
      <c r="H344" s="122" t="s">
        <v>1522</v>
      </c>
      <c r="I344" s="122" t="s">
        <v>733</v>
      </c>
      <c r="J344" s="122">
        <v>44</v>
      </c>
      <c r="K344" s="122">
        <v>0</v>
      </c>
      <c r="L344" s="122">
        <v>0</v>
      </c>
      <c r="M344" s="122">
        <v>0</v>
      </c>
      <c r="N344" s="122">
        <v>60</v>
      </c>
      <c r="O344" s="122">
        <v>88</v>
      </c>
      <c r="P344" s="122">
        <v>0</v>
      </c>
      <c r="Q344" s="123"/>
      <c r="R344" s="122">
        <v>1</v>
      </c>
      <c r="S344" s="123"/>
      <c r="T344" s="122">
        <v>1</v>
      </c>
      <c r="U344" s="123"/>
      <c r="V344" s="122">
        <v>885889079150604</v>
      </c>
    </row>
    <row r="345" ht="15.75" customHeight="1" spans="1:22" x14ac:dyDescent="0.25">
      <c r="A345" s="122" t="s">
        <v>1540</v>
      </c>
      <c r="B345" s="123"/>
      <c r="C345" s="123"/>
      <c r="D345" s="122" t="s">
        <v>1541</v>
      </c>
      <c r="E345" s="122" t="s">
        <v>1521</v>
      </c>
      <c r="F345" s="122" t="s">
        <v>753</v>
      </c>
      <c r="G345" s="122" t="s">
        <v>754</v>
      </c>
      <c r="H345" s="122" t="s">
        <v>1522</v>
      </c>
      <c r="I345" s="122" t="s">
        <v>733</v>
      </c>
      <c r="J345" s="122">
        <v>45</v>
      </c>
      <c r="K345" s="122">
        <v>0</v>
      </c>
      <c r="L345" s="122">
        <v>0</v>
      </c>
      <c r="M345" s="122">
        <v>0</v>
      </c>
      <c r="N345" s="122">
        <v>79</v>
      </c>
      <c r="O345" s="122">
        <v>89</v>
      </c>
      <c r="P345" s="122">
        <v>0</v>
      </c>
      <c r="Q345" s="123"/>
      <c r="R345" s="122">
        <v>1</v>
      </c>
      <c r="S345" s="123"/>
      <c r="T345" s="122">
        <v>1</v>
      </c>
      <c r="U345" s="123"/>
      <c r="V345" s="122">
        <v>8858890793180</v>
      </c>
    </row>
    <row r="346" ht="15.75" customHeight="1" spans="1:22" x14ac:dyDescent="0.25">
      <c r="A346" s="122" t="s">
        <v>1542</v>
      </c>
      <c r="B346" s="122" t="s">
        <v>750</v>
      </c>
      <c r="C346" s="123"/>
      <c r="D346" s="122" t="s">
        <v>1543</v>
      </c>
      <c r="E346" s="122" t="s">
        <v>1544</v>
      </c>
      <c r="F346" s="122" t="s">
        <v>753</v>
      </c>
      <c r="G346" s="122" t="s">
        <v>754</v>
      </c>
      <c r="H346" s="122" t="s">
        <v>1117</v>
      </c>
      <c r="I346" s="122" t="s">
        <v>733</v>
      </c>
      <c r="J346" s="122">
        <v>36.11</v>
      </c>
      <c r="K346" s="122">
        <v>0</v>
      </c>
      <c r="L346" s="122">
        <v>0</v>
      </c>
      <c r="M346" s="122">
        <v>0</v>
      </c>
      <c r="N346" s="122">
        <v>60</v>
      </c>
      <c r="O346" s="122">
        <v>100</v>
      </c>
      <c r="P346" s="122">
        <v>13</v>
      </c>
      <c r="Q346" s="123"/>
      <c r="R346" s="122">
        <v>1</v>
      </c>
      <c r="S346" s="123"/>
      <c r="T346" s="122">
        <v>1</v>
      </c>
      <c r="U346" s="123"/>
      <c r="V346" s="122">
        <v>8858890790615</v>
      </c>
    </row>
    <row r="347" ht="15.75" customHeight="1" spans="1:22" x14ac:dyDescent="0.25">
      <c r="A347" s="122" t="s">
        <v>1542</v>
      </c>
      <c r="B347" s="122" t="s">
        <v>909</v>
      </c>
      <c r="C347" s="123"/>
      <c r="D347" s="122" t="s">
        <v>1543</v>
      </c>
      <c r="E347" s="122" t="s">
        <v>1544</v>
      </c>
      <c r="F347" s="122" t="s">
        <v>753</v>
      </c>
      <c r="G347" s="122" t="s">
        <v>754</v>
      </c>
      <c r="H347" s="122" t="s">
        <v>1117</v>
      </c>
      <c r="I347" s="122" t="s">
        <v>733</v>
      </c>
      <c r="J347" s="122">
        <v>36.11</v>
      </c>
      <c r="K347" s="122">
        <v>0</v>
      </c>
      <c r="L347" s="122">
        <v>0</v>
      </c>
      <c r="M347" s="122">
        <v>0</v>
      </c>
      <c r="N347" s="122">
        <v>60</v>
      </c>
      <c r="O347" s="122">
        <v>100</v>
      </c>
      <c r="P347" s="122">
        <v>16</v>
      </c>
      <c r="Q347" s="123"/>
      <c r="R347" s="122">
        <v>1</v>
      </c>
      <c r="S347" s="123"/>
      <c r="T347" s="122">
        <v>1</v>
      </c>
      <c r="U347" s="123"/>
      <c r="V347" s="122">
        <v>8858890797072</v>
      </c>
    </row>
    <row r="348" ht="15.75" customHeight="1" spans="1:22" x14ac:dyDescent="0.25">
      <c r="A348" s="122" t="s">
        <v>587</v>
      </c>
      <c r="B348" s="123"/>
      <c r="C348" s="123"/>
      <c r="D348" s="122" t="s">
        <v>1545</v>
      </c>
      <c r="E348" s="122" t="s">
        <v>1546</v>
      </c>
      <c r="F348" s="122" t="s">
        <v>753</v>
      </c>
      <c r="G348" s="122" t="s">
        <v>771</v>
      </c>
      <c r="H348" s="122" t="s">
        <v>975</v>
      </c>
      <c r="I348" s="122" t="s">
        <v>733</v>
      </c>
      <c r="J348" s="122">
        <v>95</v>
      </c>
      <c r="K348" s="122">
        <v>0</v>
      </c>
      <c r="L348" s="122">
        <v>0</v>
      </c>
      <c r="M348" s="122">
        <v>120</v>
      </c>
      <c r="N348" s="122">
        <v>125</v>
      </c>
      <c r="O348" s="122">
        <v>150</v>
      </c>
      <c r="P348" s="122">
        <v>1</v>
      </c>
      <c r="Q348" s="123"/>
      <c r="R348" s="122">
        <v>1</v>
      </c>
      <c r="S348" s="123"/>
      <c r="T348" s="122">
        <v>1</v>
      </c>
      <c r="U348" s="123"/>
      <c r="V348" s="122">
        <v>8858890780265</v>
      </c>
    </row>
    <row r="349" ht="15.75" customHeight="1" spans="1:22" x14ac:dyDescent="0.25">
      <c r="A349" s="122" t="s">
        <v>1547</v>
      </c>
      <c r="B349" s="123"/>
      <c r="C349" s="123"/>
      <c r="D349" s="122" t="s">
        <v>1548</v>
      </c>
      <c r="E349" s="122" t="s">
        <v>1549</v>
      </c>
      <c r="F349" s="122" t="s">
        <v>753</v>
      </c>
      <c r="G349" s="122" t="s">
        <v>771</v>
      </c>
      <c r="H349" s="122" t="s">
        <v>1000</v>
      </c>
      <c r="I349" s="122" t="s">
        <v>733</v>
      </c>
      <c r="J349" s="122">
        <v>90</v>
      </c>
      <c r="K349" s="122">
        <v>0</v>
      </c>
      <c r="L349" s="122">
        <v>130</v>
      </c>
      <c r="M349" s="122">
        <v>0</v>
      </c>
      <c r="N349" s="122">
        <v>165</v>
      </c>
      <c r="O349" s="122">
        <v>215</v>
      </c>
      <c r="P349" s="122">
        <v>0</v>
      </c>
      <c r="Q349" s="123"/>
      <c r="R349" s="122">
        <v>1</v>
      </c>
      <c r="S349" s="122">
        <v>1</v>
      </c>
      <c r="T349" s="122">
        <v>1</v>
      </c>
      <c r="U349" s="123"/>
      <c r="V349" s="122">
        <v>8858890782705</v>
      </c>
    </row>
    <row r="350" ht="15.75" customHeight="1" spans="1:22" x14ac:dyDescent="0.25">
      <c r="A350" s="122" t="s">
        <v>1550</v>
      </c>
      <c r="B350" s="123"/>
      <c r="C350" s="123"/>
      <c r="D350" s="122" t="s">
        <v>1551</v>
      </c>
      <c r="E350" s="122" t="s">
        <v>1552</v>
      </c>
      <c r="F350" s="122" t="s">
        <v>753</v>
      </c>
      <c r="G350" s="122" t="s">
        <v>771</v>
      </c>
      <c r="H350" s="122" t="s">
        <v>1000</v>
      </c>
      <c r="I350" s="122" t="s">
        <v>733</v>
      </c>
      <c r="J350" s="122">
        <v>90</v>
      </c>
      <c r="K350" s="122">
        <v>0</v>
      </c>
      <c r="L350" s="122">
        <v>130</v>
      </c>
      <c r="M350" s="122">
        <v>0</v>
      </c>
      <c r="N350" s="122">
        <v>165</v>
      </c>
      <c r="O350" s="122">
        <v>215</v>
      </c>
      <c r="P350" s="122">
        <v>2</v>
      </c>
      <c r="Q350" s="123"/>
      <c r="R350" s="122">
        <v>1</v>
      </c>
      <c r="S350" s="122">
        <v>1</v>
      </c>
      <c r="T350" s="122">
        <v>1</v>
      </c>
      <c r="U350" s="123"/>
      <c r="V350" s="122">
        <v>8858890782719</v>
      </c>
    </row>
    <row r="351" ht="15.75" customHeight="1" spans="1:22" x14ac:dyDescent="0.25">
      <c r="A351" s="122" t="s">
        <v>1553</v>
      </c>
      <c r="B351" s="123"/>
      <c r="C351" s="123"/>
      <c r="D351" s="122" t="s">
        <v>1554</v>
      </c>
      <c r="E351" s="122" t="s">
        <v>1555</v>
      </c>
      <c r="F351" s="122" t="s">
        <v>753</v>
      </c>
      <c r="G351" s="122" t="s">
        <v>771</v>
      </c>
      <c r="H351" s="122" t="s">
        <v>1000</v>
      </c>
      <c r="I351" s="122" t="s">
        <v>733</v>
      </c>
      <c r="J351" s="122">
        <v>91.58</v>
      </c>
      <c r="K351" s="122">
        <v>0</v>
      </c>
      <c r="L351" s="122">
        <v>130</v>
      </c>
      <c r="M351" s="122">
        <v>0</v>
      </c>
      <c r="N351" s="122">
        <v>180</v>
      </c>
      <c r="O351" s="122">
        <v>235</v>
      </c>
      <c r="P351" s="122">
        <v>14</v>
      </c>
      <c r="Q351" s="123"/>
      <c r="R351" s="122">
        <v>1</v>
      </c>
      <c r="S351" s="122">
        <v>1</v>
      </c>
      <c r="T351" s="122">
        <v>1</v>
      </c>
      <c r="U351" s="123"/>
      <c r="V351" s="122">
        <v>8858890782726</v>
      </c>
    </row>
    <row r="352" ht="15.75" customHeight="1" spans="1:22" x14ac:dyDescent="0.25">
      <c r="A352" s="122" t="s">
        <v>1556</v>
      </c>
      <c r="B352" s="123"/>
      <c r="C352" s="123"/>
      <c r="D352" s="122" t="s">
        <v>1557</v>
      </c>
      <c r="E352" s="122" t="s">
        <v>1558</v>
      </c>
      <c r="F352" s="122" t="s">
        <v>753</v>
      </c>
      <c r="G352" s="122" t="s">
        <v>771</v>
      </c>
      <c r="H352" s="122" t="s">
        <v>1000</v>
      </c>
      <c r="I352" s="122" t="s">
        <v>733</v>
      </c>
      <c r="J352" s="122">
        <v>95</v>
      </c>
      <c r="K352" s="122">
        <v>0</v>
      </c>
      <c r="L352" s="122">
        <v>130</v>
      </c>
      <c r="M352" s="122">
        <v>0</v>
      </c>
      <c r="N352" s="122">
        <v>180</v>
      </c>
      <c r="O352" s="122">
        <v>235</v>
      </c>
      <c r="P352" s="122">
        <v>11</v>
      </c>
      <c r="Q352" s="123"/>
      <c r="R352" s="122">
        <v>1</v>
      </c>
      <c r="S352" s="122">
        <v>1</v>
      </c>
      <c r="T352" s="122">
        <v>1</v>
      </c>
      <c r="U352" s="123"/>
      <c r="V352" s="122">
        <v>8858890782733</v>
      </c>
    </row>
    <row r="353" ht="15.75" customHeight="1" spans="1:22" x14ac:dyDescent="0.25">
      <c r="A353" s="122" t="s">
        <v>25</v>
      </c>
      <c r="B353" s="123"/>
      <c r="C353" s="123"/>
      <c r="D353" s="122" t="s">
        <v>1559</v>
      </c>
      <c r="E353" s="122" t="s">
        <v>1560</v>
      </c>
      <c r="F353" s="122" t="s">
        <v>742</v>
      </c>
      <c r="G353" s="122" t="s">
        <v>745</v>
      </c>
      <c r="H353" s="122" t="s">
        <v>746</v>
      </c>
      <c r="I353" s="122" t="s">
        <v>733</v>
      </c>
      <c r="J353" s="122">
        <v>1050</v>
      </c>
      <c r="K353" s="122">
        <v>999</v>
      </c>
      <c r="L353" s="122">
        <v>1130</v>
      </c>
      <c r="M353" s="122">
        <v>1200</v>
      </c>
      <c r="N353" s="122">
        <v>1500</v>
      </c>
      <c r="O353" s="122">
        <v>1500</v>
      </c>
      <c r="P353" s="122">
        <v>71</v>
      </c>
      <c r="Q353" s="123"/>
      <c r="R353" s="122">
        <v>1</v>
      </c>
      <c r="S353" s="122">
        <v>1</v>
      </c>
      <c r="T353" s="122">
        <v>1</v>
      </c>
      <c r="U353" s="123"/>
      <c r="V353" s="122">
        <v>8858890721220</v>
      </c>
    </row>
    <row r="354" ht="15.75" customHeight="1" spans="1:22" x14ac:dyDescent="0.25">
      <c r="A354" s="122" t="s">
        <v>1561</v>
      </c>
      <c r="B354" s="123"/>
      <c r="C354" s="123"/>
      <c r="D354" s="122" t="s">
        <v>1562</v>
      </c>
      <c r="E354" s="123"/>
      <c r="F354" s="122" t="s">
        <v>753</v>
      </c>
      <c r="G354" s="122" t="s">
        <v>754</v>
      </c>
      <c r="H354" s="122" t="s">
        <v>1112</v>
      </c>
      <c r="I354" s="122" t="s">
        <v>733</v>
      </c>
      <c r="J354" s="122">
        <v>8</v>
      </c>
      <c r="K354" s="122">
        <v>0</v>
      </c>
      <c r="L354" s="122">
        <v>0</v>
      </c>
      <c r="M354" s="122">
        <v>0</v>
      </c>
      <c r="N354" s="122">
        <v>8</v>
      </c>
      <c r="O354" s="122">
        <v>18</v>
      </c>
      <c r="P354" s="122">
        <v>3</v>
      </c>
      <c r="Q354" s="123"/>
      <c r="R354" s="122">
        <v>1</v>
      </c>
      <c r="S354" s="123"/>
      <c r="T354" s="122">
        <v>1</v>
      </c>
      <c r="U354" s="123"/>
      <c r="V354" s="122">
        <v>8858890796525</v>
      </c>
    </row>
    <row r="355" ht="15.75" customHeight="1" spans="1:22" x14ac:dyDescent="0.25">
      <c r="A355" s="122" t="s">
        <v>1563</v>
      </c>
      <c r="B355" s="123"/>
      <c r="C355" s="123"/>
      <c r="D355" s="122" t="s">
        <v>1564</v>
      </c>
      <c r="E355" s="123"/>
      <c r="F355" s="122" t="s">
        <v>753</v>
      </c>
      <c r="G355" s="122" t="s">
        <v>754</v>
      </c>
      <c r="H355" s="122" t="s">
        <v>1387</v>
      </c>
      <c r="I355" s="122" t="s">
        <v>733</v>
      </c>
      <c r="J355" s="122">
        <v>10</v>
      </c>
      <c r="K355" s="122">
        <v>0</v>
      </c>
      <c r="L355" s="122">
        <v>0</v>
      </c>
      <c r="M355" s="122">
        <v>0</v>
      </c>
      <c r="N355" s="122">
        <v>10</v>
      </c>
      <c r="O355" s="122">
        <v>20</v>
      </c>
      <c r="P355" s="122">
        <v>0</v>
      </c>
      <c r="Q355" s="123"/>
      <c r="R355" s="122">
        <v>1</v>
      </c>
      <c r="S355" s="123"/>
      <c r="T355" s="122">
        <v>1</v>
      </c>
      <c r="U355" s="123"/>
      <c r="V355" s="123"/>
    </row>
    <row r="356" ht="15.75" customHeight="1" spans="1:22" x14ac:dyDescent="0.25">
      <c r="A356" s="122" t="s">
        <v>1565</v>
      </c>
      <c r="B356" s="123"/>
      <c r="C356" s="123"/>
      <c r="D356" s="122" t="s">
        <v>1566</v>
      </c>
      <c r="E356" s="123"/>
      <c r="F356" s="122" t="s">
        <v>753</v>
      </c>
      <c r="G356" s="122" t="s">
        <v>754</v>
      </c>
      <c r="H356" s="122" t="s">
        <v>1387</v>
      </c>
      <c r="I356" s="122" t="s">
        <v>733</v>
      </c>
      <c r="J356" s="122">
        <v>20</v>
      </c>
      <c r="K356" s="122">
        <v>0</v>
      </c>
      <c r="L356" s="122">
        <v>0</v>
      </c>
      <c r="M356" s="122">
        <v>0</v>
      </c>
      <c r="N356" s="122">
        <v>20</v>
      </c>
      <c r="O356" s="122">
        <v>40</v>
      </c>
      <c r="P356" s="122">
        <v>3</v>
      </c>
      <c r="Q356" s="123"/>
      <c r="R356" s="122">
        <v>1</v>
      </c>
      <c r="S356" s="123"/>
      <c r="T356" s="122">
        <v>1</v>
      </c>
      <c r="U356" s="123"/>
      <c r="V356" s="123"/>
    </row>
    <row r="357" ht="15.75" customHeight="1" spans="1:22" x14ac:dyDescent="0.25">
      <c r="A357" s="122" t="s">
        <v>1567</v>
      </c>
      <c r="B357" s="123"/>
      <c r="C357" s="123"/>
      <c r="D357" s="122" t="s">
        <v>1568</v>
      </c>
      <c r="E357" s="123"/>
      <c r="F357" s="122" t="s">
        <v>753</v>
      </c>
      <c r="G357" s="122" t="s">
        <v>754</v>
      </c>
      <c r="H357" s="122" t="s">
        <v>1387</v>
      </c>
      <c r="I357" s="122" t="s">
        <v>733</v>
      </c>
      <c r="J357" s="122">
        <v>5</v>
      </c>
      <c r="K357" s="122">
        <v>0</v>
      </c>
      <c r="L357" s="122">
        <v>0</v>
      </c>
      <c r="M357" s="122">
        <v>0</v>
      </c>
      <c r="N357" s="122">
        <v>5</v>
      </c>
      <c r="O357" s="122">
        <v>15</v>
      </c>
      <c r="P357" s="122">
        <v>5</v>
      </c>
      <c r="Q357" s="123"/>
      <c r="R357" s="122">
        <v>1</v>
      </c>
      <c r="S357" s="123"/>
      <c r="T357" s="122">
        <v>1</v>
      </c>
      <c r="U357" s="123"/>
      <c r="V357" s="123"/>
    </row>
    <row r="358" ht="15.75" customHeight="1" spans="1:22" x14ac:dyDescent="0.25">
      <c r="A358" s="122" t="s">
        <v>1569</v>
      </c>
      <c r="B358" s="123"/>
      <c r="C358" s="123"/>
      <c r="D358" s="122" t="s">
        <v>1570</v>
      </c>
      <c r="E358" s="123"/>
      <c r="F358" s="122" t="s">
        <v>753</v>
      </c>
      <c r="G358" s="122" t="s">
        <v>754</v>
      </c>
      <c r="H358" s="122" t="s">
        <v>1387</v>
      </c>
      <c r="I358" s="122" t="s">
        <v>733</v>
      </c>
      <c r="J358" s="122">
        <v>20</v>
      </c>
      <c r="K358" s="122">
        <v>0</v>
      </c>
      <c r="L358" s="122">
        <v>0</v>
      </c>
      <c r="M358" s="122">
        <v>30</v>
      </c>
      <c r="N358" s="122">
        <v>20</v>
      </c>
      <c r="O358" s="122">
        <v>40</v>
      </c>
      <c r="P358" s="122">
        <v>24</v>
      </c>
      <c r="Q358" s="123"/>
      <c r="R358" s="122">
        <v>1</v>
      </c>
      <c r="S358" s="123"/>
      <c r="T358" s="122">
        <v>1</v>
      </c>
      <c r="U358" s="123"/>
      <c r="V358" s="123"/>
    </row>
    <row r="359" ht="15.75" customHeight="1" spans="1:22" x14ac:dyDescent="0.25">
      <c r="A359" s="122" t="s">
        <v>1571</v>
      </c>
      <c r="B359" s="123"/>
      <c r="C359" s="123"/>
      <c r="D359" s="122" t="s">
        <v>1572</v>
      </c>
      <c r="E359" s="123"/>
      <c r="F359" s="122" t="s">
        <v>753</v>
      </c>
      <c r="G359" s="122" t="s">
        <v>754</v>
      </c>
      <c r="H359" s="122" t="s">
        <v>1387</v>
      </c>
      <c r="I359" s="122" t="s">
        <v>733</v>
      </c>
      <c r="J359" s="122">
        <v>50</v>
      </c>
      <c r="K359" s="122">
        <v>0</v>
      </c>
      <c r="L359" s="122">
        <v>0</v>
      </c>
      <c r="M359" s="122">
        <v>0</v>
      </c>
      <c r="N359" s="122">
        <v>18</v>
      </c>
      <c r="O359" s="122">
        <v>0</v>
      </c>
      <c r="P359" s="122">
        <v>4</v>
      </c>
      <c r="Q359" s="123"/>
      <c r="R359" s="122">
        <v>1</v>
      </c>
      <c r="S359" s="123"/>
      <c r="T359" s="122">
        <v>1</v>
      </c>
      <c r="U359" s="123"/>
      <c r="V359" s="123"/>
    </row>
    <row r="360" ht="15.75" customHeight="1" spans="1:22" x14ac:dyDescent="0.25">
      <c r="A360" s="122" t="s">
        <v>1573</v>
      </c>
      <c r="B360" s="123"/>
      <c r="C360" s="123"/>
      <c r="D360" s="122" t="s">
        <v>1574</v>
      </c>
      <c r="E360" s="123"/>
      <c r="F360" s="122" t="s">
        <v>753</v>
      </c>
      <c r="G360" s="122" t="s">
        <v>754</v>
      </c>
      <c r="H360" s="122" t="s">
        <v>1387</v>
      </c>
      <c r="I360" s="122" t="s">
        <v>733</v>
      </c>
      <c r="J360" s="122">
        <v>12</v>
      </c>
      <c r="K360" s="122">
        <v>0</v>
      </c>
      <c r="L360" s="122">
        <v>0</v>
      </c>
      <c r="M360" s="122">
        <v>0</v>
      </c>
      <c r="N360" s="122">
        <v>12</v>
      </c>
      <c r="O360" s="122">
        <v>0</v>
      </c>
      <c r="P360" s="122">
        <v>0</v>
      </c>
      <c r="Q360" s="123"/>
      <c r="R360" s="122">
        <v>1</v>
      </c>
      <c r="S360" s="123"/>
      <c r="T360" s="123"/>
      <c r="U360" s="123"/>
      <c r="V360" s="123"/>
    </row>
    <row r="361" ht="15.75" customHeight="1" spans="1:22" x14ac:dyDescent="0.25">
      <c r="A361" s="122" t="s">
        <v>1575</v>
      </c>
      <c r="B361" s="123"/>
      <c r="C361" s="123"/>
      <c r="D361" s="122" t="s">
        <v>1576</v>
      </c>
      <c r="E361" s="123"/>
      <c r="F361" s="122" t="s">
        <v>742</v>
      </c>
      <c r="G361" s="122" t="s">
        <v>1495</v>
      </c>
      <c r="H361" s="122" t="s">
        <v>1496</v>
      </c>
      <c r="I361" s="122" t="s">
        <v>733</v>
      </c>
      <c r="J361" s="122">
        <v>150</v>
      </c>
      <c r="K361" s="122">
        <v>0</v>
      </c>
      <c r="L361" s="122">
        <v>0</v>
      </c>
      <c r="M361" s="122">
        <v>0</v>
      </c>
      <c r="N361" s="122">
        <v>300</v>
      </c>
      <c r="O361" s="122">
        <v>300</v>
      </c>
      <c r="P361" s="122">
        <v>5</v>
      </c>
      <c r="Q361" s="123"/>
      <c r="R361" s="122">
        <v>1</v>
      </c>
      <c r="S361" s="123"/>
      <c r="T361" s="123"/>
      <c r="U361" s="123"/>
      <c r="V361" s="123"/>
    </row>
    <row r="362" ht="15.75" customHeight="1" spans="1:22" x14ac:dyDescent="0.25">
      <c r="A362" s="122" t="s">
        <v>1577</v>
      </c>
      <c r="B362" s="123"/>
      <c r="C362" s="123"/>
      <c r="D362" s="122" t="s">
        <v>1578</v>
      </c>
      <c r="E362" s="123"/>
      <c r="F362" s="122" t="s">
        <v>742</v>
      </c>
      <c r="G362" s="122" t="s">
        <v>1495</v>
      </c>
      <c r="H362" s="122" t="s">
        <v>1579</v>
      </c>
      <c r="I362" s="122" t="s">
        <v>733</v>
      </c>
      <c r="J362" s="122">
        <v>50</v>
      </c>
      <c r="K362" s="122">
        <v>0</v>
      </c>
      <c r="L362" s="122">
        <v>0</v>
      </c>
      <c r="M362" s="122">
        <v>0</v>
      </c>
      <c r="N362" s="122">
        <v>150</v>
      </c>
      <c r="O362" s="122">
        <v>300</v>
      </c>
      <c r="P362" s="122">
        <v>0</v>
      </c>
      <c r="Q362" s="123"/>
      <c r="R362" s="122">
        <v>1</v>
      </c>
      <c r="S362" s="123"/>
      <c r="T362" s="123"/>
      <c r="U362" s="123"/>
      <c r="V362" s="123"/>
    </row>
    <row r="363" ht="15.75" customHeight="1" spans="1:22" x14ac:dyDescent="0.25">
      <c r="A363" s="122" t="s">
        <v>1580</v>
      </c>
      <c r="B363" s="123"/>
      <c r="C363" s="123"/>
      <c r="D363" s="122" t="s">
        <v>1581</v>
      </c>
      <c r="E363" s="123"/>
      <c r="F363" s="122" t="s">
        <v>753</v>
      </c>
      <c r="G363" s="122" t="s">
        <v>1495</v>
      </c>
      <c r="H363" s="122" t="s">
        <v>1582</v>
      </c>
      <c r="I363" s="122" t="s">
        <v>733</v>
      </c>
      <c r="J363" s="122">
        <v>100</v>
      </c>
      <c r="K363" s="122">
        <v>0</v>
      </c>
      <c r="L363" s="122">
        <v>0</v>
      </c>
      <c r="M363" s="122">
        <v>0</v>
      </c>
      <c r="N363" s="122">
        <v>200</v>
      </c>
      <c r="O363" s="122">
        <v>300</v>
      </c>
      <c r="P363" s="122">
        <v>0</v>
      </c>
      <c r="Q363" s="123"/>
      <c r="R363" s="122">
        <v>1</v>
      </c>
      <c r="S363" s="123"/>
      <c r="T363" s="123"/>
      <c r="U363" s="123"/>
      <c r="V363" s="123"/>
    </row>
    <row r="364" ht="15.75" customHeight="1" spans="1:22" x14ac:dyDescent="0.25">
      <c r="A364" s="122" t="s">
        <v>1583</v>
      </c>
      <c r="B364" s="123"/>
      <c r="C364" s="123"/>
      <c r="D364" s="122" t="s">
        <v>1584</v>
      </c>
      <c r="E364" s="122" t="s">
        <v>1585</v>
      </c>
      <c r="F364" s="122" t="s">
        <v>753</v>
      </c>
      <c r="G364" s="122" t="s">
        <v>771</v>
      </c>
      <c r="H364" s="122" t="s">
        <v>975</v>
      </c>
      <c r="I364" s="122" t="s">
        <v>733</v>
      </c>
      <c r="J364" s="122">
        <v>9</v>
      </c>
      <c r="K364" s="122">
        <v>0</v>
      </c>
      <c r="L364" s="122">
        <v>0</v>
      </c>
      <c r="M364" s="122">
        <v>0</v>
      </c>
      <c r="N364" s="122">
        <v>40</v>
      </c>
      <c r="O364" s="122">
        <v>55</v>
      </c>
      <c r="P364" s="122">
        <v>0</v>
      </c>
      <c r="Q364" s="123"/>
      <c r="R364" s="122">
        <v>1</v>
      </c>
      <c r="S364" s="123"/>
      <c r="T364" s="122">
        <v>1</v>
      </c>
      <c r="U364" s="123"/>
      <c r="V364" s="122">
        <v>8858890782351</v>
      </c>
    </row>
    <row r="365" ht="15.75" customHeight="1" spans="1:22" x14ac:dyDescent="0.25">
      <c r="A365" s="122" t="s">
        <v>15</v>
      </c>
      <c r="B365" s="123"/>
      <c r="C365" s="123"/>
      <c r="D365" s="122" t="s">
        <v>1586</v>
      </c>
      <c r="E365" s="122" t="s">
        <v>1587</v>
      </c>
      <c r="F365" s="122" t="s">
        <v>742</v>
      </c>
      <c r="G365" s="122" t="s">
        <v>731</v>
      </c>
      <c r="H365" s="122" t="s">
        <v>1588</v>
      </c>
      <c r="I365" s="122" t="s">
        <v>733</v>
      </c>
      <c r="J365" s="122">
        <v>105.56</v>
      </c>
      <c r="K365" s="122">
        <v>99</v>
      </c>
      <c r="L365" s="122">
        <v>135</v>
      </c>
      <c r="M365" s="122">
        <v>120</v>
      </c>
      <c r="N365" s="122">
        <v>150</v>
      </c>
      <c r="O365" s="122">
        <v>150</v>
      </c>
      <c r="P365" s="122">
        <v>500</v>
      </c>
      <c r="Q365" s="123"/>
      <c r="R365" s="122">
        <v>1</v>
      </c>
      <c r="S365" s="122">
        <v>1</v>
      </c>
      <c r="T365" s="122">
        <v>1</v>
      </c>
      <c r="U365" s="123"/>
      <c r="V365" s="122">
        <v>8858890711061</v>
      </c>
    </row>
    <row r="366" ht="15.75" customHeight="1" spans="1:22" x14ac:dyDescent="0.25">
      <c r="A366" s="122" t="s">
        <v>1589</v>
      </c>
      <c r="B366" s="123"/>
      <c r="C366" s="123"/>
      <c r="D366" s="122" t="s">
        <v>1590</v>
      </c>
      <c r="E366" s="122" t="s">
        <v>1591</v>
      </c>
      <c r="F366" s="122" t="s">
        <v>779</v>
      </c>
      <c r="G366" s="122" t="s">
        <v>754</v>
      </c>
      <c r="H366" s="122" t="s">
        <v>1592</v>
      </c>
      <c r="I366" s="122" t="s">
        <v>733</v>
      </c>
      <c r="J366" s="122">
        <v>10</v>
      </c>
      <c r="K366" s="122">
        <v>0</v>
      </c>
      <c r="L366" s="122">
        <v>0</v>
      </c>
      <c r="M366" s="122">
        <v>20</v>
      </c>
      <c r="N366" s="122">
        <v>60</v>
      </c>
      <c r="O366" s="122">
        <v>80</v>
      </c>
      <c r="P366" s="122">
        <v>13</v>
      </c>
      <c r="Q366" s="123"/>
      <c r="R366" s="122">
        <v>1</v>
      </c>
      <c r="S366" s="123"/>
      <c r="T366" s="123"/>
      <c r="U366" s="123"/>
      <c r="V366" s="122">
        <v>8858890794439</v>
      </c>
    </row>
    <row r="367" ht="15.75" customHeight="1" spans="1:22" x14ac:dyDescent="0.25">
      <c r="A367" s="122" t="s">
        <v>1593</v>
      </c>
      <c r="B367" s="123"/>
      <c r="C367" s="123"/>
      <c r="D367" s="122" t="s">
        <v>1594</v>
      </c>
      <c r="E367" s="123"/>
      <c r="F367" s="122" t="s">
        <v>742</v>
      </c>
      <c r="G367" s="122" t="s">
        <v>1495</v>
      </c>
      <c r="H367" s="122" t="s">
        <v>1595</v>
      </c>
      <c r="I367" s="122" t="s">
        <v>733</v>
      </c>
      <c r="J367" s="122">
        <v>60</v>
      </c>
      <c r="K367" s="122">
        <v>0</v>
      </c>
      <c r="L367" s="122">
        <v>0</v>
      </c>
      <c r="M367" s="122">
        <v>0</v>
      </c>
      <c r="N367" s="122">
        <v>200</v>
      </c>
      <c r="O367" s="122">
        <v>300</v>
      </c>
      <c r="P367" s="122">
        <v>0</v>
      </c>
      <c r="Q367" s="123"/>
      <c r="R367" s="122">
        <v>1</v>
      </c>
      <c r="S367" s="123"/>
      <c r="T367" s="123"/>
      <c r="U367" s="123"/>
      <c r="V367" s="122">
        <v>8858890797782</v>
      </c>
    </row>
    <row r="368" ht="15.75" customHeight="1" spans="1:22" x14ac:dyDescent="0.25">
      <c r="A368" s="122" t="s">
        <v>398</v>
      </c>
      <c r="B368" s="123"/>
      <c r="C368" s="123"/>
      <c r="D368" s="122" t="s">
        <v>1596</v>
      </c>
      <c r="E368" s="123"/>
      <c r="F368" s="122" t="s">
        <v>753</v>
      </c>
      <c r="G368" s="122" t="s">
        <v>754</v>
      </c>
      <c r="H368" s="122" t="s">
        <v>1112</v>
      </c>
      <c r="I368" s="122" t="s">
        <v>733</v>
      </c>
      <c r="J368" s="122">
        <v>200</v>
      </c>
      <c r="K368" s="122">
        <v>0</v>
      </c>
      <c r="L368" s="122">
        <v>0</v>
      </c>
      <c r="M368" s="122">
        <v>0</v>
      </c>
      <c r="N368" s="122">
        <v>350</v>
      </c>
      <c r="O368" s="122">
        <v>600</v>
      </c>
      <c r="P368" s="122">
        <v>0</v>
      </c>
      <c r="Q368" s="123"/>
      <c r="R368" s="122">
        <v>1</v>
      </c>
      <c r="S368" s="123"/>
      <c r="T368" s="122">
        <v>1</v>
      </c>
      <c r="U368" s="123"/>
      <c r="V368" s="123"/>
    </row>
    <row r="369" ht="15.75" customHeight="1" spans="1:22" x14ac:dyDescent="0.25">
      <c r="A369" s="122" t="s">
        <v>1597</v>
      </c>
      <c r="B369" s="123"/>
      <c r="C369" s="123"/>
      <c r="D369" s="122" t="s">
        <v>1598</v>
      </c>
      <c r="E369" s="123"/>
      <c r="F369" s="122" t="s">
        <v>753</v>
      </c>
      <c r="G369" s="122" t="s">
        <v>831</v>
      </c>
      <c r="H369" s="122" t="s">
        <v>832</v>
      </c>
      <c r="I369" s="122" t="s">
        <v>733</v>
      </c>
      <c r="J369" s="122">
        <v>0</v>
      </c>
      <c r="K369" s="122">
        <v>0</v>
      </c>
      <c r="L369" s="122">
        <v>0</v>
      </c>
      <c r="M369" s="122">
        <v>0</v>
      </c>
      <c r="N369" s="122">
        <v>0</v>
      </c>
      <c r="O369" s="122">
        <v>0</v>
      </c>
      <c r="P369" s="122">
        <v>5</v>
      </c>
      <c r="Q369" s="123"/>
      <c r="R369" s="122">
        <v>1</v>
      </c>
      <c r="S369" s="123"/>
      <c r="T369" s="123"/>
      <c r="U369" s="123"/>
      <c r="V369" s="123"/>
    </row>
    <row r="370" ht="15.75" customHeight="1" spans="1:22" x14ac:dyDescent="0.25">
      <c r="A370" s="122" t="s">
        <v>1599</v>
      </c>
      <c r="B370" s="122" t="s">
        <v>750</v>
      </c>
      <c r="C370" s="123"/>
      <c r="D370" s="122" t="s">
        <v>1600</v>
      </c>
      <c r="E370" s="123"/>
      <c r="F370" s="122" t="s">
        <v>753</v>
      </c>
      <c r="G370" s="122" t="s">
        <v>771</v>
      </c>
      <c r="H370" s="122" t="s">
        <v>1012</v>
      </c>
      <c r="I370" s="122" t="s">
        <v>733</v>
      </c>
      <c r="J370" s="122">
        <v>55</v>
      </c>
      <c r="K370" s="122">
        <v>0</v>
      </c>
      <c r="L370" s="122">
        <v>100</v>
      </c>
      <c r="M370" s="122">
        <v>85</v>
      </c>
      <c r="N370" s="122">
        <v>100</v>
      </c>
      <c r="O370" s="122">
        <v>175</v>
      </c>
      <c r="P370" s="122">
        <v>1</v>
      </c>
      <c r="Q370" s="123"/>
      <c r="R370" s="122">
        <v>1</v>
      </c>
      <c r="S370" s="122">
        <v>1</v>
      </c>
      <c r="T370" s="122">
        <v>1</v>
      </c>
      <c r="U370" s="123"/>
      <c r="V370" s="122">
        <v>8858890782887</v>
      </c>
    </row>
    <row r="371" ht="15.75" customHeight="1" spans="1:22" x14ac:dyDescent="0.25">
      <c r="A371" s="122" t="s">
        <v>1599</v>
      </c>
      <c r="B371" s="122" t="s">
        <v>913</v>
      </c>
      <c r="C371" s="123"/>
      <c r="D371" s="122" t="s">
        <v>1600</v>
      </c>
      <c r="E371" s="123"/>
      <c r="F371" s="122" t="s">
        <v>753</v>
      </c>
      <c r="G371" s="122" t="s">
        <v>771</v>
      </c>
      <c r="H371" s="122" t="s">
        <v>1012</v>
      </c>
      <c r="I371" s="123"/>
      <c r="J371" s="122">
        <v>55</v>
      </c>
      <c r="K371" s="122">
        <v>0</v>
      </c>
      <c r="L371" s="122">
        <v>100</v>
      </c>
      <c r="M371" s="122">
        <v>85</v>
      </c>
      <c r="N371" s="122">
        <v>100</v>
      </c>
      <c r="O371" s="122">
        <v>175</v>
      </c>
      <c r="P371" s="122">
        <v>0</v>
      </c>
      <c r="Q371" s="123"/>
      <c r="R371" s="122">
        <v>1</v>
      </c>
      <c r="S371" s="122">
        <v>1</v>
      </c>
      <c r="T371" s="122">
        <v>1</v>
      </c>
      <c r="U371" s="123"/>
      <c r="V371" s="123"/>
    </row>
    <row r="372" ht="15.75" customHeight="1" spans="1:22" x14ac:dyDescent="0.25">
      <c r="A372" s="122" t="s">
        <v>1599</v>
      </c>
      <c r="B372" s="122" t="s">
        <v>971</v>
      </c>
      <c r="C372" s="123"/>
      <c r="D372" s="122" t="s">
        <v>1600</v>
      </c>
      <c r="E372" s="123"/>
      <c r="F372" s="122" t="s">
        <v>753</v>
      </c>
      <c r="G372" s="122" t="s">
        <v>771</v>
      </c>
      <c r="H372" s="122" t="s">
        <v>1012</v>
      </c>
      <c r="I372" s="122" t="s">
        <v>733</v>
      </c>
      <c r="J372" s="122">
        <v>55</v>
      </c>
      <c r="K372" s="122">
        <v>0</v>
      </c>
      <c r="L372" s="122">
        <v>100</v>
      </c>
      <c r="M372" s="122">
        <v>85</v>
      </c>
      <c r="N372" s="122">
        <v>100</v>
      </c>
      <c r="O372" s="122">
        <v>175</v>
      </c>
      <c r="P372" s="122">
        <v>11</v>
      </c>
      <c r="Q372" s="123"/>
      <c r="R372" s="122">
        <v>1</v>
      </c>
      <c r="S372" s="122">
        <v>1</v>
      </c>
      <c r="T372" s="122">
        <v>1</v>
      </c>
      <c r="U372" s="123"/>
      <c r="V372" s="122">
        <v>8858890782900</v>
      </c>
    </row>
    <row r="373" ht="15.75" customHeight="1" spans="1:22" x14ac:dyDescent="0.25">
      <c r="A373" s="122" t="s">
        <v>1599</v>
      </c>
      <c r="B373" s="122" t="s">
        <v>1601</v>
      </c>
      <c r="C373" s="123"/>
      <c r="D373" s="122" t="s">
        <v>1600</v>
      </c>
      <c r="E373" s="123"/>
      <c r="F373" s="122" t="s">
        <v>753</v>
      </c>
      <c r="G373" s="122" t="s">
        <v>771</v>
      </c>
      <c r="H373" s="122" t="s">
        <v>1012</v>
      </c>
      <c r="I373" s="122" t="s">
        <v>733</v>
      </c>
      <c r="J373" s="122">
        <v>55</v>
      </c>
      <c r="K373" s="122">
        <v>0</v>
      </c>
      <c r="L373" s="122">
        <v>100</v>
      </c>
      <c r="M373" s="122">
        <v>85</v>
      </c>
      <c r="N373" s="122">
        <v>100</v>
      </c>
      <c r="O373" s="122">
        <v>175</v>
      </c>
      <c r="P373" s="122">
        <v>7</v>
      </c>
      <c r="Q373" s="123"/>
      <c r="R373" s="122">
        <v>1</v>
      </c>
      <c r="S373" s="122">
        <v>1</v>
      </c>
      <c r="T373" s="122">
        <v>1</v>
      </c>
      <c r="U373" s="123"/>
      <c r="V373" s="122">
        <v>8858890782917</v>
      </c>
    </row>
    <row r="374" ht="15.75" customHeight="1" spans="1:22" x14ac:dyDescent="0.25">
      <c r="A374" s="122" t="s">
        <v>1599</v>
      </c>
      <c r="B374" s="122" t="s">
        <v>1602</v>
      </c>
      <c r="C374" s="123"/>
      <c r="D374" s="122" t="s">
        <v>1600</v>
      </c>
      <c r="E374" s="123"/>
      <c r="F374" s="122" t="s">
        <v>753</v>
      </c>
      <c r="G374" s="122" t="s">
        <v>771</v>
      </c>
      <c r="H374" s="122" t="s">
        <v>1012</v>
      </c>
      <c r="I374" s="122" t="s">
        <v>733</v>
      </c>
      <c r="J374" s="122">
        <v>55</v>
      </c>
      <c r="K374" s="122">
        <v>0</v>
      </c>
      <c r="L374" s="122">
        <v>100</v>
      </c>
      <c r="M374" s="122">
        <v>85</v>
      </c>
      <c r="N374" s="122">
        <v>100</v>
      </c>
      <c r="O374" s="122">
        <v>175</v>
      </c>
      <c r="P374" s="122">
        <v>10</v>
      </c>
      <c r="Q374" s="123"/>
      <c r="R374" s="122">
        <v>1</v>
      </c>
      <c r="S374" s="123"/>
      <c r="T374" s="123"/>
      <c r="U374" s="123"/>
      <c r="V374" s="122">
        <v>8858890782924</v>
      </c>
    </row>
    <row r="375" ht="15.75" customHeight="1" spans="1:22" x14ac:dyDescent="0.25">
      <c r="A375" s="122" t="s">
        <v>1603</v>
      </c>
      <c r="B375" s="122" t="s">
        <v>750</v>
      </c>
      <c r="C375" s="123"/>
      <c r="D375" s="122" t="s">
        <v>1604</v>
      </c>
      <c r="E375" s="123"/>
      <c r="F375" s="122" t="s">
        <v>753</v>
      </c>
      <c r="G375" s="122" t="s">
        <v>771</v>
      </c>
      <c r="H375" s="122" t="s">
        <v>1012</v>
      </c>
      <c r="I375" s="122" t="s">
        <v>733</v>
      </c>
      <c r="J375" s="122">
        <v>55</v>
      </c>
      <c r="K375" s="122">
        <v>0</v>
      </c>
      <c r="L375" s="122">
        <v>100</v>
      </c>
      <c r="M375" s="122">
        <v>85</v>
      </c>
      <c r="N375" s="122">
        <v>125</v>
      </c>
      <c r="O375" s="122">
        <v>175</v>
      </c>
      <c r="P375" s="122">
        <v>0</v>
      </c>
      <c r="Q375" s="123"/>
      <c r="R375" s="122">
        <v>1</v>
      </c>
      <c r="S375" s="122">
        <v>1</v>
      </c>
      <c r="T375" s="122">
        <v>1</v>
      </c>
      <c r="U375" s="123"/>
      <c r="V375" s="122">
        <v>8858890782931</v>
      </c>
    </row>
    <row r="376" ht="15.75" customHeight="1" spans="1:22" x14ac:dyDescent="0.25">
      <c r="A376" s="122" t="s">
        <v>1603</v>
      </c>
      <c r="B376" s="122" t="s">
        <v>971</v>
      </c>
      <c r="C376" s="123"/>
      <c r="D376" s="122" t="s">
        <v>1604</v>
      </c>
      <c r="E376" s="123"/>
      <c r="F376" s="122" t="s">
        <v>753</v>
      </c>
      <c r="G376" s="122" t="s">
        <v>771</v>
      </c>
      <c r="H376" s="122" t="s">
        <v>1012</v>
      </c>
      <c r="I376" s="122" t="s">
        <v>733</v>
      </c>
      <c r="J376" s="122">
        <v>55</v>
      </c>
      <c r="K376" s="122">
        <v>0</v>
      </c>
      <c r="L376" s="122">
        <v>100</v>
      </c>
      <c r="M376" s="122">
        <v>85</v>
      </c>
      <c r="N376" s="122">
        <v>125</v>
      </c>
      <c r="O376" s="122">
        <v>175</v>
      </c>
      <c r="P376" s="122">
        <v>0</v>
      </c>
      <c r="Q376" s="123"/>
      <c r="R376" s="122">
        <v>1</v>
      </c>
      <c r="S376" s="122">
        <v>1</v>
      </c>
      <c r="T376" s="122">
        <v>1</v>
      </c>
      <c r="U376" s="123"/>
      <c r="V376" s="122">
        <v>8858890782955</v>
      </c>
    </row>
    <row r="377" ht="15.75" customHeight="1" spans="1:22" x14ac:dyDescent="0.25">
      <c r="A377" s="122" t="s">
        <v>1603</v>
      </c>
      <c r="B377" s="122" t="s">
        <v>1601</v>
      </c>
      <c r="C377" s="123"/>
      <c r="D377" s="122" t="s">
        <v>1604</v>
      </c>
      <c r="E377" s="123"/>
      <c r="F377" s="122" t="s">
        <v>753</v>
      </c>
      <c r="G377" s="122" t="s">
        <v>771</v>
      </c>
      <c r="H377" s="122" t="s">
        <v>1012</v>
      </c>
      <c r="I377" s="122" t="s">
        <v>733</v>
      </c>
      <c r="J377" s="122">
        <v>55</v>
      </c>
      <c r="K377" s="122">
        <v>0</v>
      </c>
      <c r="L377" s="122">
        <v>100</v>
      </c>
      <c r="M377" s="122">
        <v>85</v>
      </c>
      <c r="N377" s="122">
        <v>125</v>
      </c>
      <c r="O377" s="122">
        <v>175</v>
      </c>
      <c r="P377" s="122">
        <v>0</v>
      </c>
      <c r="Q377" s="123"/>
      <c r="R377" s="122">
        <v>1</v>
      </c>
      <c r="S377" s="122">
        <v>1</v>
      </c>
      <c r="T377" s="122">
        <v>1</v>
      </c>
      <c r="U377" s="123"/>
      <c r="V377" s="122">
        <v>8858890782962</v>
      </c>
    </row>
    <row r="378" ht="15.75" customHeight="1" spans="1:22" x14ac:dyDescent="0.25">
      <c r="A378" s="122" t="s">
        <v>1603</v>
      </c>
      <c r="B378" s="122" t="s">
        <v>768</v>
      </c>
      <c r="C378" s="123"/>
      <c r="D378" s="122" t="s">
        <v>1604</v>
      </c>
      <c r="E378" s="123"/>
      <c r="F378" s="122" t="s">
        <v>753</v>
      </c>
      <c r="G378" s="122" t="s">
        <v>771</v>
      </c>
      <c r="H378" s="122" t="s">
        <v>1012</v>
      </c>
      <c r="I378" s="122" t="s">
        <v>733</v>
      </c>
      <c r="J378" s="122">
        <v>55</v>
      </c>
      <c r="K378" s="122">
        <v>0</v>
      </c>
      <c r="L378" s="122">
        <v>100</v>
      </c>
      <c r="M378" s="122">
        <v>85</v>
      </c>
      <c r="N378" s="122">
        <v>125</v>
      </c>
      <c r="O378" s="122">
        <v>175</v>
      </c>
      <c r="P378" s="122">
        <v>0</v>
      </c>
      <c r="Q378" s="123"/>
      <c r="R378" s="122">
        <v>1</v>
      </c>
      <c r="S378" s="122">
        <v>1</v>
      </c>
      <c r="T378" s="122">
        <v>1</v>
      </c>
      <c r="U378" s="123"/>
      <c r="V378" s="122">
        <v>8858890782760</v>
      </c>
    </row>
    <row r="379" ht="15.75" customHeight="1" spans="1:22" x14ac:dyDescent="0.25">
      <c r="A379" s="122" t="s">
        <v>1605</v>
      </c>
      <c r="B379" s="122" t="s">
        <v>874</v>
      </c>
      <c r="C379" s="123"/>
      <c r="D379" s="122" t="s">
        <v>1606</v>
      </c>
      <c r="E379" s="122" t="s">
        <v>1607</v>
      </c>
      <c r="F379" s="122" t="s">
        <v>753</v>
      </c>
      <c r="G379" s="122" t="s">
        <v>771</v>
      </c>
      <c r="H379" s="122" t="s">
        <v>978</v>
      </c>
      <c r="I379" s="122" t="s">
        <v>733</v>
      </c>
      <c r="J379" s="122">
        <v>20</v>
      </c>
      <c r="K379" s="122">
        <v>0</v>
      </c>
      <c r="L379" s="122">
        <v>0</v>
      </c>
      <c r="M379" s="122">
        <v>45</v>
      </c>
      <c r="N379" s="122">
        <v>60</v>
      </c>
      <c r="O379" s="122">
        <v>150</v>
      </c>
      <c r="P379" s="122">
        <v>25</v>
      </c>
      <c r="Q379" s="123"/>
      <c r="R379" s="122">
        <v>1</v>
      </c>
      <c r="S379" s="123"/>
      <c r="T379" s="122">
        <v>1</v>
      </c>
      <c r="U379" s="123"/>
      <c r="V379" s="122">
        <v>8858890782765</v>
      </c>
    </row>
    <row r="380" ht="15.75" customHeight="1" spans="1:22" x14ac:dyDescent="0.25">
      <c r="A380" s="122" t="s">
        <v>1605</v>
      </c>
      <c r="B380" s="122" t="s">
        <v>762</v>
      </c>
      <c r="C380" s="123"/>
      <c r="D380" s="122" t="s">
        <v>1606</v>
      </c>
      <c r="E380" s="122" t="s">
        <v>1607</v>
      </c>
      <c r="F380" s="122" t="s">
        <v>753</v>
      </c>
      <c r="G380" s="122" t="s">
        <v>771</v>
      </c>
      <c r="H380" s="122" t="s">
        <v>978</v>
      </c>
      <c r="I380" s="122" t="s">
        <v>733</v>
      </c>
      <c r="J380" s="122">
        <v>20</v>
      </c>
      <c r="K380" s="122">
        <v>0</v>
      </c>
      <c r="L380" s="122">
        <v>0</v>
      </c>
      <c r="M380" s="122">
        <v>45</v>
      </c>
      <c r="N380" s="122">
        <v>60</v>
      </c>
      <c r="O380" s="122">
        <v>150</v>
      </c>
      <c r="P380" s="122">
        <v>20</v>
      </c>
      <c r="Q380" s="123"/>
      <c r="R380" s="122">
        <v>1</v>
      </c>
      <c r="S380" s="123"/>
      <c r="T380" s="122">
        <v>1</v>
      </c>
      <c r="U380" s="123"/>
      <c r="V380" s="122">
        <v>8858890782764</v>
      </c>
    </row>
    <row r="381" ht="15.75" customHeight="1" spans="1:22" x14ac:dyDescent="0.25">
      <c r="A381" s="122" t="s">
        <v>1608</v>
      </c>
      <c r="B381" s="123"/>
      <c r="C381" s="123"/>
      <c r="D381" s="122" t="s">
        <v>1609</v>
      </c>
      <c r="E381" s="123"/>
      <c r="F381" s="122" t="s">
        <v>753</v>
      </c>
      <c r="G381" s="122" t="s">
        <v>771</v>
      </c>
      <c r="H381" s="122" t="s">
        <v>1251</v>
      </c>
      <c r="I381" s="122" t="s">
        <v>733</v>
      </c>
      <c r="J381" s="122">
        <v>25</v>
      </c>
      <c r="K381" s="122">
        <v>0</v>
      </c>
      <c r="L381" s="122">
        <v>40</v>
      </c>
      <c r="M381" s="122">
        <v>40</v>
      </c>
      <c r="N381" s="122">
        <v>50</v>
      </c>
      <c r="O381" s="122">
        <v>70</v>
      </c>
      <c r="P381" s="122">
        <v>33</v>
      </c>
      <c r="Q381" s="123"/>
      <c r="R381" s="122">
        <v>1</v>
      </c>
      <c r="S381" s="123"/>
      <c r="T381" s="122">
        <v>1</v>
      </c>
      <c r="U381" s="123"/>
      <c r="V381" s="123"/>
    </row>
    <row r="382" ht="15.75" customHeight="1" spans="1:22" x14ac:dyDescent="0.25">
      <c r="A382" s="122" t="s">
        <v>1610</v>
      </c>
      <c r="B382" s="123"/>
      <c r="C382" s="123"/>
      <c r="D382" s="122" t="s">
        <v>1611</v>
      </c>
      <c r="E382" s="123"/>
      <c r="F382" s="122" t="s">
        <v>742</v>
      </c>
      <c r="G382" s="122" t="s">
        <v>1495</v>
      </c>
      <c r="H382" s="122" t="s">
        <v>1612</v>
      </c>
      <c r="I382" s="122" t="s">
        <v>733</v>
      </c>
      <c r="J382" s="122">
        <v>150</v>
      </c>
      <c r="K382" s="122">
        <v>0</v>
      </c>
      <c r="L382" s="122">
        <v>0</v>
      </c>
      <c r="M382" s="122">
        <v>0</v>
      </c>
      <c r="N382" s="122">
        <v>300</v>
      </c>
      <c r="O382" s="122">
        <v>0</v>
      </c>
      <c r="P382" s="122">
        <v>10</v>
      </c>
      <c r="Q382" s="123"/>
      <c r="R382" s="122">
        <v>1</v>
      </c>
      <c r="S382" s="123"/>
      <c r="T382" s="123"/>
      <c r="U382" s="123"/>
      <c r="V382" s="123"/>
    </row>
    <row r="383" ht="15.75" customHeight="1" spans="1:22" x14ac:dyDescent="0.25">
      <c r="A383" s="122" t="s">
        <v>1613</v>
      </c>
      <c r="B383" s="123"/>
      <c r="C383" s="123"/>
      <c r="D383" s="122" t="s">
        <v>1614</v>
      </c>
      <c r="E383" s="123"/>
      <c r="F383" s="122" t="s">
        <v>742</v>
      </c>
      <c r="G383" s="122" t="s">
        <v>1495</v>
      </c>
      <c r="H383" s="122" t="s">
        <v>1582</v>
      </c>
      <c r="I383" s="122" t="s">
        <v>733</v>
      </c>
      <c r="J383" s="122">
        <v>50</v>
      </c>
      <c r="K383" s="122">
        <v>0</v>
      </c>
      <c r="L383" s="122">
        <v>0</v>
      </c>
      <c r="M383" s="122">
        <v>0</v>
      </c>
      <c r="N383" s="122">
        <v>150</v>
      </c>
      <c r="O383" s="122">
        <v>0</v>
      </c>
      <c r="P383" s="122">
        <v>10</v>
      </c>
      <c r="Q383" s="123"/>
      <c r="R383" s="122">
        <v>1</v>
      </c>
      <c r="S383" s="123"/>
      <c r="T383" s="123"/>
      <c r="U383" s="123"/>
      <c r="V383" s="123"/>
    </row>
    <row r="384" ht="15.75" customHeight="1" spans="1:22" x14ac:dyDescent="0.25">
      <c r="A384" s="122" t="s">
        <v>1615</v>
      </c>
      <c r="B384" s="123"/>
      <c r="C384" s="123"/>
      <c r="D384" s="122" t="s">
        <v>1616</v>
      </c>
      <c r="E384" s="123"/>
      <c r="F384" s="122" t="s">
        <v>742</v>
      </c>
      <c r="G384" s="122" t="s">
        <v>1495</v>
      </c>
      <c r="H384" s="122" t="s">
        <v>1595</v>
      </c>
      <c r="I384" s="122" t="s">
        <v>733</v>
      </c>
      <c r="J384" s="122">
        <v>180</v>
      </c>
      <c r="K384" s="122">
        <v>0</v>
      </c>
      <c r="L384" s="122">
        <v>0</v>
      </c>
      <c r="M384" s="122">
        <v>0</v>
      </c>
      <c r="N384" s="122">
        <v>300</v>
      </c>
      <c r="O384" s="122">
        <v>0</v>
      </c>
      <c r="P384" s="122">
        <v>5</v>
      </c>
      <c r="Q384" s="123"/>
      <c r="R384" s="122">
        <v>1</v>
      </c>
      <c r="S384" s="123"/>
      <c r="T384" s="123"/>
      <c r="U384" s="123"/>
      <c r="V384" s="122">
        <v>8858890797539</v>
      </c>
    </row>
    <row r="385" ht="15.75" customHeight="1" spans="1:22" x14ac:dyDescent="0.25">
      <c r="A385" s="122" t="s">
        <v>1617</v>
      </c>
      <c r="B385" s="123"/>
      <c r="C385" s="123"/>
      <c r="D385" s="122" t="s">
        <v>1618</v>
      </c>
      <c r="E385" s="123"/>
      <c r="F385" s="122" t="s">
        <v>742</v>
      </c>
      <c r="G385" s="122" t="s">
        <v>1495</v>
      </c>
      <c r="H385" s="122" t="s">
        <v>1496</v>
      </c>
      <c r="I385" s="122" t="s">
        <v>733</v>
      </c>
      <c r="J385" s="122">
        <v>120</v>
      </c>
      <c r="K385" s="122">
        <v>0</v>
      </c>
      <c r="L385" s="122">
        <v>0</v>
      </c>
      <c r="M385" s="122">
        <v>0</v>
      </c>
      <c r="N385" s="122">
        <v>200</v>
      </c>
      <c r="O385" s="122">
        <v>300</v>
      </c>
      <c r="P385" s="122">
        <v>19</v>
      </c>
      <c r="Q385" s="123"/>
      <c r="R385" s="122">
        <v>1</v>
      </c>
      <c r="S385" s="123"/>
      <c r="T385" s="123"/>
      <c r="U385" s="123"/>
      <c r="V385" s="123"/>
    </row>
    <row r="386" ht="15.75" customHeight="1" spans="1:22" x14ac:dyDescent="0.25">
      <c r="A386" s="122" t="s">
        <v>1619</v>
      </c>
      <c r="B386" s="123"/>
      <c r="C386" s="123"/>
      <c r="D386" s="122" t="s">
        <v>1620</v>
      </c>
      <c r="E386" s="123"/>
      <c r="F386" s="122" t="s">
        <v>742</v>
      </c>
      <c r="G386" s="122" t="s">
        <v>1495</v>
      </c>
      <c r="H386" s="122" t="s">
        <v>1595</v>
      </c>
      <c r="I386" s="122" t="s">
        <v>733</v>
      </c>
      <c r="J386" s="122">
        <v>120</v>
      </c>
      <c r="K386" s="122">
        <v>0</v>
      </c>
      <c r="L386" s="122">
        <v>0</v>
      </c>
      <c r="M386" s="122">
        <v>0</v>
      </c>
      <c r="N386" s="122">
        <v>200</v>
      </c>
      <c r="O386" s="122">
        <v>300</v>
      </c>
      <c r="P386" s="122">
        <v>9</v>
      </c>
      <c r="Q386" s="123"/>
      <c r="R386" s="122">
        <v>1</v>
      </c>
      <c r="S386" s="123"/>
      <c r="T386" s="123"/>
      <c r="U386" s="123"/>
      <c r="V386" s="122">
        <v>8858890797478</v>
      </c>
    </row>
    <row r="387" ht="15.75" customHeight="1" spans="1:22" x14ac:dyDescent="0.25">
      <c r="A387" s="122" t="s">
        <v>1621</v>
      </c>
      <c r="B387" s="123"/>
      <c r="C387" s="123"/>
      <c r="D387" s="122" t="s">
        <v>1622</v>
      </c>
      <c r="E387" s="123"/>
      <c r="F387" s="122" t="s">
        <v>742</v>
      </c>
      <c r="G387" s="122" t="s">
        <v>1495</v>
      </c>
      <c r="H387" s="122" t="s">
        <v>1595</v>
      </c>
      <c r="I387" s="122" t="s">
        <v>733</v>
      </c>
      <c r="J387" s="122">
        <v>180</v>
      </c>
      <c r="K387" s="122">
        <v>0</v>
      </c>
      <c r="L387" s="122">
        <v>0</v>
      </c>
      <c r="M387" s="122">
        <v>0</v>
      </c>
      <c r="N387" s="122">
        <v>300</v>
      </c>
      <c r="O387" s="122">
        <v>350</v>
      </c>
      <c r="P387" s="122">
        <v>2</v>
      </c>
      <c r="Q387" s="123"/>
      <c r="R387" s="122">
        <v>1</v>
      </c>
      <c r="S387" s="123"/>
      <c r="T387" s="123"/>
      <c r="U387" s="123"/>
      <c r="V387" s="122">
        <v>8858890797881</v>
      </c>
    </row>
    <row r="388" ht="15.75" customHeight="1" spans="1:22" x14ac:dyDescent="0.25">
      <c r="A388" s="122" t="s">
        <v>1623</v>
      </c>
      <c r="B388" s="123"/>
      <c r="C388" s="123"/>
      <c r="D388" s="122" t="s">
        <v>1624</v>
      </c>
      <c r="E388" s="123"/>
      <c r="F388" s="122" t="s">
        <v>742</v>
      </c>
      <c r="G388" s="122" t="s">
        <v>1495</v>
      </c>
      <c r="H388" s="122" t="s">
        <v>1496</v>
      </c>
      <c r="I388" s="122" t="s">
        <v>733</v>
      </c>
      <c r="J388" s="122">
        <v>120</v>
      </c>
      <c r="K388" s="122">
        <v>0</v>
      </c>
      <c r="L388" s="122">
        <v>0</v>
      </c>
      <c r="M388" s="122">
        <v>0</v>
      </c>
      <c r="N388" s="122">
        <v>200</v>
      </c>
      <c r="O388" s="122">
        <v>0</v>
      </c>
      <c r="P388" s="122">
        <v>3</v>
      </c>
      <c r="Q388" s="123"/>
      <c r="R388" s="122">
        <v>1</v>
      </c>
      <c r="S388" s="123"/>
      <c r="T388" s="123"/>
      <c r="U388" s="123"/>
      <c r="V388" s="122">
        <v>8858890797829</v>
      </c>
    </row>
    <row r="389" ht="15.75" customHeight="1" spans="1:22" x14ac:dyDescent="0.25">
      <c r="A389" s="122" t="s">
        <v>1625</v>
      </c>
      <c r="B389" s="123"/>
      <c r="C389" s="123"/>
      <c r="D389" s="122" t="s">
        <v>1626</v>
      </c>
      <c r="E389" s="123"/>
      <c r="F389" s="122" t="s">
        <v>742</v>
      </c>
      <c r="G389" s="122" t="s">
        <v>1488</v>
      </c>
      <c r="H389" s="122" t="s">
        <v>1489</v>
      </c>
      <c r="I389" s="122" t="s">
        <v>733</v>
      </c>
      <c r="J389" s="122">
        <v>0</v>
      </c>
      <c r="K389" s="122">
        <v>0</v>
      </c>
      <c r="L389" s="122">
        <v>0</v>
      </c>
      <c r="M389" s="122">
        <v>0</v>
      </c>
      <c r="N389" s="122">
        <v>0</v>
      </c>
      <c r="O389" s="122">
        <v>0</v>
      </c>
      <c r="P389" s="122">
        <v>0</v>
      </c>
      <c r="Q389" s="123"/>
      <c r="R389" s="122">
        <v>1</v>
      </c>
      <c r="S389" s="123"/>
      <c r="T389" s="123"/>
      <c r="U389" s="123"/>
      <c r="V389" s="123"/>
    </row>
    <row r="390" ht="15.75" customHeight="1" spans="1:22" x14ac:dyDescent="0.25">
      <c r="A390" s="122" t="s">
        <v>1627</v>
      </c>
      <c r="B390" s="123"/>
      <c r="C390" s="123"/>
      <c r="D390" s="122" t="s">
        <v>1628</v>
      </c>
      <c r="E390" s="123"/>
      <c r="F390" s="122" t="s">
        <v>753</v>
      </c>
      <c r="G390" s="122" t="s">
        <v>745</v>
      </c>
      <c r="H390" s="122" t="s">
        <v>1214</v>
      </c>
      <c r="I390" s="122" t="s">
        <v>733</v>
      </c>
      <c r="J390" s="122">
        <v>800</v>
      </c>
      <c r="K390" s="122">
        <v>0</v>
      </c>
      <c r="L390" s="122">
        <v>850</v>
      </c>
      <c r="M390" s="122">
        <v>0</v>
      </c>
      <c r="N390" s="122">
        <v>950</v>
      </c>
      <c r="O390" s="122">
        <v>1050</v>
      </c>
      <c r="P390" s="122">
        <v>1</v>
      </c>
      <c r="Q390" s="123"/>
      <c r="R390" s="122">
        <v>1</v>
      </c>
      <c r="S390" s="122">
        <v>1</v>
      </c>
      <c r="T390" s="122">
        <v>1</v>
      </c>
      <c r="U390" s="123"/>
      <c r="V390" s="122">
        <v>8858890728410</v>
      </c>
    </row>
    <row r="391" ht="15.75" customHeight="1" spans="1:22" x14ac:dyDescent="0.25">
      <c r="A391" s="122" t="s">
        <v>1629</v>
      </c>
      <c r="B391" s="123"/>
      <c r="C391" s="123"/>
      <c r="D391" s="122" t="s">
        <v>1630</v>
      </c>
      <c r="E391" s="123"/>
      <c r="F391" s="122" t="s">
        <v>742</v>
      </c>
      <c r="G391" s="122" t="s">
        <v>1495</v>
      </c>
      <c r="H391" s="122" t="s">
        <v>1496</v>
      </c>
      <c r="I391" s="122" t="s">
        <v>733</v>
      </c>
      <c r="J391" s="122">
        <v>120</v>
      </c>
      <c r="K391" s="122">
        <v>0</v>
      </c>
      <c r="L391" s="122">
        <v>0</v>
      </c>
      <c r="M391" s="122">
        <v>0</v>
      </c>
      <c r="N391" s="122">
        <v>200</v>
      </c>
      <c r="O391" s="122">
        <v>350</v>
      </c>
      <c r="P391" s="122">
        <v>1</v>
      </c>
      <c r="Q391" s="123"/>
      <c r="R391" s="122">
        <v>1</v>
      </c>
      <c r="S391" s="123"/>
      <c r="T391" s="123"/>
      <c r="U391" s="123"/>
      <c r="V391" s="122">
        <v>8858890797850</v>
      </c>
    </row>
    <row r="392" ht="15.75" customHeight="1" spans="1:22" x14ac:dyDescent="0.25">
      <c r="A392" s="122" t="s">
        <v>1631</v>
      </c>
      <c r="B392" s="123"/>
      <c r="C392" s="123"/>
      <c r="D392" s="122" t="s">
        <v>1632</v>
      </c>
      <c r="E392" s="123"/>
      <c r="F392" s="122" t="s">
        <v>742</v>
      </c>
      <c r="G392" s="122" t="s">
        <v>1495</v>
      </c>
      <c r="H392" s="122" t="s">
        <v>1579</v>
      </c>
      <c r="I392" s="122" t="s">
        <v>733</v>
      </c>
      <c r="J392" s="122">
        <v>50</v>
      </c>
      <c r="K392" s="122">
        <v>0</v>
      </c>
      <c r="L392" s="122">
        <v>0</v>
      </c>
      <c r="M392" s="122">
        <v>0</v>
      </c>
      <c r="N392" s="122">
        <v>150</v>
      </c>
      <c r="O392" s="122">
        <v>300</v>
      </c>
      <c r="P392" s="122">
        <v>9</v>
      </c>
      <c r="Q392" s="123"/>
      <c r="R392" s="122">
        <v>1</v>
      </c>
      <c r="S392" s="123"/>
      <c r="T392" s="123"/>
      <c r="U392" s="123"/>
      <c r="V392" s="123"/>
    </row>
    <row r="393" ht="15.75" customHeight="1" spans="1:22" x14ac:dyDescent="0.25">
      <c r="A393" s="122" t="s">
        <v>1633</v>
      </c>
      <c r="B393" s="123"/>
      <c r="C393" s="123"/>
      <c r="D393" s="122" t="s">
        <v>1634</v>
      </c>
      <c r="E393" s="123"/>
      <c r="F393" s="122" t="s">
        <v>742</v>
      </c>
      <c r="G393" s="122" t="s">
        <v>1495</v>
      </c>
      <c r="H393" s="122" t="s">
        <v>1500</v>
      </c>
      <c r="I393" s="122" t="s">
        <v>733</v>
      </c>
      <c r="J393" s="122">
        <v>10</v>
      </c>
      <c r="K393" s="122">
        <v>0</v>
      </c>
      <c r="L393" s="122">
        <v>0</v>
      </c>
      <c r="M393" s="122">
        <v>0</v>
      </c>
      <c r="N393" s="122">
        <v>50</v>
      </c>
      <c r="O393" s="122">
        <v>150</v>
      </c>
      <c r="P393" s="122">
        <v>0</v>
      </c>
      <c r="Q393" s="123"/>
      <c r="R393" s="122">
        <v>1</v>
      </c>
      <c r="S393" s="123"/>
      <c r="T393" s="123"/>
      <c r="U393" s="123"/>
      <c r="V393" s="122">
        <v>8858890797898</v>
      </c>
    </row>
    <row r="394" ht="15.75" customHeight="1" spans="1:22" x14ac:dyDescent="0.25">
      <c r="A394" s="122" t="s">
        <v>1635</v>
      </c>
      <c r="B394" s="123"/>
      <c r="C394" s="123"/>
      <c r="D394" s="122" t="s">
        <v>1636</v>
      </c>
      <c r="E394" s="123"/>
      <c r="F394" s="122" t="s">
        <v>742</v>
      </c>
      <c r="G394" s="122" t="s">
        <v>1495</v>
      </c>
      <c r="H394" s="122" t="s">
        <v>1582</v>
      </c>
      <c r="I394" s="122" t="s">
        <v>733</v>
      </c>
      <c r="J394" s="122">
        <v>120</v>
      </c>
      <c r="K394" s="122">
        <v>0</v>
      </c>
      <c r="L394" s="122">
        <v>0</v>
      </c>
      <c r="M394" s="122">
        <v>0</v>
      </c>
      <c r="N394" s="122">
        <v>200</v>
      </c>
      <c r="O394" s="122">
        <v>0</v>
      </c>
      <c r="P394" s="122">
        <v>0</v>
      </c>
      <c r="Q394" s="123"/>
      <c r="R394" s="122">
        <v>1</v>
      </c>
      <c r="S394" s="123"/>
      <c r="T394" s="123"/>
      <c r="U394" s="123"/>
      <c r="V394" s="122">
        <v>8858890797911</v>
      </c>
    </row>
    <row r="395" ht="15.75" customHeight="1" spans="1:22" x14ac:dyDescent="0.25">
      <c r="A395" s="122" t="s">
        <v>1637</v>
      </c>
      <c r="B395" s="123"/>
      <c r="C395" s="123"/>
      <c r="D395" s="122" t="s">
        <v>1638</v>
      </c>
      <c r="E395" s="123"/>
      <c r="F395" s="122" t="s">
        <v>779</v>
      </c>
      <c r="G395" s="122" t="s">
        <v>780</v>
      </c>
      <c r="H395" s="122" t="s">
        <v>781</v>
      </c>
      <c r="I395" s="122" t="s">
        <v>733</v>
      </c>
      <c r="J395" s="122">
        <v>350</v>
      </c>
      <c r="K395" s="122">
        <v>0</v>
      </c>
      <c r="L395" s="122">
        <v>0</v>
      </c>
      <c r="M395" s="122">
        <v>0</v>
      </c>
      <c r="N395" s="122">
        <v>450</v>
      </c>
      <c r="O395" s="122">
        <v>600</v>
      </c>
      <c r="P395" s="122">
        <v>0</v>
      </c>
      <c r="Q395" s="123"/>
      <c r="R395" s="122">
        <v>1</v>
      </c>
      <c r="S395" s="123"/>
      <c r="T395" s="122">
        <v>1</v>
      </c>
      <c r="U395" s="123"/>
      <c r="V395" s="122">
        <v>8858890716073</v>
      </c>
    </row>
    <row r="396" ht="15.75" customHeight="1" spans="1:22" x14ac:dyDescent="0.25">
      <c r="A396" s="122" t="s">
        <v>437</v>
      </c>
      <c r="B396" s="123"/>
      <c r="C396" s="123"/>
      <c r="D396" s="122" t="s">
        <v>1639</v>
      </c>
      <c r="E396" s="123"/>
      <c r="F396" s="122" t="s">
        <v>753</v>
      </c>
      <c r="G396" s="122" t="s">
        <v>754</v>
      </c>
      <c r="H396" s="122" t="s">
        <v>1112</v>
      </c>
      <c r="I396" s="122" t="s">
        <v>733</v>
      </c>
      <c r="J396" s="122">
        <v>99</v>
      </c>
      <c r="K396" s="122">
        <v>0</v>
      </c>
      <c r="L396" s="122">
        <v>0</v>
      </c>
      <c r="M396" s="122">
        <v>110</v>
      </c>
      <c r="N396" s="122">
        <v>150</v>
      </c>
      <c r="O396" s="122">
        <v>190</v>
      </c>
      <c r="P396" s="122">
        <v>21</v>
      </c>
      <c r="Q396" s="123"/>
      <c r="R396" s="122">
        <v>1</v>
      </c>
      <c r="S396" s="122">
        <v>1</v>
      </c>
      <c r="T396" s="122">
        <v>1</v>
      </c>
      <c r="U396" s="123"/>
      <c r="V396" s="122">
        <v>8858890794842</v>
      </c>
    </row>
    <row r="397" ht="15.75" customHeight="1" spans="1:22" x14ac:dyDescent="0.25">
      <c r="A397" s="122" t="s">
        <v>1640</v>
      </c>
      <c r="B397" s="123"/>
      <c r="C397" s="123"/>
      <c r="D397" s="122" t="s">
        <v>1641</v>
      </c>
      <c r="E397" s="123"/>
      <c r="F397" s="122" t="s">
        <v>779</v>
      </c>
      <c r="G397" s="122" t="s">
        <v>731</v>
      </c>
      <c r="H397" s="122" t="s">
        <v>732</v>
      </c>
      <c r="I397" s="122" t="s">
        <v>733</v>
      </c>
      <c r="J397" s="122">
        <v>35</v>
      </c>
      <c r="K397" s="122">
        <v>0</v>
      </c>
      <c r="L397" s="122">
        <v>0</v>
      </c>
      <c r="M397" s="122">
        <v>0</v>
      </c>
      <c r="N397" s="122">
        <v>60</v>
      </c>
      <c r="O397" s="122">
        <v>90</v>
      </c>
      <c r="P397" s="122">
        <v>0</v>
      </c>
      <c r="Q397" s="123"/>
      <c r="R397" s="122">
        <v>1</v>
      </c>
      <c r="S397" s="123"/>
      <c r="T397" s="123"/>
      <c r="U397" s="123"/>
      <c r="V397" s="123"/>
    </row>
    <row r="398" ht="15.75" customHeight="1" spans="1:22" x14ac:dyDescent="0.25">
      <c r="A398" s="122" t="s">
        <v>1642</v>
      </c>
      <c r="B398" s="123"/>
      <c r="C398" s="123"/>
      <c r="D398" s="122" t="s">
        <v>1643</v>
      </c>
      <c r="E398" s="123"/>
      <c r="F398" s="122" t="s">
        <v>753</v>
      </c>
      <c r="G398" s="122" t="s">
        <v>754</v>
      </c>
      <c r="H398" s="122" t="s">
        <v>1112</v>
      </c>
      <c r="I398" s="122" t="s">
        <v>733</v>
      </c>
      <c r="J398" s="122">
        <v>155</v>
      </c>
      <c r="K398" s="122">
        <v>0</v>
      </c>
      <c r="L398" s="122">
        <v>0</v>
      </c>
      <c r="M398" s="122">
        <v>220</v>
      </c>
      <c r="N398" s="122">
        <v>220</v>
      </c>
      <c r="O398" s="122">
        <v>300</v>
      </c>
      <c r="P398" s="122">
        <v>0</v>
      </c>
      <c r="Q398" s="123"/>
      <c r="R398" s="122">
        <v>1</v>
      </c>
      <c r="S398" s="123"/>
      <c r="T398" s="122">
        <v>1</v>
      </c>
      <c r="U398" s="123"/>
      <c r="V398" s="122">
        <v>8858890796655</v>
      </c>
    </row>
    <row r="399" ht="15.75" customHeight="1" spans="1:22" x14ac:dyDescent="0.25">
      <c r="A399" s="122" t="s">
        <v>1642</v>
      </c>
      <c r="B399" s="123"/>
      <c r="C399" s="122" t="s">
        <v>777</v>
      </c>
      <c r="D399" s="122" t="s">
        <v>1643</v>
      </c>
      <c r="E399" s="123"/>
      <c r="F399" s="122" t="s">
        <v>753</v>
      </c>
      <c r="G399" s="122" t="s">
        <v>754</v>
      </c>
      <c r="H399" s="122" t="s">
        <v>1112</v>
      </c>
      <c r="I399" s="122" t="s">
        <v>733</v>
      </c>
      <c r="J399" s="122">
        <v>155</v>
      </c>
      <c r="K399" s="122">
        <v>0</v>
      </c>
      <c r="L399" s="122">
        <v>0</v>
      </c>
      <c r="M399" s="122">
        <v>220</v>
      </c>
      <c r="N399" s="122">
        <v>220</v>
      </c>
      <c r="O399" s="122">
        <v>300</v>
      </c>
      <c r="P399" s="122">
        <v>2</v>
      </c>
      <c r="Q399" s="123"/>
      <c r="R399" s="122">
        <v>1</v>
      </c>
      <c r="S399" s="123"/>
      <c r="T399" s="122">
        <v>1</v>
      </c>
      <c r="U399" s="123"/>
      <c r="V399" s="122">
        <v>8858890796655</v>
      </c>
    </row>
    <row r="400" ht="15.75" customHeight="1" spans="1:22" x14ac:dyDescent="0.25">
      <c r="A400" s="122" t="s">
        <v>1642</v>
      </c>
      <c r="B400" s="123"/>
      <c r="C400" s="122" t="s">
        <v>1113</v>
      </c>
      <c r="D400" s="122" t="s">
        <v>1643</v>
      </c>
      <c r="E400" s="123"/>
      <c r="F400" s="122" t="s">
        <v>753</v>
      </c>
      <c r="G400" s="122" t="s">
        <v>754</v>
      </c>
      <c r="H400" s="122" t="s">
        <v>1112</v>
      </c>
      <c r="I400" s="122" t="s">
        <v>733</v>
      </c>
      <c r="J400" s="122">
        <v>155</v>
      </c>
      <c r="K400" s="122">
        <v>0</v>
      </c>
      <c r="L400" s="122">
        <v>0</v>
      </c>
      <c r="M400" s="122">
        <v>220</v>
      </c>
      <c r="N400" s="122">
        <v>220</v>
      </c>
      <c r="O400" s="122">
        <v>300</v>
      </c>
      <c r="P400" s="122">
        <v>7</v>
      </c>
      <c r="Q400" s="123"/>
      <c r="R400" s="122">
        <v>1</v>
      </c>
      <c r="S400" s="123"/>
      <c r="T400" s="122">
        <v>1</v>
      </c>
      <c r="U400" s="123"/>
      <c r="V400" s="122">
        <v>8858890796655</v>
      </c>
    </row>
    <row r="401" ht="15.75" customHeight="1" spans="1:22" x14ac:dyDescent="0.25">
      <c r="A401" s="122" t="s">
        <v>1642</v>
      </c>
      <c r="B401" s="123"/>
      <c r="C401" s="122" t="s">
        <v>884</v>
      </c>
      <c r="D401" s="122" t="s">
        <v>1643</v>
      </c>
      <c r="E401" s="123"/>
      <c r="F401" s="122" t="s">
        <v>753</v>
      </c>
      <c r="G401" s="122" t="s">
        <v>754</v>
      </c>
      <c r="H401" s="122" t="s">
        <v>1112</v>
      </c>
      <c r="I401" s="122" t="s">
        <v>733</v>
      </c>
      <c r="J401" s="122">
        <v>155</v>
      </c>
      <c r="K401" s="122">
        <v>0</v>
      </c>
      <c r="L401" s="122">
        <v>0</v>
      </c>
      <c r="M401" s="122">
        <v>220</v>
      </c>
      <c r="N401" s="122">
        <v>220</v>
      </c>
      <c r="O401" s="122">
        <v>300</v>
      </c>
      <c r="P401" s="122">
        <v>7</v>
      </c>
      <c r="Q401" s="123"/>
      <c r="R401" s="122">
        <v>1</v>
      </c>
      <c r="S401" s="123"/>
      <c r="T401" s="122">
        <v>1</v>
      </c>
      <c r="U401" s="123"/>
      <c r="V401" s="122">
        <v>8858890796655</v>
      </c>
    </row>
    <row r="402" ht="15.75" customHeight="1" spans="1:22" x14ac:dyDescent="0.25">
      <c r="A402" s="122" t="s">
        <v>1644</v>
      </c>
      <c r="B402" s="123"/>
      <c r="C402" s="123"/>
      <c r="D402" s="122" t="s">
        <v>1645</v>
      </c>
      <c r="E402" s="123"/>
      <c r="F402" s="122" t="s">
        <v>753</v>
      </c>
      <c r="G402" s="122" t="s">
        <v>765</v>
      </c>
      <c r="H402" s="122" t="s">
        <v>766</v>
      </c>
      <c r="I402" s="122" t="s">
        <v>733</v>
      </c>
      <c r="J402" s="122">
        <v>15</v>
      </c>
      <c r="K402" s="122">
        <v>0</v>
      </c>
      <c r="L402" s="122">
        <v>0</v>
      </c>
      <c r="M402" s="122">
        <v>0</v>
      </c>
      <c r="N402" s="122">
        <v>35</v>
      </c>
      <c r="O402" s="122">
        <v>0</v>
      </c>
      <c r="P402" s="122">
        <v>47</v>
      </c>
      <c r="Q402" s="123"/>
      <c r="R402" s="122">
        <v>1</v>
      </c>
      <c r="S402" s="123"/>
      <c r="T402" s="123"/>
      <c r="U402" s="123"/>
      <c r="V402" s="122">
        <v>8858890793821</v>
      </c>
    </row>
    <row r="403" ht="15.75" customHeight="1" spans="1:22" x14ac:dyDescent="0.25">
      <c r="A403" s="122" t="s">
        <v>1646</v>
      </c>
      <c r="B403" s="123"/>
      <c r="C403" s="123"/>
      <c r="D403" s="122" t="s">
        <v>1646</v>
      </c>
      <c r="E403" s="123"/>
      <c r="F403" s="122" t="s">
        <v>753</v>
      </c>
      <c r="G403" s="122" t="s">
        <v>765</v>
      </c>
      <c r="H403" s="122" t="s">
        <v>766</v>
      </c>
      <c r="I403" s="122" t="s">
        <v>733</v>
      </c>
      <c r="J403" s="122">
        <v>15</v>
      </c>
      <c r="K403" s="122">
        <v>0</v>
      </c>
      <c r="L403" s="122">
        <v>0</v>
      </c>
      <c r="M403" s="122">
        <v>0</v>
      </c>
      <c r="N403" s="122">
        <v>35</v>
      </c>
      <c r="O403" s="122">
        <v>0</v>
      </c>
      <c r="P403" s="122">
        <v>3</v>
      </c>
      <c r="Q403" s="123"/>
      <c r="R403" s="122">
        <v>1</v>
      </c>
      <c r="S403" s="123"/>
      <c r="T403" s="123"/>
      <c r="U403" s="123"/>
      <c r="V403" s="122">
        <v>8858890793807</v>
      </c>
    </row>
    <row r="404" ht="15.75" customHeight="1" spans="1:22" x14ac:dyDescent="0.25">
      <c r="A404" s="122" t="s">
        <v>1647</v>
      </c>
      <c r="B404" s="123"/>
      <c r="C404" s="123"/>
      <c r="D404" s="122" t="s">
        <v>1648</v>
      </c>
      <c r="E404" s="123"/>
      <c r="F404" s="122" t="s">
        <v>779</v>
      </c>
      <c r="G404" s="122" t="s">
        <v>754</v>
      </c>
      <c r="H404" s="122" t="s">
        <v>1649</v>
      </c>
      <c r="I404" s="122" t="s">
        <v>733</v>
      </c>
      <c r="J404" s="122">
        <v>1400</v>
      </c>
      <c r="K404" s="122">
        <v>0</v>
      </c>
      <c r="L404" s="122">
        <v>0</v>
      </c>
      <c r="M404" s="122">
        <v>0</v>
      </c>
      <c r="N404" s="122">
        <v>1699</v>
      </c>
      <c r="O404" s="122">
        <v>2150</v>
      </c>
      <c r="P404" s="122">
        <v>10</v>
      </c>
      <c r="Q404" s="123"/>
      <c r="R404" s="122">
        <v>1</v>
      </c>
      <c r="S404" s="123"/>
      <c r="T404" s="122">
        <v>1</v>
      </c>
      <c r="U404" s="123"/>
      <c r="V404" s="123"/>
    </row>
    <row r="405" ht="15.75" customHeight="1" spans="1:22" x14ac:dyDescent="0.25">
      <c r="A405" s="122" t="s">
        <v>1650</v>
      </c>
      <c r="B405" s="123"/>
      <c r="C405" s="123"/>
      <c r="D405" s="122" t="s">
        <v>1651</v>
      </c>
      <c r="E405" s="123"/>
      <c r="F405" s="122" t="s">
        <v>753</v>
      </c>
      <c r="G405" s="122" t="s">
        <v>754</v>
      </c>
      <c r="H405" s="122" t="s">
        <v>1649</v>
      </c>
      <c r="I405" s="122" t="s">
        <v>733</v>
      </c>
      <c r="J405" s="122">
        <v>935</v>
      </c>
      <c r="K405" s="122">
        <v>0</v>
      </c>
      <c r="L405" s="122">
        <v>0</v>
      </c>
      <c r="M405" s="122">
        <v>0</v>
      </c>
      <c r="N405" s="122">
        <v>1250</v>
      </c>
      <c r="O405" s="122">
        <v>1650</v>
      </c>
      <c r="P405" s="122">
        <v>0</v>
      </c>
      <c r="Q405" s="123"/>
      <c r="R405" s="122">
        <v>1</v>
      </c>
      <c r="S405" s="123"/>
      <c r="T405" s="122">
        <v>1</v>
      </c>
      <c r="U405" s="123"/>
      <c r="V405" s="122">
        <v>8858890793326</v>
      </c>
    </row>
    <row r="406" ht="15.75" customHeight="1" spans="1:22" x14ac:dyDescent="0.25">
      <c r="A406" s="122" t="s">
        <v>486</v>
      </c>
      <c r="B406" s="123"/>
      <c r="C406" s="123"/>
      <c r="D406" s="122" t="s">
        <v>1652</v>
      </c>
      <c r="E406" s="123"/>
      <c r="F406" s="122" t="s">
        <v>753</v>
      </c>
      <c r="G406" s="122" t="s">
        <v>754</v>
      </c>
      <c r="H406" s="122" t="s">
        <v>1649</v>
      </c>
      <c r="I406" s="122" t="s">
        <v>733</v>
      </c>
      <c r="J406" s="122">
        <v>1070</v>
      </c>
      <c r="K406" s="122">
        <v>0</v>
      </c>
      <c r="L406" s="122">
        <v>0</v>
      </c>
      <c r="M406" s="122">
        <v>0</v>
      </c>
      <c r="N406" s="122">
        <v>1450</v>
      </c>
      <c r="O406" s="122">
        <v>1750</v>
      </c>
      <c r="P406" s="122">
        <v>0</v>
      </c>
      <c r="Q406" s="123"/>
      <c r="R406" s="122">
        <v>1</v>
      </c>
      <c r="S406" s="123"/>
      <c r="T406" s="122">
        <v>1</v>
      </c>
      <c r="U406" s="123"/>
      <c r="V406" s="122">
        <v>8858890792077</v>
      </c>
    </row>
    <row r="407" ht="15.75" customHeight="1" spans="1:22" x14ac:dyDescent="0.25">
      <c r="A407" s="122" t="s">
        <v>485</v>
      </c>
      <c r="B407" s="123"/>
      <c r="C407" s="123"/>
      <c r="D407" s="122" t="s">
        <v>1653</v>
      </c>
      <c r="E407" s="122" t="s">
        <v>1654</v>
      </c>
      <c r="F407" s="122" t="s">
        <v>753</v>
      </c>
      <c r="G407" s="122" t="s">
        <v>754</v>
      </c>
      <c r="H407" s="122" t="s">
        <v>1649</v>
      </c>
      <c r="I407" s="122" t="s">
        <v>733</v>
      </c>
      <c r="J407" s="122">
        <v>500</v>
      </c>
      <c r="K407" s="122">
        <v>0</v>
      </c>
      <c r="L407" s="122">
        <v>0</v>
      </c>
      <c r="M407" s="122">
        <v>0</v>
      </c>
      <c r="N407" s="122">
        <v>750</v>
      </c>
      <c r="O407" s="122">
        <v>990</v>
      </c>
      <c r="P407" s="122">
        <v>6</v>
      </c>
      <c r="Q407" s="123"/>
      <c r="R407" s="122">
        <v>1</v>
      </c>
      <c r="S407" s="123"/>
      <c r="T407" s="122">
        <v>1</v>
      </c>
      <c r="U407" s="123"/>
      <c r="V407" s="122">
        <v>8858890792589</v>
      </c>
    </row>
    <row r="408" ht="15.75" customHeight="1" spans="1:22" x14ac:dyDescent="0.25">
      <c r="A408" s="122" t="s">
        <v>381</v>
      </c>
      <c r="B408" s="123"/>
      <c r="C408" s="123"/>
      <c r="D408" s="122" t="s">
        <v>1655</v>
      </c>
      <c r="E408" s="122" t="s">
        <v>1656</v>
      </c>
      <c r="F408" s="122" t="s">
        <v>753</v>
      </c>
      <c r="G408" s="122" t="s">
        <v>831</v>
      </c>
      <c r="H408" s="122" t="s">
        <v>832</v>
      </c>
      <c r="I408" s="122" t="s">
        <v>733</v>
      </c>
      <c r="J408" s="122">
        <v>160</v>
      </c>
      <c r="K408" s="122">
        <v>0</v>
      </c>
      <c r="L408" s="122">
        <v>0</v>
      </c>
      <c r="M408" s="122">
        <v>0</v>
      </c>
      <c r="N408" s="122">
        <v>130</v>
      </c>
      <c r="O408" s="122">
        <v>250</v>
      </c>
      <c r="P408" s="122">
        <v>2</v>
      </c>
      <c r="Q408" s="123"/>
      <c r="R408" s="122">
        <v>1</v>
      </c>
      <c r="S408" s="122">
        <v>1</v>
      </c>
      <c r="T408" s="122">
        <v>1</v>
      </c>
      <c r="U408" s="123"/>
      <c r="V408" s="122">
        <v>8858890726683</v>
      </c>
    </row>
    <row r="409" ht="15.75" customHeight="1" spans="1:22" x14ac:dyDescent="0.25">
      <c r="A409" s="122" t="s">
        <v>1657</v>
      </c>
      <c r="B409" s="123"/>
      <c r="C409" s="123"/>
      <c r="D409" s="122" t="s">
        <v>1658</v>
      </c>
      <c r="E409" s="122" t="s">
        <v>1656</v>
      </c>
      <c r="F409" s="122" t="s">
        <v>753</v>
      </c>
      <c r="G409" s="122" t="s">
        <v>831</v>
      </c>
      <c r="H409" s="122" t="s">
        <v>832</v>
      </c>
      <c r="I409" s="122" t="s">
        <v>733</v>
      </c>
      <c r="J409" s="122">
        <v>160</v>
      </c>
      <c r="K409" s="122">
        <v>0</v>
      </c>
      <c r="L409" s="122">
        <v>0</v>
      </c>
      <c r="M409" s="122">
        <v>0</v>
      </c>
      <c r="N409" s="122">
        <v>200</v>
      </c>
      <c r="O409" s="122">
        <v>250</v>
      </c>
      <c r="P409" s="122">
        <v>1</v>
      </c>
      <c r="Q409" s="123"/>
      <c r="R409" s="122">
        <v>1</v>
      </c>
      <c r="S409" s="122">
        <v>1</v>
      </c>
      <c r="T409" s="122">
        <v>1</v>
      </c>
      <c r="U409" s="123"/>
      <c r="V409" s="122">
        <v>8858890726676</v>
      </c>
    </row>
    <row r="410" ht="15.75" customHeight="1" spans="1:22" x14ac:dyDescent="0.25">
      <c r="A410" s="122" t="s">
        <v>383</v>
      </c>
      <c r="B410" s="123"/>
      <c r="C410" s="123"/>
      <c r="D410" s="122" t="s">
        <v>1659</v>
      </c>
      <c r="E410" s="122" t="s">
        <v>1656</v>
      </c>
      <c r="F410" s="122" t="s">
        <v>753</v>
      </c>
      <c r="G410" s="122" t="s">
        <v>831</v>
      </c>
      <c r="H410" s="122" t="s">
        <v>832</v>
      </c>
      <c r="I410" s="122" t="s">
        <v>733</v>
      </c>
      <c r="J410" s="122">
        <v>160</v>
      </c>
      <c r="K410" s="122">
        <v>0</v>
      </c>
      <c r="L410" s="122">
        <v>0</v>
      </c>
      <c r="M410" s="122">
        <v>0</v>
      </c>
      <c r="N410" s="122">
        <v>150</v>
      </c>
      <c r="O410" s="122">
        <v>250</v>
      </c>
      <c r="P410" s="122">
        <v>13</v>
      </c>
      <c r="Q410" s="123"/>
      <c r="R410" s="122">
        <v>1</v>
      </c>
      <c r="S410" s="122">
        <v>1</v>
      </c>
      <c r="T410" s="122">
        <v>1</v>
      </c>
      <c r="U410" s="123"/>
      <c r="V410" s="122">
        <v>885889076669</v>
      </c>
    </row>
    <row r="411" ht="15.75" customHeight="1" spans="1:22" x14ac:dyDescent="0.25">
      <c r="A411" s="122" t="s">
        <v>1660</v>
      </c>
      <c r="B411" s="123"/>
      <c r="C411" s="123"/>
      <c r="D411" s="122" t="s">
        <v>1661</v>
      </c>
      <c r="E411" s="123"/>
      <c r="F411" s="122" t="s">
        <v>742</v>
      </c>
      <c r="G411" s="122" t="s">
        <v>1495</v>
      </c>
      <c r="H411" s="122" t="s">
        <v>1579</v>
      </c>
      <c r="I411" s="122" t="s">
        <v>733</v>
      </c>
      <c r="J411" s="122">
        <v>50</v>
      </c>
      <c r="K411" s="122">
        <v>0</v>
      </c>
      <c r="L411" s="122">
        <v>0</v>
      </c>
      <c r="M411" s="122">
        <v>0</v>
      </c>
      <c r="N411" s="122">
        <v>150</v>
      </c>
      <c r="O411" s="122">
        <v>350</v>
      </c>
      <c r="P411" s="122">
        <v>0</v>
      </c>
      <c r="Q411" s="123"/>
      <c r="R411" s="122">
        <v>1</v>
      </c>
      <c r="S411" s="123"/>
      <c r="T411" s="123"/>
      <c r="U411" s="123"/>
      <c r="V411" s="123"/>
    </row>
    <row r="412" ht="15.75" customHeight="1" spans="1:22" x14ac:dyDescent="0.25">
      <c r="A412" s="122" t="s">
        <v>311</v>
      </c>
      <c r="B412" s="123"/>
      <c r="C412" s="123"/>
      <c r="D412" s="122" t="s">
        <v>1662</v>
      </c>
      <c r="E412" s="123"/>
      <c r="F412" s="122" t="s">
        <v>753</v>
      </c>
      <c r="G412" s="122" t="s">
        <v>745</v>
      </c>
      <c r="H412" s="122" t="s">
        <v>1214</v>
      </c>
      <c r="I412" s="122" t="s">
        <v>733</v>
      </c>
      <c r="J412" s="122">
        <v>864</v>
      </c>
      <c r="K412" s="122">
        <v>399</v>
      </c>
      <c r="L412" s="122">
        <v>0</v>
      </c>
      <c r="M412" s="122">
        <v>399</v>
      </c>
      <c r="N412" s="122">
        <v>990</v>
      </c>
      <c r="O412" s="122">
        <v>0</v>
      </c>
      <c r="P412" s="122">
        <v>75</v>
      </c>
      <c r="Q412" s="123"/>
      <c r="R412" s="122">
        <v>1</v>
      </c>
      <c r="S412" s="122">
        <v>1</v>
      </c>
      <c r="T412" s="122">
        <v>1</v>
      </c>
      <c r="U412" s="123"/>
      <c r="V412" s="122">
        <v>8858890721015</v>
      </c>
    </row>
    <row r="413" ht="15.75" customHeight="1" spans="1:22" x14ac:dyDescent="0.25">
      <c r="A413" s="122" t="s">
        <v>1663</v>
      </c>
      <c r="B413" s="123"/>
      <c r="C413" s="123"/>
      <c r="D413" s="122" t="s">
        <v>1664</v>
      </c>
      <c r="E413" s="123"/>
      <c r="F413" s="122" t="s">
        <v>742</v>
      </c>
      <c r="G413" s="122" t="s">
        <v>1495</v>
      </c>
      <c r="H413" s="122" t="s">
        <v>1665</v>
      </c>
      <c r="I413" s="122" t="s">
        <v>733</v>
      </c>
      <c r="J413" s="122">
        <v>0</v>
      </c>
      <c r="K413" s="122">
        <v>0</v>
      </c>
      <c r="L413" s="122">
        <v>0</v>
      </c>
      <c r="M413" s="122">
        <v>0</v>
      </c>
      <c r="N413" s="122">
        <v>0</v>
      </c>
      <c r="O413" s="122">
        <v>0</v>
      </c>
      <c r="P413" s="122">
        <v>2</v>
      </c>
      <c r="Q413" s="123"/>
      <c r="R413" s="122">
        <v>1</v>
      </c>
      <c r="S413" s="123"/>
      <c r="T413" s="123"/>
      <c r="U413" s="123"/>
      <c r="V413" s="123"/>
    </row>
    <row r="414" ht="15.75" customHeight="1" spans="1:22" x14ac:dyDescent="0.25">
      <c r="A414" s="122" t="s">
        <v>1666</v>
      </c>
      <c r="B414" s="123"/>
      <c r="C414" s="123"/>
      <c r="D414" s="122" t="s">
        <v>1667</v>
      </c>
      <c r="E414" s="123"/>
      <c r="F414" s="122" t="s">
        <v>742</v>
      </c>
      <c r="G414" s="122" t="s">
        <v>1495</v>
      </c>
      <c r="H414" s="122" t="s">
        <v>1665</v>
      </c>
      <c r="I414" s="122" t="s">
        <v>1221</v>
      </c>
      <c r="J414" s="122">
        <v>0</v>
      </c>
      <c r="K414" s="122">
        <v>0</v>
      </c>
      <c r="L414" s="122">
        <v>0</v>
      </c>
      <c r="M414" s="122">
        <v>0</v>
      </c>
      <c r="N414" s="122">
        <v>0</v>
      </c>
      <c r="O414" s="122">
        <v>0</v>
      </c>
      <c r="P414" s="122">
        <v>5</v>
      </c>
      <c r="Q414" s="123"/>
      <c r="R414" s="122">
        <v>1</v>
      </c>
      <c r="S414" s="123"/>
      <c r="T414" s="123"/>
      <c r="U414" s="123"/>
      <c r="V414" s="123"/>
    </row>
    <row r="415" ht="15.75" customHeight="1" spans="1:22" x14ac:dyDescent="0.25">
      <c r="A415" s="122" t="s">
        <v>1668</v>
      </c>
      <c r="B415" s="123"/>
      <c r="C415" s="123"/>
      <c r="D415" s="122" t="s">
        <v>1668</v>
      </c>
      <c r="E415" s="123"/>
      <c r="F415" s="122" t="s">
        <v>753</v>
      </c>
      <c r="G415" s="122" t="s">
        <v>765</v>
      </c>
      <c r="H415" s="122" t="s">
        <v>766</v>
      </c>
      <c r="I415" s="122" t="s">
        <v>733</v>
      </c>
      <c r="J415" s="122">
        <v>15</v>
      </c>
      <c r="K415" s="122">
        <v>0</v>
      </c>
      <c r="L415" s="122">
        <v>0</v>
      </c>
      <c r="M415" s="122">
        <v>0</v>
      </c>
      <c r="N415" s="122">
        <v>35</v>
      </c>
      <c r="O415" s="122">
        <v>0</v>
      </c>
      <c r="P415" s="122">
        <v>2</v>
      </c>
      <c r="Q415" s="123"/>
      <c r="R415" s="122">
        <v>1</v>
      </c>
      <c r="S415" s="123"/>
      <c r="T415" s="122">
        <v>1</v>
      </c>
      <c r="U415" s="123"/>
      <c r="V415" s="122">
        <v>8858890793814</v>
      </c>
    </row>
    <row r="416" ht="15.75" customHeight="1" spans="1:22" x14ac:dyDescent="0.25">
      <c r="A416" s="122" t="s">
        <v>1669</v>
      </c>
      <c r="B416" s="123"/>
      <c r="C416" s="123"/>
      <c r="D416" s="122" t="s">
        <v>1670</v>
      </c>
      <c r="E416" s="123"/>
      <c r="F416" s="122" t="s">
        <v>753</v>
      </c>
      <c r="G416" s="122" t="s">
        <v>754</v>
      </c>
      <c r="H416" s="122" t="s">
        <v>1671</v>
      </c>
      <c r="I416" s="122" t="s">
        <v>733</v>
      </c>
      <c r="J416" s="122">
        <v>10</v>
      </c>
      <c r="K416" s="122">
        <v>0</v>
      </c>
      <c r="L416" s="122">
        <v>30</v>
      </c>
      <c r="M416" s="122">
        <v>0</v>
      </c>
      <c r="N416" s="122">
        <v>50</v>
      </c>
      <c r="O416" s="122">
        <v>0</v>
      </c>
      <c r="P416" s="122">
        <v>0</v>
      </c>
      <c r="Q416" s="123"/>
      <c r="R416" s="122">
        <v>1</v>
      </c>
      <c r="S416" s="123"/>
      <c r="T416" s="123"/>
      <c r="U416" s="123"/>
      <c r="V416" s="123"/>
    </row>
    <row r="417" ht="15.75" customHeight="1" spans="1:22" x14ac:dyDescent="0.25">
      <c r="A417" s="122" t="s">
        <v>434</v>
      </c>
      <c r="B417" s="123"/>
      <c r="C417" s="123"/>
      <c r="D417" s="122" t="s">
        <v>1672</v>
      </c>
      <c r="E417" s="123"/>
      <c r="F417" s="122" t="s">
        <v>753</v>
      </c>
      <c r="G417" s="122" t="s">
        <v>754</v>
      </c>
      <c r="H417" s="122" t="s">
        <v>1112</v>
      </c>
      <c r="I417" s="122" t="s">
        <v>733</v>
      </c>
      <c r="J417" s="122">
        <v>37</v>
      </c>
      <c r="K417" s="122">
        <v>0</v>
      </c>
      <c r="L417" s="122">
        <v>55</v>
      </c>
      <c r="M417" s="122">
        <v>45</v>
      </c>
      <c r="N417" s="122">
        <v>60</v>
      </c>
      <c r="O417" s="122">
        <v>60</v>
      </c>
      <c r="P417" s="122">
        <v>22</v>
      </c>
      <c r="Q417" s="123"/>
      <c r="R417" s="122">
        <v>1</v>
      </c>
      <c r="S417" s="122">
        <v>1</v>
      </c>
      <c r="T417" s="122">
        <v>1</v>
      </c>
      <c r="U417" s="123"/>
      <c r="V417" s="122">
        <v>8858890796693</v>
      </c>
    </row>
    <row r="418" ht="15.75" customHeight="1" spans="1:22" x14ac:dyDescent="0.25">
      <c r="A418" s="122" t="s">
        <v>438</v>
      </c>
      <c r="B418" s="123"/>
      <c r="C418" s="123"/>
      <c r="D418" s="122" t="s">
        <v>1673</v>
      </c>
      <c r="E418" s="123"/>
      <c r="F418" s="122" t="s">
        <v>753</v>
      </c>
      <c r="G418" s="122" t="s">
        <v>754</v>
      </c>
      <c r="H418" s="122" t="s">
        <v>1112</v>
      </c>
      <c r="I418" s="122" t="s">
        <v>733</v>
      </c>
      <c r="J418" s="122">
        <v>45</v>
      </c>
      <c r="K418" s="122">
        <v>0</v>
      </c>
      <c r="L418" s="122">
        <v>55</v>
      </c>
      <c r="M418" s="122">
        <v>0</v>
      </c>
      <c r="N418" s="122">
        <v>70</v>
      </c>
      <c r="O418" s="122">
        <v>0</v>
      </c>
      <c r="P418" s="122">
        <v>9</v>
      </c>
      <c r="Q418" s="123"/>
      <c r="R418" s="122">
        <v>1</v>
      </c>
      <c r="S418" s="123"/>
      <c r="T418" s="122">
        <v>1</v>
      </c>
      <c r="U418" s="123"/>
      <c r="V418" s="123"/>
    </row>
    <row r="419" ht="15.75" customHeight="1" spans="1:22" x14ac:dyDescent="0.25">
      <c r="A419" s="122" t="s">
        <v>1674</v>
      </c>
      <c r="B419" s="123"/>
      <c r="C419" s="123"/>
      <c r="D419" s="122" t="s">
        <v>1675</v>
      </c>
      <c r="E419" s="123"/>
      <c r="F419" s="122" t="s">
        <v>753</v>
      </c>
      <c r="G419" s="122" t="s">
        <v>765</v>
      </c>
      <c r="H419" s="122" t="s">
        <v>766</v>
      </c>
      <c r="I419" s="122" t="s">
        <v>733</v>
      </c>
      <c r="J419" s="122">
        <v>15</v>
      </c>
      <c r="K419" s="122">
        <v>0</v>
      </c>
      <c r="L419" s="122">
        <v>0</v>
      </c>
      <c r="M419" s="122">
        <v>0</v>
      </c>
      <c r="N419" s="122">
        <v>35</v>
      </c>
      <c r="O419" s="122">
        <v>0</v>
      </c>
      <c r="P419" s="122">
        <v>12</v>
      </c>
      <c r="Q419" s="123"/>
      <c r="R419" s="122">
        <v>1</v>
      </c>
      <c r="S419" s="123"/>
      <c r="T419" s="122">
        <v>1</v>
      </c>
      <c r="U419" s="123"/>
      <c r="V419" s="122">
        <v>8858890793838</v>
      </c>
    </row>
    <row r="420" ht="15.75" customHeight="1" spans="1:22" x14ac:dyDescent="0.25">
      <c r="A420" s="122" t="s">
        <v>1676</v>
      </c>
      <c r="B420" s="122" t="s">
        <v>917</v>
      </c>
      <c r="C420" s="123"/>
      <c r="D420" s="122" t="s">
        <v>1677</v>
      </c>
      <c r="E420" s="123"/>
      <c r="F420" s="122" t="s">
        <v>753</v>
      </c>
      <c r="G420" s="122" t="s">
        <v>754</v>
      </c>
      <c r="H420" s="122" t="s">
        <v>1671</v>
      </c>
      <c r="I420" s="122" t="s">
        <v>733</v>
      </c>
      <c r="J420" s="122">
        <v>20.02</v>
      </c>
      <c r="K420" s="122">
        <v>0</v>
      </c>
      <c r="L420" s="122">
        <v>50</v>
      </c>
      <c r="M420" s="122">
        <v>40</v>
      </c>
      <c r="N420" s="122">
        <v>36</v>
      </c>
      <c r="O420" s="122">
        <v>97</v>
      </c>
      <c r="P420" s="122">
        <v>2</v>
      </c>
      <c r="Q420" s="123"/>
      <c r="R420" s="122">
        <v>1</v>
      </c>
      <c r="S420" s="122">
        <v>1</v>
      </c>
      <c r="T420" s="122">
        <v>1</v>
      </c>
      <c r="U420" s="123"/>
      <c r="V420" s="122">
        <v>8858890796938</v>
      </c>
    </row>
    <row r="421" ht="15.75" customHeight="1" spans="1:22" x14ac:dyDescent="0.25">
      <c r="A421" s="122" t="s">
        <v>1676</v>
      </c>
      <c r="B421" s="122" t="s">
        <v>1103</v>
      </c>
      <c r="C421" s="123"/>
      <c r="D421" s="122" t="s">
        <v>1677</v>
      </c>
      <c r="E421" s="123"/>
      <c r="F421" s="122" t="s">
        <v>753</v>
      </c>
      <c r="G421" s="122" t="s">
        <v>754</v>
      </c>
      <c r="H421" s="122" t="s">
        <v>1671</v>
      </c>
      <c r="I421" s="122" t="s">
        <v>733</v>
      </c>
      <c r="J421" s="122">
        <v>20.02</v>
      </c>
      <c r="K421" s="122">
        <v>0</v>
      </c>
      <c r="L421" s="122">
        <v>50</v>
      </c>
      <c r="M421" s="122">
        <v>40</v>
      </c>
      <c r="N421" s="122">
        <v>36</v>
      </c>
      <c r="O421" s="122">
        <v>97</v>
      </c>
      <c r="P421" s="122">
        <v>2</v>
      </c>
      <c r="Q421" s="123"/>
      <c r="R421" s="122">
        <v>1</v>
      </c>
      <c r="S421" s="122">
        <v>1</v>
      </c>
      <c r="T421" s="122">
        <v>1</v>
      </c>
      <c r="U421" s="123"/>
      <c r="V421" s="122">
        <v>8858890796945</v>
      </c>
    </row>
    <row r="422" ht="15.75" customHeight="1" spans="1:22" x14ac:dyDescent="0.25">
      <c r="A422" s="122" t="s">
        <v>1676</v>
      </c>
      <c r="B422" s="122" t="s">
        <v>873</v>
      </c>
      <c r="C422" s="123"/>
      <c r="D422" s="122" t="s">
        <v>1677</v>
      </c>
      <c r="E422" s="123"/>
      <c r="F422" s="122" t="s">
        <v>753</v>
      </c>
      <c r="G422" s="122" t="s">
        <v>754</v>
      </c>
      <c r="H422" s="122" t="s">
        <v>1671</v>
      </c>
      <c r="I422" s="122" t="s">
        <v>733</v>
      </c>
      <c r="J422" s="122">
        <v>20.02</v>
      </c>
      <c r="K422" s="122">
        <v>0</v>
      </c>
      <c r="L422" s="122">
        <v>50</v>
      </c>
      <c r="M422" s="122">
        <v>40</v>
      </c>
      <c r="N422" s="122">
        <v>36</v>
      </c>
      <c r="O422" s="122">
        <v>97</v>
      </c>
      <c r="P422" s="122">
        <v>1</v>
      </c>
      <c r="Q422" s="123"/>
      <c r="R422" s="122">
        <v>1</v>
      </c>
      <c r="S422" s="122">
        <v>1</v>
      </c>
      <c r="T422" s="122">
        <v>1</v>
      </c>
      <c r="U422" s="123"/>
      <c r="V422" s="122">
        <v>8858890796952</v>
      </c>
    </row>
    <row r="423" ht="15.75" customHeight="1" spans="1:22" x14ac:dyDescent="0.25">
      <c r="A423" s="122" t="s">
        <v>1676</v>
      </c>
      <c r="B423" s="122" t="s">
        <v>971</v>
      </c>
      <c r="C423" s="123"/>
      <c r="D423" s="122" t="s">
        <v>1677</v>
      </c>
      <c r="E423" s="123"/>
      <c r="F423" s="122" t="s">
        <v>753</v>
      </c>
      <c r="G423" s="122" t="s">
        <v>754</v>
      </c>
      <c r="H423" s="122" t="s">
        <v>1671</v>
      </c>
      <c r="I423" s="122" t="s">
        <v>733</v>
      </c>
      <c r="J423" s="122">
        <v>20.02</v>
      </c>
      <c r="K423" s="122">
        <v>0</v>
      </c>
      <c r="L423" s="122">
        <v>50</v>
      </c>
      <c r="M423" s="122">
        <v>40</v>
      </c>
      <c r="N423" s="122">
        <v>36</v>
      </c>
      <c r="O423" s="122">
        <v>97</v>
      </c>
      <c r="P423" s="122">
        <v>2</v>
      </c>
      <c r="Q423" s="123"/>
      <c r="R423" s="122">
        <v>1</v>
      </c>
      <c r="S423" s="122">
        <v>1</v>
      </c>
      <c r="T423" s="122">
        <v>1</v>
      </c>
      <c r="U423" s="123"/>
      <c r="V423" s="122">
        <v>8858890796969</v>
      </c>
    </row>
    <row r="424" ht="15.75" customHeight="1" spans="1:22" x14ac:dyDescent="0.25">
      <c r="A424" s="122" t="s">
        <v>1676</v>
      </c>
      <c r="B424" s="122" t="s">
        <v>971</v>
      </c>
      <c r="C424" s="122" t="s">
        <v>884</v>
      </c>
      <c r="D424" s="122" t="s">
        <v>1677</v>
      </c>
      <c r="E424" s="123"/>
      <c r="F424" s="122" t="s">
        <v>753</v>
      </c>
      <c r="G424" s="122" t="s">
        <v>754</v>
      </c>
      <c r="H424" s="122" t="s">
        <v>1671</v>
      </c>
      <c r="I424" s="122" t="s">
        <v>733</v>
      </c>
      <c r="J424" s="122">
        <v>20.02</v>
      </c>
      <c r="K424" s="122">
        <v>0</v>
      </c>
      <c r="L424" s="122">
        <v>50</v>
      </c>
      <c r="M424" s="122">
        <v>40</v>
      </c>
      <c r="N424" s="122">
        <v>36</v>
      </c>
      <c r="O424" s="122">
        <v>97</v>
      </c>
      <c r="P424" s="122">
        <v>1</v>
      </c>
      <c r="Q424" s="123"/>
      <c r="R424" s="122">
        <v>1</v>
      </c>
      <c r="S424" s="122">
        <v>1</v>
      </c>
      <c r="T424" s="122">
        <v>1</v>
      </c>
      <c r="U424" s="123"/>
      <c r="V424" s="122">
        <v>8858890796969</v>
      </c>
    </row>
    <row r="425" ht="15.75" customHeight="1" spans="1:22" x14ac:dyDescent="0.25">
      <c r="A425" s="122" t="s">
        <v>1676</v>
      </c>
      <c r="B425" s="122" t="s">
        <v>921</v>
      </c>
      <c r="C425" s="123"/>
      <c r="D425" s="122" t="s">
        <v>1677</v>
      </c>
      <c r="E425" s="123"/>
      <c r="F425" s="122" t="s">
        <v>753</v>
      </c>
      <c r="G425" s="122" t="s">
        <v>754</v>
      </c>
      <c r="H425" s="122" t="s">
        <v>1671</v>
      </c>
      <c r="I425" s="122" t="s">
        <v>733</v>
      </c>
      <c r="J425" s="122">
        <v>20.02</v>
      </c>
      <c r="K425" s="122">
        <v>0</v>
      </c>
      <c r="L425" s="122">
        <v>50</v>
      </c>
      <c r="M425" s="122">
        <v>40</v>
      </c>
      <c r="N425" s="122">
        <v>36</v>
      </c>
      <c r="O425" s="122">
        <v>97</v>
      </c>
      <c r="P425" s="122">
        <v>2</v>
      </c>
      <c r="Q425" s="123"/>
      <c r="R425" s="122">
        <v>1</v>
      </c>
      <c r="S425" s="122">
        <v>1</v>
      </c>
      <c r="T425" s="122">
        <v>1</v>
      </c>
      <c r="U425" s="123"/>
      <c r="V425" s="122">
        <v>8858890796983</v>
      </c>
    </row>
    <row r="426" ht="15.75" customHeight="1" spans="1:22" x14ac:dyDescent="0.25">
      <c r="A426" s="122" t="s">
        <v>1676</v>
      </c>
      <c r="B426" s="122" t="s">
        <v>762</v>
      </c>
      <c r="C426" s="123"/>
      <c r="D426" s="122" t="s">
        <v>1677</v>
      </c>
      <c r="E426" s="123"/>
      <c r="F426" s="122" t="s">
        <v>753</v>
      </c>
      <c r="G426" s="122" t="s">
        <v>754</v>
      </c>
      <c r="H426" s="122" t="s">
        <v>1671</v>
      </c>
      <c r="I426" s="122" t="s">
        <v>733</v>
      </c>
      <c r="J426" s="122">
        <v>20.02</v>
      </c>
      <c r="K426" s="122">
        <v>0</v>
      </c>
      <c r="L426" s="122">
        <v>50</v>
      </c>
      <c r="M426" s="122">
        <v>40</v>
      </c>
      <c r="N426" s="122">
        <v>36</v>
      </c>
      <c r="O426" s="122">
        <v>97</v>
      </c>
      <c r="P426" s="122">
        <v>2</v>
      </c>
      <c r="Q426" s="123"/>
      <c r="R426" s="122">
        <v>1</v>
      </c>
      <c r="S426" s="122">
        <v>1</v>
      </c>
      <c r="T426" s="122">
        <v>1</v>
      </c>
      <c r="U426" s="123"/>
      <c r="V426" s="122">
        <v>8858890796990</v>
      </c>
    </row>
    <row r="427" ht="15.75" customHeight="1" spans="1:22" x14ac:dyDescent="0.25">
      <c r="A427" s="122" t="s">
        <v>1676</v>
      </c>
      <c r="B427" s="122" t="s">
        <v>767</v>
      </c>
      <c r="C427" s="123"/>
      <c r="D427" s="122" t="s">
        <v>1677</v>
      </c>
      <c r="E427" s="123"/>
      <c r="F427" s="122" t="s">
        <v>753</v>
      </c>
      <c r="G427" s="122" t="s">
        <v>754</v>
      </c>
      <c r="H427" s="122" t="s">
        <v>1671</v>
      </c>
      <c r="I427" s="122" t="s">
        <v>733</v>
      </c>
      <c r="J427" s="122">
        <v>20.02</v>
      </c>
      <c r="K427" s="122">
        <v>0</v>
      </c>
      <c r="L427" s="122">
        <v>50</v>
      </c>
      <c r="M427" s="122">
        <v>40</v>
      </c>
      <c r="N427" s="122">
        <v>36</v>
      </c>
      <c r="O427" s="122">
        <v>97</v>
      </c>
      <c r="P427" s="122">
        <v>2</v>
      </c>
      <c r="Q427" s="123"/>
      <c r="R427" s="122">
        <v>1</v>
      </c>
      <c r="S427" s="122">
        <v>1</v>
      </c>
      <c r="T427" s="122">
        <v>1</v>
      </c>
      <c r="U427" s="123"/>
      <c r="V427" s="122">
        <v>8858890796976</v>
      </c>
    </row>
    <row r="428" ht="15.75" customHeight="1" spans="1:22" x14ac:dyDescent="0.25">
      <c r="A428" s="122" t="s">
        <v>568</v>
      </c>
      <c r="B428" s="122" t="s">
        <v>917</v>
      </c>
      <c r="C428" s="123"/>
      <c r="D428" s="122" t="s">
        <v>1678</v>
      </c>
      <c r="E428" s="122" t="s">
        <v>1679</v>
      </c>
      <c r="F428" s="122" t="s">
        <v>753</v>
      </c>
      <c r="G428" s="122" t="s">
        <v>771</v>
      </c>
      <c r="H428" s="122" t="s">
        <v>978</v>
      </c>
      <c r="I428" s="122" t="s">
        <v>733</v>
      </c>
      <c r="J428" s="122">
        <v>36</v>
      </c>
      <c r="K428" s="122">
        <v>0</v>
      </c>
      <c r="L428" s="122">
        <v>50</v>
      </c>
      <c r="M428" s="122">
        <v>45</v>
      </c>
      <c r="N428" s="122">
        <v>65</v>
      </c>
      <c r="O428" s="122">
        <v>85</v>
      </c>
      <c r="P428" s="122">
        <v>0</v>
      </c>
      <c r="Q428" s="123"/>
      <c r="R428" s="122">
        <v>1</v>
      </c>
      <c r="S428" s="122">
        <v>1</v>
      </c>
      <c r="T428" s="122">
        <v>1</v>
      </c>
      <c r="U428" s="123"/>
      <c r="V428" s="122">
        <v>8858890780036</v>
      </c>
    </row>
    <row r="429" ht="15.75" customHeight="1" spans="1:22" x14ac:dyDescent="0.25">
      <c r="A429" s="122" t="s">
        <v>1680</v>
      </c>
      <c r="B429" s="122" t="s">
        <v>762</v>
      </c>
      <c r="C429" s="123"/>
      <c r="D429" s="122" t="s">
        <v>1681</v>
      </c>
      <c r="E429" s="123"/>
      <c r="F429" s="122" t="s">
        <v>753</v>
      </c>
      <c r="G429" s="122" t="s">
        <v>771</v>
      </c>
      <c r="H429" s="122" t="s">
        <v>978</v>
      </c>
      <c r="I429" s="122" t="s">
        <v>733</v>
      </c>
      <c r="J429" s="122">
        <v>50</v>
      </c>
      <c r="K429" s="122">
        <v>0</v>
      </c>
      <c r="L429" s="122">
        <v>75</v>
      </c>
      <c r="M429" s="122">
        <v>0</v>
      </c>
      <c r="N429" s="122">
        <v>99</v>
      </c>
      <c r="O429" s="122">
        <v>130</v>
      </c>
      <c r="P429" s="122">
        <v>19</v>
      </c>
      <c r="Q429" s="123"/>
      <c r="R429" s="123"/>
      <c r="S429" s="123"/>
      <c r="T429" s="123"/>
      <c r="U429" s="123"/>
      <c r="V429" s="122">
        <v>8858890782788</v>
      </c>
    </row>
    <row r="430" ht="15.75" customHeight="1" spans="1:22" x14ac:dyDescent="0.25">
      <c r="A430" s="122" t="s">
        <v>1682</v>
      </c>
      <c r="B430" s="122" t="s">
        <v>913</v>
      </c>
      <c r="C430" s="123"/>
      <c r="D430" s="122" t="s">
        <v>1683</v>
      </c>
      <c r="E430" s="123"/>
      <c r="F430" s="122" t="s">
        <v>753</v>
      </c>
      <c r="G430" s="122" t="s">
        <v>771</v>
      </c>
      <c r="H430" s="122" t="s">
        <v>978</v>
      </c>
      <c r="I430" s="122" t="s">
        <v>733</v>
      </c>
      <c r="J430" s="122">
        <v>50</v>
      </c>
      <c r="K430" s="122">
        <v>0</v>
      </c>
      <c r="L430" s="122">
        <v>75</v>
      </c>
      <c r="M430" s="122">
        <v>0</v>
      </c>
      <c r="N430" s="122">
        <v>99</v>
      </c>
      <c r="O430" s="122">
        <v>130</v>
      </c>
      <c r="P430" s="122">
        <v>26</v>
      </c>
      <c r="Q430" s="123"/>
      <c r="R430" s="123"/>
      <c r="S430" s="123"/>
      <c r="T430" s="123"/>
      <c r="U430" s="123"/>
      <c r="V430" s="122">
        <v>8858890782795</v>
      </c>
    </row>
    <row r="431" ht="15.75" customHeight="1" spans="1:22" x14ac:dyDescent="0.25">
      <c r="A431" s="122" t="s">
        <v>1684</v>
      </c>
      <c r="B431" s="123"/>
      <c r="C431" s="123"/>
      <c r="D431" s="122" t="s">
        <v>1685</v>
      </c>
      <c r="E431" s="123"/>
      <c r="F431" s="122" t="s">
        <v>779</v>
      </c>
      <c r="G431" s="122" t="s">
        <v>780</v>
      </c>
      <c r="H431" s="122" t="s">
        <v>1192</v>
      </c>
      <c r="I431" s="122" t="s">
        <v>733</v>
      </c>
      <c r="J431" s="122">
        <v>140</v>
      </c>
      <c r="K431" s="122">
        <v>99</v>
      </c>
      <c r="L431" s="122">
        <v>0</v>
      </c>
      <c r="M431" s="122">
        <v>120</v>
      </c>
      <c r="N431" s="122">
        <v>120</v>
      </c>
      <c r="O431" s="122">
        <v>250</v>
      </c>
      <c r="P431" s="122">
        <v>81</v>
      </c>
      <c r="Q431" s="123"/>
      <c r="R431" s="122">
        <v>1</v>
      </c>
      <c r="S431" s="123"/>
      <c r="T431" s="122">
        <v>1</v>
      </c>
      <c r="U431" s="123"/>
      <c r="V431" s="122">
        <v>8858890711030</v>
      </c>
    </row>
    <row r="432" ht="15.75" customHeight="1" spans="1:22" x14ac:dyDescent="0.25">
      <c r="A432" s="122" t="s">
        <v>1686</v>
      </c>
      <c r="B432" s="123"/>
      <c r="C432" s="123"/>
      <c r="D432" s="122" t="s">
        <v>1687</v>
      </c>
      <c r="E432" s="123"/>
      <c r="F432" s="122" t="s">
        <v>779</v>
      </c>
      <c r="G432" s="122" t="s">
        <v>780</v>
      </c>
      <c r="H432" s="122" t="s">
        <v>1192</v>
      </c>
      <c r="I432" s="122" t="s">
        <v>733</v>
      </c>
      <c r="J432" s="122">
        <v>140</v>
      </c>
      <c r="K432" s="122">
        <v>99</v>
      </c>
      <c r="L432" s="122">
        <v>0</v>
      </c>
      <c r="M432" s="122">
        <v>120</v>
      </c>
      <c r="N432" s="122">
        <v>120</v>
      </c>
      <c r="O432" s="122">
        <v>250</v>
      </c>
      <c r="P432" s="122">
        <v>79</v>
      </c>
      <c r="Q432" s="123"/>
      <c r="R432" s="122">
        <v>1</v>
      </c>
      <c r="S432" s="123"/>
      <c r="T432" s="122">
        <v>1</v>
      </c>
      <c r="U432" s="123"/>
      <c r="V432" s="122">
        <v>8858890711030</v>
      </c>
    </row>
    <row r="433" ht="15.75" customHeight="1" spans="1:22" x14ac:dyDescent="0.25">
      <c r="A433" s="122" t="s">
        <v>295</v>
      </c>
      <c r="B433" s="123"/>
      <c r="C433" s="123"/>
      <c r="D433" s="122" t="s">
        <v>1688</v>
      </c>
      <c r="E433" s="123"/>
      <c r="F433" s="122" t="s">
        <v>779</v>
      </c>
      <c r="G433" s="122" t="s">
        <v>831</v>
      </c>
      <c r="H433" s="122" t="s">
        <v>832</v>
      </c>
      <c r="I433" s="122" t="s">
        <v>733</v>
      </c>
      <c r="J433" s="122">
        <v>70</v>
      </c>
      <c r="K433" s="122">
        <v>80</v>
      </c>
      <c r="L433" s="122">
        <v>85</v>
      </c>
      <c r="M433" s="122">
        <v>80</v>
      </c>
      <c r="N433" s="122">
        <v>100</v>
      </c>
      <c r="O433" s="122">
        <v>130</v>
      </c>
      <c r="P433" s="122">
        <v>30</v>
      </c>
      <c r="Q433" s="123"/>
      <c r="R433" s="122">
        <v>1</v>
      </c>
      <c r="S433" s="122">
        <v>1</v>
      </c>
      <c r="T433" s="122">
        <v>1</v>
      </c>
      <c r="U433" s="123"/>
      <c r="V433" s="122">
        <v>8858890790370</v>
      </c>
    </row>
    <row r="434" ht="15.75" customHeight="1" spans="1:22" x14ac:dyDescent="0.25">
      <c r="A434" s="122" t="s">
        <v>1689</v>
      </c>
      <c r="B434" s="122" t="s">
        <v>917</v>
      </c>
      <c r="C434" s="123"/>
      <c r="D434" s="122" t="s">
        <v>1690</v>
      </c>
      <c r="E434" s="123"/>
      <c r="F434" s="122" t="s">
        <v>742</v>
      </c>
      <c r="G434" s="122" t="s">
        <v>771</v>
      </c>
      <c r="H434" s="122" t="s">
        <v>978</v>
      </c>
      <c r="I434" s="122" t="s">
        <v>733</v>
      </c>
      <c r="J434" s="122">
        <v>27.5</v>
      </c>
      <c r="K434" s="122">
        <v>0</v>
      </c>
      <c r="L434" s="122">
        <v>0</v>
      </c>
      <c r="M434" s="122">
        <v>0</v>
      </c>
      <c r="N434" s="122">
        <v>65</v>
      </c>
      <c r="O434" s="122">
        <v>85</v>
      </c>
      <c r="P434" s="122">
        <v>44</v>
      </c>
      <c r="Q434" s="123"/>
      <c r="R434" s="122">
        <v>1</v>
      </c>
      <c r="S434" s="122">
        <v>1</v>
      </c>
      <c r="T434" s="122">
        <v>1</v>
      </c>
      <c r="U434" s="123"/>
      <c r="V434" s="122">
        <v>8858890782283</v>
      </c>
    </row>
    <row r="435" ht="15.75" customHeight="1" spans="1:22" x14ac:dyDescent="0.25">
      <c r="A435" s="122" t="s">
        <v>1689</v>
      </c>
      <c r="B435" s="122" t="s">
        <v>1103</v>
      </c>
      <c r="C435" s="123"/>
      <c r="D435" s="122" t="s">
        <v>1690</v>
      </c>
      <c r="E435" s="123"/>
      <c r="F435" s="122" t="s">
        <v>742</v>
      </c>
      <c r="G435" s="122" t="s">
        <v>771</v>
      </c>
      <c r="H435" s="122" t="s">
        <v>978</v>
      </c>
      <c r="I435" s="122" t="s">
        <v>733</v>
      </c>
      <c r="J435" s="122">
        <v>27.5</v>
      </c>
      <c r="K435" s="122">
        <v>0</v>
      </c>
      <c r="L435" s="122">
        <v>0</v>
      </c>
      <c r="M435" s="122">
        <v>0</v>
      </c>
      <c r="N435" s="122">
        <v>65</v>
      </c>
      <c r="O435" s="122">
        <v>85</v>
      </c>
      <c r="P435" s="122">
        <v>97</v>
      </c>
      <c r="Q435" s="123"/>
      <c r="R435" s="122">
        <v>1</v>
      </c>
      <c r="S435" s="122">
        <v>1</v>
      </c>
      <c r="T435" s="122">
        <v>1</v>
      </c>
      <c r="U435" s="123"/>
      <c r="V435" s="122">
        <v>8858890782276</v>
      </c>
    </row>
    <row r="436" ht="15.75" customHeight="1" spans="1:22" x14ac:dyDescent="0.25">
      <c r="A436" s="122" t="s">
        <v>1689</v>
      </c>
      <c r="B436" s="122" t="s">
        <v>873</v>
      </c>
      <c r="C436" s="123"/>
      <c r="D436" s="122" t="s">
        <v>1690</v>
      </c>
      <c r="E436" s="123"/>
      <c r="F436" s="122" t="s">
        <v>742</v>
      </c>
      <c r="G436" s="122" t="s">
        <v>771</v>
      </c>
      <c r="H436" s="122" t="s">
        <v>978</v>
      </c>
      <c r="I436" s="122" t="s">
        <v>733</v>
      </c>
      <c r="J436" s="122">
        <v>27.5</v>
      </c>
      <c r="K436" s="122">
        <v>0</v>
      </c>
      <c r="L436" s="122">
        <v>0</v>
      </c>
      <c r="M436" s="122">
        <v>0</v>
      </c>
      <c r="N436" s="122">
        <v>65</v>
      </c>
      <c r="O436" s="122">
        <v>85</v>
      </c>
      <c r="P436" s="122">
        <v>46</v>
      </c>
      <c r="Q436" s="123"/>
      <c r="R436" s="122">
        <v>1</v>
      </c>
      <c r="S436" s="122">
        <v>1</v>
      </c>
      <c r="T436" s="122">
        <v>1</v>
      </c>
      <c r="U436" s="123"/>
      <c r="V436" s="122">
        <v>8858890782290</v>
      </c>
    </row>
    <row r="437" ht="15.75" customHeight="1" spans="1:22" x14ac:dyDescent="0.25">
      <c r="A437" s="122" t="s">
        <v>1689</v>
      </c>
      <c r="B437" s="122" t="s">
        <v>971</v>
      </c>
      <c r="C437" s="123"/>
      <c r="D437" s="122" t="s">
        <v>1690</v>
      </c>
      <c r="E437" s="123"/>
      <c r="F437" s="122" t="s">
        <v>742</v>
      </c>
      <c r="G437" s="122" t="s">
        <v>771</v>
      </c>
      <c r="H437" s="122" t="s">
        <v>978</v>
      </c>
      <c r="I437" s="122" t="s">
        <v>733</v>
      </c>
      <c r="J437" s="122">
        <v>27.5</v>
      </c>
      <c r="K437" s="122">
        <v>0</v>
      </c>
      <c r="L437" s="122">
        <v>0</v>
      </c>
      <c r="M437" s="122">
        <v>0</v>
      </c>
      <c r="N437" s="122">
        <v>65</v>
      </c>
      <c r="O437" s="122">
        <v>85</v>
      </c>
      <c r="P437" s="122">
        <v>10</v>
      </c>
      <c r="Q437" s="123"/>
      <c r="R437" s="122">
        <v>1</v>
      </c>
      <c r="S437" s="122">
        <v>1</v>
      </c>
      <c r="T437" s="122">
        <v>1</v>
      </c>
      <c r="U437" s="123"/>
      <c r="V437" s="122">
        <v>8858890782252</v>
      </c>
    </row>
    <row r="438" ht="15.75" customHeight="1" spans="1:22" x14ac:dyDescent="0.25">
      <c r="A438" s="122" t="s">
        <v>1689</v>
      </c>
      <c r="B438" s="122" t="s">
        <v>909</v>
      </c>
      <c r="C438" s="123"/>
      <c r="D438" s="122" t="s">
        <v>1690</v>
      </c>
      <c r="E438" s="123"/>
      <c r="F438" s="122" t="s">
        <v>742</v>
      </c>
      <c r="G438" s="122" t="s">
        <v>771</v>
      </c>
      <c r="H438" s="122" t="s">
        <v>978</v>
      </c>
      <c r="I438" s="122" t="s">
        <v>733</v>
      </c>
      <c r="J438" s="122">
        <v>27.5</v>
      </c>
      <c r="K438" s="122">
        <v>0</v>
      </c>
      <c r="L438" s="122">
        <v>0</v>
      </c>
      <c r="M438" s="122">
        <v>0</v>
      </c>
      <c r="N438" s="122">
        <v>65</v>
      </c>
      <c r="O438" s="122">
        <v>85</v>
      </c>
      <c r="P438" s="122">
        <v>11</v>
      </c>
      <c r="Q438" s="123"/>
      <c r="R438" s="122">
        <v>1</v>
      </c>
      <c r="S438" s="122">
        <v>1</v>
      </c>
      <c r="T438" s="122">
        <v>1</v>
      </c>
      <c r="U438" s="123"/>
      <c r="V438" s="122">
        <v>8858890782306</v>
      </c>
    </row>
    <row r="439" ht="15.75" customHeight="1" spans="1:22" x14ac:dyDescent="0.25">
      <c r="A439" s="122" t="s">
        <v>1689</v>
      </c>
      <c r="B439" s="122" t="s">
        <v>767</v>
      </c>
      <c r="C439" s="123"/>
      <c r="D439" s="122" t="s">
        <v>1690</v>
      </c>
      <c r="E439" s="123"/>
      <c r="F439" s="122" t="s">
        <v>742</v>
      </c>
      <c r="G439" s="122" t="s">
        <v>771</v>
      </c>
      <c r="H439" s="122" t="s">
        <v>978</v>
      </c>
      <c r="I439" s="122" t="s">
        <v>733</v>
      </c>
      <c r="J439" s="122">
        <v>27.5</v>
      </c>
      <c r="K439" s="122">
        <v>0</v>
      </c>
      <c r="L439" s="122">
        <v>0</v>
      </c>
      <c r="M439" s="122">
        <v>0</v>
      </c>
      <c r="N439" s="122">
        <v>65</v>
      </c>
      <c r="O439" s="122">
        <v>85</v>
      </c>
      <c r="P439" s="122">
        <v>53</v>
      </c>
      <c r="Q439" s="123"/>
      <c r="R439" s="122">
        <v>1</v>
      </c>
      <c r="S439" s="122">
        <v>1</v>
      </c>
      <c r="T439" s="122">
        <v>1</v>
      </c>
      <c r="U439" s="123"/>
      <c r="V439" s="122">
        <v>8858890782269</v>
      </c>
    </row>
    <row r="440" ht="15.75" customHeight="1" spans="1:22" x14ac:dyDescent="0.25">
      <c r="A440" s="122" t="s">
        <v>551</v>
      </c>
      <c r="B440" s="122" t="s">
        <v>750</v>
      </c>
      <c r="C440" s="123"/>
      <c r="D440" s="122" t="s">
        <v>1691</v>
      </c>
      <c r="E440" s="123"/>
      <c r="F440" s="122" t="s">
        <v>753</v>
      </c>
      <c r="G440" s="122" t="s">
        <v>771</v>
      </c>
      <c r="H440" s="122" t="s">
        <v>1251</v>
      </c>
      <c r="I440" s="122" t="s">
        <v>733</v>
      </c>
      <c r="J440" s="122">
        <v>13.17</v>
      </c>
      <c r="K440" s="122">
        <v>0</v>
      </c>
      <c r="L440" s="122">
        <v>0</v>
      </c>
      <c r="M440" s="122">
        <v>0</v>
      </c>
      <c r="N440" s="122">
        <v>40</v>
      </c>
      <c r="O440" s="122">
        <v>55</v>
      </c>
      <c r="P440" s="122">
        <v>28</v>
      </c>
      <c r="Q440" s="123"/>
      <c r="R440" s="122">
        <v>1</v>
      </c>
      <c r="S440" s="122">
        <v>1</v>
      </c>
      <c r="T440" s="122">
        <v>1</v>
      </c>
      <c r="U440" s="123"/>
      <c r="V440" s="122">
        <v>885889078126201</v>
      </c>
    </row>
    <row r="441" ht="15.75" customHeight="1" spans="1:22" x14ac:dyDescent="0.25">
      <c r="A441" s="122" t="s">
        <v>551</v>
      </c>
      <c r="B441" s="122" t="s">
        <v>767</v>
      </c>
      <c r="C441" s="123"/>
      <c r="D441" s="122" t="s">
        <v>1691</v>
      </c>
      <c r="E441" s="123"/>
      <c r="F441" s="122" t="s">
        <v>753</v>
      </c>
      <c r="G441" s="122" t="s">
        <v>771</v>
      </c>
      <c r="H441" s="122" t="s">
        <v>1251</v>
      </c>
      <c r="I441" s="122" t="s">
        <v>733</v>
      </c>
      <c r="J441" s="122">
        <v>13.17</v>
      </c>
      <c r="K441" s="122">
        <v>0</v>
      </c>
      <c r="L441" s="122">
        <v>0</v>
      </c>
      <c r="M441" s="122">
        <v>0</v>
      </c>
      <c r="N441" s="122">
        <v>40</v>
      </c>
      <c r="O441" s="122">
        <v>55</v>
      </c>
      <c r="P441" s="122">
        <v>0</v>
      </c>
      <c r="Q441" s="123"/>
      <c r="R441" s="122">
        <v>1</v>
      </c>
      <c r="S441" s="122">
        <v>1</v>
      </c>
      <c r="T441" s="122">
        <v>1</v>
      </c>
      <c r="U441" s="123"/>
      <c r="V441" s="122">
        <v>885889078126202</v>
      </c>
    </row>
    <row r="442" ht="15.75" customHeight="1" spans="1:22" x14ac:dyDescent="0.25">
      <c r="A442" s="122" t="s">
        <v>571</v>
      </c>
      <c r="B442" s="122" t="s">
        <v>917</v>
      </c>
      <c r="C442" s="123"/>
      <c r="D442" s="122" t="s">
        <v>1692</v>
      </c>
      <c r="E442" s="123"/>
      <c r="F442" s="122" t="s">
        <v>753</v>
      </c>
      <c r="G442" s="122" t="s">
        <v>771</v>
      </c>
      <c r="H442" s="122" t="s">
        <v>975</v>
      </c>
      <c r="I442" s="122" t="s">
        <v>733</v>
      </c>
      <c r="J442" s="122">
        <v>14</v>
      </c>
      <c r="K442" s="122">
        <v>0</v>
      </c>
      <c r="L442" s="122">
        <v>35</v>
      </c>
      <c r="M442" s="122">
        <v>20</v>
      </c>
      <c r="N442" s="122">
        <v>35</v>
      </c>
      <c r="O442" s="122">
        <v>55</v>
      </c>
      <c r="P442" s="122">
        <v>9</v>
      </c>
      <c r="Q442" s="123"/>
      <c r="R442" s="122">
        <v>1</v>
      </c>
      <c r="S442" s="123"/>
      <c r="T442" s="122">
        <v>1</v>
      </c>
      <c r="U442" s="123"/>
      <c r="V442" s="122">
        <v>885889078116302</v>
      </c>
    </row>
    <row r="443" ht="15.75" customHeight="1" spans="1:22" x14ac:dyDescent="0.25">
      <c r="A443" s="122" t="s">
        <v>571</v>
      </c>
      <c r="B443" s="122" t="s">
        <v>1103</v>
      </c>
      <c r="C443" s="123"/>
      <c r="D443" s="122" t="s">
        <v>1692</v>
      </c>
      <c r="E443" s="123"/>
      <c r="F443" s="122" t="s">
        <v>753</v>
      </c>
      <c r="G443" s="122" t="s">
        <v>771</v>
      </c>
      <c r="H443" s="122" t="s">
        <v>975</v>
      </c>
      <c r="I443" s="122" t="s">
        <v>733</v>
      </c>
      <c r="J443" s="122">
        <v>14</v>
      </c>
      <c r="K443" s="122">
        <v>0</v>
      </c>
      <c r="L443" s="122">
        <v>35</v>
      </c>
      <c r="M443" s="122">
        <v>20</v>
      </c>
      <c r="N443" s="122">
        <v>35</v>
      </c>
      <c r="O443" s="122">
        <v>55</v>
      </c>
      <c r="P443" s="122">
        <v>22</v>
      </c>
      <c r="Q443" s="123"/>
      <c r="R443" s="122">
        <v>1</v>
      </c>
      <c r="S443" s="123"/>
      <c r="T443" s="122">
        <v>1</v>
      </c>
      <c r="U443" s="123"/>
      <c r="V443" s="122">
        <v>885889078116304</v>
      </c>
    </row>
    <row r="444" ht="15.75" customHeight="1" spans="1:22" x14ac:dyDescent="0.25">
      <c r="A444" s="122" t="s">
        <v>571</v>
      </c>
      <c r="B444" s="122" t="s">
        <v>873</v>
      </c>
      <c r="C444" s="123"/>
      <c r="D444" s="122" t="s">
        <v>1692</v>
      </c>
      <c r="E444" s="123"/>
      <c r="F444" s="122" t="s">
        <v>753</v>
      </c>
      <c r="G444" s="122" t="s">
        <v>771</v>
      </c>
      <c r="H444" s="122" t="s">
        <v>975</v>
      </c>
      <c r="I444" s="122" t="s">
        <v>733</v>
      </c>
      <c r="J444" s="122">
        <v>14</v>
      </c>
      <c r="K444" s="122">
        <v>0</v>
      </c>
      <c r="L444" s="122">
        <v>35</v>
      </c>
      <c r="M444" s="122">
        <v>20</v>
      </c>
      <c r="N444" s="122">
        <v>35</v>
      </c>
      <c r="O444" s="122">
        <v>55</v>
      </c>
      <c r="P444" s="122">
        <v>8</v>
      </c>
      <c r="Q444" s="123"/>
      <c r="R444" s="122">
        <v>1</v>
      </c>
      <c r="S444" s="123"/>
      <c r="T444" s="122">
        <v>1</v>
      </c>
      <c r="U444" s="123"/>
      <c r="V444" s="122">
        <v>885889078116303</v>
      </c>
    </row>
    <row r="445" ht="15.75" customHeight="1" spans="1:22" x14ac:dyDescent="0.25">
      <c r="A445" s="122" t="s">
        <v>571</v>
      </c>
      <c r="B445" s="122" t="s">
        <v>971</v>
      </c>
      <c r="C445" s="123"/>
      <c r="D445" s="122" t="s">
        <v>1692</v>
      </c>
      <c r="E445" s="123"/>
      <c r="F445" s="122" t="s">
        <v>753</v>
      </c>
      <c r="G445" s="122" t="s">
        <v>771</v>
      </c>
      <c r="H445" s="122" t="s">
        <v>975</v>
      </c>
      <c r="I445" s="122" t="s">
        <v>733</v>
      </c>
      <c r="J445" s="122">
        <v>14</v>
      </c>
      <c r="K445" s="122">
        <v>0</v>
      </c>
      <c r="L445" s="122">
        <v>35</v>
      </c>
      <c r="M445" s="122">
        <v>20</v>
      </c>
      <c r="N445" s="122">
        <v>35</v>
      </c>
      <c r="O445" s="122">
        <v>55</v>
      </c>
      <c r="P445" s="122">
        <v>1</v>
      </c>
      <c r="Q445" s="123"/>
      <c r="R445" s="122">
        <v>1</v>
      </c>
      <c r="S445" s="123"/>
      <c r="T445" s="122">
        <v>1</v>
      </c>
      <c r="U445" s="123"/>
      <c r="V445" s="122">
        <v>885889078116301</v>
      </c>
    </row>
    <row r="446" ht="15.75" customHeight="1" spans="1:22" x14ac:dyDescent="0.25">
      <c r="A446" s="122" t="s">
        <v>1693</v>
      </c>
      <c r="B446" s="123"/>
      <c r="C446" s="123"/>
      <c r="D446" s="122" t="s">
        <v>1694</v>
      </c>
      <c r="E446" s="122" t="s">
        <v>1695</v>
      </c>
      <c r="F446" s="122" t="s">
        <v>742</v>
      </c>
      <c r="G446" s="122" t="s">
        <v>754</v>
      </c>
      <c r="H446" s="122" t="s">
        <v>818</v>
      </c>
      <c r="I446" s="122" t="s">
        <v>733</v>
      </c>
      <c r="J446" s="122">
        <v>220</v>
      </c>
      <c r="K446" s="122">
        <v>0</v>
      </c>
      <c r="L446" s="122">
        <v>270</v>
      </c>
      <c r="M446" s="122">
        <v>0</v>
      </c>
      <c r="N446" s="122">
        <v>300</v>
      </c>
      <c r="O446" s="122">
        <v>390</v>
      </c>
      <c r="P446" s="122">
        <v>17</v>
      </c>
      <c r="Q446" s="123"/>
      <c r="R446" s="122">
        <v>1</v>
      </c>
      <c r="S446" s="122">
        <v>1</v>
      </c>
      <c r="T446" s="122">
        <v>1</v>
      </c>
      <c r="U446" s="123"/>
      <c r="V446" s="122">
        <v>8858890795122</v>
      </c>
    </row>
    <row r="447" ht="15.75" customHeight="1" spans="1:22" x14ac:dyDescent="0.25">
      <c r="A447" s="122" t="s">
        <v>359</v>
      </c>
      <c r="B447" s="123"/>
      <c r="C447" s="123"/>
      <c r="D447" s="122" t="s">
        <v>1696</v>
      </c>
      <c r="E447" s="123"/>
      <c r="F447" s="122" t="s">
        <v>753</v>
      </c>
      <c r="G447" s="122" t="s">
        <v>831</v>
      </c>
      <c r="H447" s="122" t="s">
        <v>1203</v>
      </c>
      <c r="I447" s="122" t="s">
        <v>733</v>
      </c>
      <c r="J447" s="122">
        <v>110</v>
      </c>
      <c r="K447" s="122">
        <v>0</v>
      </c>
      <c r="L447" s="122">
        <v>125</v>
      </c>
      <c r="M447" s="122">
        <v>150</v>
      </c>
      <c r="N447" s="122">
        <v>150</v>
      </c>
      <c r="O447" s="122">
        <v>195</v>
      </c>
      <c r="P447" s="122">
        <v>41</v>
      </c>
      <c r="Q447" s="123"/>
      <c r="R447" s="122">
        <v>1</v>
      </c>
      <c r="S447" s="122">
        <v>1</v>
      </c>
      <c r="T447" s="122">
        <v>1</v>
      </c>
      <c r="U447" s="123"/>
      <c r="V447" s="122">
        <v>8858890793494</v>
      </c>
    </row>
    <row r="448" ht="15.75" customHeight="1" spans="1:22" x14ac:dyDescent="0.25">
      <c r="A448" s="122" t="s">
        <v>61</v>
      </c>
      <c r="B448" s="123"/>
      <c r="C448" s="123"/>
      <c r="D448" s="122" t="s">
        <v>1697</v>
      </c>
      <c r="E448" s="123"/>
      <c r="F448" s="122" t="s">
        <v>742</v>
      </c>
      <c r="G448" s="122" t="s">
        <v>771</v>
      </c>
      <c r="H448" s="122" t="s">
        <v>978</v>
      </c>
      <c r="I448" s="122" t="s">
        <v>733</v>
      </c>
      <c r="J448" s="122">
        <v>42</v>
      </c>
      <c r="K448" s="122">
        <v>0</v>
      </c>
      <c r="L448" s="122">
        <v>55</v>
      </c>
      <c r="M448" s="122">
        <v>59</v>
      </c>
      <c r="N448" s="122">
        <v>65</v>
      </c>
      <c r="O448" s="122">
        <v>110</v>
      </c>
      <c r="P448" s="122">
        <v>89</v>
      </c>
      <c r="Q448" s="123"/>
      <c r="R448" s="122">
        <v>1</v>
      </c>
      <c r="S448" s="122">
        <v>1</v>
      </c>
      <c r="T448" s="122">
        <v>1</v>
      </c>
      <c r="U448" s="123"/>
      <c r="V448" s="122">
        <v>8858890782177</v>
      </c>
    </row>
    <row r="449" ht="15.75" customHeight="1" spans="1:22" x14ac:dyDescent="0.25">
      <c r="A449" s="122" t="s">
        <v>60</v>
      </c>
      <c r="B449" s="123"/>
      <c r="C449" s="123"/>
      <c r="D449" s="122" t="s">
        <v>1698</v>
      </c>
      <c r="E449" s="123"/>
      <c r="F449" s="122" t="s">
        <v>742</v>
      </c>
      <c r="G449" s="122" t="s">
        <v>771</v>
      </c>
      <c r="H449" s="122" t="s">
        <v>978</v>
      </c>
      <c r="I449" s="122" t="s">
        <v>733</v>
      </c>
      <c r="J449" s="122">
        <v>40</v>
      </c>
      <c r="K449" s="122">
        <v>0</v>
      </c>
      <c r="L449" s="122">
        <v>55</v>
      </c>
      <c r="M449" s="122">
        <v>65</v>
      </c>
      <c r="N449" s="122">
        <v>65</v>
      </c>
      <c r="O449" s="122">
        <v>110</v>
      </c>
      <c r="P449" s="122">
        <v>147</v>
      </c>
      <c r="Q449" s="123"/>
      <c r="R449" s="122">
        <v>1</v>
      </c>
      <c r="S449" s="122">
        <v>1</v>
      </c>
      <c r="T449" s="122">
        <v>1</v>
      </c>
      <c r="U449" s="123"/>
      <c r="V449" s="122">
        <v>8858890782191</v>
      </c>
    </row>
    <row r="450" ht="15.75" customHeight="1" spans="1:22" x14ac:dyDescent="0.25">
      <c r="A450" s="122" t="s">
        <v>1699</v>
      </c>
      <c r="B450" s="123"/>
      <c r="C450" s="123"/>
      <c r="D450" s="122" t="s">
        <v>1700</v>
      </c>
      <c r="E450" s="123"/>
      <c r="F450" s="122" t="s">
        <v>753</v>
      </c>
      <c r="G450" s="122" t="s">
        <v>831</v>
      </c>
      <c r="H450" s="122" t="s">
        <v>1106</v>
      </c>
      <c r="I450" s="122" t="s">
        <v>733</v>
      </c>
      <c r="J450" s="122">
        <v>51</v>
      </c>
      <c r="K450" s="122">
        <v>0</v>
      </c>
      <c r="L450" s="122">
        <v>60</v>
      </c>
      <c r="M450" s="122">
        <v>55</v>
      </c>
      <c r="N450" s="122">
        <v>80</v>
      </c>
      <c r="O450" s="122">
        <v>105</v>
      </c>
      <c r="P450" s="122">
        <v>453</v>
      </c>
      <c r="Q450" s="123"/>
      <c r="R450" s="122">
        <v>1</v>
      </c>
      <c r="S450" s="122">
        <v>1</v>
      </c>
      <c r="T450" s="122">
        <v>1</v>
      </c>
      <c r="U450" s="123"/>
      <c r="V450" s="122">
        <v>8858890793470</v>
      </c>
    </row>
    <row r="451" ht="15.75" customHeight="1" spans="1:22" x14ac:dyDescent="0.25">
      <c r="A451" s="122" t="s">
        <v>1701</v>
      </c>
      <c r="B451" s="123"/>
      <c r="C451" s="123"/>
      <c r="D451" s="122" t="s">
        <v>1702</v>
      </c>
      <c r="E451" s="123"/>
      <c r="F451" s="122" t="s">
        <v>753</v>
      </c>
      <c r="G451" s="122" t="s">
        <v>754</v>
      </c>
      <c r="H451" s="122" t="s">
        <v>1112</v>
      </c>
      <c r="I451" s="122" t="s">
        <v>733</v>
      </c>
      <c r="J451" s="122">
        <v>250</v>
      </c>
      <c r="K451" s="122">
        <v>0</v>
      </c>
      <c r="L451" s="122">
        <v>290</v>
      </c>
      <c r="M451" s="122">
        <v>0</v>
      </c>
      <c r="N451" s="122">
        <v>439</v>
      </c>
      <c r="O451" s="122">
        <v>699</v>
      </c>
      <c r="P451" s="122">
        <v>2</v>
      </c>
      <c r="Q451" s="123"/>
      <c r="R451" s="122">
        <v>1</v>
      </c>
      <c r="S451" s="122">
        <v>1</v>
      </c>
      <c r="T451" s="122">
        <v>1</v>
      </c>
      <c r="U451" s="123"/>
      <c r="V451" s="122">
        <v>8858890795146</v>
      </c>
    </row>
    <row r="452" ht="15.75" customHeight="1" spans="1:22" x14ac:dyDescent="0.25">
      <c r="A452" s="122" t="s">
        <v>294</v>
      </c>
      <c r="B452" s="123"/>
      <c r="C452" s="123"/>
      <c r="D452" s="122" t="s">
        <v>1703</v>
      </c>
      <c r="E452" s="123"/>
      <c r="F452" s="122" t="s">
        <v>779</v>
      </c>
      <c r="G452" s="122" t="s">
        <v>831</v>
      </c>
      <c r="H452" s="122" t="s">
        <v>1203</v>
      </c>
      <c r="I452" s="122" t="s">
        <v>733</v>
      </c>
      <c r="J452" s="122">
        <v>68.75</v>
      </c>
      <c r="K452" s="122">
        <v>0</v>
      </c>
      <c r="L452" s="122">
        <v>0</v>
      </c>
      <c r="M452" s="122">
        <v>95</v>
      </c>
      <c r="N452" s="122">
        <v>95</v>
      </c>
      <c r="O452" s="122">
        <v>135</v>
      </c>
      <c r="P452" s="122">
        <v>2</v>
      </c>
      <c r="Q452" s="123"/>
      <c r="R452" s="122">
        <v>1</v>
      </c>
      <c r="S452" s="122">
        <v>1</v>
      </c>
      <c r="T452" s="122">
        <v>1</v>
      </c>
      <c r="U452" s="123"/>
      <c r="V452" s="122">
        <v>8858890790394</v>
      </c>
    </row>
    <row r="453" ht="15.75" customHeight="1" spans="1:22" x14ac:dyDescent="0.25">
      <c r="A453" s="122" t="s">
        <v>1704</v>
      </c>
      <c r="B453" s="123"/>
      <c r="C453" s="123"/>
      <c r="D453" s="122" t="s">
        <v>1705</v>
      </c>
      <c r="E453" s="123"/>
      <c r="F453" s="122" t="s">
        <v>753</v>
      </c>
      <c r="G453" s="122" t="s">
        <v>831</v>
      </c>
      <c r="H453" s="122" t="s">
        <v>1203</v>
      </c>
      <c r="I453" s="122" t="s">
        <v>733</v>
      </c>
      <c r="J453" s="122">
        <v>87.8</v>
      </c>
      <c r="K453" s="122">
        <v>0</v>
      </c>
      <c r="L453" s="122">
        <v>0</v>
      </c>
      <c r="M453" s="122">
        <v>0</v>
      </c>
      <c r="N453" s="122">
        <v>120</v>
      </c>
      <c r="O453" s="122">
        <v>170</v>
      </c>
      <c r="P453" s="122">
        <v>9</v>
      </c>
      <c r="Q453" s="123"/>
      <c r="R453" s="122">
        <v>1</v>
      </c>
      <c r="S453" s="122">
        <v>1</v>
      </c>
      <c r="T453" s="122">
        <v>1</v>
      </c>
      <c r="U453" s="123"/>
      <c r="V453" s="122">
        <v>8858890794484</v>
      </c>
    </row>
    <row r="454" ht="15.75" customHeight="1" spans="1:22" x14ac:dyDescent="0.25">
      <c r="A454" s="122" t="s">
        <v>1706</v>
      </c>
      <c r="B454" s="123"/>
      <c r="C454" s="123"/>
      <c r="D454" s="122" t="s">
        <v>1707</v>
      </c>
      <c r="E454" s="123"/>
      <c r="F454" s="122" t="s">
        <v>753</v>
      </c>
      <c r="G454" s="122" t="s">
        <v>831</v>
      </c>
      <c r="H454" s="122" t="s">
        <v>832</v>
      </c>
      <c r="I454" s="122" t="s">
        <v>733</v>
      </c>
      <c r="J454" s="122">
        <v>99</v>
      </c>
      <c r="K454" s="122">
        <v>0</v>
      </c>
      <c r="L454" s="122">
        <v>0</v>
      </c>
      <c r="M454" s="122">
        <v>0</v>
      </c>
      <c r="N454" s="122">
        <v>100</v>
      </c>
      <c r="O454" s="122">
        <v>130</v>
      </c>
      <c r="P454" s="122">
        <v>7</v>
      </c>
      <c r="Q454" s="123"/>
      <c r="R454" s="122">
        <v>1</v>
      </c>
      <c r="S454" s="122">
        <v>1</v>
      </c>
      <c r="T454" s="122">
        <v>1</v>
      </c>
      <c r="U454" s="123"/>
      <c r="V454" s="122">
        <v>8858890790479</v>
      </c>
    </row>
    <row r="455" ht="15.75" customHeight="1" spans="1:22" x14ac:dyDescent="0.25">
      <c r="A455" s="122" t="s">
        <v>1708</v>
      </c>
      <c r="B455" s="122" t="s">
        <v>873</v>
      </c>
      <c r="C455" s="123"/>
      <c r="D455" s="122" t="s">
        <v>1709</v>
      </c>
      <c r="E455" s="123"/>
      <c r="F455" s="122" t="s">
        <v>753</v>
      </c>
      <c r="G455" s="122" t="s">
        <v>831</v>
      </c>
      <c r="H455" s="122" t="s">
        <v>832</v>
      </c>
      <c r="I455" s="122" t="s">
        <v>733</v>
      </c>
      <c r="J455" s="122">
        <v>150</v>
      </c>
      <c r="K455" s="122">
        <v>0</v>
      </c>
      <c r="L455" s="122">
        <v>0</v>
      </c>
      <c r="M455" s="122">
        <v>0</v>
      </c>
      <c r="N455" s="122">
        <v>190</v>
      </c>
      <c r="O455" s="122">
        <v>250</v>
      </c>
      <c r="P455" s="122">
        <v>4</v>
      </c>
      <c r="Q455" s="123"/>
      <c r="R455" s="122">
        <v>1</v>
      </c>
      <c r="S455" s="122">
        <v>1</v>
      </c>
      <c r="T455" s="122">
        <v>1</v>
      </c>
      <c r="U455" s="123"/>
      <c r="V455" s="122">
        <v>8858890796709</v>
      </c>
    </row>
    <row r="456" ht="15.75" customHeight="1" spans="1:22" x14ac:dyDescent="0.25">
      <c r="A456" s="122" t="s">
        <v>1708</v>
      </c>
      <c r="B456" s="122" t="s">
        <v>971</v>
      </c>
      <c r="C456" s="123"/>
      <c r="D456" s="122" t="s">
        <v>1709</v>
      </c>
      <c r="E456" s="123"/>
      <c r="F456" s="122" t="s">
        <v>753</v>
      </c>
      <c r="G456" s="122" t="s">
        <v>831</v>
      </c>
      <c r="H456" s="122" t="s">
        <v>832</v>
      </c>
      <c r="I456" s="122" t="s">
        <v>733</v>
      </c>
      <c r="J456" s="122">
        <v>150</v>
      </c>
      <c r="K456" s="122">
        <v>0</v>
      </c>
      <c r="L456" s="122">
        <v>0</v>
      </c>
      <c r="M456" s="122">
        <v>0</v>
      </c>
      <c r="N456" s="122">
        <v>190</v>
      </c>
      <c r="O456" s="122">
        <v>250</v>
      </c>
      <c r="P456" s="122">
        <v>0</v>
      </c>
      <c r="Q456" s="123"/>
      <c r="R456" s="122">
        <v>1</v>
      </c>
      <c r="S456" s="122">
        <v>1</v>
      </c>
      <c r="T456" s="122">
        <v>1</v>
      </c>
      <c r="U456" s="123"/>
      <c r="V456" s="122">
        <v>8858890796716</v>
      </c>
    </row>
    <row r="457" ht="15.75" customHeight="1" spans="1:22" x14ac:dyDescent="0.25">
      <c r="A457" s="122" t="s">
        <v>1708</v>
      </c>
      <c r="B457" s="122" t="s">
        <v>762</v>
      </c>
      <c r="C457" s="123"/>
      <c r="D457" s="122" t="s">
        <v>1709</v>
      </c>
      <c r="E457" s="123"/>
      <c r="F457" s="122" t="s">
        <v>753</v>
      </c>
      <c r="G457" s="122" t="s">
        <v>831</v>
      </c>
      <c r="H457" s="122" t="s">
        <v>832</v>
      </c>
      <c r="I457" s="122" t="s">
        <v>733</v>
      </c>
      <c r="J457" s="122">
        <v>150</v>
      </c>
      <c r="K457" s="122">
        <v>0</v>
      </c>
      <c r="L457" s="122">
        <v>0</v>
      </c>
      <c r="M457" s="122">
        <v>0</v>
      </c>
      <c r="N457" s="122">
        <v>190</v>
      </c>
      <c r="O457" s="122">
        <v>250</v>
      </c>
      <c r="P457" s="122">
        <v>6</v>
      </c>
      <c r="Q457" s="123"/>
      <c r="R457" s="122">
        <v>1</v>
      </c>
      <c r="S457" s="122">
        <v>1</v>
      </c>
      <c r="T457" s="122">
        <v>1</v>
      </c>
      <c r="U457" s="123"/>
      <c r="V457" s="122">
        <v>8858890796723</v>
      </c>
    </row>
    <row r="458" ht="15.75" customHeight="1" spans="1:22" x14ac:dyDescent="0.25">
      <c r="A458" s="122" t="s">
        <v>1708</v>
      </c>
      <c r="B458" s="122" t="s">
        <v>1601</v>
      </c>
      <c r="C458" s="123"/>
      <c r="D458" s="122" t="s">
        <v>1709</v>
      </c>
      <c r="E458" s="123"/>
      <c r="F458" s="122" t="s">
        <v>753</v>
      </c>
      <c r="G458" s="122" t="s">
        <v>831</v>
      </c>
      <c r="H458" s="122" t="s">
        <v>832</v>
      </c>
      <c r="I458" s="122" t="s">
        <v>733</v>
      </c>
      <c r="J458" s="122">
        <v>150</v>
      </c>
      <c r="K458" s="122">
        <v>0</v>
      </c>
      <c r="L458" s="122">
        <v>0</v>
      </c>
      <c r="M458" s="122">
        <v>0</v>
      </c>
      <c r="N458" s="122">
        <v>190</v>
      </c>
      <c r="O458" s="122">
        <v>250</v>
      </c>
      <c r="P458" s="122">
        <v>0</v>
      </c>
      <c r="Q458" s="123"/>
      <c r="R458" s="122">
        <v>1</v>
      </c>
      <c r="S458" s="122">
        <v>1</v>
      </c>
      <c r="T458" s="122">
        <v>1</v>
      </c>
      <c r="U458" s="123"/>
      <c r="V458" s="122">
        <v>885889079420002</v>
      </c>
    </row>
    <row r="459" ht="15.75" customHeight="1" spans="1:22" x14ac:dyDescent="0.25">
      <c r="A459" s="122" t="s">
        <v>1710</v>
      </c>
      <c r="B459" s="123"/>
      <c r="C459" s="123"/>
      <c r="D459" s="122" t="s">
        <v>1711</v>
      </c>
      <c r="E459" s="122" t="s">
        <v>1712</v>
      </c>
      <c r="F459" s="122" t="s">
        <v>753</v>
      </c>
      <c r="G459" s="122" t="s">
        <v>831</v>
      </c>
      <c r="H459" s="122" t="s">
        <v>832</v>
      </c>
      <c r="I459" s="122" t="s">
        <v>1221</v>
      </c>
      <c r="J459" s="122">
        <v>99</v>
      </c>
      <c r="K459" s="122">
        <v>0</v>
      </c>
      <c r="L459" s="122">
        <v>120</v>
      </c>
      <c r="M459" s="122">
        <v>0</v>
      </c>
      <c r="N459" s="122">
        <v>100</v>
      </c>
      <c r="O459" s="122">
        <v>250</v>
      </c>
      <c r="P459" s="122">
        <v>6</v>
      </c>
      <c r="Q459" s="123"/>
      <c r="R459" s="122">
        <v>1</v>
      </c>
      <c r="S459" s="122">
        <v>1</v>
      </c>
      <c r="T459" s="122">
        <v>1</v>
      </c>
      <c r="U459" s="123"/>
      <c r="V459" s="122">
        <v>8858890790509</v>
      </c>
    </row>
    <row r="460" ht="15.75" customHeight="1" spans="1:22" x14ac:dyDescent="0.25">
      <c r="A460" s="122" t="s">
        <v>435</v>
      </c>
      <c r="B460" s="123"/>
      <c r="C460" s="123"/>
      <c r="D460" s="122" t="s">
        <v>1713</v>
      </c>
      <c r="E460" s="122" t="s">
        <v>1714</v>
      </c>
      <c r="F460" s="122" t="s">
        <v>753</v>
      </c>
      <c r="G460" s="122" t="s">
        <v>754</v>
      </c>
      <c r="H460" s="122" t="s">
        <v>1112</v>
      </c>
      <c r="I460" s="122" t="s">
        <v>733</v>
      </c>
      <c r="J460" s="122">
        <v>39</v>
      </c>
      <c r="K460" s="122">
        <v>0</v>
      </c>
      <c r="L460" s="122">
        <v>0</v>
      </c>
      <c r="M460" s="122">
        <v>45</v>
      </c>
      <c r="N460" s="122">
        <v>60</v>
      </c>
      <c r="O460" s="122">
        <v>100</v>
      </c>
      <c r="P460" s="122">
        <v>119</v>
      </c>
      <c r="Q460" s="123"/>
      <c r="R460" s="122">
        <v>1</v>
      </c>
      <c r="S460" s="122">
        <v>1</v>
      </c>
      <c r="T460" s="122">
        <v>1</v>
      </c>
      <c r="U460" s="123"/>
      <c r="V460" s="122">
        <v>8858890791100</v>
      </c>
    </row>
    <row r="461" ht="15.75" customHeight="1" spans="1:22" x14ac:dyDescent="0.25">
      <c r="A461" s="122" t="s">
        <v>1715</v>
      </c>
      <c r="B461" s="123"/>
      <c r="C461" s="123"/>
      <c r="D461" s="122" t="s">
        <v>1716</v>
      </c>
      <c r="E461" s="122" t="s">
        <v>1717</v>
      </c>
      <c r="F461" s="122" t="s">
        <v>753</v>
      </c>
      <c r="G461" s="122" t="s">
        <v>754</v>
      </c>
      <c r="H461" s="122" t="s">
        <v>1112</v>
      </c>
      <c r="I461" s="122" t="s">
        <v>733</v>
      </c>
      <c r="J461" s="122">
        <v>25</v>
      </c>
      <c r="K461" s="122">
        <v>0</v>
      </c>
      <c r="L461" s="122">
        <v>0</v>
      </c>
      <c r="M461" s="122">
        <v>0</v>
      </c>
      <c r="N461" s="122">
        <v>60</v>
      </c>
      <c r="O461" s="122">
        <v>130</v>
      </c>
      <c r="P461" s="122">
        <v>3</v>
      </c>
      <c r="Q461" s="123"/>
      <c r="R461" s="122">
        <v>1</v>
      </c>
      <c r="S461" s="123"/>
      <c r="T461" s="122">
        <v>1</v>
      </c>
      <c r="U461" s="123"/>
      <c r="V461" s="122">
        <v>8858890790448</v>
      </c>
    </row>
    <row r="462" ht="15.75" customHeight="1" spans="1:22" x14ac:dyDescent="0.25">
      <c r="A462" s="122" t="s">
        <v>1718</v>
      </c>
      <c r="B462" s="123"/>
      <c r="C462" s="123"/>
      <c r="D462" s="122" t="s">
        <v>1719</v>
      </c>
      <c r="E462" s="123"/>
      <c r="F462" s="122" t="s">
        <v>753</v>
      </c>
      <c r="G462" s="122" t="s">
        <v>745</v>
      </c>
      <c r="H462" s="122" t="s">
        <v>1214</v>
      </c>
      <c r="I462" s="122" t="s">
        <v>733</v>
      </c>
      <c r="J462" s="122">
        <v>450</v>
      </c>
      <c r="K462" s="122">
        <v>0</v>
      </c>
      <c r="L462" s="122">
        <v>550</v>
      </c>
      <c r="M462" s="122">
        <v>0</v>
      </c>
      <c r="N462" s="122">
        <v>650</v>
      </c>
      <c r="O462" s="122">
        <v>750</v>
      </c>
      <c r="P462" s="122">
        <v>5</v>
      </c>
      <c r="Q462" s="123"/>
      <c r="R462" s="122">
        <v>1</v>
      </c>
      <c r="S462" s="123"/>
      <c r="T462" s="123"/>
      <c r="U462" s="123"/>
      <c r="V462" s="123"/>
    </row>
    <row r="463" ht="15.75" customHeight="1" spans="1:22" x14ac:dyDescent="0.25">
      <c r="A463" s="122" t="s">
        <v>1720</v>
      </c>
      <c r="B463" s="123"/>
      <c r="C463" s="123"/>
      <c r="D463" s="122" t="s">
        <v>1721</v>
      </c>
      <c r="E463" s="122" t="s">
        <v>1722</v>
      </c>
      <c r="F463" s="122" t="s">
        <v>753</v>
      </c>
      <c r="G463" s="122" t="s">
        <v>765</v>
      </c>
      <c r="H463" s="122" t="s">
        <v>766</v>
      </c>
      <c r="I463" s="122" t="s">
        <v>733</v>
      </c>
      <c r="J463" s="122">
        <v>35</v>
      </c>
      <c r="K463" s="122">
        <v>0</v>
      </c>
      <c r="L463" s="122">
        <v>0</v>
      </c>
      <c r="M463" s="122">
        <v>0</v>
      </c>
      <c r="N463" s="122">
        <v>60</v>
      </c>
      <c r="O463" s="122">
        <v>80</v>
      </c>
      <c r="P463" s="122">
        <v>8</v>
      </c>
      <c r="Q463" s="123"/>
      <c r="R463" s="122">
        <v>1</v>
      </c>
      <c r="S463" s="122">
        <v>1</v>
      </c>
      <c r="T463" s="122">
        <v>1</v>
      </c>
      <c r="U463" s="123"/>
      <c r="V463" s="122">
        <v>8858890731274</v>
      </c>
    </row>
    <row r="464" ht="15.75" customHeight="1" spans="1:22" x14ac:dyDescent="0.25">
      <c r="A464" s="122" t="s">
        <v>1723</v>
      </c>
      <c r="B464" s="123"/>
      <c r="C464" s="123"/>
      <c r="D464" s="122" t="s">
        <v>1724</v>
      </c>
      <c r="E464" s="123"/>
      <c r="F464" s="122" t="s">
        <v>753</v>
      </c>
      <c r="G464" s="122" t="s">
        <v>765</v>
      </c>
      <c r="H464" s="122" t="s">
        <v>766</v>
      </c>
      <c r="I464" s="122" t="s">
        <v>733</v>
      </c>
      <c r="J464" s="122">
        <v>33</v>
      </c>
      <c r="K464" s="122">
        <v>0</v>
      </c>
      <c r="L464" s="122">
        <v>0</v>
      </c>
      <c r="M464" s="122">
        <v>0</v>
      </c>
      <c r="N464" s="122">
        <v>60</v>
      </c>
      <c r="O464" s="122">
        <v>85</v>
      </c>
      <c r="P464" s="122">
        <v>13</v>
      </c>
      <c r="Q464" s="123"/>
      <c r="R464" s="122">
        <v>1</v>
      </c>
      <c r="S464" s="123"/>
      <c r="T464" s="123"/>
      <c r="U464" s="123"/>
      <c r="V464" s="122">
        <v>8858890730598</v>
      </c>
    </row>
    <row r="465" ht="15.75" customHeight="1" spans="1:22" x14ac:dyDescent="0.25">
      <c r="A465" s="122" t="s">
        <v>1725</v>
      </c>
      <c r="B465" s="123"/>
      <c r="C465" s="123"/>
      <c r="D465" s="122" t="s">
        <v>1726</v>
      </c>
      <c r="E465" s="123"/>
      <c r="F465" s="122" t="s">
        <v>753</v>
      </c>
      <c r="G465" s="122" t="s">
        <v>765</v>
      </c>
      <c r="H465" s="122" t="s">
        <v>766</v>
      </c>
      <c r="I465" s="122" t="s">
        <v>733</v>
      </c>
      <c r="J465" s="122">
        <v>29</v>
      </c>
      <c r="K465" s="122">
        <v>0</v>
      </c>
      <c r="L465" s="122">
        <v>0</v>
      </c>
      <c r="M465" s="122">
        <v>0</v>
      </c>
      <c r="N465" s="122">
        <v>60</v>
      </c>
      <c r="O465" s="122">
        <v>85</v>
      </c>
      <c r="P465" s="122">
        <v>2</v>
      </c>
      <c r="Q465" s="123"/>
      <c r="R465" s="122">
        <v>1</v>
      </c>
      <c r="S465" s="123"/>
      <c r="T465" s="123"/>
      <c r="U465" s="123"/>
      <c r="V465" s="122">
        <v>8858890730604</v>
      </c>
    </row>
    <row r="466" ht="15.75" customHeight="1" spans="1:22" x14ac:dyDescent="0.25">
      <c r="A466" s="122" t="s">
        <v>1727</v>
      </c>
      <c r="B466" s="123"/>
      <c r="C466" s="123"/>
      <c r="D466" s="122" t="s">
        <v>1728</v>
      </c>
      <c r="E466" s="123"/>
      <c r="F466" s="122" t="s">
        <v>753</v>
      </c>
      <c r="G466" s="122" t="s">
        <v>765</v>
      </c>
      <c r="H466" s="122" t="s">
        <v>1231</v>
      </c>
      <c r="I466" s="122" t="s">
        <v>733</v>
      </c>
      <c r="J466" s="122">
        <v>17</v>
      </c>
      <c r="K466" s="122">
        <v>0</v>
      </c>
      <c r="L466" s="122">
        <v>0</v>
      </c>
      <c r="M466" s="122">
        <v>0</v>
      </c>
      <c r="N466" s="122">
        <v>45</v>
      </c>
      <c r="O466" s="122">
        <v>58</v>
      </c>
      <c r="P466" s="122">
        <v>1</v>
      </c>
      <c r="Q466" s="123"/>
      <c r="R466" s="122">
        <v>1</v>
      </c>
      <c r="S466" s="123"/>
      <c r="T466" s="122">
        <v>1</v>
      </c>
      <c r="U466" s="123"/>
      <c r="V466" s="122">
        <v>8858890730055</v>
      </c>
    </row>
    <row r="467" ht="15.75" customHeight="1" spans="1:22" x14ac:dyDescent="0.25">
      <c r="A467" s="122" t="s">
        <v>1729</v>
      </c>
      <c r="B467" s="123"/>
      <c r="C467" s="123"/>
      <c r="D467" s="122" t="s">
        <v>1730</v>
      </c>
      <c r="E467" s="123"/>
      <c r="F467" s="122" t="s">
        <v>753</v>
      </c>
      <c r="G467" s="122" t="s">
        <v>765</v>
      </c>
      <c r="H467" s="122" t="s">
        <v>1231</v>
      </c>
      <c r="I467" s="122" t="s">
        <v>733</v>
      </c>
      <c r="J467" s="122">
        <v>20</v>
      </c>
      <c r="K467" s="122">
        <v>0</v>
      </c>
      <c r="L467" s="122">
        <v>0</v>
      </c>
      <c r="M467" s="122">
        <v>0</v>
      </c>
      <c r="N467" s="122">
        <v>45</v>
      </c>
      <c r="O467" s="122">
        <v>70</v>
      </c>
      <c r="P467" s="122">
        <v>11</v>
      </c>
      <c r="Q467" s="123"/>
      <c r="R467" s="122">
        <v>1</v>
      </c>
      <c r="S467" s="123"/>
      <c r="T467" s="122">
        <v>1</v>
      </c>
      <c r="U467" s="123"/>
      <c r="V467" s="123"/>
    </row>
    <row r="468" ht="15.75" customHeight="1" spans="1:22" x14ac:dyDescent="0.25">
      <c r="A468" s="122" t="s">
        <v>1731</v>
      </c>
      <c r="B468" s="123"/>
      <c r="C468" s="123"/>
      <c r="D468" s="122" t="s">
        <v>1732</v>
      </c>
      <c r="E468" s="123"/>
      <c r="F468" s="122" t="s">
        <v>753</v>
      </c>
      <c r="G468" s="122" t="s">
        <v>765</v>
      </c>
      <c r="H468" s="122" t="s">
        <v>1231</v>
      </c>
      <c r="I468" s="122" t="s">
        <v>733</v>
      </c>
      <c r="J468" s="122">
        <v>31</v>
      </c>
      <c r="K468" s="122">
        <v>0</v>
      </c>
      <c r="L468" s="122">
        <v>0</v>
      </c>
      <c r="M468" s="122">
        <v>0</v>
      </c>
      <c r="N468" s="122">
        <v>45</v>
      </c>
      <c r="O468" s="122">
        <v>70</v>
      </c>
      <c r="P468" s="122">
        <v>10</v>
      </c>
      <c r="Q468" s="123"/>
      <c r="R468" s="122">
        <v>1</v>
      </c>
      <c r="S468" s="123"/>
      <c r="T468" s="122">
        <v>1</v>
      </c>
      <c r="U468" s="123"/>
      <c r="V468" s="122">
        <v>8858890730062</v>
      </c>
    </row>
    <row r="469" ht="15.75" customHeight="1" spans="1:22" x14ac:dyDescent="0.25">
      <c r="A469" s="122" t="s">
        <v>1733</v>
      </c>
      <c r="B469" s="123"/>
      <c r="C469" s="123"/>
      <c r="D469" s="122" t="s">
        <v>1734</v>
      </c>
      <c r="E469" s="122" t="s">
        <v>1735</v>
      </c>
      <c r="F469" s="122" t="s">
        <v>753</v>
      </c>
      <c r="G469" s="122" t="s">
        <v>765</v>
      </c>
      <c r="H469" s="122" t="s">
        <v>766</v>
      </c>
      <c r="I469" s="122" t="s">
        <v>733</v>
      </c>
      <c r="J469" s="122">
        <v>26</v>
      </c>
      <c r="K469" s="122">
        <v>0</v>
      </c>
      <c r="L469" s="122">
        <v>0</v>
      </c>
      <c r="M469" s="122">
        <v>0</v>
      </c>
      <c r="N469" s="122">
        <v>60</v>
      </c>
      <c r="O469" s="122">
        <v>78</v>
      </c>
      <c r="P469" s="122">
        <v>4</v>
      </c>
      <c r="Q469" s="123"/>
      <c r="R469" s="122">
        <v>1</v>
      </c>
      <c r="S469" s="123"/>
      <c r="T469" s="122">
        <v>1</v>
      </c>
      <c r="U469" s="123"/>
      <c r="V469" s="122">
        <v>8858890730024</v>
      </c>
    </row>
    <row r="470" ht="15.75" customHeight="1" spans="1:22" x14ac:dyDescent="0.25">
      <c r="A470" s="122" t="s">
        <v>1736</v>
      </c>
      <c r="B470" s="123"/>
      <c r="C470" s="123"/>
      <c r="D470" s="122" t="s">
        <v>1737</v>
      </c>
      <c r="E470" s="123"/>
      <c r="F470" s="122" t="s">
        <v>753</v>
      </c>
      <c r="G470" s="122" t="s">
        <v>765</v>
      </c>
      <c r="H470" s="122" t="s">
        <v>766</v>
      </c>
      <c r="I470" s="122" t="s">
        <v>733</v>
      </c>
      <c r="J470" s="122">
        <v>10</v>
      </c>
      <c r="K470" s="122">
        <v>0</v>
      </c>
      <c r="L470" s="122">
        <v>0</v>
      </c>
      <c r="M470" s="122">
        <v>0</v>
      </c>
      <c r="N470" s="122">
        <v>30</v>
      </c>
      <c r="O470" s="122">
        <v>58</v>
      </c>
      <c r="P470" s="122">
        <v>9</v>
      </c>
      <c r="Q470" s="123"/>
      <c r="R470" s="122">
        <v>1</v>
      </c>
      <c r="S470" s="123"/>
      <c r="T470" s="122">
        <v>1</v>
      </c>
      <c r="U470" s="123"/>
      <c r="V470" s="122">
        <v>8858890731601</v>
      </c>
    </row>
    <row r="471" ht="15.75" customHeight="1" spans="1:22" x14ac:dyDescent="0.25">
      <c r="A471" s="122" t="s">
        <v>1738</v>
      </c>
      <c r="B471" s="123"/>
      <c r="C471" s="123"/>
      <c r="D471" s="122" t="s">
        <v>1739</v>
      </c>
      <c r="E471" s="123"/>
      <c r="F471" s="122" t="s">
        <v>753</v>
      </c>
      <c r="G471" s="122" t="s">
        <v>765</v>
      </c>
      <c r="H471" s="122" t="s">
        <v>766</v>
      </c>
      <c r="I471" s="122" t="s">
        <v>733</v>
      </c>
      <c r="J471" s="122">
        <v>10</v>
      </c>
      <c r="K471" s="122">
        <v>0</v>
      </c>
      <c r="L471" s="122">
        <v>0</v>
      </c>
      <c r="M471" s="122">
        <v>0</v>
      </c>
      <c r="N471" s="122">
        <v>45</v>
      </c>
      <c r="O471" s="122">
        <v>52</v>
      </c>
      <c r="P471" s="122">
        <v>6</v>
      </c>
      <c r="Q471" s="123"/>
      <c r="R471" s="122">
        <v>1</v>
      </c>
      <c r="S471" s="123"/>
      <c r="T471" s="122">
        <v>1</v>
      </c>
      <c r="U471" s="123"/>
      <c r="V471" s="122">
        <v>8858890730147</v>
      </c>
    </row>
    <row r="472" ht="15.75" customHeight="1" spans="1:22" x14ac:dyDescent="0.25">
      <c r="A472" s="122" t="s">
        <v>596</v>
      </c>
      <c r="B472" s="123"/>
      <c r="C472" s="123"/>
      <c r="D472" s="122" t="s">
        <v>1740</v>
      </c>
      <c r="E472" s="123"/>
      <c r="F472" s="122" t="s">
        <v>753</v>
      </c>
      <c r="G472" s="122" t="s">
        <v>771</v>
      </c>
      <c r="H472" s="122" t="s">
        <v>975</v>
      </c>
      <c r="I472" s="122" t="s">
        <v>733</v>
      </c>
      <c r="J472" s="122">
        <v>45</v>
      </c>
      <c r="K472" s="122">
        <v>0</v>
      </c>
      <c r="L472" s="122">
        <v>0</v>
      </c>
      <c r="M472" s="122">
        <v>0</v>
      </c>
      <c r="N472" s="122">
        <v>60</v>
      </c>
      <c r="O472" s="122">
        <v>130</v>
      </c>
      <c r="P472" s="122">
        <v>11</v>
      </c>
      <c r="Q472" s="123"/>
      <c r="R472" s="122">
        <v>1</v>
      </c>
      <c r="S472" s="123"/>
      <c r="T472" s="122">
        <v>1</v>
      </c>
      <c r="U472" s="123"/>
      <c r="V472" s="122">
        <v>8858890781811</v>
      </c>
    </row>
    <row r="473" ht="15.75" customHeight="1" spans="1:22" x14ac:dyDescent="0.25">
      <c r="A473" s="122" t="s">
        <v>1741</v>
      </c>
      <c r="B473" s="122" t="s">
        <v>750</v>
      </c>
      <c r="C473" s="123"/>
      <c r="D473" s="122" t="s">
        <v>1742</v>
      </c>
      <c r="E473" s="123"/>
      <c r="F473" s="122" t="s">
        <v>742</v>
      </c>
      <c r="G473" s="122" t="s">
        <v>771</v>
      </c>
      <c r="H473" s="122" t="s">
        <v>978</v>
      </c>
      <c r="I473" s="122" t="s">
        <v>733</v>
      </c>
      <c r="J473" s="122">
        <v>100</v>
      </c>
      <c r="K473" s="122">
        <v>0</v>
      </c>
      <c r="L473" s="122">
        <v>0</v>
      </c>
      <c r="M473" s="122">
        <v>0</v>
      </c>
      <c r="N473" s="122">
        <v>135</v>
      </c>
      <c r="O473" s="122">
        <v>180</v>
      </c>
      <c r="P473" s="122">
        <v>17</v>
      </c>
      <c r="Q473" s="123"/>
      <c r="R473" s="122">
        <v>1</v>
      </c>
      <c r="S473" s="123"/>
      <c r="T473" s="122">
        <v>1</v>
      </c>
      <c r="U473" s="123"/>
      <c r="V473" s="122">
        <v>8858890782030</v>
      </c>
    </row>
    <row r="474" ht="15.75" customHeight="1" spans="1:22" x14ac:dyDescent="0.25">
      <c r="A474" s="122" t="s">
        <v>1743</v>
      </c>
      <c r="B474" s="122" t="s">
        <v>750</v>
      </c>
      <c r="C474" s="123"/>
      <c r="D474" s="122" t="s">
        <v>1744</v>
      </c>
      <c r="E474" s="123"/>
      <c r="F474" s="122" t="s">
        <v>753</v>
      </c>
      <c r="G474" s="122" t="s">
        <v>754</v>
      </c>
      <c r="H474" s="122" t="s">
        <v>1126</v>
      </c>
      <c r="I474" s="122" t="s">
        <v>733</v>
      </c>
      <c r="J474" s="122">
        <v>239.16</v>
      </c>
      <c r="K474" s="122">
        <v>0</v>
      </c>
      <c r="L474" s="122">
        <v>165</v>
      </c>
      <c r="M474" s="122">
        <v>0</v>
      </c>
      <c r="N474" s="122">
        <v>180</v>
      </c>
      <c r="O474" s="122">
        <v>230</v>
      </c>
      <c r="P474" s="122">
        <v>45</v>
      </c>
      <c r="Q474" s="123"/>
      <c r="R474" s="122">
        <v>1</v>
      </c>
      <c r="S474" s="122">
        <v>1</v>
      </c>
      <c r="T474" s="122">
        <v>1</v>
      </c>
      <c r="U474" s="123"/>
      <c r="V474" s="122">
        <v>8858890795054</v>
      </c>
    </row>
    <row r="475" ht="15.75" customHeight="1" spans="1:22" x14ac:dyDescent="0.25">
      <c r="A475" s="122" t="s">
        <v>1743</v>
      </c>
      <c r="B475" s="122" t="s">
        <v>874</v>
      </c>
      <c r="C475" s="123"/>
      <c r="D475" s="122" t="s">
        <v>1744</v>
      </c>
      <c r="E475" s="123"/>
      <c r="F475" s="122" t="s">
        <v>753</v>
      </c>
      <c r="G475" s="122" t="s">
        <v>754</v>
      </c>
      <c r="H475" s="122" t="s">
        <v>1126</v>
      </c>
      <c r="I475" s="122" t="s">
        <v>733</v>
      </c>
      <c r="J475" s="122">
        <v>239.16</v>
      </c>
      <c r="K475" s="122">
        <v>0</v>
      </c>
      <c r="L475" s="122">
        <v>165</v>
      </c>
      <c r="M475" s="122">
        <v>0</v>
      </c>
      <c r="N475" s="122">
        <v>180</v>
      </c>
      <c r="O475" s="122">
        <v>230</v>
      </c>
      <c r="P475" s="122">
        <v>3</v>
      </c>
      <c r="Q475" s="123"/>
      <c r="R475" s="122">
        <v>1</v>
      </c>
      <c r="S475" s="122">
        <v>1</v>
      </c>
      <c r="T475" s="122">
        <v>1</v>
      </c>
      <c r="U475" s="123"/>
      <c r="V475" s="122">
        <v>885889079505405</v>
      </c>
    </row>
    <row r="476" ht="15.75" customHeight="1" spans="1:22" x14ac:dyDescent="0.25">
      <c r="A476" s="122" t="s">
        <v>611</v>
      </c>
      <c r="B476" s="123"/>
      <c r="C476" s="123"/>
      <c r="D476" s="122" t="s">
        <v>1745</v>
      </c>
      <c r="E476" s="123"/>
      <c r="F476" s="122" t="s">
        <v>753</v>
      </c>
      <c r="G476" s="122" t="s">
        <v>754</v>
      </c>
      <c r="H476" s="122" t="s">
        <v>1592</v>
      </c>
      <c r="I476" s="122" t="s">
        <v>733</v>
      </c>
      <c r="J476" s="122">
        <v>40</v>
      </c>
      <c r="K476" s="122">
        <v>0</v>
      </c>
      <c r="L476" s="122">
        <v>0</v>
      </c>
      <c r="M476" s="122">
        <v>55</v>
      </c>
      <c r="N476" s="122">
        <v>60</v>
      </c>
      <c r="O476" s="122">
        <v>100</v>
      </c>
      <c r="P476" s="122">
        <v>3</v>
      </c>
      <c r="Q476" s="123"/>
      <c r="R476" s="122">
        <v>1</v>
      </c>
      <c r="S476" s="123"/>
      <c r="T476" s="122">
        <v>1</v>
      </c>
      <c r="U476" s="123"/>
      <c r="V476" s="122">
        <v>8858890790035</v>
      </c>
    </row>
    <row r="477" ht="15.75" customHeight="1" spans="1:22" x14ac:dyDescent="0.25">
      <c r="A477" s="122" t="s">
        <v>614</v>
      </c>
      <c r="B477" s="123"/>
      <c r="C477" s="123"/>
      <c r="D477" s="122" t="s">
        <v>1746</v>
      </c>
      <c r="E477" s="123"/>
      <c r="F477" s="122" t="s">
        <v>753</v>
      </c>
      <c r="G477" s="122" t="s">
        <v>754</v>
      </c>
      <c r="H477" s="122" t="s">
        <v>1592</v>
      </c>
      <c r="I477" s="122" t="s">
        <v>733</v>
      </c>
      <c r="J477" s="122">
        <v>31</v>
      </c>
      <c r="K477" s="122">
        <v>0</v>
      </c>
      <c r="L477" s="122">
        <v>0</v>
      </c>
      <c r="M477" s="122">
        <v>55</v>
      </c>
      <c r="N477" s="122">
        <v>60</v>
      </c>
      <c r="O477" s="122">
        <v>100</v>
      </c>
      <c r="P477" s="122">
        <v>6</v>
      </c>
      <c r="Q477" s="123"/>
      <c r="R477" s="122">
        <v>1</v>
      </c>
      <c r="S477" s="123"/>
      <c r="T477" s="122">
        <v>1</v>
      </c>
      <c r="U477" s="123"/>
      <c r="V477" s="122">
        <v>8858890790073</v>
      </c>
    </row>
    <row r="478" ht="15.75" customHeight="1" spans="1:22" x14ac:dyDescent="0.25">
      <c r="A478" s="122" t="s">
        <v>1747</v>
      </c>
      <c r="B478" s="123"/>
      <c r="C478" s="123"/>
      <c r="D478" s="122" t="s">
        <v>1748</v>
      </c>
      <c r="E478" s="123"/>
      <c r="F478" s="122" t="s">
        <v>753</v>
      </c>
      <c r="G478" s="122" t="s">
        <v>754</v>
      </c>
      <c r="H478" s="122" t="s">
        <v>1592</v>
      </c>
      <c r="I478" s="122" t="s">
        <v>733</v>
      </c>
      <c r="J478" s="122">
        <v>29</v>
      </c>
      <c r="K478" s="122">
        <v>0</v>
      </c>
      <c r="L478" s="122">
        <v>0</v>
      </c>
      <c r="M478" s="122">
        <v>0</v>
      </c>
      <c r="N478" s="122">
        <v>60</v>
      </c>
      <c r="O478" s="122">
        <v>99</v>
      </c>
      <c r="P478" s="122">
        <v>2</v>
      </c>
      <c r="Q478" s="123"/>
      <c r="R478" s="122">
        <v>1</v>
      </c>
      <c r="S478" s="123"/>
      <c r="T478" s="122">
        <v>1</v>
      </c>
      <c r="U478" s="123"/>
      <c r="V478" s="122">
        <v>8858890790080</v>
      </c>
    </row>
    <row r="479" ht="15.75" customHeight="1" spans="1:22" x14ac:dyDescent="0.25">
      <c r="A479" s="122" t="s">
        <v>445</v>
      </c>
      <c r="B479" s="123"/>
      <c r="C479" s="123"/>
      <c r="D479" s="122" t="s">
        <v>1749</v>
      </c>
      <c r="E479" s="123"/>
      <c r="F479" s="122" t="s">
        <v>753</v>
      </c>
      <c r="G479" s="122" t="s">
        <v>754</v>
      </c>
      <c r="H479" s="122" t="s">
        <v>1671</v>
      </c>
      <c r="I479" s="122" t="s">
        <v>733</v>
      </c>
      <c r="J479" s="122">
        <v>10</v>
      </c>
      <c r="K479" s="122">
        <v>0</v>
      </c>
      <c r="L479" s="122">
        <v>0</v>
      </c>
      <c r="M479" s="122">
        <v>0</v>
      </c>
      <c r="N479" s="122">
        <v>35</v>
      </c>
      <c r="O479" s="122">
        <v>65</v>
      </c>
      <c r="P479" s="122">
        <v>11</v>
      </c>
      <c r="Q479" s="123"/>
      <c r="R479" s="122">
        <v>1</v>
      </c>
      <c r="S479" s="123"/>
      <c r="T479" s="122">
        <v>1</v>
      </c>
      <c r="U479" s="123"/>
      <c r="V479" s="122">
        <v>8858890793753</v>
      </c>
    </row>
    <row r="480" ht="15.75" customHeight="1" spans="1:22" x14ac:dyDescent="0.25">
      <c r="A480" s="122" t="s">
        <v>1750</v>
      </c>
      <c r="B480" s="123"/>
      <c r="C480" s="123"/>
      <c r="D480" s="122" t="s">
        <v>1751</v>
      </c>
      <c r="E480" s="123"/>
      <c r="F480" s="122" t="s">
        <v>753</v>
      </c>
      <c r="G480" s="122" t="s">
        <v>771</v>
      </c>
      <c r="H480" s="122" t="s">
        <v>975</v>
      </c>
      <c r="I480" s="122" t="s">
        <v>733</v>
      </c>
      <c r="J480" s="122">
        <v>70</v>
      </c>
      <c r="K480" s="122">
        <v>0</v>
      </c>
      <c r="L480" s="122">
        <v>0</v>
      </c>
      <c r="M480" s="122">
        <v>0</v>
      </c>
      <c r="N480" s="122">
        <v>99</v>
      </c>
      <c r="O480" s="122">
        <v>135</v>
      </c>
      <c r="P480" s="122">
        <v>5</v>
      </c>
      <c r="Q480" s="123"/>
      <c r="R480" s="122">
        <v>1</v>
      </c>
      <c r="S480" s="123"/>
      <c r="T480" s="122">
        <v>1</v>
      </c>
      <c r="U480" s="123"/>
      <c r="V480" s="122">
        <v>8858890781613</v>
      </c>
    </row>
    <row r="481" ht="15.75" customHeight="1" spans="1:22" x14ac:dyDescent="0.25">
      <c r="A481" s="122" t="s">
        <v>1752</v>
      </c>
      <c r="B481" s="123"/>
      <c r="C481" s="123"/>
      <c r="D481" s="122" t="s">
        <v>1753</v>
      </c>
      <c r="E481" s="122" t="s">
        <v>1754</v>
      </c>
      <c r="F481" s="122" t="s">
        <v>753</v>
      </c>
      <c r="G481" s="122" t="s">
        <v>754</v>
      </c>
      <c r="H481" s="122" t="s">
        <v>1522</v>
      </c>
      <c r="I481" s="122" t="s">
        <v>733</v>
      </c>
      <c r="J481" s="122">
        <v>28</v>
      </c>
      <c r="K481" s="122">
        <v>0</v>
      </c>
      <c r="L481" s="122">
        <v>0</v>
      </c>
      <c r="M481" s="122">
        <v>0</v>
      </c>
      <c r="N481" s="122">
        <v>70</v>
      </c>
      <c r="O481" s="122">
        <v>80</v>
      </c>
      <c r="P481" s="122">
        <v>0</v>
      </c>
      <c r="Q481" s="123"/>
      <c r="R481" s="122">
        <v>1</v>
      </c>
      <c r="S481" s="123"/>
      <c r="T481" s="122">
        <v>1</v>
      </c>
      <c r="U481" s="123"/>
      <c r="V481" s="122">
        <v>8858890792275</v>
      </c>
    </row>
    <row r="482" ht="15.75" customHeight="1" spans="1:22" x14ac:dyDescent="0.25">
      <c r="A482" s="122" t="s">
        <v>1755</v>
      </c>
      <c r="B482" s="123"/>
      <c r="C482" s="123"/>
      <c r="D482" s="122" t="s">
        <v>1756</v>
      </c>
      <c r="E482" s="123"/>
      <c r="F482" s="122" t="s">
        <v>753</v>
      </c>
      <c r="G482" s="122" t="s">
        <v>754</v>
      </c>
      <c r="H482" s="122" t="s">
        <v>1522</v>
      </c>
      <c r="I482" s="122" t="s">
        <v>733</v>
      </c>
      <c r="J482" s="122">
        <v>30</v>
      </c>
      <c r="K482" s="122">
        <v>0</v>
      </c>
      <c r="L482" s="122">
        <v>0</v>
      </c>
      <c r="M482" s="122">
        <v>0</v>
      </c>
      <c r="N482" s="122">
        <v>73</v>
      </c>
      <c r="O482" s="122">
        <v>83</v>
      </c>
      <c r="P482" s="122">
        <v>0</v>
      </c>
      <c r="Q482" s="123"/>
      <c r="R482" s="122">
        <v>1</v>
      </c>
      <c r="S482" s="123"/>
      <c r="T482" s="122">
        <v>1</v>
      </c>
      <c r="U482" s="123"/>
      <c r="V482" s="122">
        <v>8858890792282</v>
      </c>
    </row>
    <row r="483" ht="15.75" customHeight="1" spans="1:22" x14ac:dyDescent="0.25">
      <c r="A483" s="122" t="s">
        <v>1757</v>
      </c>
      <c r="B483" s="123"/>
      <c r="C483" s="123"/>
      <c r="D483" s="122" t="s">
        <v>1758</v>
      </c>
      <c r="E483" s="123"/>
      <c r="F483" s="122" t="s">
        <v>753</v>
      </c>
      <c r="G483" s="122" t="s">
        <v>754</v>
      </c>
      <c r="H483" s="122" t="s">
        <v>1522</v>
      </c>
      <c r="I483" s="122" t="s">
        <v>733</v>
      </c>
      <c r="J483" s="122">
        <v>40</v>
      </c>
      <c r="K483" s="122">
        <v>0</v>
      </c>
      <c r="L483" s="122">
        <v>0</v>
      </c>
      <c r="M483" s="122">
        <v>0</v>
      </c>
      <c r="N483" s="122">
        <v>60</v>
      </c>
      <c r="O483" s="122">
        <v>80</v>
      </c>
      <c r="P483" s="122">
        <v>36</v>
      </c>
      <c r="Q483" s="123"/>
      <c r="R483" s="122">
        <v>1</v>
      </c>
      <c r="S483" s="123"/>
      <c r="T483" s="122">
        <v>1</v>
      </c>
      <c r="U483" s="123"/>
      <c r="V483" s="122">
        <v>885889079229903</v>
      </c>
    </row>
    <row r="484" ht="15.75" customHeight="1" spans="1:22" x14ac:dyDescent="0.25">
      <c r="A484" s="122" t="s">
        <v>1759</v>
      </c>
      <c r="B484" s="123"/>
      <c r="C484" s="123"/>
      <c r="D484" s="122" t="s">
        <v>1760</v>
      </c>
      <c r="E484" s="123"/>
      <c r="F484" s="122" t="s">
        <v>753</v>
      </c>
      <c r="G484" s="122" t="s">
        <v>754</v>
      </c>
      <c r="H484" s="122" t="s">
        <v>1522</v>
      </c>
      <c r="I484" s="122" t="s">
        <v>733</v>
      </c>
      <c r="J484" s="122">
        <v>32</v>
      </c>
      <c r="K484" s="122">
        <v>0</v>
      </c>
      <c r="L484" s="122">
        <v>0</v>
      </c>
      <c r="M484" s="122">
        <v>0</v>
      </c>
      <c r="N484" s="122">
        <v>60</v>
      </c>
      <c r="O484" s="122">
        <v>87</v>
      </c>
      <c r="P484" s="122">
        <v>9</v>
      </c>
      <c r="Q484" s="123"/>
      <c r="R484" s="122">
        <v>1</v>
      </c>
      <c r="S484" s="123"/>
      <c r="T484" s="122">
        <v>1</v>
      </c>
      <c r="U484" s="123"/>
      <c r="V484" s="122">
        <v>8858890792305</v>
      </c>
    </row>
    <row r="485" ht="15.75" customHeight="1" spans="1:22" x14ac:dyDescent="0.25">
      <c r="A485" s="122" t="s">
        <v>1761</v>
      </c>
      <c r="B485" s="123"/>
      <c r="C485" s="123"/>
      <c r="D485" s="122" t="s">
        <v>1762</v>
      </c>
      <c r="E485" s="123"/>
      <c r="F485" s="122" t="s">
        <v>753</v>
      </c>
      <c r="G485" s="122" t="s">
        <v>754</v>
      </c>
      <c r="H485" s="122" t="s">
        <v>1522</v>
      </c>
      <c r="I485" s="122" t="s">
        <v>733</v>
      </c>
      <c r="J485" s="122">
        <v>35</v>
      </c>
      <c r="K485" s="122">
        <v>0</v>
      </c>
      <c r="L485" s="122">
        <v>0</v>
      </c>
      <c r="M485" s="122">
        <v>0</v>
      </c>
      <c r="N485" s="122">
        <v>60</v>
      </c>
      <c r="O485" s="122">
        <v>90</v>
      </c>
      <c r="P485" s="122">
        <v>12</v>
      </c>
      <c r="Q485" s="123"/>
      <c r="R485" s="122">
        <v>1</v>
      </c>
      <c r="S485" s="123"/>
      <c r="T485" s="122">
        <v>1</v>
      </c>
      <c r="U485" s="123"/>
      <c r="V485" s="122">
        <v>8858890792312</v>
      </c>
    </row>
    <row r="486" ht="15.75" customHeight="1" spans="1:22" x14ac:dyDescent="0.25">
      <c r="A486" s="122" t="s">
        <v>429</v>
      </c>
      <c r="B486" s="123"/>
      <c r="C486" s="123"/>
      <c r="D486" s="122" t="s">
        <v>1763</v>
      </c>
      <c r="E486" s="123"/>
      <c r="F486" s="122" t="s">
        <v>753</v>
      </c>
      <c r="G486" s="122" t="s">
        <v>754</v>
      </c>
      <c r="H486" s="122" t="s">
        <v>1117</v>
      </c>
      <c r="I486" s="122" t="s">
        <v>733</v>
      </c>
      <c r="J486" s="122">
        <v>38</v>
      </c>
      <c r="K486" s="122">
        <v>0</v>
      </c>
      <c r="L486" s="122">
        <v>50</v>
      </c>
      <c r="M486" s="122">
        <v>55</v>
      </c>
      <c r="N486" s="122">
        <v>60</v>
      </c>
      <c r="O486" s="122">
        <v>100</v>
      </c>
      <c r="P486" s="122">
        <v>1</v>
      </c>
      <c r="Q486" s="123"/>
      <c r="R486" s="122">
        <v>1</v>
      </c>
      <c r="S486" s="123"/>
      <c r="T486" s="122">
        <v>1</v>
      </c>
      <c r="U486" s="123"/>
      <c r="V486" s="122">
        <v>8858890791445</v>
      </c>
    </row>
    <row r="487" ht="15.75" customHeight="1" spans="1:22" x14ac:dyDescent="0.25">
      <c r="A487" s="122" t="s">
        <v>37</v>
      </c>
      <c r="B487" s="123"/>
      <c r="C487" s="123"/>
      <c r="D487" s="122" t="s">
        <v>1764</v>
      </c>
      <c r="E487" s="123"/>
      <c r="F487" s="122" t="s">
        <v>742</v>
      </c>
      <c r="G487" s="122" t="s">
        <v>831</v>
      </c>
      <c r="H487" s="122" t="s">
        <v>1203</v>
      </c>
      <c r="I487" s="122" t="s">
        <v>733</v>
      </c>
      <c r="J487" s="122">
        <v>400</v>
      </c>
      <c r="K487" s="122">
        <v>0</v>
      </c>
      <c r="L487" s="122">
        <v>420</v>
      </c>
      <c r="M487" s="122">
        <v>0</v>
      </c>
      <c r="N487" s="122">
        <v>435</v>
      </c>
      <c r="O487" s="122">
        <v>550</v>
      </c>
      <c r="P487" s="122">
        <v>0</v>
      </c>
      <c r="Q487" s="123"/>
      <c r="R487" s="122">
        <v>1</v>
      </c>
      <c r="S487" s="122">
        <v>1</v>
      </c>
      <c r="T487" s="122">
        <v>1</v>
      </c>
      <c r="U487" s="123"/>
      <c r="V487" s="122">
        <v>8858890794804</v>
      </c>
    </row>
    <row r="488" ht="15.75" customHeight="1" spans="1:22" x14ac:dyDescent="0.25">
      <c r="A488" s="122" t="s">
        <v>221</v>
      </c>
      <c r="B488" s="123"/>
      <c r="C488" s="123"/>
      <c r="D488" s="122" t="s">
        <v>222</v>
      </c>
      <c r="E488" s="122" t="s">
        <v>1765</v>
      </c>
      <c r="F488" s="122" t="s">
        <v>779</v>
      </c>
      <c r="G488" s="122" t="s">
        <v>784</v>
      </c>
      <c r="H488" s="122" t="s">
        <v>785</v>
      </c>
      <c r="I488" s="122" t="s">
        <v>733</v>
      </c>
      <c r="J488" s="122">
        <v>400</v>
      </c>
      <c r="K488" s="122">
        <v>50</v>
      </c>
      <c r="L488" s="122">
        <v>435</v>
      </c>
      <c r="M488" s="122">
        <v>99</v>
      </c>
      <c r="N488" s="122">
        <v>499</v>
      </c>
      <c r="O488" s="122">
        <v>550</v>
      </c>
      <c r="P488" s="122">
        <v>87</v>
      </c>
      <c r="Q488" s="123"/>
      <c r="R488" s="122">
        <v>1</v>
      </c>
      <c r="S488" s="122">
        <v>1</v>
      </c>
      <c r="T488" s="122">
        <v>1</v>
      </c>
      <c r="U488" s="123"/>
      <c r="V488" s="122">
        <v>8858890713034</v>
      </c>
    </row>
    <row r="489" ht="15.75" customHeight="1" spans="1:22" x14ac:dyDescent="0.25">
      <c r="A489" s="122" t="s">
        <v>226</v>
      </c>
      <c r="B489" s="123"/>
      <c r="C489" s="123"/>
      <c r="D489" s="122" t="s">
        <v>227</v>
      </c>
      <c r="E489" s="122" t="s">
        <v>1765</v>
      </c>
      <c r="F489" s="122" t="s">
        <v>779</v>
      </c>
      <c r="G489" s="122" t="s">
        <v>784</v>
      </c>
      <c r="H489" s="122" t="s">
        <v>785</v>
      </c>
      <c r="I489" s="122" t="s">
        <v>733</v>
      </c>
      <c r="J489" s="122">
        <v>400</v>
      </c>
      <c r="K489" s="122">
        <v>50</v>
      </c>
      <c r="L489" s="122">
        <v>435</v>
      </c>
      <c r="M489" s="122">
        <v>99</v>
      </c>
      <c r="N489" s="122">
        <v>499</v>
      </c>
      <c r="O489" s="122">
        <v>550</v>
      </c>
      <c r="P489" s="122">
        <v>96</v>
      </c>
      <c r="Q489" s="123"/>
      <c r="R489" s="122">
        <v>1</v>
      </c>
      <c r="S489" s="122">
        <v>1</v>
      </c>
      <c r="T489" s="122">
        <v>1</v>
      </c>
      <c r="U489" s="123"/>
      <c r="V489" s="122">
        <v>8858890713041</v>
      </c>
    </row>
    <row r="490" ht="15.75" customHeight="1" spans="1:22" x14ac:dyDescent="0.25">
      <c r="A490" s="122" t="s">
        <v>228</v>
      </c>
      <c r="B490" s="123"/>
      <c r="C490" s="123"/>
      <c r="D490" s="122" t="s">
        <v>1766</v>
      </c>
      <c r="E490" s="122" t="s">
        <v>1767</v>
      </c>
      <c r="F490" s="122" t="s">
        <v>779</v>
      </c>
      <c r="G490" s="122" t="s">
        <v>784</v>
      </c>
      <c r="H490" s="122" t="s">
        <v>785</v>
      </c>
      <c r="I490" s="122" t="s">
        <v>733</v>
      </c>
      <c r="J490" s="122">
        <v>400</v>
      </c>
      <c r="K490" s="122">
        <v>50</v>
      </c>
      <c r="L490" s="122">
        <v>435</v>
      </c>
      <c r="M490" s="122">
        <v>99</v>
      </c>
      <c r="N490" s="122">
        <v>499</v>
      </c>
      <c r="O490" s="122">
        <v>550</v>
      </c>
      <c r="P490" s="122">
        <v>98</v>
      </c>
      <c r="Q490" s="123"/>
      <c r="R490" s="122">
        <v>1</v>
      </c>
      <c r="S490" s="122">
        <v>1</v>
      </c>
      <c r="T490" s="122">
        <v>1</v>
      </c>
      <c r="U490" s="123"/>
      <c r="V490" s="122">
        <v>8858890713058</v>
      </c>
    </row>
    <row r="491" ht="15.75" customHeight="1" spans="1:22" x14ac:dyDescent="0.25">
      <c r="A491" s="122" t="s">
        <v>1768</v>
      </c>
      <c r="B491" s="123"/>
      <c r="C491" s="123"/>
      <c r="D491" s="122" t="s">
        <v>1769</v>
      </c>
      <c r="E491" s="122" t="s">
        <v>1770</v>
      </c>
      <c r="F491" s="122" t="s">
        <v>753</v>
      </c>
      <c r="G491" s="122" t="s">
        <v>754</v>
      </c>
      <c r="H491" s="122" t="s">
        <v>1112</v>
      </c>
      <c r="I491" s="122" t="s">
        <v>733</v>
      </c>
      <c r="J491" s="122">
        <v>50</v>
      </c>
      <c r="K491" s="122">
        <v>0</v>
      </c>
      <c r="L491" s="122">
        <v>0</v>
      </c>
      <c r="M491" s="122">
        <v>0</v>
      </c>
      <c r="N491" s="122">
        <v>80</v>
      </c>
      <c r="O491" s="122">
        <v>180</v>
      </c>
      <c r="P491" s="122">
        <v>1</v>
      </c>
      <c r="Q491" s="123"/>
      <c r="R491" s="122">
        <v>1</v>
      </c>
      <c r="S491" s="122">
        <v>1</v>
      </c>
      <c r="T491" s="122">
        <v>1</v>
      </c>
      <c r="U491" s="123"/>
      <c r="V491" s="122">
        <v>8858890791162</v>
      </c>
    </row>
    <row r="492" ht="15.75" customHeight="1" spans="1:22" x14ac:dyDescent="0.25">
      <c r="A492" s="122" t="s">
        <v>450</v>
      </c>
      <c r="B492" s="123"/>
      <c r="C492" s="123"/>
      <c r="D492" s="122" t="s">
        <v>1771</v>
      </c>
      <c r="E492" s="123"/>
      <c r="F492" s="122" t="s">
        <v>753</v>
      </c>
      <c r="G492" s="122" t="s">
        <v>754</v>
      </c>
      <c r="H492" s="122" t="s">
        <v>1276</v>
      </c>
      <c r="I492" s="122" t="s">
        <v>733</v>
      </c>
      <c r="J492" s="122">
        <v>10</v>
      </c>
      <c r="K492" s="122">
        <v>0</v>
      </c>
      <c r="L492" s="122">
        <v>0</v>
      </c>
      <c r="M492" s="122">
        <v>25</v>
      </c>
      <c r="N492" s="122">
        <v>35</v>
      </c>
      <c r="O492" s="122">
        <v>68</v>
      </c>
      <c r="P492" s="122">
        <v>99</v>
      </c>
      <c r="Q492" s="123"/>
      <c r="R492" s="122">
        <v>1</v>
      </c>
      <c r="S492" s="123"/>
      <c r="T492" s="122">
        <v>1</v>
      </c>
      <c r="U492" s="123"/>
      <c r="V492" s="122">
        <v>8858890780982</v>
      </c>
    </row>
    <row r="493" ht="15.75" customHeight="1" spans="1:22" x14ac:dyDescent="0.25">
      <c r="A493" s="122" t="s">
        <v>1772</v>
      </c>
      <c r="B493" s="123"/>
      <c r="C493" s="123"/>
      <c r="D493" s="122" t="s">
        <v>1773</v>
      </c>
      <c r="E493" s="122" t="s">
        <v>1774</v>
      </c>
      <c r="F493" s="122" t="s">
        <v>753</v>
      </c>
      <c r="G493" s="122" t="s">
        <v>731</v>
      </c>
      <c r="H493" s="122" t="s">
        <v>794</v>
      </c>
      <c r="I493" s="122" t="s">
        <v>733</v>
      </c>
      <c r="J493" s="122">
        <v>50</v>
      </c>
      <c r="K493" s="122">
        <v>0</v>
      </c>
      <c r="L493" s="122">
        <v>55</v>
      </c>
      <c r="M493" s="122">
        <v>0</v>
      </c>
      <c r="N493" s="122">
        <v>60</v>
      </c>
      <c r="O493" s="122">
        <v>120</v>
      </c>
      <c r="P493" s="122">
        <v>8</v>
      </c>
      <c r="Q493" s="123"/>
      <c r="R493" s="122">
        <v>1</v>
      </c>
      <c r="S493" s="123"/>
      <c r="T493" s="122">
        <v>1</v>
      </c>
      <c r="U493" s="123"/>
      <c r="V493" s="122">
        <v>6932002010074</v>
      </c>
    </row>
    <row r="494" ht="15.75" customHeight="1" spans="1:22" x14ac:dyDescent="0.25">
      <c r="A494" s="122" t="s">
        <v>40</v>
      </c>
      <c r="B494" s="123"/>
      <c r="C494" s="123"/>
      <c r="D494" s="122" t="s">
        <v>1775</v>
      </c>
      <c r="E494" s="122" t="s">
        <v>1776</v>
      </c>
      <c r="F494" s="122" t="s">
        <v>742</v>
      </c>
      <c r="G494" s="122" t="s">
        <v>831</v>
      </c>
      <c r="H494" s="122" t="s">
        <v>832</v>
      </c>
      <c r="I494" s="122" t="s">
        <v>733</v>
      </c>
      <c r="J494" s="122">
        <v>200</v>
      </c>
      <c r="K494" s="122">
        <v>150</v>
      </c>
      <c r="L494" s="122">
        <v>0</v>
      </c>
      <c r="M494" s="122">
        <v>220</v>
      </c>
      <c r="N494" s="122">
        <v>250</v>
      </c>
      <c r="O494" s="122">
        <v>350</v>
      </c>
      <c r="P494" s="122">
        <v>85</v>
      </c>
      <c r="Q494" s="123"/>
      <c r="R494" s="122">
        <v>1</v>
      </c>
      <c r="S494" s="123"/>
      <c r="T494" s="122">
        <v>1</v>
      </c>
      <c r="U494" s="123"/>
      <c r="V494" s="122">
        <v>8858890726041</v>
      </c>
    </row>
    <row r="495" ht="15.75" customHeight="1" spans="1:22" x14ac:dyDescent="0.25">
      <c r="A495" s="122" t="s">
        <v>1777</v>
      </c>
      <c r="B495" s="123"/>
      <c r="C495" s="123"/>
      <c r="D495" s="122" t="s">
        <v>1778</v>
      </c>
      <c r="E495" s="122" t="s">
        <v>1779</v>
      </c>
      <c r="F495" s="122" t="s">
        <v>753</v>
      </c>
      <c r="G495" s="122" t="s">
        <v>759</v>
      </c>
      <c r="H495" s="122" t="s">
        <v>760</v>
      </c>
      <c r="I495" s="122" t="s">
        <v>733</v>
      </c>
      <c r="J495" s="122">
        <v>1200</v>
      </c>
      <c r="K495" s="122">
        <v>1250</v>
      </c>
      <c r="L495" s="122">
        <v>1360</v>
      </c>
      <c r="M495" s="122">
        <v>1250</v>
      </c>
      <c r="N495" s="122">
        <v>2500</v>
      </c>
      <c r="O495" s="122">
        <v>3600</v>
      </c>
      <c r="P495" s="122">
        <v>38</v>
      </c>
      <c r="Q495" s="123"/>
      <c r="R495" s="122">
        <v>1</v>
      </c>
      <c r="S495" s="122">
        <v>1</v>
      </c>
      <c r="T495" s="122">
        <v>1</v>
      </c>
      <c r="U495" s="123"/>
      <c r="V495" s="122">
        <v>8858890760014</v>
      </c>
    </row>
    <row r="496" ht="15.75" customHeight="1" spans="1:22" x14ac:dyDescent="0.25">
      <c r="A496" s="122" t="s">
        <v>1780</v>
      </c>
      <c r="B496" s="123"/>
      <c r="C496" s="123"/>
      <c r="D496" s="122" t="s">
        <v>1781</v>
      </c>
      <c r="E496" s="122" t="s">
        <v>1782</v>
      </c>
      <c r="F496" s="122" t="s">
        <v>753</v>
      </c>
      <c r="G496" s="122" t="s">
        <v>771</v>
      </c>
      <c r="H496" s="122" t="s">
        <v>1000</v>
      </c>
      <c r="I496" s="122" t="s">
        <v>733</v>
      </c>
      <c r="J496" s="122">
        <v>30</v>
      </c>
      <c r="K496" s="122">
        <v>0</v>
      </c>
      <c r="L496" s="122">
        <v>60</v>
      </c>
      <c r="M496" s="122">
        <v>0</v>
      </c>
      <c r="N496" s="122">
        <v>85</v>
      </c>
      <c r="O496" s="122">
        <v>100</v>
      </c>
      <c r="P496" s="122">
        <v>15</v>
      </c>
      <c r="Q496" s="123"/>
      <c r="R496" s="122">
        <v>1</v>
      </c>
      <c r="S496" s="122">
        <v>1</v>
      </c>
      <c r="T496" s="122">
        <v>1</v>
      </c>
      <c r="U496" s="123"/>
      <c r="V496" s="122">
        <v>8858890781170</v>
      </c>
    </row>
    <row r="497" ht="15.75" customHeight="1" spans="1:22" x14ac:dyDescent="0.25">
      <c r="A497" s="122" t="s">
        <v>1783</v>
      </c>
      <c r="B497" s="123"/>
      <c r="C497" s="123"/>
      <c r="D497" s="122" t="s">
        <v>1784</v>
      </c>
      <c r="E497" s="122" t="s">
        <v>1785</v>
      </c>
      <c r="F497" s="122" t="s">
        <v>753</v>
      </c>
      <c r="G497" s="122" t="s">
        <v>771</v>
      </c>
      <c r="H497" s="122" t="s">
        <v>1000</v>
      </c>
      <c r="I497" s="122" t="s">
        <v>733</v>
      </c>
      <c r="J497" s="122">
        <v>30</v>
      </c>
      <c r="K497" s="122">
        <v>0</v>
      </c>
      <c r="L497" s="122">
        <v>60</v>
      </c>
      <c r="M497" s="122">
        <v>0</v>
      </c>
      <c r="N497" s="122">
        <v>85</v>
      </c>
      <c r="O497" s="122">
        <v>100</v>
      </c>
      <c r="P497" s="122">
        <v>0</v>
      </c>
      <c r="Q497" s="123"/>
      <c r="R497" s="122">
        <v>1</v>
      </c>
      <c r="S497" s="122">
        <v>1</v>
      </c>
      <c r="T497" s="122">
        <v>1</v>
      </c>
      <c r="U497" s="123"/>
      <c r="V497" s="122">
        <v>8858890781187</v>
      </c>
    </row>
    <row r="498" ht="15.75" customHeight="1" spans="1:22" x14ac:dyDescent="0.25">
      <c r="A498" s="122" t="s">
        <v>1786</v>
      </c>
      <c r="B498" s="123"/>
      <c r="C498" s="123"/>
      <c r="D498" s="122" t="s">
        <v>1787</v>
      </c>
      <c r="E498" s="122" t="s">
        <v>1788</v>
      </c>
      <c r="F498" s="122" t="s">
        <v>753</v>
      </c>
      <c r="G498" s="122" t="s">
        <v>771</v>
      </c>
      <c r="H498" s="122" t="s">
        <v>1000</v>
      </c>
      <c r="I498" s="122" t="s">
        <v>733</v>
      </c>
      <c r="J498" s="122">
        <v>30</v>
      </c>
      <c r="K498" s="122">
        <v>0</v>
      </c>
      <c r="L498" s="122">
        <v>60</v>
      </c>
      <c r="M498" s="122">
        <v>0</v>
      </c>
      <c r="N498" s="122">
        <v>85</v>
      </c>
      <c r="O498" s="122">
        <v>100</v>
      </c>
      <c r="P498" s="122">
        <v>0</v>
      </c>
      <c r="Q498" s="123"/>
      <c r="R498" s="122">
        <v>1</v>
      </c>
      <c r="S498" s="122">
        <v>1</v>
      </c>
      <c r="T498" s="122">
        <v>1</v>
      </c>
      <c r="U498" s="123"/>
      <c r="V498" s="122">
        <v>8858890781217</v>
      </c>
    </row>
    <row r="499" ht="15.75" customHeight="1" spans="1:22" x14ac:dyDescent="0.25">
      <c r="A499" s="122" t="s">
        <v>1789</v>
      </c>
      <c r="B499" s="123"/>
      <c r="C499" s="123"/>
      <c r="D499" s="122" t="s">
        <v>1790</v>
      </c>
      <c r="E499" s="122" t="s">
        <v>1791</v>
      </c>
      <c r="F499" s="122" t="s">
        <v>753</v>
      </c>
      <c r="G499" s="122" t="s">
        <v>771</v>
      </c>
      <c r="H499" s="122" t="s">
        <v>1000</v>
      </c>
      <c r="I499" s="122" t="s">
        <v>733</v>
      </c>
      <c r="J499" s="122">
        <v>30</v>
      </c>
      <c r="K499" s="122">
        <v>0</v>
      </c>
      <c r="L499" s="122">
        <v>60</v>
      </c>
      <c r="M499" s="122">
        <v>0</v>
      </c>
      <c r="N499" s="122">
        <v>85</v>
      </c>
      <c r="O499" s="122">
        <v>100</v>
      </c>
      <c r="P499" s="122">
        <v>9</v>
      </c>
      <c r="Q499" s="123"/>
      <c r="R499" s="122">
        <v>1</v>
      </c>
      <c r="S499" s="122">
        <v>1</v>
      </c>
      <c r="T499" s="122">
        <v>1</v>
      </c>
      <c r="U499" s="123"/>
      <c r="V499" s="122">
        <v>8858890781248</v>
      </c>
    </row>
    <row r="500" ht="15.75" customHeight="1" spans="1:22" x14ac:dyDescent="0.25">
      <c r="A500" s="122" t="s">
        <v>1792</v>
      </c>
      <c r="B500" s="123"/>
      <c r="C500" s="123"/>
      <c r="D500" s="122" t="s">
        <v>1793</v>
      </c>
      <c r="E500" s="122" t="s">
        <v>1788</v>
      </c>
      <c r="F500" s="122" t="s">
        <v>753</v>
      </c>
      <c r="G500" s="122" t="s">
        <v>771</v>
      </c>
      <c r="H500" s="122" t="s">
        <v>1000</v>
      </c>
      <c r="I500" s="122" t="s">
        <v>733</v>
      </c>
      <c r="J500" s="122">
        <v>30</v>
      </c>
      <c r="K500" s="122">
        <v>0</v>
      </c>
      <c r="L500" s="122">
        <v>60</v>
      </c>
      <c r="M500" s="122">
        <v>0</v>
      </c>
      <c r="N500" s="122">
        <v>85</v>
      </c>
      <c r="O500" s="122">
        <v>100</v>
      </c>
      <c r="P500" s="122">
        <v>25</v>
      </c>
      <c r="Q500" s="123"/>
      <c r="R500" s="122">
        <v>1</v>
      </c>
      <c r="S500" s="122">
        <v>1</v>
      </c>
      <c r="T500" s="122">
        <v>1</v>
      </c>
      <c r="U500" s="123"/>
      <c r="V500" s="122">
        <v>885889078119410</v>
      </c>
    </row>
    <row r="501" ht="15.75" customHeight="1" spans="1:22" x14ac:dyDescent="0.25">
      <c r="A501" s="122" t="s">
        <v>1794</v>
      </c>
      <c r="B501" s="123"/>
      <c r="C501" s="123"/>
      <c r="D501" s="122" t="s">
        <v>1795</v>
      </c>
      <c r="E501" s="122" t="s">
        <v>1796</v>
      </c>
      <c r="F501" s="122" t="s">
        <v>753</v>
      </c>
      <c r="G501" s="122" t="s">
        <v>771</v>
      </c>
      <c r="H501" s="122" t="s">
        <v>1000</v>
      </c>
      <c r="I501" s="122" t="s">
        <v>733</v>
      </c>
      <c r="J501" s="122">
        <v>30</v>
      </c>
      <c r="K501" s="122">
        <v>0</v>
      </c>
      <c r="L501" s="122">
        <v>60</v>
      </c>
      <c r="M501" s="122">
        <v>0</v>
      </c>
      <c r="N501" s="122">
        <v>85</v>
      </c>
      <c r="O501" s="122">
        <v>100</v>
      </c>
      <c r="P501" s="122">
        <v>9</v>
      </c>
      <c r="Q501" s="123"/>
      <c r="R501" s="122">
        <v>1</v>
      </c>
      <c r="S501" s="122">
        <v>1</v>
      </c>
      <c r="T501" s="122">
        <v>1</v>
      </c>
      <c r="U501" s="123"/>
      <c r="V501" s="122">
        <v>8858890781255</v>
      </c>
    </row>
    <row r="502" ht="15.75" customHeight="1" spans="1:22" x14ac:dyDescent="0.25">
      <c r="A502" s="122" t="s">
        <v>1797</v>
      </c>
      <c r="B502" s="123"/>
      <c r="C502" s="123"/>
      <c r="D502" s="122" t="s">
        <v>1798</v>
      </c>
      <c r="E502" s="122" t="s">
        <v>1799</v>
      </c>
      <c r="F502" s="122" t="s">
        <v>753</v>
      </c>
      <c r="G502" s="122" t="s">
        <v>754</v>
      </c>
      <c r="H502" s="122" t="s">
        <v>1407</v>
      </c>
      <c r="I502" s="122" t="s">
        <v>733</v>
      </c>
      <c r="J502" s="122">
        <v>10</v>
      </c>
      <c r="K502" s="122">
        <v>0</v>
      </c>
      <c r="L502" s="122">
        <v>0</v>
      </c>
      <c r="M502" s="122">
        <v>0</v>
      </c>
      <c r="N502" s="122">
        <v>125</v>
      </c>
      <c r="O502" s="122">
        <v>180</v>
      </c>
      <c r="P502" s="122">
        <v>20</v>
      </c>
      <c r="Q502" s="123"/>
      <c r="R502" s="122">
        <v>1</v>
      </c>
      <c r="S502" s="123"/>
      <c r="T502" s="122">
        <v>1</v>
      </c>
      <c r="U502" s="123"/>
      <c r="V502" s="122">
        <v>8858890792664</v>
      </c>
    </row>
    <row r="503" ht="15.75" customHeight="1" spans="1:22" x14ac:dyDescent="0.25">
      <c r="A503" s="122" t="s">
        <v>457</v>
      </c>
      <c r="B503" s="123"/>
      <c r="C503" s="123"/>
      <c r="D503" s="122" t="s">
        <v>1800</v>
      </c>
      <c r="E503" s="122" t="s">
        <v>1801</v>
      </c>
      <c r="F503" s="122" t="s">
        <v>753</v>
      </c>
      <c r="G503" s="122" t="s">
        <v>754</v>
      </c>
      <c r="H503" s="122" t="s">
        <v>1112</v>
      </c>
      <c r="I503" s="122" t="s">
        <v>733</v>
      </c>
      <c r="J503" s="122">
        <v>16</v>
      </c>
      <c r="K503" s="122">
        <v>0</v>
      </c>
      <c r="L503" s="122">
        <v>0</v>
      </c>
      <c r="M503" s="122">
        <v>0</v>
      </c>
      <c r="N503" s="122">
        <v>55</v>
      </c>
      <c r="O503" s="122">
        <v>150</v>
      </c>
      <c r="P503" s="122">
        <v>39</v>
      </c>
      <c r="Q503" s="123"/>
      <c r="R503" s="122">
        <v>1</v>
      </c>
      <c r="S503" s="123"/>
      <c r="T503" s="122">
        <v>1</v>
      </c>
      <c r="U503" s="123"/>
      <c r="V503" s="122">
        <v>8858890790554</v>
      </c>
    </row>
    <row r="504" ht="15.75" customHeight="1" spans="1:22" x14ac:dyDescent="0.25">
      <c r="A504" s="122" t="s">
        <v>360</v>
      </c>
      <c r="B504" s="123"/>
      <c r="C504" s="123"/>
      <c r="D504" s="122" t="s">
        <v>1802</v>
      </c>
      <c r="E504" s="123"/>
      <c r="F504" s="122" t="s">
        <v>753</v>
      </c>
      <c r="G504" s="122" t="s">
        <v>831</v>
      </c>
      <c r="H504" s="122" t="s">
        <v>832</v>
      </c>
      <c r="I504" s="122" t="s">
        <v>733</v>
      </c>
      <c r="J504" s="122">
        <v>275</v>
      </c>
      <c r="K504" s="122">
        <v>0</v>
      </c>
      <c r="L504" s="122">
        <v>0</v>
      </c>
      <c r="M504" s="122">
        <v>0</v>
      </c>
      <c r="N504" s="122">
        <v>350</v>
      </c>
      <c r="O504" s="122">
        <v>550</v>
      </c>
      <c r="P504" s="122">
        <v>52</v>
      </c>
      <c r="Q504" s="123"/>
      <c r="R504" s="122">
        <v>1</v>
      </c>
      <c r="S504" s="123"/>
      <c r="T504" s="122">
        <v>1</v>
      </c>
      <c r="U504" s="123"/>
      <c r="V504" s="122">
        <v>8858890796440</v>
      </c>
    </row>
    <row r="505" ht="15.75" customHeight="1" spans="1:22" x14ac:dyDescent="0.25">
      <c r="A505" s="122" t="s">
        <v>444</v>
      </c>
      <c r="B505" s="123"/>
      <c r="C505" s="123"/>
      <c r="D505" s="122" t="s">
        <v>1803</v>
      </c>
      <c r="E505" s="123"/>
      <c r="F505" s="122" t="s">
        <v>753</v>
      </c>
      <c r="G505" s="122" t="s">
        <v>754</v>
      </c>
      <c r="H505" s="122" t="s">
        <v>1671</v>
      </c>
      <c r="I505" s="122" t="s">
        <v>733</v>
      </c>
      <c r="J505" s="122">
        <v>10</v>
      </c>
      <c r="K505" s="122">
        <v>0</v>
      </c>
      <c r="L505" s="122">
        <v>0</v>
      </c>
      <c r="M505" s="122">
        <v>0</v>
      </c>
      <c r="N505" s="122">
        <v>35</v>
      </c>
      <c r="O505" s="122">
        <v>79</v>
      </c>
      <c r="P505" s="122">
        <v>10</v>
      </c>
      <c r="Q505" s="123"/>
      <c r="R505" s="122">
        <v>1</v>
      </c>
      <c r="S505" s="123"/>
      <c r="T505" s="122">
        <v>1</v>
      </c>
      <c r="U505" s="123"/>
      <c r="V505" s="122">
        <v>8858890793746</v>
      </c>
    </row>
    <row r="506" ht="15.75" customHeight="1" spans="1:22" x14ac:dyDescent="0.25">
      <c r="A506" s="122" t="s">
        <v>292</v>
      </c>
      <c r="B506" s="123"/>
      <c r="C506" s="123"/>
      <c r="D506" s="122" t="s">
        <v>1804</v>
      </c>
      <c r="E506" s="122" t="s">
        <v>1805</v>
      </c>
      <c r="F506" s="122" t="s">
        <v>779</v>
      </c>
      <c r="G506" s="122" t="s">
        <v>731</v>
      </c>
      <c r="H506" s="122" t="s">
        <v>794</v>
      </c>
      <c r="I506" s="122" t="s">
        <v>733</v>
      </c>
      <c r="J506" s="122">
        <v>80</v>
      </c>
      <c r="K506" s="122">
        <v>99</v>
      </c>
      <c r="L506" s="122">
        <v>120</v>
      </c>
      <c r="M506" s="122">
        <v>99</v>
      </c>
      <c r="N506" s="122">
        <v>120</v>
      </c>
      <c r="O506" s="122">
        <v>190</v>
      </c>
      <c r="P506" s="122">
        <v>75</v>
      </c>
      <c r="Q506" s="123"/>
      <c r="R506" s="122">
        <v>1</v>
      </c>
      <c r="S506" s="122">
        <v>1</v>
      </c>
      <c r="T506" s="122">
        <v>1</v>
      </c>
      <c r="U506" s="123"/>
      <c r="V506" s="122">
        <v>6933004194502</v>
      </c>
    </row>
    <row r="507" ht="15.75" customHeight="1" spans="1:22" x14ac:dyDescent="0.25">
      <c r="A507" s="122" t="s">
        <v>1806</v>
      </c>
      <c r="B507" s="123"/>
      <c r="C507" s="123"/>
      <c r="D507" s="122" t="s">
        <v>1807</v>
      </c>
      <c r="E507" s="122" t="s">
        <v>1808</v>
      </c>
      <c r="F507" s="122" t="s">
        <v>779</v>
      </c>
      <c r="G507" s="122" t="s">
        <v>780</v>
      </c>
      <c r="H507" s="122" t="s">
        <v>1507</v>
      </c>
      <c r="I507" s="122" t="s">
        <v>733</v>
      </c>
      <c r="J507" s="122">
        <v>65</v>
      </c>
      <c r="K507" s="122">
        <v>0</v>
      </c>
      <c r="L507" s="122">
        <v>80</v>
      </c>
      <c r="M507" s="122">
        <v>0</v>
      </c>
      <c r="N507" s="122">
        <v>45</v>
      </c>
      <c r="O507" s="122">
        <v>100</v>
      </c>
      <c r="P507" s="122">
        <v>1</v>
      </c>
      <c r="Q507" s="123"/>
      <c r="R507" s="122">
        <v>1</v>
      </c>
      <c r="S507" s="122">
        <v>1</v>
      </c>
      <c r="T507" s="122">
        <v>1</v>
      </c>
      <c r="U507" s="123"/>
      <c r="V507" s="122">
        <v>8858890710057</v>
      </c>
    </row>
    <row r="508" ht="15.75" customHeight="1" spans="1:22" x14ac:dyDescent="0.25">
      <c r="A508" s="122" t="s">
        <v>1809</v>
      </c>
      <c r="B508" s="123"/>
      <c r="C508" s="123"/>
      <c r="D508" s="122" t="s">
        <v>1810</v>
      </c>
      <c r="E508" s="122" t="s">
        <v>1811</v>
      </c>
      <c r="F508" s="122" t="s">
        <v>779</v>
      </c>
      <c r="G508" s="122" t="s">
        <v>780</v>
      </c>
      <c r="H508" s="122" t="s">
        <v>1507</v>
      </c>
      <c r="I508" s="122" t="s">
        <v>733</v>
      </c>
      <c r="J508" s="122">
        <v>65</v>
      </c>
      <c r="K508" s="122">
        <v>0</v>
      </c>
      <c r="L508" s="122">
        <v>80</v>
      </c>
      <c r="M508" s="122">
        <v>0</v>
      </c>
      <c r="N508" s="122">
        <v>45</v>
      </c>
      <c r="O508" s="122">
        <v>100</v>
      </c>
      <c r="P508" s="122">
        <v>31</v>
      </c>
      <c r="Q508" s="123"/>
      <c r="R508" s="122">
        <v>1</v>
      </c>
      <c r="S508" s="122">
        <v>1</v>
      </c>
      <c r="T508" s="122">
        <v>1</v>
      </c>
      <c r="U508" s="123"/>
      <c r="V508" s="122">
        <v>8858890710064</v>
      </c>
    </row>
    <row r="509" ht="15.75" customHeight="1" spans="1:22" x14ac:dyDescent="0.25">
      <c r="A509" s="122" t="s">
        <v>1812</v>
      </c>
      <c r="B509" s="123"/>
      <c r="C509" s="123"/>
      <c r="D509" s="122" t="s">
        <v>1813</v>
      </c>
      <c r="E509" s="122" t="s">
        <v>1814</v>
      </c>
      <c r="F509" s="122" t="s">
        <v>779</v>
      </c>
      <c r="G509" s="122" t="s">
        <v>780</v>
      </c>
      <c r="H509" s="122" t="s">
        <v>1507</v>
      </c>
      <c r="I509" s="122" t="s">
        <v>733</v>
      </c>
      <c r="J509" s="122">
        <v>65</v>
      </c>
      <c r="K509" s="122">
        <v>0</v>
      </c>
      <c r="L509" s="122">
        <v>80</v>
      </c>
      <c r="M509" s="122">
        <v>60</v>
      </c>
      <c r="N509" s="122">
        <v>45</v>
      </c>
      <c r="O509" s="122">
        <v>100</v>
      </c>
      <c r="P509" s="122">
        <v>104</v>
      </c>
      <c r="Q509" s="123"/>
      <c r="R509" s="122">
        <v>1</v>
      </c>
      <c r="S509" s="122">
        <v>1</v>
      </c>
      <c r="T509" s="122">
        <v>1</v>
      </c>
      <c r="U509" s="123"/>
      <c r="V509" s="122">
        <v>8858890710071</v>
      </c>
    </row>
    <row r="510" ht="15.75" customHeight="1" spans="1:22" x14ac:dyDescent="0.25">
      <c r="A510" s="122" t="s">
        <v>1815</v>
      </c>
      <c r="B510" s="123"/>
      <c r="C510" s="123"/>
      <c r="D510" s="122" t="s">
        <v>1816</v>
      </c>
      <c r="E510" s="122" t="s">
        <v>1817</v>
      </c>
      <c r="F510" s="122" t="s">
        <v>779</v>
      </c>
      <c r="G510" s="122" t="s">
        <v>780</v>
      </c>
      <c r="H510" s="122" t="s">
        <v>1507</v>
      </c>
      <c r="I510" s="122" t="s">
        <v>733</v>
      </c>
      <c r="J510" s="122">
        <v>65</v>
      </c>
      <c r="K510" s="122">
        <v>0</v>
      </c>
      <c r="L510" s="122">
        <v>80</v>
      </c>
      <c r="M510" s="122">
        <v>60</v>
      </c>
      <c r="N510" s="122">
        <v>45</v>
      </c>
      <c r="O510" s="122">
        <v>100</v>
      </c>
      <c r="P510" s="122">
        <v>102</v>
      </c>
      <c r="Q510" s="123"/>
      <c r="R510" s="122">
        <v>1</v>
      </c>
      <c r="S510" s="122">
        <v>1</v>
      </c>
      <c r="T510" s="122">
        <v>1</v>
      </c>
      <c r="U510" s="123"/>
      <c r="V510" s="122">
        <v>8858890710088</v>
      </c>
    </row>
    <row r="511" ht="15.75" customHeight="1" spans="1:22" x14ac:dyDescent="0.25">
      <c r="A511" s="122" t="s">
        <v>1818</v>
      </c>
      <c r="B511" s="123"/>
      <c r="C511" s="123"/>
      <c r="D511" s="122" t="s">
        <v>1819</v>
      </c>
      <c r="E511" s="122" t="s">
        <v>1820</v>
      </c>
      <c r="F511" s="122" t="s">
        <v>779</v>
      </c>
      <c r="G511" s="122" t="s">
        <v>780</v>
      </c>
      <c r="H511" s="122" t="s">
        <v>1507</v>
      </c>
      <c r="I511" s="122" t="s">
        <v>733</v>
      </c>
      <c r="J511" s="122">
        <v>65</v>
      </c>
      <c r="K511" s="122">
        <v>0</v>
      </c>
      <c r="L511" s="122">
        <v>80</v>
      </c>
      <c r="M511" s="122">
        <v>60</v>
      </c>
      <c r="N511" s="122">
        <v>45</v>
      </c>
      <c r="O511" s="122">
        <v>100</v>
      </c>
      <c r="P511" s="122">
        <v>102</v>
      </c>
      <c r="Q511" s="123"/>
      <c r="R511" s="122">
        <v>1</v>
      </c>
      <c r="S511" s="122">
        <v>1</v>
      </c>
      <c r="T511" s="122">
        <v>1</v>
      </c>
      <c r="U511" s="123"/>
      <c r="V511" s="122">
        <v>8858890710095</v>
      </c>
    </row>
    <row r="512" ht="15.75" customHeight="1" spans="1:22" x14ac:dyDescent="0.25">
      <c r="A512" s="122" t="s">
        <v>1821</v>
      </c>
      <c r="B512" s="123"/>
      <c r="C512" s="123"/>
      <c r="D512" s="122" t="s">
        <v>1822</v>
      </c>
      <c r="E512" s="122" t="s">
        <v>1820</v>
      </c>
      <c r="F512" s="122" t="s">
        <v>779</v>
      </c>
      <c r="G512" s="122" t="s">
        <v>780</v>
      </c>
      <c r="H512" s="122" t="s">
        <v>1507</v>
      </c>
      <c r="I512" s="122" t="s">
        <v>733</v>
      </c>
      <c r="J512" s="122">
        <v>65</v>
      </c>
      <c r="K512" s="122">
        <v>0</v>
      </c>
      <c r="L512" s="122">
        <v>80</v>
      </c>
      <c r="M512" s="122">
        <v>0</v>
      </c>
      <c r="N512" s="122">
        <v>45</v>
      </c>
      <c r="O512" s="122">
        <v>100</v>
      </c>
      <c r="P512" s="122">
        <v>144</v>
      </c>
      <c r="Q512" s="123"/>
      <c r="R512" s="122">
        <v>1</v>
      </c>
      <c r="S512" s="122">
        <v>1</v>
      </c>
      <c r="T512" s="122">
        <v>1</v>
      </c>
      <c r="U512" s="123"/>
      <c r="V512" s="122">
        <v>8858890710101</v>
      </c>
    </row>
    <row r="513" ht="15.75" customHeight="1" spans="1:22" x14ac:dyDescent="0.25">
      <c r="A513" s="122" t="s">
        <v>1823</v>
      </c>
      <c r="B513" s="123"/>
      <c r="C513" s="123"/>
      <c r="D513" s="122" t="s">
        <v>1824</v>
      </c>
      <c r="E513" s="122" t="s">
        <v>1825</v>
      </c>
      <c r="F513" s="122" t="s">
        <v>779</v>
      </c>
      <c r="G513" s="122" t="s">
        <v>780</v>
      </c>
      <c r="H513" s="122" t="s">
        <v>1507</v>
      </c>
      <c r="I513" s="122" t="s">
        <v>733</v>
      </c>
      <c r="J513" s="122">
        <v>65</v>
      </c>
      <c r="K513" s="122">
        <v>0</v>
      </c>
      <c r="L513" s="122">
        <v>80</v>
      </c>
      <c r="M513" s="122">
        <v>0</v>
      </c>
      <c r="N513" s="122">
        <v>45</v>
      </c>
      <c r="O513" s="122">
        <v>100</v>
      </c>
      <c r="P513" s="122">
        <v>7</v>
      </c>
      <c r="Q513" s="123"/>
      <c r="R513" s="122">
        <v>1</v>
      </c>
      <c r="S513" s="122">
        <v>1</v>
      </c>
      <c r="T513" s="122">
        <v>1</v>
      </c>
      <c r="U513" s="123"/>
      <c r="V513" s="122">
        <v>8858890710118</v>
      </c>
    </row>
    <row r="514" ht="15.75" customHeight="1" spans="1:22" x14ac:dyDescent="0.25">
      <c r="A514" s="122" t="s">
        <v>1826</v>
      </c>
      <c r="B514" s="123"/>
      <c r="C514" s="123"/>
      <c r="D514" s="122" t="s">
        <v>1827</v>
      </c>
      <c r="E514" s="122" t="s">
        <v>1828</v>
      </c>
      <c r="F514" s="122" t="s">
        <v>779</v>
      </c>
      <c r="G514" s="122" t="s">
        <v>780</v>
      </c>
      <c r="H514" s="122" t="s">
        <v>1507</v>
      </c>
      <c r="I514" s="122" t="s">
        <v>733</v>
      </c>
      <c r="J514" s="122">
        <v>65</v>
      </c>
      <c r="K514" s="122">
        <v>0</v>
      </c>
      <c r="L514" s="122">
        <v>80</v>
      </c>
      <c r="M514" s="122">
        <v>85</v>
      </c>
      <c r="N514" s="122">
        <v>45</v>
      </c>
      <c r="O514" s="122">
        <v>100</v>
      </c>
      <c r="P514" s="122">
        <v>1</v>
      </c>
      <c r="Q514" s="123"/>
      <c r="R514" s="122">
        <v>1</v>
      </c>
      <c r="S514" s="122">
        <v>1</v>
      </c>
      <c r="T514" s="122">
        <v>1</v>
      </c>
      <c r="U514" s="123"/>
      <c r="V514" s="123"/>
    </row>
    <row r="515" ht="15.75" customHeight="1" spans="1:22" x14ac:dyDescent="0.25">
      <c r="A515" s="122" t="s">
        <v>1829</v>
      </c>
      <c r="B515" s="123"/>
      <c r="C515" s="123"/>
      <c r="D515" s="122" t="s">
        <v>1830</v>
      </c>
      <c r="E515" s="122" t="s">
        <v>1831</v>
      </c>
      <c r="F515" s="122" t="s">
        <v>779</v>
      </c>
      <c r="G515" s="122" t="s">
        <v>780</v>
      </c>
      <c r="H515" s="122" t="s">
        <v>1507</v>
      </c>
      <c r="I515" s="122" t="s">
        <v>733</v>
      </c>
      <c r="J515" s="122">
        <v>65</v>
      </c>
      <c r="K515" s="122">
        <v>0</v>
      </c>
      <c r="L515" s="122">
        <v>80</v>
      </c>
      <c r="M515" s="122">
        <v>0</v>
      </c>
      <c r="N515" s="122">
        <v>45</v>
      </c>
      <c r="O515" s="122">
        <v>100</v>
      </c>
      <c r="P515" s="122">
        <v>2</v>
      </c>
      <c r="Q515" s="123"/>
      <c r="R515" s="122">
        <v>1</v>
      </c>
      <c r="S515" s="122">
        <v>1</v>
      </c>
      <c r="T515" s="122">
        <v>1</v>
      </c>
      <c r="U515" s="123"/>
      <c r="V515" s="122">
        <v>8858890710156</v>
      </c>
    </row>
    <row r="516" ht="15.75" customHeight="1" spans="1:22" x14ac:dyDescent="0.25">
      <c r="A516" s="122" t="s">
        <v>1832</v>
      </c>
      <c r="B516" s="123"/>
      <c r="C516" s="123"/>
      <c r="D516" s="122" t="s">
        <v>1833</v>
      </c>
      <c r="E516" s="122" t="s">
        <v>1834</v>
      </c>
      <c r="F516" s="122" t="s">
        <v>779</v>
      </c>
      <c r="G516" s="122" t="s">
        <v>780</v>
      </c>
      <c r="H516" s="122" t="s">
        <v>1507</v>
      </c>
      <c r="I516" s="122" t="s">
        <v>733</v>
      </c>
      <c r="J516" s="122">
        <v>65</v>
      </c>
      <c r="K516" s="122">
        <v>0</v>
      </c>
      <c r="L516" s="122">
        <v>80</v>
      </c>
      <c r="M516" s="122">
        <v>60</v>
      </c>
      <c r="N516" s="122">
        <v>45</v>
      </c>
      <c r="O516" s="122">
        <v>100</v>
      </c>
      <c r="P516" s="122">
        <v>89</v>
      </c>
      <c r="Q516" s="123"/>
      <c r="R516" s="122">
        <v>1</v>
      </c>
      <c r="S516" s="122">
        <v>1</v>
      </c>
      <c r="T516" s="122">
        <v>1</v>
      </c>
      <c r="U516" s="123"/>
      <c r="V516" s="122">
        <v>8858890710170</v>
      </c>
    </row>
    <row r="517" ht="15.75" customHeight="1" spans="1:22" x14ac:dyDescent="0.25">
      <c r="A517" s="122" t="s">
        <v>258</v>
      </c>
      <c r="B517" s="123"/>
      <c r="C517" s="123"/>
      <c r="D517" s="122" t="s">
        <v>1835</v>
      </c>
      <c r="E517" s="122" t="s">
        <v>1836</v>
      </c>
      <c r="F517" s="122" t="s">
        <v>779</v>
      </c>
      <c r="G517" s="122" t="s">
        <v>780</v>
      </c>
      <c r="H517" s="122" t="s">
        <v>1507</v>
      </c>
      <c r="I517" s="122" t="s">
        <v>733</v>
      </c>
      <c r="J517" s="122">
        <v>65</v>
      </c>
      <c r="K517" s="122">
        <v>15</v>
      </c>
      <c r="L517" s="122">
        <v>80</v>
      </c>
      <c r="M517" s="122">
        <v>15</v>
      </c>
      <c r="N517" s="122">
        <v>45</v>
      </c>
      <c r="O517" s="122">
        <v>100</v>
      </c>
      <c r="P517" s="122">
        <v>413</v>
      </c>
      <c r="Q517" s="123"/>
      <c r="R517" s="122">
        <v>1</v>
      </c>
      <c r="S517" s="122">
        <v>1</v>
      </c>
      <c r="T517" s="122">
        <v>1</v>
      </c>
      <c r="U517" s="123"/>
      <c r="V517" s="122">
        <v>8858890710187</v>
      </c>
    </row>
    <row r="518" ht="15.75" customHeight="1" spans="1:22" x14ac:dyDescent="0.25">
      <c r="A518" s="122" t="s">
        <v>1837</v>
      </c>
      <c r="B518" s="123"/>
      <c r="C518" s="123"/>
      <c r="D518" s="122" t="s">
        <v>1838</v>
      </c>
      <c r="E518" s="122" t="s">
        <v>1839</v>
      </c>
      <c r="F518" s="122" t="s">
        <v>779</v>
      </c>
      <c r="G518" s="122" t="s">
        <v>780</v>
      </c>
      <c r="H518" s="122" t="s">
        <v>1507</v>
      </c>
      <c r="I518" s="122" t="s">
        <v>733</v>
      </c>
      <c r="J518" s="122">
        <v>65</v>
      </c>
      <c r="K518" s="122">
        <v>0</v>
      </c>
      <c r="L518" s="122">
        <v>80</v>
      </c>
      <c r="M518" s="122">
        <v>0</v>
      </c>
      <c r="N518" s="122">
        <v>45</v>
      </c>
      <c r="O518" s="122">
        <v>100</v>
      </c>
      <c r="P518" s="122">
        <v>26</v>
      </c>
      <c r="Q518" s="123"/>
      <c r="R518" s="122">
        <v>1</v>
      </c>
      <c r="S518" s="122">
        <v>1</v>
      </c>
      <c r="T518" s="122">
        <v>1</v>
      </c>
      <c r="U518" s="123"/>
      <c r="V518" s="122">
        <v>8858890710217</v>
      </c>
    </row>
    <row r="519" ht="15.75" customHeight="1" spans="1:22" x14ac:dyDescent="0.25">
      <c r="A519" s="122" t="s">
        <v>1840</v>
      </c>
      <c r="B519" s="123"/>
      <c r="C519" s="123"/>
      <c r="D519" s="122" t="s">
        <v>1841</v>
      </c>
      <c r="E519" s="122" t="s">
        <v>1842</v>
      </c>
      <c r="F519" s="122" t="s">
        <v>779</v>
      </c>
      <c r="G519" s="122" t="s">
        <v>780</v>
      </c>
      <c r="H519" s="122" t="s">
        <v>1507</v>
      </c>
      <c r="I519" s="122" t="s">
        <v>733</v>
      </c>
      <c r="J519" s="122">
        <v>65</v>
      </c>
      <c r="K519" s="122">
        <v>0</v>
      </c>
      <c r="L519" s="122">
        <v>80</v>
      </c>
      <c r="M519" s="122">
        <v>0</v>
      </c>
      <c r="N519" s="122">
        <v>45</v>
      </c>
      <c r="O519" s="122">
        <v>100</v>
      </c>
      <c r="P519" s="122">
        <v>34</v>
      </c>
      <c r="Q519" s="123"/>
      <c r="R519" s="122">
        <v>1</v>
      </c>
      <c r="S519" s="122">
        <v>1</v>
      </c>
      <c r="T519" s="122">
        <v>1</v>
      </c>
      <c r="U519" s="123"/>
      <c r="V519" s="122">
        <v>8858890710248</v>
      </c>
    </row>
    <row r="520" ht="15.75" customHeight="1" spans="1:22" x14ac:dyDescent="0.25">
      <c r="A520" s="122" t="s">
        <v>1843</v>
      </c>
      <c r="B520" s="123"/>
      <c r="C520" s="123"/>
      <c r="D520" s="122" t="s">
        <v>1844</v>
      </c>
      <c r="E520" s="122" t="s">
        <v>1845</v>
      </c>
      <c r="F520" s="122" t="s">
        <v>779</v>
      </c>
      <c r="G520" s="122" t="s">
        <v>780</v>
      </c>
      <c r="H520" s="122" t="s">
        <v>1507</v>
      </c>
      <c r="I520" s="122" t="s">
        <v>733</v>
      </c>
      <c r="J520" s="122">
        <v>65</v>
      </c>
      <c r="K520" s="122">
        <v>0</v>
      </c>
      <c r="L520" s="122">
        <v>80</v>
      </c>
      <c r="M520" s="122">
        <v>60</v>
      </c>
      <c r="N520" s="122">
        <v>45</v>
      </c>
      <c r="O520" s="122">
        <v>100</v>
      </c>
      <c r="P520" s="122">
        <v>105</v>
      </c>
      <c r="Q520" s="123"/>
      <c r="R520" s="122">
        <v>1</v>
      </c>
      <c r="S520" s="122">
        <v>1</v>
      </c>
      <c r="T520" s="122">
        <v>1</v>
      </c>
      <c r="U520" s="123"/>
      <c r="V520" s="122">
        <v>8858890710255</v>
      </c>
    </row>
    <row r="521" ht="15.75" customHeight="1" spans="1:22" x14ac:dyDescent="0.25">
      <c r="A521" s="122" t="s">
        <v>1846</v>
      </c>
      <c r="B521" s="123"/>
      <c r="C521" s="123"/>
      <c r="D521" s="122" t="s">
        <v>1847</v>
      </c>
      <c r="E521" s="122" t="s">
        <v>1848</v>
      </c>
      <c r="F521" s="122" t="s">
        <v>779</v>
      </c>
      <c r="G521" s="122" t="s">
        <v>780</v>
      </c>
      <c r="H521" s="122" t="s">
        <v>1507</v>
      </c>
      <c r="I521" s="122" t="s">
        <v>733</v>
      </c>
      <c r="J521" s="122">
        <v>64.88</v>
      </c>
      <c r="K521" s="122">
        <v>20</v>
      </c>
      <c r="L521" s="122">
        <v>80</v>
      </c>
      <c r="M521" s="122">
        <v>20</v>
      </c>
      <c r="N521" s="122">
        <v>45</v>
      </c>
      <c r="O521" s="122">
        <v>100</v>
      </c>
      <c r="P521" s="122">
        <v>22</v>
      </c>
      <c r="Q521" s="123"/>
      <c r="R521" s="122">
        <v>1</v>
      </c>
      <c r="S521" s="122">
        <v>1</v>
      </c>
      <c r="T521" s="122">
        <v>1</v>
      </c>
      <c r="U521" s="123"/>
      <c r="V521" s="122">
        <v>8858890710293</v>
      </c>
    </row>
    <row r="522" ht="15.75" customHeight="1" spans="1:22" x14ac:dyDescent="0.25">
      <c r="A522" s="122" t="s">
        <v>1849</v>
      </c>
      <c r="B522" s="123"/>
      <c r="C522" s="123"/>
      <c r="D522" s="122" t="s">
        <v>1850</v>
      </c>
      <c r="E522" s="122" t="s">
        <v>1851</v>
      </c>
      <c r="F522" s="122" t="s">
        <v>779</v>
      </c>
      <c r="G522" s="122" t="s">
        <v>780</v>
      </c>
      <c r="H522" s="122" t="s">
        <v>1507</v>
      </c>
      <c r="I522" s="122" t="s">
        <v>733</v>
      </c>
      <c r="J522" s="122">
        <v>65</v>
      </c>
      <c r="K522" s="122">
        <v>0</v>
      </c>
      <c r="L522" s="122">
        <v>80</v>
      </c>
      <c r="M522" s="122">
        <v>0</v>
      </c>
      <c r="N522" s="122">
        <v>45</v>
      </c>
      <c r="O522" s="122">
        <v>100</v>
      </c>
      <c r="P522" s="122">
        <v>4</v>
      </c>
      <c r="Q522" s="123"/>
      <c r="R522" s="122">
        <v>1</v>
      </c>
      <c r="S522" s="122">
        <v>1</v>
      </c>
      <c r="T522" s="122">
        <v>1</v>
      </c>
      <c r="U522" s="123"/>
      <c r="V522" s="122">
        <v>8858890710415</v>
      </c>
    </row>
    <row r="523" ht="15.75" customHeight="1" spans="1:22" x14ac:dyDescent="0.25">
      <c r="A523" s="122" t="s">
        <v>1852</v>
      </c>
      <c r="B523" s="123"/>
      <c r="C523" s="123"/>
      <c r="D523" s="122" t="s">
        <v>1853</v>
      </c>
      <c r="E523" s="122" t="s">
        <v>1854</v>
      </c>
      <c r="F523" s="122" t="s">
        <v>779</v>
      </c>
      <c r="G523" s="122" t="s">
        <v>780</v>
      </c>
      <c r="H523" s="122" t="s">
        <v>1507</v>
      </c>
      <c r="I523" s="122" t="s">
        <v>733</v>
      </c>
      <c r="J523" s="122">
        <v>65</v>
      </c>
      <c r="K523" s="122">
        <v>0</v>
      </c>
      <c r="L523" s="122">
        <v>80</v>
      </c>
      <c r="M523" s="122">
        <v>0</v>
      </c>
      <c r="N523" s="122">
        <v>45</v>
      </c>
      <c r="O523" s="122">
        <v>100</v>
      </c>
      <c r="P523" s="122">
        <v>1</v>
      </c>
      <c r="Q523" s="123"/>
      <c r="R523" s="122">
        <v>1</v>
      </c>
      <c r="S523" s="122">
        <v>1</v>
      </c>
      <c r="T523" s="122">
        <v>1</v>
      </c>
      <c r="U523" s="123"/>
      <c r="V523" s="122">
        <v>8858890710439</v>
      </c>
    </row>
    <row r="524" ht="15.75" customHeight="1" spans="1:22" x14ac:dyDescent="0.25">
      <c r="A524" s="122" t="s">
        <v>1855</v>
      </c>
      <c r="B524" s="123"/>
      <c r="C524" s="123"/>
      <c r="D524" s="122" t="s">
        <v>1856</v>
      </c>
      <c r="E524" s="122" t="s">
        <v>1857</v>
      </c>
      <c r="F524" s="122" t="s">
        <v>779</v>
      </c>
      <c r="G524" s="122" t="s">
        <v>780</v>
      </c>
      <c r="H524" s="122" t="s">
        <v>1507</v>
      </c>
      <c r="I524" s="122" t="s">
        <v>733</v>
      </c>
      <c r="J524" s="122">
        <v>65</v>
      </c>
      <c r="K524" s="122">
        <v>0</v>
      </c>
      <c r="L524" s="122">
        <v>80</v>
      </c>
      <c r="M524" s="122">
        <v>0</v>
      </c>
      <c r="N524" s="122">
        <v>45</v>
      </c>
      <c r="O524" s="122">
        <v>100</v>
      </c>
      <c r="P524" s="122">
        <v>3</v>
      </c>
      <c r="Q524" s="123"/>
      <c r="R524" s="122">
        <v>1</v>
      </c>
      <c r="S524" s="122">
        <v>1</v>
      </c>
      <c r="T524" s="122">
        <v>1</v>
      </c>
      <c r="U524" s="123"/>
      <c r="V524" s="122">
        <v>885889071446</v>
      </c>
    </row>
    <row r="525" ht="15.75" customHeight="1" spans="1:22" x14ac:dyDescent="0.25">
      <c r="A525" s="122" t="s">
        <v>1858</v>
      </c>
      <c r="B525" s="123"/>
      <c r="C525" s="123"/>
      <c r="D525" s="122" t="s">
        <v>1859</v>
      </c>
      <c r="E525" s="122" t="s">
        <v>1860</v>
      </c>
      <c r="F525" s="122" t="s">
        <v>779</v>
      </c>
      <c r="G525" s="122" t="s">
        <v>780</v>
      </c>
      <c r="H525" s="122" t="s">
        <v>1507</v>
      </c>
      <c r="I525" s="122" t="s">
        <v>733</v>
      </c>
      <c r="J525" s="122">
        <v>65</v>
      </c>
      <c r="K525" s="122">
        <v>0</v>
      </c>
      <c r="L525" s="122">
        <v>80</v>
      </c>
      <c r="M525" s="122">
        <v>60</v>
      </c>
      <c r="N525" s="122">
        <v>45</v>
      </c>
      <c r="O525" s="122">
        <v>100</v>
      </c>
      <c r="P525" s="122">
        <v>3</v>
      </c>
      <c r="Q525" s="123"/>
      <c r="R525" s="122">
        <v>1</v>
      </c>
      <c r="S525" s="122">
        <v>1</v>
      </c>
      <c r="T525" s="122">
        <v>1</v>
      </c>
      <c r="U525" s="123"/>
      <c r="V525" s="122">
        <v>8858890710460</v>
      </c>
    </row>
    <row r="526" ht="15.75" customHeight="1" spans="1:22" x14ac:dyDescent="0.25">
      <c r="A526" s="122" t="s">
        <v>1861</v>
      </c>
      <c r="B526" s="123"/>
      <c r="C526" s="123"/>
      <c r="D526" s="122" t="s">
        <v>1862</v>
      </c>
      <c r="E526" s="122" t="s">
        <v>1863</v>
      </c>
      <c r="F526" s="122" t="s">
        <v>779</v>
      </c>
      <c r="G526" s="122" t="s">
        <v>780</v>
      </c>
      <c r="H526" s="122" t="s">
        <v>1507</v>
      </c>
      <c r="I526" s="122" t="s">
        <v>733</v>
      </c>
      <c r="J526" s="122">
        <v>65</v>
      </c>
      <c r="K526" s="122">
        <v>0</v>
      </c>
      <c r="L526" s="122">
        <v>80</v>
      </c>
      <c r="M526" s="122">
        <v>0</v>
      </c>
      <c r="N526" s="122">
        <v>45</v>
      </c>
      <c r="O526" s="122">
        <v>100</v>
      </c>
      <c r="P526" s="122">
        <v>1</v>
      </c>
      <c r="Q526" s="123"/>
      <c r="R526" s="122">
        <v>1</v>
      </c>
      <c r="S526" s="122">
        <v>1</v>
      </c>
      <c r="T526" s="122">
        <v>1</v>
      </c>
      <c r="U526" s="123"/>
      <c r="V526" s="122">
        <v>8858890710477</v>
      </c>
    </row>
    <row r="527" ht="15.75" customHeight="1" spans="1:22" x14ac:dyDescent="0.25">
      <c r="A527" s="122" t="s">
        <v>1864</v>
      </c>
      <c r="B527" s="123"/>
      <c r="C527" s="123"/>
      <c r="D527" s="122" t="s">
        <v>1865</v>
      </c>
      <c r="E527" s="122" t="s">
        <v>1866</v>
      </c>
      <c r="F527" s="122" t="s">
        <v>779</v>
      </c>
      <c r="G527" s="122" t="s">
        <v>780</v>
      </c>
      <c r="H527" s="122" t="s">
        <v>1507</v>
      </c>
      <c r="I527" s="122" t="s">
        <v>733</v>
      </c>
      <c r="J527" s="122">
        <v>65</v>
      </c>
      <c r="K527" s="122">
        <v>0</v>
      </c>
      <c r="L527" s="122">
        <v>80</v>
      </c>
      <c r="M527" s="122">
        <v>0</v>
      </c>
      <c r="N527" s="122">
        <v>45</v>
      </c>
      <c r="O527" s="122">
        <v>100</v>
      </c>
      <c r="P527" s="122">
        <v>3</v>
      </c>
      <c r="Q527" s="123"/>
      <c r="R527" s="122">
        <v>1</v>
      </c>
      <c r="S527" s="122">
        <v>1</v>
      </c>
      <c r="T527" s="122">
        <v>1</v>
      </c>
      <c r="U527" s="123"/>
      <c r="V527" s="122">
        <v>8858890710491</v>
      </c>
    </row>
    <row r="528" ht="15.75" customHeight="1" spans="1:22" x14ac:dyDescent="0.25">
      <c r="A528" s="122" t="s">
        <v>260</v>
      </c>
      <c r="B528" s="123"/>
      <c r="C528" s="123"/>
      <c r="D528" s="122" t="s">
        <v>1867</v>
      </c>
      <c r="E528" s="122" t="s">
        <v>1868</v>
      </c>
      <c r="F528" s="122" t="s">
        <v>779</v>
      </c>
      <c r="G528" s="122" t="s">
        <v>780</v>
      </c>
      <c r="H528" s="122" t="s">
        <v>1507</v>
      </c>
      <c r="I528" s="122" t="s">
        <v>733</v>
      </c>
      <c r="J528" s="122">
        <v>65</v>
      </c>
      <c r="K528" s="122">
        <v>0</v>
      </c>
      <c r="L528" s="122">
        <v>80</v>
      </c>
      <c r="M528" s="122">
        <v>60</v>
      </c>
      <c r="N528" s="122">
        <v>45</v>
      </c>
      <c r="O528" s="122">
        <v>100</v>
      </c>
      <c r="P528" s="122">
        <v>113</v>
      </c>
      <c r="Q528" s="123"/>
      <c r="R528" s="122">
        <v>1</v>
      </c>
      <c r="S528" s="122">
        <v>1</v>
      </c>
      <c r="T528" s="122">
        <v>1</v>
      </c>
      <c r="U528" s="123"/>
      <c r="V528" s="122">
        <v>8858890710705</v>
      </c>
    </row>
    <row r="529" ht="15.75" customHeight="1" spans="1:22" x14ac:dyDescent="0.25">
      <c r="A529" s="122" t="s">
        <v>261</v>
      </c>
      <c r="B529" s="123"/>
      <c r="C529" s="123"/>
      <c r="D529" s="122" t="s">
        <v>1869</v>
      </c>
      <c r="E529" s="122" t="s">
        <v>1870</v>
      </c>
      <c r="F529" s="122" t="s">
        <v>779</v>
      </c>
      <c r="G529" s="122" t="s">
        <v>780</v>
      </c>
      <c r="H529" s="122" t="s">
        <v>1507</v>
      </c>
      <c r="I529" s="122" t="s">
        <v>733</v>
      </c>
      <c r="J529" s="122">
        <v>65</v>
      </c>
      <c r="K529" s="122">
        <v>20</v>
      </c>
      <c r="L529" s="122">
        <v>80</v>
      </c>
      <c r="M529" s="122">
        <v>20</v>
      </c>
      <c r="N529" s="122">
        <v>45</v>
      </c>
      <c r="O529" s="122">
        <v>100</v>
      </c>
      <c r="P529" s="122">
        <v>504</v>
      </c>
      <c r="Q529" s="123"/>
      <c r="R529" s="122">
        <v>1</v>
      </c>
      <c r="S529" s="122">
        <v>1</v>
      </c>
      <c r="T529" s="122">
        <v>1</v>
      </c>
      <c r="U529" s="123"/>
      <c r="V529" s="122">
        <v>8858890710712</v>
      </c>
    </row>
    <row r="530" ht="15.75" customHeight="1" spans="1:22" x14ac:dyDescent="0.25">
      <c r="A530" s="122" t="s">
        <v>1871</v>
      </c>
      <c r="B530" s="123"/>
      <c r="C530" s="123"/>
      <c r="D530" s="122" t="s">
        <v>1872</v>
      </c>
      <c r="E530" s="122" t="s">
        <v>1873</v>
      </c>
      <c r="F530" s="122" t="s">
        <v>779</v>
      </c>
      <c r="G530" s="122" t="s">
        <v>780</v>
      </c>
      <c r="H530" s="122" t="s">
        <v>1507</v>
      </c>
      <c r="I530" s="122" t="s">
        <v>733</v>
      </c>
      <c r="J530" s="122">
        <v>65</v>
      </c>
      <c r="K530" s="122">
        <v>0</v>
      </c>
      <c r="L530" s="122">
        <v>80</v>
      </c>
      <c r="M530" s="122">
        <v>0</v>
      </c>
      <c r="N530" s="122">
        <v>45</v>
      </c>
      <c r="O530" s="122">
        <v>100</v>
      </c>
      <c r="P530" s="122">
        <v>5</v>
      </c>
      <c r="Q530" s="123"/>
      <c r="R530" s="122">
        <v>1</v>
      </c>
      <c r="S530" s="122">
        <v>1</v>
      </c>
      <c r="T530" s="122">
        <v>1</v>
      </c>
      <c r="U530" s="123"/>
      <c r="V530" s="122">
        <v>8858890710163</v>
      </c>
    </row>
    <row r="531" ht="15.75" customHeight="1" spans="1:22" x14ac:dyDescent="0.25">
      <c r="A531" s="122" t="s">
        <v>255</v>
      </c>
      <c r="B531" s="123"/>
      <c r="C531" s="123"/>
      <c r="D531" s="122" t="s">
        <v>1874</v>
      </c>
      <c r="E531" s="122" t="s">
        <v>1875</v>
      </c>
      <c r="F531" s="122" t="s">
        <v>779</v>
      </c>
      <c r="G531" s="122" t="s">
        <v>780</v>
      </c>
      <c r="H531" s="122" t="s">
        <v>1507</v>
      </c>
      <c r="I531" s="122" t="s">
        <v>733</v>
      </c>
      <c r="J531" s="122">
        <v>65</v>
      </c>
      <c r="K531" s="122">
        <v>20</v>
      </c>
      <c r="L531" s="122">
        <v>80</v>
      </c>
      <c r="M531" s="122">
        <v>20</v>
      </c>
      <c r="N531" s="122">
        <v>45</v>
      </c>
      <c r="O531" s="122">
        <v>100</v>
      </c>
      <c r="P531" s="122">
        <v>134</v>
      </c>
      <c r="Q531" s="123"/>
      <c r="R531" s="122">
        <v>1</v>
      </c>
      <c r="S531" s="122">
        <v>1</v>
      </c>
      <c r="T531" s="122">
        <v>1</v>
      </c>
      <c r="U531" s="123"/>
      <c r="V531" s="122">
        <v>8858890710019</v>
      </c>
    </row>
    <row r="532" ht="15.75" customHeight="1" spans="1:22" x14ac:dyDescent="0.25">
      <c r="A532" s="122" t="s">
        <v>257</v>
      </c>
      <c r="B532" s="123"/>
      <c r="C532" s="123"/>
      <c r="D532" s="122" t="s">
        <v>1876</v>
      </c>
      <c r="E532" s="122" t="s">
        <v>1877</v>
      </c>
      <c r="F532" s="122" t="s">
        <v>779</v>
      </c>
      <c r="G532" s="122" t="s">
        <v>780</v>
      </c>
      <c r="H532" s="122" t="s">
        <v>1507</v>
      </c>
      <c r="I532" s="122" t="s">
        <v>733</v>
      </c>
      <c r="J532" s="122">
        <v>65</v>
      </c>
      <c r="K532" s="122">
        <v>20</v>
      </c>
      <c r="L532" s="122">
        <v>80</v>
      </c>
      <c r="M532" s="122">
        <v>20</v>
      </c>
      <c r="N532" s="122">
        <v>45</v>
      </c>
      <c r="O532" s="122">
        <v>100</v>
      </c>
      <c r="P532" s="122">
        <v>2</v>
      </c>
      <c r="Q532" s="123"/>
      <c r="R532" s="122">
        <v>1</v>
      </c>
      <c r="S532" s="122">
        <v>1</v>
      </c>
      <c r="T532" s="122">
        <v>1</v>
      </c>
      <c r="U532" s="123"/>
      <c r="V532" s="122">
        <v>8858890710125</v>
      </c>
    </row>
    <row r="533" ht="15.75" customHeight="1" spans="1:22" x14ac:dyDescent="0.25">
      <c r="A533" s="122" t="s">
        <v>330</v>
      </c>
      <c r="B533" s="123"/>
      <c r="C533" s="123"/>
      <c r="D533" s="122" t="s">
        <v>1878</v>
      </c>
      <c r="E533" s="122" t="s">
        <v>1879</v>
      </c>
      <c r="F533" s="122" t="s">
        <v>753</v>
      </c>
      <c r="G533" s="122" t="s">
        <v>745</v>
      </c>
      <c r="H533" s="122" t="s">
        <v>1880</v>
      </c>
      <c r="I533" s="122" t="s">
        <v>733</v>
      </c>
      <c r="J533" s="122">
        <v>1305</v>
      </c>
      <c r="K533" s="122">
        <v>0</v>
      </c>
      <c r="L533" s="122">
        <v>1800</v>
      </c>
      <c r="M533" s="122">
        <v>0</v>
      </c>
      <c r="N533" s="122">
        <v>1800</v>
      </c>
      <c r="O533" s="122">
        <v>2200</v>
      </c>
      <c r="P533" s="122">
        <v>0</v>
      </c>
      <c r="Q533" s="123"/>
      <c r="R533" s="122">
        <v>1</v>
      </c>
      <c r="S533" s="123"/>
      <c r="T533" s="122">
        <v>1</v>
      </c>
      <c r="U533" s="123"/>
      <c r="V533" s="122">
        <v>8858890798192</v>
      </c>
    </row>
    <row r="534" ht="15.75" customHeight="1" spans="1:22" x14ac:dyDescent="0.25">
      <c r="A534" s="122" t="s">
        <v>1881</v>
      </c>
      <c r="B534" s="123"/>
      <c r="C534" s="123"/>
      <c r="D534" s="122" t="s">
        <v>1882</v>
      </c>
      <c r="E534" s="122" t="s">
        <v>1879</v>
      </c>
      <c r="F534" s="122" t="s">
        <v>753</v>
      </c>
      <c r="G534" s="122" t="s">
        <v>745</v>
      </c>
      <c r="H534" s="122" t="s">
        <v>1880</v>
      </c>
      <c r="I534" s="122" t="s">
        <v>733</v>
      </c>
      <c r="J534" s="122">
        <v>1550</v>
      </c>
      <c r="K534" s="122">
        <v>0</v>
      </c>
      <c r="L534" s="122">
        <v>1980</v>
      </c>
      <c r="M534" s="122">
        <v>0</v>
      </c>
      <c r="N534" s="122">
        <v>2200</v>
      </c>
      <c r="O534" s="122">
        <v>2400</v>
      </c>
      <c r="P534" s="122">
        <v>1</v>
      </c>
      <c r="Q534" s="123"/>
      <c r="R534" s="122">
        <v>1</v>
      </c>
      <c r="S534" s="123"/>
      <c r="T534" s="122">
        <v>1</v>
      </c>
      <c r="U534" s="123"/>
      <c r="V534" s="122">
        <v>8858890798185</v>
      </c>
    </row>
    <row r="535" ht="15.75" customHeight="1" spans="1:22" x14ac:dyDescent="0.25">
      <c r="A535" s="122" t="s">
        <v>331</v>
      </c>
      <c r="B535" s="123"/>
      <c r="C535" s="123"/>
      <c r="D535" s="122" t="s">
        <v>1883</v>
      </c>
      <c r="E535" s="122" t="s">
        <v>1879</v>
      </c>
      <c r="F535" s="122" t="s">
        <v>753</v>
      </c>
      <c r="G535" s="122" t="s">
        <v>745</v>
      </c>
      <c r="H535" s="122" t="s">
        <v>1880</v>
      </c>
      <c r="I535" s="122" t="s">
        <v>733</v>
      </c>
      <c r="J535" s="122">
        <v>1800</v>
      </c>
      <c r="K535" s="122">
        <v>0</v>
      </c>
      <c r="L535" s="122">
        <v>2160</v>
      </c>
      <c r="M535" s="122">
        <v>0</v>
      </c>
      <c r="N535" s="122">
        <v>2400</v>
      </c>
      <c r="O535" s="122">
        <v>2600</v>
      </c>
      <c r="P535" s="122">
        <v>0</v>
      </c>
      <c r="Q535" s="123"/>
      <c r="R535" s="122">
        <v>1</v>
      </c>
      <c r="S535" s="123"/>
      <c r="T535" s="122">
        <v>1</v>
      </c>
      <c r="U535" s="123"/>
      <c r="V535" s="122">
        <v>8858890798178</v>
      </c>
    </row>
    <row r="536" ht="15.75" customHeight="1" spans="1:22" x14ac:dyDescent="0.25">
      <c r="A536" s="122" t="s">
        <v>53</v>
      </c>
      <c r="B536" s="123"/>
      <c r="C536" s="123"/>
      <c r="D536" s="122" t="s">
        <v>1884</v>
      </c>
      <c r="E536" s="123"/>
      <c r="F536" s="122" t="s">
        <v>742</v>
      </c>
      <c r="G536" s="122" t="s">
        <v>771</v>
      </c>
      <c r="H536" s="122" t="s">
        <v>975</v>
      </c>
      <c r="I536" s="122" t="s">
        <v>733</v>
      </c>
      <c r="J536" s="122">
        <v>28</v>
      </c>
      <c r="K536" s="122">
        <v>0</v>
      </c>
      <c r="L536" s="122">
        <v>45</v>
      </c>
      <c r="M536" s="122">
        <v>35</v>
      </c>
      <c r="N536" s="122">
        <v>60</v>
      </c>
      <c r="O536" s="122">
        <v>120</v>
      </c>
      <c r="P536" s="122">
        <v>29</v>
      </c>
      <c r="Q536" s="123"/>
      <c r="R536" s="122">
        <v>1</v>
      </c>
      <c r="S536" s="123"/>
      <c r="T536" s="122">
        <v>1</v>
      </c>
      <c r="U536" s="123"/>
      <c r="V536" s="122">
        <v>8858890783105</v>
      </c>
    </row>
    <row r="537" ht="15.75" customHeight="1" spans="1:22" x14ac:dyDescent="0.25">
      <c r="A537" s="122" t="s">
        <v>1885</v>
      </c>
      <c r="B537" s="123"/>
      <c r="C537" s="123"/>
      <c r="D537" s="122" t="s">
        <v>1886</v>
      </c>
      <c r="E537" s="123"/>
      <c r="F537" s="122" t="s">
        <v>753</v>
      </c>
      <c r="G537" s="122" t="s">
        <v>771</v>
      </c>
      <c r="H537" s="122" t="s">
        <v>975</v>
      </c>
      <c r="I537" s="122" t="s">
        <v>733</v>
      </c>
      <c r="J537" s="122">
        <v>25.2</v>
      </c>
      <c r="K537" s="122">
        <v>0</v>
      </c>
      <c r="L537" s="122">
        <v>0</v>
      </c>
      <c r="M537" s="122">
        <v>0</v>
      </c>
      <c r="N537" s="122">
        <v>60</v>
      </c>
      <c r="O537" s="122">
        <v>100</v>
      </c>
      <c r="P537" s="122">
        <v>6</v>
      </c>
      <c r="Q537" s="123"/>
      <c r="R537" s="122">
        <v>1</v>
      </c>
      <c r="S537" s="123"/>
      <c r="T537" s="122">
        <v>1</v>
      </c>
      <c r="U537" s="123"/>
      <c r="V537" s="122">
        <v>8858890783112</v>
      </c>
    </row>
    <row r="538" ht="15.75" customHeight="1" spans="1:22" x14ac:dyDescent="0.25">
      <c r="A538" s="122" t="s">
        <v>424</v>
      </c>
      <c r="B538" s="123"/>
      <c r="C538" s="123"/>
      <c r="D538" s="122" t="s">
        <v>1887</v>
      </c>
      <c r="E538" s="123"/>
      <c r="F538" s="122" t="s">
        <v>753</v>
      </c>
      <c r="G538" s="122" t="s">
        <v>754</v>
      </c>
      <c r="H538" s="122" t="s">
        <v>1117</v>
      </c>
      <c r="I538" s="122" t="s">
        <v>733</v>
      </c>
      <c r="J538" s="122">
        <v>38</v>
      </c>
      <c r="K538" s="122">
        <v>0</v>
      </c>
      <c r="L538" s="122">
        <v>0</v>
      </c>
      <c r="M538" s="122">
        <v>45</v>
      </c>
      <c r="N538" s="122">
        <v>60</v>
      </c>
      <c r="O538" s="122">
        <v>160</v>
      </c>
      <c r="P538" s="122">
        <v>21</v>
      </c>
      <c r="Q538" s="123"/>
      <c r="R538" s="122">
        <v>1</v>
      </c>
      <c r="S538" s="123"/>
      <c r="T538" s="122">
        <v>1</v>
      </c>
      <c r="U538" s="123"/>
      <c r="V538" s="122">
        <v>8858890798161</v>
      </c>
    </row>
    <row r="539" ht="15.75" customHeight="1" spans="1:22" x14ac:dyDescent="0.25">
      <c r="A539" s="122" t="s">
        <v>448</v>
      </c>
      <c r="B539" s="122" t="s">
        <v>873</v>
      </c>
      <c r="C539" s="123"/>
      <c r="D539" s="122" t="s">
        <v>1888</v>
      </c>
      <c r="E539" s="122" t="s">
        <v>1889</v>
      </c>
      <c r="F539" s="122" t="s">
        <v>753</v>
      </c>
      <c r="G539" s="122" t="s">
        <v>754</v>
      </c>
      <c r="H539" s="122" t="s">
        <v>1276</v>
      </c>
      <c r="I539" s="122" t="s">
        <v>733</v>
      </c>
      <c r="J539" s="122">
        <v>9</v>
      </c>
      <c r="K539" s="122">
        <v>0</v>
      </c>
      <c r="L539" s="122">
        <v>0</v>
      </c>
      <c r="M539" s="122">
        <v>29</v>
      </c>
      <c r="N539" s="122">
        <v>35</v>
      </c>
      <c r="O539" s="122">
        <v>55</v>
      </c>
      <c r="P539" s="122">
        <v>92</v>
      </c>
      <c r="Q539" s="123"/>
      <c r="R539" s="122">
        <v>1</v>
      </c>
      <c r="S539" s="123"/>
      <c r="T539" s="122">
        <v>1</v>
      </c>
      <c r="U539" s="123"/>
      <c r="V539" s="122">
        <v>8858890780180</v>
      </c>
    </row>
    <row r="540" ht="15.75" customHeight="1" spans="1:22" x14ac:dyDescent="0.25">
      <c r="A540" s="122" t="s">
        <v>448</v>
      </c>
      <c r="B540" s="122" t="s">
        <v>762</v>
      </c>
      <c r="C540" s="123"/>
      <c r="D540" s="122" t="s">
        <v>1888</v>
      </c>
      <c r="E540" s="122" t="s">
        <v>1889</v>
      </c>
      <c r="F540" s="122" t="s">
        <v>753</v>
      </c>
      <c r="G540" s="122" t="s">
        <v>754</v>
      </c>
      <c r="H540" s="122" t="s">
        <v>1276</v>
      </c>
      <c r="I540" s="122" t="s">
        <v>733</v>
      </c>
      <c r="J540" s="122">
        <v>9</v>
      </c>
      <c r="K540" s="122">
        <v>0</v>
      </c>
      <c r="L540" s="122">
        <v>0</v>
      </c>
      <c r="M540" s="122">
        <v>29</v>
      </c>
      <c r="N540" s="122">
        <v>35</v>
      </c>
      <c r="O540" s="122">
        <v>55</v>
      </c>
      <c r="P540" s="122">
        <v>106</v>
      </c>
      <c r="Q540" s="123"/>
      <c r="R540" s="122">
        <v>1</v>
      </c>
      <c r="S540" s="123"/>
      <c r="T540" s="122">
        <v>1</v>
      </c>
      <c r="U540" s="123"/>
      <c r="V540" s="122">
        <v>88588907801802</v>
      </c>
    </row>
    <row r="541" ht="15.75" customHeight="1" spans="1:22" x14ac:dyDescent="0.25">
      <c r="A541" s="122" t="s">
        <v>358</v>
      </c>
      <c r="B541" s="123"/>
      <c r="C541" s="123"/>
      <c r="D541" s="122" t="s">
        <v>1890</v>
      </c>
      <c r="E541" s="122" t="s">
        <v>1891</v>
      </c>
      <c r="F541" s="122" t="s">
        <v>753</v>
      </c>
      <c r="G541" s="122" t="s">
        <v>759</v>
      </c>
      <c r="H541" s="122" t="s">
        <v>760</v>
      </c>
      <c r="I541" s="122" t="s">
        <v>733</v>
      </c>
      <c r="J541" s="122">
        <v>0</v>
      </c>
      <c r="K541" s="122">
        <v>399</v>
      </c>
      <c r="L541" s="122">
        <v>585</v>
      </c>
      <c r="M541" s="122">
        <v>385</v>
      </c>
      <c r="N541" s="122">
        <v>650</v>
      </c>
      <c r="O541" s="122">
        <v>890</v>
      </c>
      <c r="P541" s="122">
        <v>57</v>
      </c>
      <c r="Q541" s="123"/>
      <c r="R541" s="122">
        <v>1</v>
      </c>
      <c r="S541" s="123"/>
      <c r="T541" s="122">
        <v>1</v>
      </c>
      <c r="U541" s="123"/>
      <c r="V541" s="122">
        <v>8858890760779</v>
      </c>
    </row>
    <row r="542" ht="15.75" customHeight="1" spans="1:22" x14ac:dyDescent="0.25">
      <c r="A542" s="122" t="s">
        <v>9</v>
      </c>
      <c r="B542" s="123"/>
      <c r="C542" s="123"/>
      <c r="D542" s="122" t="s">
        <v>1892</v>
      </c>
      <c r="E542" s="122" t="s">
        <v>1893</v>
      </c>
      <c r="F542" s="122" t="s">
        <v>742</v>
      </c>
      <c r="G542" s="122" t="s">
        <v>731</v>
      </c>
      <c r="H542" s="122" t="s">
        <v>732</v>
      </c>
      <c r="I542" s="122" t="s">
        <v>733</v>
      </c>
      <c r="J542" s="122">
        <v>165</v>
      </c>
      <c r="K542" s="122">
        <v>99</v>
      </c>
      <c r="L542" s="122">
        <v>215</v>
      </c>
      <c r="M542" s="122">
        <v>180</v>
      </c>
      <c r="N542" s="122">
        <v>240</v>
      </c>
      <c r="O542" s="122">
        <v>240</v>
      </c>
      <c r="P542" s="122">
        <v>120</v>
      </c>
      <c r="Q542" s="123"/>
      <c r="R542" s="122">
        <v>1</v>
      </c>
      <c r="S542" s="122">
        <v>1</v>
      </c>
      <c r="T542" s="122">
        <v>1</v>
      </c>
      <c r="U542" s="123"/>
      <c r="V542" s="122">
        <v>8858890732486</v>
      </c>
    </row>
    <row r="543" ht="15.75" customHeight="1" spans="1:22" x14ac:dyDescent="0.25">
      <c r="A543" s="122" t="s">
        <v>1894</v>
      </c>
      <c r="B543" s="122" t="s">
        <v>750</v>
      </c>
      <c r="C543" s="123"/>
      <c r="D543" s="122" t="s">
        <v>1895</v>
      </c>
      <c r="E543" s="123"/>
      <c r="F543" s="122" t="s">
        <v>753</v>
      </c>
      <c r="G543" s="122" t="s">
        <v>754</v>
      </c>
      <c r="H543" s="122" t="s">
        <v>1896</v>
      </c>
      <c r="I543" s="122" t="s">
        <v>733</v>
      </c>
      <c r="J543" s="122">
        <v>564.24</v>
      </c>
      <c r="K543" s="122">
        <v>0</v>
      </c>
      <c r="L543" s="122">
        <v>0</v>
      </c>
      <c r="M543" s="122">
        <v>359</v>
      </c>
      <c r="N543" s="122">
        <v>399</v>
      </c>
      <c r="O543" s="122">
        <v>990</v>
      </c>
      <c r="P543" s="122">
        <v>0</v>
      </c>
      <c r="Q543" s="123"/>
      <c r="R543" s="122">
        <v>1</v>
      </c>
      <c r="S543" s="123"/>
      <c r="T543" s="122">
        <v>1</v>
      </c>
      <c r="U543" s="123"/>
      <c r="V543" s="122">
        <v>8858890797218</v>
      </c>
    </row>
    <row r="544" ht="15.75" customHeight="1" spans="1:22" x14ac:dyDescent="0.25">
      <c r="A544" s="122" t="s">
        <v>1894</v>
      </c>
      <c r="B544" s="122" t="s">
        <v>750</v>
      </c>
      <c r="C544" s="122" t="s">
        <v>884</v>
      </c>
      <c r="D544" s="122" t="s">
        <v>1895</v>
      </c>
      <c r="E544" s="123"/>
      <c r="F544" s="122" t="s">
        <v>753</v>
      </c>
      <c r="G544" s="122" t="s">
        <v>754</v>
      </c>
      <c r="H544" s="122" t="s">
        <v>1896</v>
      </c>
      <c r="I544" s="122" t="s">
        <v>733</v>
      </c>
      <c r="J544" s="122">
        <v>564.24</v>
      </c>
      <c r="K544" s="122">
        <v>0</v>
      </c>
      <c r="L544" s="122">
        <v>0</v>
      </c>
      <c r="M544" s="122">
        <v>359</v>
      </c>
      <c r="N544" s="122">
        <v>399</v>
      </c>
      <c r="O544" s="122">
        <v>990</v>
      </c>
      <c r="P544" s="122">
        <v>5</v>
      </c>
      <c r="Q544" s="123"/>
      <c r="R544" s="122">
        <v>1</v>
      </c>
      <c r="S544" s="123"/>
      <c r="T544" s="122">
        <v>1</v>
      </c>
      <c r="U544" s="123"/>
      <c r="V544" s="122">
        <v>8858890797218</v>
      </c>
    </row>
    <row r="545" ht="15.75" customHeight="1" spans="1:22" x14ac:dyDescent="0.25">
      <c r="A545" s="122" t="s">
        <v>1894</v>
      </c>
      <c r="B545" s="122" t="s">
        <v>1103</v>
      </c>
      <c r="C545" s="122" t="s">
        <v>884</v>
      </c>
      <c r="D545" s="122" t="s">
        <v>1895</v>
      </c>
      <c r="E545" s="123"/>
      <c r="F545" s="122" t="s">
        <v>753</v>
      </c>
      <c r="G545" s="122" t="s">
        <v>754</v>
      </c>
      <c r="H545" s="122" t="s">
        <v>1896</v>
      </c>
      <c r="I545" s="122" t="s">
        <v>733</v>
      </c>
      <c r="J545" s="122">
        <v>564.24</v>
      </c>
      <c r="K545" s="122">
        <v>0</v>
      </c>
      <c r="L545" s="122">
        <v>0</v>
      </c>
      <c r="M545" s="122">
        <v>359</v>
      </c>
      <c r="N545" s="122">
        <v>399</v>
      </c>
      <c r="O545" s="122">
        <v>990</v>
      </c>
      <c r="P545" s="122">
        <v>4</v>
      </c>
      <c r="Q545" s="123"/>
      <c r="R545" s="122">
        <v>1</v>
      </c>
      <c r="S545" s="123"/>
      <c r="T545" s="122">
        <v>1</v>
      </c>
      <c r="U545" s="123"/>
      <c r="V545" s="122">
        <v>8858890797225</v>
      </c>
    </row>
    <row r="546" ht="15.75" customHeight="1" spans="1:22" x14ac:dyDescent="0.25">
      <c r="A546" s="122" t="s">
        <v>1894</v>
      </c>
      <c r="B546" s="122" t="s">
        <v>971</v>
      </c>
      <c r="C546" s="123"/>
      <c r="D546" s="122" t="s">
        <v>1895</v>
      </c>
      <c r="E546" s="123"/>
      <c r="F546" s="122" t="s">
        <v>753</v>
      </c>
      <c r="G546" s="122" t="s">
        <v>754</v>
      </c>
      <c r="H546" s="122" t="s">
        <v>1896</v>
      </c>
      <c r="I546" s="122" t="s">
        <v>733</v>
      </c>
      <c r="J546" s="122">
        <v>564.24</v>
      </c>
      <c r="K546" s="122">
        <v>0</v>
      </c>
      <c r="L546" s="122">
        <v>0</v>
      </c>
      <c r="M546" s="122">
        <v>359</v>
      </c>
      <c r="N546" s="122">
        <v>399</v>
      </c>
      <c r="O546" s="122">
        <v>990</v>
      </c>
      <c r="P546" s="122">
        <v>1</v>
      </c>
      <c r="Q546" s="123"/>
      <c r="R546" s="122">
        <v>1</v>
      </c>
      <c r="S546" s="123"/>
      <c r="T546" s="122">
        <v>1</v>
      </c>
      <c r="U546" s="123"/>
      <c r="V546" s="122">
        <v>8858890797232</v>
      </c>
    </row>
    <row r="547" ht="15.75" customHeight="1" spans="1:22" x14ac:dyDescent="0.25">
      <c r="A547" s="122" t="s">
        <v>1894</v>
      </c>
      <c r="B547" s="122" t="s">
        <v>762</v>
      </c>
      <c r="C547" s="123"/>
      <c r="D547" s="122" t="s">
        <v>1895</v>
      </c>
      <c r="E547" s="123"/>
      <c r="F547" s="122" t="s">
        <v>753</v>
      </c>
      <c r="G547" s="122" t="s">
        <v>754</v>
      </c>
      <c r="H547" s="122" t="s">
        <v>1896</v>
      </c>
      <c r="I547" s="122" t="s">
        <v>733</v>
      </c>
      <c r="J547" s="122">
        <v>564.24</v>
      </c>
      <c r="K547" s="122">
        <v>0</v>
      </c>
      <c r="L547" s="122">
        <v>0</v>
      </c>
      <c r="M547" s="122">
        <v>359</v>
      </c>
      <c r="N547" s="122">
        <v>399</v>
      </c>
      <c r="O547" s="122">
        <v>990</v>
      </c>
      <c r="P547" s="122">
        <v>1</v>
      </c>
      <c r="Q547" s="123"/>
      <c r="R547" s="122">
        <v>1</v>
      </c>
      <c r="S547" s="123"/>
      <c r="T547" s="122">
        <v>1</v>
      </c>
      <c r="U547" s="123"/>
      <c r="V547" s="122">
        <v>8858890797249</v>
      </c>
    </row>
    <row r="548" ht="15.75" customHeight="1" spans="1:22" x14ac:dyDescent="0.25">
      <c r="A548" s="122" t="s">
        <v>1894</v>
      </c>
      <c r="B548" s="122" t="s">
        <v>909</v>
      </c>
      <c r="C548" s="123"/>
      <c r="D548" s="122" t="s">
        <v>1895</v>
      </c>
      <c r="E548" s="123"/>
      <c r="F548" s="122" t="s">
        <v>753</v>
      </c>
      <c r="G548" s="122" t="s">
        <v>754</v>
      </c>
      <c r="H548" s="122" t="s">
        <v>1896</v>
      </c>
      <c r="I548" s="122" t="s">
        <v>733</v>
      </c>
      <c r="J548" s="122">
        <v>564.24</v>
      </c>
      <c r="K548" s="122">
        <v>0</v>
      </c>
      <c r="L548" s="122">
        <v>0</v>
      </c>
      <c r="M548" s="122">
        <v>359</v>
      </c>
      <c r="N548" s="122">
        <v>399</v>
      </c>
      <c r="O548" s="122">
        <v>990</v>
      </c>
      <c r="P548" s="122">
        <v>0</v>
      </c>
      <c r="Q548" s="123"/>
      <c r="R548" s="122">
        <v>1</v>
      </c>
      <c r="S548" s="123"/>
      <c r="T548" s="122">
        <v>1</v>
      </c>
      <c r="U548" s="123"/>
      <c r="V548" s="122">
        <v>8858890797256</v>
      </c>
    </row>
    <row r="549" ht="15.75" customHeight="1" spans="1:22" x14ac:dyDescent="0.25">
      <c r="A549" s="122" t="s">
        <v>1894</v>
      </c>
      <c r="B549" s="122" t="s">
        <v>909</v>
      </c>
      <c r="C549" s="122" t="s">
        <v>884</v>
      </c>
      <c r="D549" s="122" t="s">
        <v>1895</v>
      </c>
      <c r="E549" s="123"/>
      <c r="F549" s="122" t="s">
        <v>753</v>
      </c>
      <c r="G549" s="122" t="s">
        <v>754</v>
      </c>
      <c r="H549" s="122" t="s">
        <v>1896</v>
      </c>
      <c r="I549" s="122" t="s">
        <v>733</v>
      </c>
      <c r="J549" s="122">
        <v>564.24</v>
      </c>
      <c r="K549" s="122">
        <v>0</v>
      </c>
      <c r="L549" s="122">
        <v>0</v>
      </c>
      <c r="M549" s="122">
        <v>359</v>
      </c>
      <c r="N549" s="122">
        <v>399</v>
      </c>
      <c r="O549" s="122">
        <v>990</v>
      </c>
      <c r="P549" s="122">
        <v>0</v>
      </c>
      <c r="Q549" s="123"/>
      <c r="R549" s="122">
        <v>1</v>
      </c>
      <c r="S549" s="123"/>
      <c r="T549" s="122">
        <v>1</v>
      </c>
      <c r="U549" s="123"/>
      <c r="V549" s="122">
        <v>8858890797256</v>
      </c>
    </row>
    <row r="550" ht="15.75" customHeight="1" spans="1:22" x14ac:dyDescent="0.25">
      <c r="A550" s="122" t="s">
        <v>1897</v>
      </c>
      <c r="B550" s="123"/>
      <c r="C550" s="123"/>
      <c r="D550" s="122" t="s">
        <v>1898</v>
      </c>
      <c r="E550" s="123"/>
      <c r="F550" s="122" t="s">
        <v>753</v>
      </c>
      <c r="G550" s="122" t="s">
        <v>754</v>
      </c>
      <c r="H550" s="122" t="s">
        <v>1112</v>
      </c>
      <c r="I550" s="122" t="s">
        <v>733</v>
      </c>
      <c r="J550" s="122">
        <v>225</v>
      </c>
      <c r="K550" s="122">
        <v>0</v>
      </c>
      <c r="L550" s="122">
        <v>0</v>
      </c>
      <c r="M550" s="122">
        <v>0</v>
      </c>
      <c r="N550" s="122">
        <v>349</v>
      </c>
      <c r="O550" s="122">
        <v>599</v>
      </c>
      <c r="P550" s="122">
        <v>0</v>
      </c>
      <c r="Q550" s="123"/>
      <c r="R550" s="122">
        <v>1</v>
      </c>
      <c r="S550" s="122">
        <v>1</v>
      </c>
      <c r="T550" s="122">
        <v>1</v>
      </c>
      <c r="U550" s="123"/>
      <c r="V550" s="122">
        <v>8858890795153</v>
      </c>
    </row>
    <row r="551" ht="15.75" customHeight="1" spans="1:22" x14ac:dyDescent="0.25">
      <c r="A551" s="122" t="s">
        <v>1899</v>
      </c>
      <c r="B551" s="123"/>
      <c r="C551" s="123"/>
      <c r="D551" s="122" t="s">
        <v>1900</v>
      </c>
      <c r="E551" s="123"/>
      <c r="F551" s="122" t="s">
        <v>753</v>
      </c>
      <c r="G551" s="122" t="s">
        <v>754</v>
      </c>
      <c r="H551" s="122" t="s">
        <v>1522</v>
      </c>
      <c r="I551" s="122" t="s">
        <v>733</v>
      </c>
      <c r="J551" s="122">
        <v>0</v>
      </c>
      <c r="K551" s="122">
        <v>0</v>
      </c>
      <c r="L551" s="122">
        <v>0</v>
      </c>
      <c r="M551" s="122">
        <v>0</v>
      </c>
      <c r="N551" s="122">
        <v>19</v>
      </c>
      <c r="O551" s="122">
        <v>0</v>
      </c>
      <c r="P551" s="122">
        <v>0</v>
      </c>
      <c r="Q551" s="123"/>
      <c r="R551" s="122">
        <v>1</v>
      </c>
      <c r="S551" s="123"/>
      <c r="T551" s="122">
        <v>1</v>
      </c>
      <c r="U551" s="123"/>
      <c r="V551" s="123"/>
    </row>
    <row r="552" ht="15.75" customHeight="1" spans="1:22" x14ac:dyDescent="0.25">
      <c r="A552" s="122" t="s">
        <v>1901</v>
      </c>
      <c r="B552" s="123"/>
      <c r="C552" s="123"/>
      <c r="D552" s="122" t="s">
        <v>1902</v>
      </c>
      <c r="E552" s="123"/>
      <c r="F552" s="122" t="s">
        <v>1903</v>
      </c>
      <c r="G552" s="122" t="s">
        <v>1904</v>
      </c>
      <c r="H552" s="122" t="s">
        <v>1905</v>
      </c>
      <c r="I552" s="122" t="s">
        <v>733</v>
      </c>
      <c r="J552" s="122">
        <v>0</v>
      </c>
      <c r="K552" s="122">
        <v>0</v>
      </c>
      <c r="L552" s="122">
        <v>0</v>
      </c>
      <c r="M552" s="122">
        <v>0</v>
      </c>
      <c r="N552" s="122">
        <v>0</v>
      </c>
      <c r="O552" s="122">
        <v>0</v>
      </c>
      <c r="P552" s="122">
        <v>2784</v>
      </c>
      <c r="Q552" s="123"/>
      <c r="R552" s="122">
        <v>1</v>
      </c>
      <c r="S552" s="123"/>
      <c r="T552" s="123"/>
      <c r="U552" s="123"/>
      <c r="V552" s="123"/>
    </row>
    <row r="553" ht="15.75" customHeight="1" spans="1:22" x14ac:dyDescent="0.25">
      <c r="A553" s="122" t="s">
        <v>1906</v>
      </c>
      <c r="B553" s="123"/>
      <c r="C553" s="123"/>
      <c r="D553" s="122" t="s">
        <v>1907</v>
      </c>
      <c r="E553" s="123"/>
      <c r="F553" s="122" t="s">
        <v>1903</v>
      </c>
      <c r="G553" s="122" t="s">
        <v>1904</v>
      </c>
      <c r="H553" s="122" t="s">
        <v>1905</v>
      </c>
      <c r="I553" s="122" t="s">
        <v>1221</v>
      </c>
      <c r="J553" s="122">
        <v>0</v>
      </c>
      <c r="K553" s="122">
        <v>0</v>
      </c>
      <c r="L553" s="122">
        <v>0</v>
      </c>
      <c r="M553" s="122">
        <v>0</v>
      </c>
      <c r="N553" s="122">
        <v>0</v>
      </c>
      <c r="O553" s="122">
        <v>0</v>
      </c>
      <c r="P553" s="122">
        <v>2040</v>
      </c>
      <c r="Q553" s="123"/>
      <c r="R553" s="122">
        <v>1</v>
      </c>
      <c r="S553" s="123"/>
      <c r="T553" s="123"/>
      <c r="U553" s="123"/>
      <c r="V553" s="123"/>
    </row>
    <row r="554" ht="15.75" customHeight="1" spans="1:22" x14ac:dyDescent="0.25">
      <c r="A554" s="122" t="s">
        <v>1908</v>
      </c>
      <c r="B554" s="123"/>
      <c r="C554" s="123"/>
      <c r="D554" s="122" t="s">
        <v>1909</v>
      </c>
      <c r="E554" s="123"/>
      <c r="F554" s="122" t="s">
        <v>1903</v>
      </c>
      <c r="G554" s="122" t="s">
        <v>1904</v>
      </c>
      <c r="H554" s="122" t="s">
        <v>1905</v>
      </c>
      <c r="I554" s="122" t="s">
        <v>1221</v>
      </c>
      <c r="J554" s="122">
        <v>0</v>
      </c>
      <c r="K554" s="122">
        <v>0</v>
      </c>
      <c r="L554" s="122">
        <v>0</v>
      </c>
      <c r="M554" s="122">
        <v>0</v>
      </c>
      <c r="N554" s="122">
        <v>0</v>
      </c>
      <c r="O554" s="122">
        <v>0</v>
      </c>
      <c r="P554" s="122">
        <v>1815</v>
      </c>
      <c r="Q554" s="123"/>
      <c r="R554" s="122">
        <v>1</v>
      </c>
      <c r="S554" s="123"/>
      <c r="T554" s="123"/>
      <c r="U554" s="123"/>
      <c r="V554" s="123"/>
    </row>
    <row r="555" ht="15.75" customHeight="1" spans="1:22" x14ac:dyDescent="0.25">
      <c r="A555" s="122" t="s">
        <v>1910</v>
      </c>
      <c r="B555" s="123"/>
      <c r="C555" s="123"/>
      <c r="D555" s="122" t="s">
        <v>1911</v>
      </c>
      <c r="E555" s="123"/>
      <c r="F555" s="122" t="s">
        <v>1903</v>
      </c>
      <c r="G555" s="122" t="s">
        <v>1904</v>
      </c>
      <c r="H555" s="122" t="s">
        <v>1905</v>
      </c>
      <c r="I555" s="122" t="s">
        <v>1221</v>
      </c>
      <c r="J555" s="122">
        <v>0</v>
      </c>
      <c r="K555" s="122">
        <v>0</v>
      </c>
      <c r="L555" s="122">
        <v>0</v>
      </c>
      <c r="M555" s="122">
        <v>0</v>
      </c>
      <c r="N555" s="122">
        <v>0</v>
      </c>
      <c r="O555" s="122">
        <v>0</v>
      </c>
      <c r="P555" s="122">
        <v>1609</v>
      </c>
      <c r="Q555" s="123"/>
      <c r="R555" s="122">
        <v>1</v>
      </c>
      <c r="S555" s="123"/>
      <c r="T555" s="123"/>
      <c r="U555" s="123"/>
      <c r="V555" s="123"/>
    </row>
    <row r="556" ht="15.75" customHeight="1" spans="1:22" x14ac:dyDescent="0.25">
      <c r="A556" s="122" t="s">
        <v>1912</v>
      </c>
      <c r="B556" s="123"/>
      <c r="C556" s="123"/>
      <c r="D556" s="122" t="s">
        <v>1913</v>
      </c>
      <c r="E556" s="123"/>
      <c r="F556" s="122" t="s">
        <v>1903</v>
      </c>
      <c r="G556" s="122" t="s">
        <v>1904</v>
      </c>
      <c r="H556" s="122" t="s">
        <v>1905</v>
      </c>
      <c r="I556" s="122" t="s">
        <v>1221</v>
      </c>
      <c r="J556" s="122">
        <v>0</v>
      </c>
      <c r="K556" s="122">
        <v>0</v>
      </c>
      <c r="L556" s="122">
        <v>0</v>
      </c>
      <c r="M556" s="122">
        <v>0</v>
      </c>
      <c r="N556" s="122">
        <v>0</v>
      </c>
      <c r="O556" s="122">
        <v>0</v>
      </c>
      <c r="P556" s="122">
        <v>1271</v>
      </c>
      <c r="Q556" s="123"/>
      <c r="R556" s="122">
        <v>1</v>
      </c>
      <c r="S556" s="123"/>
      <c r="T556" s="123"/>
      <c r="U556" s="123"/>
      <c r="V556" s="123"/>
    </row>
    <row r="557" ht="15.75" customHeight="1" spans="1:22" x14ac:dyDescent="0.25">
      <c r="A557" s="122" t="s">
        <v>1914</v>
      </c>
      <c r="B557" s="123"/>
      <c r="C557" s="123"/>
      <c r="D557" s="122" t="s">
        <v>1915</v>
      </c>
      <c r="E557" s="123"/>
      <c r="F557" s="122" t="s">
        <v>1903</v>
      </c>
      <c r="G557" s="122" t="s">
        <v>1904</v>
      </c>
      <c r="H557" s="122" t="s">
        <v>1916</v>
      </c>
      <c r="I557" s="122" t="s">
        <v>733</v>
      </c>
      <c r="J557" s="122">
        <v>0</v>
      </c>
      <c r="K557" s="122">
        <v>0</v>
      </c>
      <c r="L557" s="122">
        <v>0</v>
      </c>
      <c r="M557" s="122">
        <v>0</v>
      </c>
      <c r="N557" s="122">
        <v>0</v>
      </c>
      <c r="O557" s="122">
        <v>0</v>
      </c>
      <c r="P557" s="122">
        <v>930</v>
      </c>
      <c r="Q557" s="123"/>
      <c r="R557" s="122">
        <v>1</v>
      </c>
      <c r="S557" s="123"/>
      <c r="T557" s="123"/>
      <c r="U557" s="123"/>
      <c r="V557" s="123"/>
    </row>
    <row r="558" ht="15.75" customHeight="1" spans="1:22" x14ac:dyDescent="0.25">
      <c r="A558" s="122" t="s">
        <v>1917</v>
      </c>
      <c r="B558" s="123"/>
      <c r="C558" s="123"/>
      <c r="D558" s="122" t="s">
        <v>1918</v>
      </c>
      <c r="E558" s="123"/>
      <c r="F558" s="122" t="s">
        <v>742</v>
      </c>
      <c r="G558" s="122" t="s">
        <v>1495</v>
      </c>
      <c r="H558" s="122" t="s">
        <v>1612</v>
      </c>
      <c r="I558" s="122" t="s">
        <v>733</v>
      </c>
      <c r="J558" s="122">
        <v>150</v>
      </c>
      <c r="K558" s="122">
        <v>0</v>
      </c>
      <c r="L558" s="122">
        <v>0</v>
      </c>
      <c r="M558" s="122">
        <v>0</v>
      </c>
      <c r="N558" s="122">
        <v>300</v>
      </c>
      <c r="O558" s="122">
        <v>0</v>
      </c>
      <c r="P558" s="122">
        <v>0</v>
      </c>
      <c r="Q558" s="123"/>
      <c r="R558" s="122">
        <v>1</v>
      </c>
      <c r="S558" s="123"/>
      <c r="T558" s="123"/>
      <c r="U558" s="123"/>
      <c r="V558" s="123"/>
    </row>
    <row r="559" ht="15.75" customHeight="1" spans="1:22" x14ac:dyDescent="0.25">
      <c r="A559" s="122" t="s">
        <v>570</v>
      </c>
      <c r="B559" s="123"/>
      <c r="C559" s="123"/>
      <c r="D559" s="122" t="s">
        <v>1919</v>
      </c>
      <c r="E559" s="123"/>
      <c r="F559" s="122" t="s">
        <v>753</v>
      </c>
      <c r="G559" s="122" t="s">
        <v>771</v>
      </c>
      <c r="H559" s="122" t="s">
        <v>975</v>
      </c>
      <c r="I559" s="122" t="s">
        <v>733</v>
      </c>
      <c r="J559" s="122">
        <v>6</v>
      </c>
      <c r="K559" s="122">
        <v>0</v>
      </c>
      <c r="L559" s="122">
        <v>0</v>
      </c>
      <c r="M559" s="122">
        <v>0</v>
      </c>
      <c r="N559" s="122">
        <v>19</v>
      </c>
      <c r="O559" s="122">
        <v>45</v>
      </c>
      <c r="P559" s="122">
        <v>2</v>
      </c>
      <c r="Q559" s="123"/>
      <c r="R559" s="122">
        <v>1</v>
      </c>
      <c r="S559" s="123"/>
      <c r="T559" s="123"/>
      <c r="U559" s="123"/>
      <c r="V559" s="122">
        <v>8858890781859</v>
      </c>
    </row>
    <row r="560" ht="15.75" customHeight="1" spans="1:22" x14ac:dyDescent="0.25">
      <c r="A560" s="122" t="s">
        <v>52</v>
      </c>
      <c r="B560" s="123"/>
      <c r="C560" s="123"/>
      <c r="D560" s="122" t="s">
        <v>1920</v>
      </c>
      <c r="E560" s="123"/>
      <c r="F560" s="122" t="s">
        <v>742</v>
      </c>
      <c r="G560" s="122" t="s">
        <v>771</v>
      </c>
      <c r="H560" s="122" t="s">
        <v>772</v>
      </c>
      <c r="I560" s="122" t="s">
        <v>733</v>
      </c>
      <c r="J560" s="122">
        <v>70</v>
      </c>
      <c r="K560" s="122">
        <v>0</v>
      </c>
      <c r="L560" s="122">
        <v>0</v>
      </c>
      <c r="M560" s="122">
        <v>85</v>
      </c>
      <c r="N560" s="122">
        <v>120</v>
      </c>
      <c r="O560" s="122">
        <v>190</v>
      </c>
      <c r="P560" s="122">
        <v>47</v>
      </c>
      <c r="Q560" s="123"/>
      <c r="R560" s="122">
        <v>1</v>
      </c>
      <c r="S560" s="123"/>
      <c r="T560" s="122">
        <v>1</v>
      </c>
      <c r="U560" s="123"/>
      <c r="V560" s="122">
        <v>8858890796648</v>
      </c>
    </row>
    <row r="561" ht="15.75" customHeight="1" spans="1:22" x14ac:dyDescent="0.25">
      <c r="A561" s="122" t="s">
        <v>54</v>
      </c>
      <c r="B561" s="123"/>
      <c r="C561" s="123"/>
      <c r="D561" s="122" t="s">
        <v>1921</v>
      </c>
      <c r="E561" s="123"/>
      <c r="F561" s="122" t="s">
        <v>742</v>
      </c>
      <c r="G561" s="122" t="s">
        <v>771</v>
      </c>
      <c r="H561" s="122" t="s">
        <v>975</v>
      </c>
      <c r="I561" s="122" t="s">
        <v>733</v>
      </c>
      <c r="J561" s="122">
        <v>30</v>
      </c>
      <c r="K561" s="122">
        <v>0</v>
      </c>
      <c r="L561" s="122">
        <v>0</v>
      </c>
      <c r="M561" s="122">
        <v>45</v>
      </c>
      <c r="N561" s="122">
        <v>55</v>
      </c>
      <c r="O561" s="122">
        <v>105</v>
      </c>
      <c r="P561" s="122">
        <v>92</v>
      </c>
      <c r="Q561" s="123"/>
      <c r="R561" s="122">
        <v>1</v>
      </c>
      <c r="S561" s="123"/>
      <c r="T561" s="122">
        <v>1</v>
      </c>
      <c r="U561" s="123"/>
      <c r="V561" s="122">
        <v>8858890782771</v>
      </c>
    </row>
    <row r="562" ht="15.75" customHeight="1" spans="1:22" x14ac:dyDescent="0.25">
      <c r="A562" s="122" t="s">
        <v>469</v>
      </c>
      <c r="B562" s="123"/>
      <c r="C562" s="123"/>
      <c r="D562" s="122" t="s">
        <v>1922</v>
      </c>
      <c r="E562" s="123"/>
      <c r="F562" s="122" t="s">
        <v>753</v>
      </c>
      <c r="G562" s="122" t="s">
        <v>754</v>
      </c>
      <c r="H562" s="122" t="s">
        <v>1112</v>
      </c>
      <c r="I562" s="122" t="s">
        <v>733</v>
      </c>
      <c r="J562" s="122">
        <v>43</v>
      </c>
      <c r="K562" s="122">
        <v>0</v>
      </c>
      <c r="L562" s="122">
        <v>0</v>
      </c>
      <c r="M562" s="122">
        <v>50</v>
      </c>
      <c r="N562" s="122">
        <v>80</v>
      </c>
      <c r="O562" s="122">
        <v>199</v>
      </c>
      <c r="P562" s="122">
        <v>23</v>
      </c>
      <c r="Q562" s="123"/>
      <c r="R562" s="122">
        <v>1</v>
      </c>
      <c r="S562" s="123"/>
      <c r="T562" s="122">
        <v>1</v>
      </c>
      <c r="U562" s="123"/>
      <c r="V562" s="122">
        <v>8858890796631</v>
      </c>
    </row>
    <row r="563" ht="15.75" customHeight="1" spans="1:22" x14ac:dyDescent="0.25">
      <c r="A563" s="122" t="s">
        <v>1923</v>
      </c>
      <c r="B563" s="123"/>
      <c r="C563" s="123"/>
      <c r="D563" s="122" t="s">
        <v>1924</v>
      </c>
      <c r="E563" s="123"/>
      <c r="F563" s="122" t="s">
        <v>753</v>
      </c>
      <c r="G563" s="122" t="s">
        <v>754</v>
      </c>
      <c r="H563" s="122" t="s">
        <v>1112</v>
      </c>
      <c r="I563" s="122" t="s">
        <v>733</v>
      </c>
      <c r="J563" s="122">
        <v>25</v>
      </c>
      <c r="K563" s="122">
        <v>0</v>
      </c>
      <c r="L563" s="122">
        <v>0</v>
      </c>
      <c r="M563" s="122">
        <v>0</v>
      </c>
      <c r="N563" s="122">
        <v>55</v>
      </c>
      <c r="O563" s="122">
        <v>100</v>
      </c>
      <c r="P563" s="122">
        <v>3</v>
      </c>
      <c r="Q563" s="123"/>
      <c r="R563" s="122">
        <v>1</v>
      </c>
      <c r="S563" s="123"/>
      <c r="T563" s="123"/>
      <c r="U563" s="123"/>
      <c r="V563" s="123"/>
    </row>
    <row r="564" ht="15.75" customHeight="1" spans="1:22" x14ac:dyDescent="0.25">
      <c r="A564" s="122" t="s">
        <v>1925</v>
      </c>
      <c r="B564" s="123"/>
      <c r="C564" s="123"/>
      <c r="D564" s="122" t="s">
        <v>1926</v>
      </c>
      <c r="E564" s="123"/>
      <c r="F564" s="122" t="s">
        <v>753</v>
      </c>
      <c r="G564" s="122" t="s">
        <v>754</v>
      </c>
      <c r="H564" s="122" t="s">
        <v>1112</v>
      </c>
      <c r="I564" s="122" t="s">
        <v>733</v>
      </c>
      <c r="J564" s="122">
        <v>20</v>
      </c>
      <c r="K564" s="122">
        <v>0</v>
      </c>
      <c r="L564" s="122">
        <v>0</v>
      </c>
      <c r="M564" s="122">
        <v>0</v>
      </c>
      <c r="N564" s="122">
        <v>50</v>
      </c>
      <c r="O564" s="122">
        <v>100</v>
      </c>
      <c r="P564" s="122">
        <v>1</v>
      </c>
      <c r="Q564" s="123"/>
      <c r="R564" s="122">
        <v>1</v>
      </c>
      <c r="S564" s="123"/>
      <c r="T564" s="123"/>
      <c r="U564" s="123"/>
      <c r="V564" s="123"/>
    </row>
    <row r="565" ht="15.75" customHeight="1" spans="1:22" x14ac:dyDescent="0.25">
      <c r="A565" s="122" t="s">
        <v>16</v>
      </c>
      <c r="B565" s="123"/>
      <c r="C565" s="123"/>
      <c r="D565" s="122" t="s">
        <v>1927</v>
      </c>
      <c r="E565" s="122" t="s">
        <v>1928</v>
      </c>
      <c r="F565" s="122" t="s">
        <v>742</v>
      </c>
      <c r="G565" s="122" t="s">
        <v>731</v>
      </c>
      <c r="H565" s="122" t="s">
        <v>1588</v>
      </c>
      <c r="I565" s="122" t="s">
        <v>733</v>
      </c>
      <c r="J565" s="122">
        <v>175.22</v>
      </c>
      <c r="K565" s="122">
        <v>129</v>
      </c>
      <c r="L565" s="122">
        <v>540</v>
      </c>
      <c r="M565" s="122">
        <v>190</v>
      </c>
      <c r="N565" s="122">
        <v>250</v>
      </c>
      <c r="O565" s="122">
        <v>600</v>
      </c>
      <c r="P565" s="122">
        <v>276</v>
      </c>
      <c r="Q565" s="123"/>
      <c r="R565" s="122">
        <v>1</v>
      </c>
      <c r="S565" s="122">
        <v>1</v>
      </c>
      <c r="T565" s="122">
        <v>1</v>
      </c>
      <c r="U565" s="123"/>
      <c r="V565" s="122">
        <v>8858890732509</v>
      </c>
    </row>
    <row r="566" ht="15.75" customHeight="1" spans="1:22" x14ac:dyDescent="0.25">
      <c r="A566" s="122" t="s">
        <v>1929</v>
      </c>
      <c r="B566" s="123"/>
      <c r="C566" s="123"/>
      <c r="D566" s="122" t="s">
        <v>1930</v>
      </c>
      <c r="E566" s="123"/>
      <c r="F566" s="122" t="s">
        <v>753</v>
      </c>
      <c r="G566" s="122" t="s">
        <v>754</v>
      </c>
      <c r="H566" s="122" t="s">
        <v>1522</v>
      </c>
      <c r="I566" s="122" t="s">
        <v>733</v>
      </c>
      <c r="J566" s="122">
        <v>90</v>
      </c>
      <c r="K566" s="122">
        <v>0</v>
      </c>
      <c r="L566" s="122">
        <v>0</v>
      </c>
      <c r="M566" s="122">
        <v>0</v>
      </c>
      <c r="N566" s="122">
        <v>135</v>
      </c>
      <c r="O566" s="122">
        <v>190</v>
      </c>
      <c r="P566" s="122">
        <v>10</v>
      </c>
      <c r="Q566" s="123"/>
      <c r="R566" s="122">
        <v>1</v>
      </c>
      <c r="S566" s="122">
        <v>1</v>
      </c>
      <c r="T566" s="122">
        <v>1</v>
      </c>
      <c r="U566" s="123"/>
      <c r="V566" s="122">
        <v>8858890791964</v>
      </c>
    </row>
    <row r="567" ht="15.75" customHeight="1" spans="1:22" x14ac:dyDescent="0.25">
      <c r="A567" s="122" t="s">
        <v>18</v>
      </c>
      <c r="B567" s="123"/>
      <c r="C567" s="123"/>
      <c r="D567" s="122" t="s">
        <v>1931</v>
      </c>
      <c r="E567" s="122" t="s">
        <v>1932</v>
      </c>
      <c r="F567" s="122" t="s">
        <v>742</v>
      </c>
      <c r="G567" s="122" t="s">
        <v>780</v>
      </c>
      <c r="H567" s="122" t="s">
        <v>1933</v>
      </c>
      <c r="I567" s="122" t="s">
        <v>733</v>
      </c>
      <c r="J567" s="122">
        <v>125</v>
      </c>
      <c r="K567" s="122">
        <v>139</v>
      </c>
      <c r="L567" s="122">
        <v>225</v>
      </c>
      <c r="M567" s="122">
        <v>135</v>
      </c>
      <c r="N567" s="122">
        <v>250</v>
      </c>
      <c r="O567" s="122">
        <v>250</v>
      </c>
      <c r="P567" s="122">
        <v>85</v>
      </c>
      <c r="Q567" s="123"/>
      <c r="R567" s="122">
        <v>1</v>
      </c>
      <c r="S567" s="123"/>
      <c r="T567" s="122">
        <v>1</v>
      </c>
      <c r="U567" s="123"/>
      <c r="V567" s="122">
        <v>8858890712495</v>
      </c>
    </row>
    <row r="568" ht="15.75" customHeight="1" spans="1:22" x14ac:dyDescent="0.25">
      <c r="A568" s="122" t="s">
        <v>19</v>
      </c>
      <c r="B568" s="123"/>
      <c r="C568" s="123"/>
      <c r="D568" s="122" t="s">
        <v>1934</v>
      </c>
      <c r="E568" s="123"/>
      <c r="F568" s="122" t="s">
        <v>742</v>
      </c>
      <c r="G568" s="122" t="s">
        <v>780</v>
      </c>
      <c r="H568" s="122" t="s">
        <v>1933</v>
      </c>
      <c r="I568" s="122" t="s">
        <v>733</v>
      </c>
      <c r="J568" s="122">
        <v>25</v>
      </c>
      <c r="K568" s="122">
        <v>0</v>
      </c>
      <c r="L568" s="122">
        <v>35</v>
      </c>
      <c r="M568" s="122">
        <v>0</v>
      </c>
      <c r="N568" s="122">
        <v>50</v>
      </c>
      <c r="O568" s="122">
        <v>69</v>
      </c>
      <c r="P568" s="122">
        <v>0</v>
      </c>
      <c r="Q568" s="123"/>
      <c r="R568" s="122">
        <v>1</v>
      </c>
      <c r="S568" s="122">
        <v>1</v>
      </c>
      <c r="T568" s="122">
        <v>1</v>
      </c>
      <c r="U568" s="123"/>
      <c r="V568" s="122">
        <v>8858890732523</v>
      </c>
    </row>
    <row r="569" ht="15.75" customHeight="1" spans="1:22" x14ac:dyDescent="0.25">
      <c r="A569" s="122" t="s">
        <v>1935</v>
      </c>
      <c r="B569" s="123"/>
      <c r="C569" s="123"/>
      <c r="D569" s="122" t="s">
        <v>1936</v>
      </c>
      <c r="E569" s="123"/>
      <c r="F569" s="122" t="s">
        <v>753</v>
      </c>
      <c r="G569" s="122" t="s">
        <v>765</v>
      </c>
      <c r="H569" s="122" t="s">
        <v>766</v>
      </c>
      <c r="I569" s="122" t="s">
        <v>733</v>
      </c>
      <c r="J569" s="122">
        <v>15</v>
      </c>
      <c r="K569" s="122">
        <v>0</v>
      </c>
      <c r="L569" s="122">
        <v>0</v>
      </c>
      <c r="M569" s="122">
        <v>0</v>
      </c>
      <c r="N569" s="122">
        <v>35</v>
      </c>
      <c r="O569" s="122">
        <v>0</v>
      </c>
      <c r="P569" s="122">
        <v>14</v>
      </c>
      <c r="Q569" s="123"/>
      <c r="R569" s="122">
        <v>1</v>
      </c>
      <c r="S569" s="123"/>
      <c r="T569" s="122">
        <v>1</v>
      </c>
      <c r="U569" s="123"/>
      <c r="V569" s="122">
        <v>8858890793814</v>
      </c>
    </row>
    <row r="570" ht="15.75" customHeight="1" spans="1:22" x14ac:dyDescent="0.25">
      <c r="A570" s="122" t="s">
        <v>1937</v>
      </c>
      <c r="B570" s="123"/>
      <c r="C570" s="123"/>
      <c r="D570" s="122" t="s">
        <v>1938</v>
      </c>
      <c r="E570" s="123"/>
      <c r="F570" s="122" t="s">
        <v>753</v>
      </c>
      <c r="G570" s="122" t="s">
        <v>754</v>
      </c>
      <c r="H570" s="122" t="s">
        <v>1592</v>
      </c>
      <c r="I570" s="122" t="s">
        <v>733</v>
      </c>
      <c r="J570" s="122">
        <v>18</v>
      </c>
      <c r="K570" s="122">
        <v>0</v>
      </c>
      <c r="L570" s="122">
        <v>0</v>
      </c>
      <c r="M570" s="122">
        <v>0</v>
      </c>
      <c r="N570" s="122">
        <v>27</v>
      </c>
      <c r="O570" s="122">
        <v>55</v>
      </c>
      <c r="P570" s="122">
        <v>0</v>
      </c>
      <c r="Q570" s="123"/>
      <c r="R570" s="122">
        <v>1</v>
      </c>
      <c r="S570" s="123"/>
      <c r="T570" s="123"/>
      <c r="U570" s="123"/>
      <c r="V570" s="122">
        <v>8858890791117</v>
      </c>
    </row>
    <row r="571" ht="15.75" customHeight="1" spans="1:22" x14ac:dyDescent="0.25">
      <c r="A571" s="122" t="s">
        <v>1939</v>
      </c>
      <c r="B571" s="123"/>
      <c r="C571" s="123"/>
      <c r="D571" s="122" t="s">
        <v>1940</v>
      </c>
      <c r="E571" s="123"/>
      <c r="F571" s="122" t="s">
        <v>753</v>
      </c>
      <c r="G571" s="122" t="s">
        <v>754</v>
      </c>
      <c r="H571" s="122" t="s">
        <v>1592</v>
      </c>
      <c r="I571" s="122" t="s">
        <v>733</v>
      </c>
      <c r="J571" s="122">
        <v>18</v>
      </c>
      <c r="K571" s="122">
        <v>0</v>
      </c>
      <c r="L571" s="122">
        <v>0</v>
      </c>
      <c r="M571" s="122">
        <v>0</v>
      </c>
      <c r="N571" s="122">
        <v>27</v>
      </c>
      <c r="O571" s="122">
        <v>55</v>
      </c>
      <c r="P571" s="122">
        <v>0</v>
      </c>
      <c r="Q571" s="123"/>
      <c r="R571" s="122">
        <v>1</v>
      </c>
      <c r="S571" s="123"/>
      <c r="T571" s="123"/>
      <c r="U571" s="123"/>
      <c r="V571" s="122">
        <v>8858890791421</v>
      </c>
    </row>
    <row r="572" ht="15.75" customHeight="1" spans="1:22" x14ac:dyDescent="0.25">
      <c r="A572" s="122" t="s">
        <v>1941</v>
      </c>
      <c r="B572" s="123"/>
      <c r="C572" s="123"/>
      <c r="D572" s="122" t="s">
        <v>1942</v>
      </c>
      <c r="E572" s="123"/>
      <c r="F572" s="122" t="s">
        <v>753</v>
      </c>
      <c r="G572" s="122" t="s">
        <v>754</v>
      </c>
      <c r="H572" s="122" t="s">
        <v>1592</v>
      </c>
      <c r="I572" s="122" t="s">
        <v>733</v>
      </c>
      <c r="J572" s="122">
        <v>13.5</v>
      </c>
      <c r="K572" s="122">
        <v>0</v>
      </c>
      <c r="L572" s="122">
        <v>0</v>
      </c>
      <c r="M572" s="122">
        <v>0</v>
      </c>
      <c r="N572" s="122">
        <v>22</v>
      </c>
      <c r="O572" s="122">
        <v>50</v>
      </c>
      <c r="P572" s="122">
        <v>0</v>
      </c>
      <c r="Q572" s="123"/>
      <c r="R572" s="122">
        <v>1</v>
      </c>
      <c r="S572" s="123"/>
      <c r="T572" s="123"/>
      <c r="U572" s="123"/>
      <c r="V572" s="122">
        <v>8858890793487</v>
      </c>
    </row>
    <row r="573" ht="15.75" customHeight="1" spans="1:22" x14ac:dyDescent="0.25">
      <c r="A573" s="122" t="s">
        <v>1943</v>
      </c>
      <c r="B573" s="123"/>
      <c r="C573" s="123"/>
      <c r="D573" s="122" t="s">
        <v>1944</v>
      </c>
      <c r="E573" s="123"/>
      <c r="F573" s="122" t="s">
        <v>753</v>
      </c>
      <c r="G573" s="122" t="s">
        <v>754</v>
      </c>
      <c r="H573" s="122" t="s">
        <v>1592</v>
      </c>
      <c r="I573" s="122" t="s">
        <v>733</v>
      </c>
      <c r="J573" s="122">
        <v>13.5</v>
      </c>
      <c r="K573" s="122">
        <v>0</v>
      </c>
      <c r="L573" s="122">
        <v>0</v>
      </c>
      <c r="M573" s="122">
        <v>0</v>
      </c>
      <c r="N573" s="122">
        <v>22</v>
      </c>
      <c r="O573" s="122">
        <v>50</v>
      </c>
      <c r="P573" s="122">
        <v>0</v>
      </c>
      <c r="Q573" s="123"/>
      <c r="R573" s="122">
        <v>1</v>
      </c>
      <c r="S573" s="123"/>
      <c r="T573" s="123"/>
      <c r="U573" s="123"/>
      <c r="V573" s="122">
        <v>8858890791711</v>
      </c>
    </row>
    <row r="574" ht="15.75" customHeight="1" spans="1:22" x14ac:dyDescent="0.25">
      <c r="A574" s="122" t="s">
        <v>1945</v>
      </c>
      <c r="B574" s="123"/>
      <c r="C574" s="123"/>
      <c r="D574" s="122" t="s">
        <v>1946</v>
      </c>
      <c r="E574" s="123"/>
      <c r="F574" s="122" t="s">
        <v>1903</v>
      </c>
      <c r="G574" s="122" t="s">
        <v>1904</v>
      </c>
      <c r="H574" s="122" t="s">
        <v>1905</v>
      </c>
      <c r="I574" s="122" t="s">
        <v>1221</v>
      </c>
      <c r="J574" s="122">
        <v>9</v>
      </c>
      <c r="K574" s="122">
        <v>0</v>
      </c>
      <c r="L574" s="122">
        <v>0</v>
      </c>
      <c r="M574" s="122">
        <v>0</v>
      </c>
      <c r="N574" s="122">
        <v>0</v>
      </c>
      <c r="O574" s="122">
        <v>0</v>
      </c>
      <c r="P574" s="122">
        <v>278</v>
      </c>
      <c r="Q574" s="123"/>
      <c r="R574" s="122">
        <v>1</v>
      </c>
      <c r="S574" s="123"/>
      <c r="T574" s="123"/>
      <c r="U574" s="123"/>
      <c r="V574" s="123"/>
    </row>
    <row r="575" ht="15.75" customHeight="1" spans="1:22" x14ac:dyDescent="0.25">
      <c r="A575" s="122" t="s">
        <v>1947</v>
      </c>
      <c r="B575" s="122" t="s">
        <v>1103</v>
      </c>
      <c r="C575" s="123"/>
      <c r="D575" s="122" t="s">
        <v>1948</v>
      </c>
      <c r="E575" s="123"/>
      <c r="F575" s="122" t="s">
        <v>742</v>
      </c>
      <c r="G575" s="122" t="s">
        <v>759</v>
      </c>
      <c r="H575" s="122" t="s">
        <v>948</v>
      </c>
      <c r="I575" s="122" t="s">
        <v>733</v>
      </c>
      <c r="J575" s="122">
        <v>250</v>
      </c>
      <c r="K575" s="122">
        <v>150</v>
      </c>
      <c r="L575" s="122">
        <v>350</v>
      </c>
      <c r="M575" s="122">
        <v>150</v>
      </c>
      <c r="N575" s="122">
        <v>320</v>
      </c>
      <c r="O575" s="122">
        <v>420</v>
      </c>
      <c r="P575" s="122">
        <v>31</v>
      </c>
      <c r="Q575" s="123"/>
      <c r="R575" s="122">
        <v>1</v>
      </c>
      <c r="S575" s="123"/>
      <c r="T575" s="122">
        <v>1</v>
      </c>
      <c r="U575" s="123"/>
      <c r="V575" s="122">
        <v>8858890798451</v>
      </c>
    </row>
    <row r="576" ht="15.75" customHeight="1" spans="1:22" x14ac:dyDescent="0.25">
      <c r="A576" s="122" t="s">
        <v>1947</v>
      </c>
      <c r="B576" s="122" t="s">
        <v>874</v>
      </c>
      <c r="C576" s="123"/>
      <c r="D576" s="122" t="s">
        <v>1948</v>
      </c>
      <c r="E576" s="123"/>
      <c r="F576" s="122" t="s">
        <v>742</v>
      </c>
      <c r="G576" s="122" t="s">
        <v>759</v>
      </c>
      <c r="H576" s="122" t="s">
        <v>948</v>
      </c>
      <c r="I576" s="122" t="s">
        <v>733</v>
      </c>
      <c r="J576" s="122">
        <v>250</v>
      </c>
      <c r="K576" s="122">
        <v>150</v>
      </c>
      <c r="L576" s="122">
        <v>350</v>
      </c>
      <c r="M576" s="122">
        <v>150</v>
      </c>
      <c r="N576" s="122">
        <v>320</v>
      </c>
      <c r="O576" s="122">
        <v>420</v>
      </c>
      <c r="P576" s="122">
        <v>25</v>
      </c>
      <c r="Q576" s="123"/>
      <c r="R576" s="122">
        <v>1</v>
      </c>
      <c r="S576" s="123"/>
      <c r="T576" s="122">
        <v>1</v>
      </c>
      <c r="U576" s="123"/>
      <c r="V576" s="122">
        <v>8858890798468</v>
      </c>
    </row>
    <row r="577" ht="15.75" customHeight="1" spans="1:22" x14ac:dyDescent="0.25">
      <c r="A577" s="122" t="s">
        <v>1947</v>
      </c>
      <c r="B577" s="122" t="s">
        <v>921</v>
      </c>
      <c r="C577" s="123"/>
      <c r="D577" s="122" t="s">
        <v>1948</v>
      </c>
      <c r="E577" s="123"/>
      <c r="F577" s="122" t="s">
        <v>742</v>
      </c>
      <c r="G577" s="122" t="s">
        <v>759</v>
      </c>
      <c r="H577" s="122" t="s">
        <v>948</v>
      </c>
      <c r="I577" s="122" t="s">
        <v>733</v>
      </c>
      <c r="J577" s="122">
        <v>250</v>
      </c>
      <c r="K577" s="122">
        <v>150</v>
      </c>
      <c r="L577" s="122">
        <v>350</v>
      </c>
      <c r="M577" s="122">
        <v>150</v>
      </c>
      <c r="N577" s="122">
        <v>320</v>
      </c>
      <c r="O577" s="122">
        <v>420</v>
      </c>
      <c r="P577" s="122">
        <v>32</v>
      </c>
      <c r="Q577" s="123"/>
      <c r="R577" s="122">
        <v>1</v>
      </c>
      <c r="S577" s="123"/>
      <c r="T577" s="122">
        <v>1</v>
      </c>
      <c r="U577" s="123"/>
      <c r="V577" s="122">
        <v>8858890798475</v>
      </c>
    </row>
    <row r="578" ht="15.75" customHeight="1" spans="1:22" x14ac:dyDescent="0.25">
      <c r="A578" s="122" t="s">
        <v>1947</v>
      </c>
      <c r="B578" s="122" t="s">
        <v>762</v>
      </c>
      <c r="C578" s="123"/>
      <c r="D578" s="122" t="s">
        <v>1948</v>
      </c>
      <c r="E578" s="123"/>
      <c r="F578" s="122" t="s">
        <v>742</v>
      </c>
      <c r="G578" s="122" t="s">
        <v>759</v>
      </c>
      <c r="H578" s="122" t="s">
        <v>948</v>
      </c>
      <c r="I578" s="122" t="s">
        <v>733</v>
      </c>
      <c r="J578" s="122">
        <v>250</v>
      </c>
      <c r="K578" s="122">
        <v>150</v>
      </c>
      <c r="L578" s="122">
        <v>350</v>
      </c>
      <c r="M578" s="122">
        <v>150</v>
      </c>
      <c r="N578" s="122">
        <v>320</v>
      </c>
      <c r="O578" s="122">
        <v>420</v>
      </c>
      <c r="P578" s="122">
        <v>38</v>
      </c>
      <c r="Q578" s="123"/>
      <c r="R578" s="122">
        <v>1</v>
      </c>
      <c r="S578" s="123"/>
      <c r="T578" s="122">
        <v>1</v>
      </c>
      <c r="U578" s="123"/>
      <c r="V578" s="122">
        <v>8858890798482</v>
      </c>
    </row>
    <row r="579" ht="15.75" customHeight="1" spans="1:22" x14ac:dyDescent="0.25">
      <c r="A579" s="122" t="s">
        <v>617</v>
      </c>
      <c r="B579" s="123"/>
      <c r="C579" s="123"/>
      <c r="D579" s="122" t="s">
        <v>1949</v>
      </c>
      <c r="E579" s="123"/>
      <c r="F579" s="122" t="s">
        <v>753</v>
      </c>
      <c r="G579" s="122" t="s">
        <v>754</v>
      </c>
      <c r="H579" s="122" t="s">
        <v>1592</v>
      </c>
      <c r="I579" s="122" t="s">
        <v>733</v>
      </c>
      <c r="J579" s="122">
        <v>180</v>
      </c>
      <c r="K579" s="122">
        <v>0</v>
      </c>
      <c r="L579" s="122">
        <v>0</v>
      </c>
      <c r="M579" s="122">
        <v>70</v>
      </c>
      <c r="N579" s="122">
        <v>250</v>
      </c>
      <c r="O579" s="122">
        <v>520</v>
      </c>
      <c r="P579" s="122">
        <v>4</v>
      </c>
      <c r="Q579" s="123"/>
      <c r="R579" s="122">
        <v>1</v>
      </c>
      <c r="S579" s="123"/>
      <c r="T579" s="122">
        <v>1</v>
      </c>
      <c r="U579" s="123"/>
      <c r="V579" s="123"/>
    </row>
    <row r="580" ht="15.75" customHeight="1" spans="1:22" x14ac:dyDescent="0.25">
      <c r="A580" s="122" t="s">
        <v>616</v>
      </c>
      <c r="B580" s="123"/>
      <c r="C580" s="123"/>
      <c r="D580" s="122" t="s">
        <v>1950</v>
      </c>
      <c r="E580" s="123"/>
      <c r="F580" s="122" t="s">
        <v>753</v>
      </c>
      <c r="G580" s="122" t="s">
        <v>754</v>
      </c>
      <c r="H580" s="122" t="s">
        <v>1592</v>
      </c>
      <c r="I580" s="122" t="s">
        <v>733</v>
      </c>
      <c r="J580" s="122">
        <v>180</v>
      </c>
      <c r="K580" s="122">
        <v>0</v>
      </c>
      <c r="L580" s="122">
        <v>0</v>
      </c>
      <c r="M580" s="122">
        <v>0</v>
      </c>
      <c r="N580" s="122">
        <v>250</v>
      </c>
      <c r="O580" s="122">
        <v>520</v>
      </c>
      <c r="P580" s="122">
        <v>4</v>
      </c>
      <c r="Q580" s="123"/>
      <c r="R580" s="122">
        <v>1</v>
      </c>
      <c r="S580" s="123"/>
      <c r="T580" s="122">
        <v>1</v>
      </c>
      <c r="U580" s="123"/>
      <c r="V580" s="122">
        <v>8858890798581</v>
      </c>
    </row>
    <row r="581" ht="15.75" customHeight="1" spans="1:22" x14ac:dyDescent="0.25">
      <c r="A581" s="122" t="s">
        <v>412</v>
      </c>
      <c r="B581" s="123"/>
      <c r="C581" s="123"/>
      <c r="D581" s="122" t="s">
        <v>1951</v>
      </c>
      <c r="E581" s="122" t="s">
        <v>1952</v>
      </c>
      <c r="F581" s="122" t="s">
        <v>753</v>
      </c>
      <c r="G581" s="122" t="s">
        <v>754</v>
      </c>
      <c r="H581" s="122" t="s">
        <v>818</v>
      </c>
      <c r="I581" s="122" t="s">
        <v>733</v>
      </c>
      <c r="J581" s="122">
        <v>125</v>
      </c>
      <c r="K581" s="122">
        <v>0</v>
      </c>
      <c r="L581" s="122">
        <v>110</v>
      </c>
      <c r="M581" s="122">
        <v>120</v>
      </c>
      <c r="N581" s="122">
        <v>125</v>
      </c>
      <c r="O581" s="122">
        <v>300</v>
      </c>
      <c r="P581" s="122">
        <v>20</v>
      </c>
      <c r="Q581" s="123"/>
      <c r="R581" s="122">
        <v>1</v>
      </c>
      <c r="S581" s="122">
        <v>1</v>
      </c>
      <c r="T581" s="122">
        <v>1</v>
      </c>
      <c r="U581" s="123"/>
      <c r="V581" s="122">
        <v>8858890798550</v>
      </c>
    </row>
    <row r="582" ht="15.75" customHeight="1" spans="1:22" x14ac:dyDescent="0.25">
      <c r="A582" s="122" t="s">
        <v>1953</v>
      </c>
      <c r="B582" s="123"/>
      <c r="C582" s="123"/>
      <c r="D582" s="122" t="s">
        <v>1954</v>
      </c>
      <c r="E582" s="123"/>
      <c r="F582" s="122" t="s">
        <v>753</v>
      </c>
      <c r="G582" s="122" t="s">
        <v>771</v>
      </c>
      <c r="H582" s="122" t="s">
        <v>1000</v>
      </c>
      <c r="I582" s="122" t="s">
        <v>733</v>
      </c>
      <c r="J582" s="122">
        <v>100</v>
      </c>
      <c r="K582" s="122">
        <v>0</v>
      </c>
      <c r="L582" s="122">
        <v>165</v>
      </c>
      <c r="M582" s="122">
        <v>120</v>
      </c>
      <c r="N582" s="122">
        <v>150</v>
      </c>
      <c r="O582" s="122">
        <v>280</v>
      </c>
      <c r="P582" s="122">
        <v>337</v>
      </c>
      <c r="Q582" s="123"/>
      <c r="R582" s="122">
        <v>1</v>
      </c>
      <c r="S582" s="122">
        <v>1</v>
      </c>
      <c r="T582" s="122">
        <v>1</v>
      </c>
      <c r="U582" s="123"/>
      <c r="V582" s="122">
        <v>8858890798536</v>
      </c>
    </row>
    <row r="583" ht="15.75" customHeight="1" spans="1:22" x14ac:dyDescent="0.25">
      <c r="A583" s="122" t="s">
        <v>1955</v>
      </c>
      <c r="B583" s="123"/>
      <c r="C583" s="123"/>
      <c r="D583" s="122" t="s">
        <v>1956</v>
      </c>
      <c r="E583" s="123"/>
      <c r="F583" s="122" t="s">
        <v>753</v>
      </c>
      <c r="G583" s="122" t="s">
        <v>771</v>
      </c>
      <c r="H583" s="122" t="s">
        <v>1000</v>
      </c>
      <c r="I583" s="122" t="s">
        <v>733</v>
      </c>
      <c r="J583" s="122">
        <v>100</v>
      </c>
      <c r="K583" s="122">
        <v>0</v>
      </c>
      <c r="L583" s="122">
        <v>165</v>
      </c>
      <c r="M583" s="122">
        <v>120</v>
      </c>
      <c r="N583" s="122">
        <v>150</v>
      </c>
      <c r="O583" s="122">
        <v>280</v>
      </c>
      <c r="P583" s="122">
        <v>233</v>
      </c>
      <c r="Q583" s="123"/>
      <c r="R583" s="122">
        <v>1</v>
      </c>
      <c r="S583" s="122">
        <v>1</v>
      </c>
      <c r="T583" s="122">
        <v>1</v>
      </c>
      <c r="U583" s="123"/>
      <c r="V583" s="122">
        <v>8858890798505</v>
      </c>
    </row>
    <row r="584" ht="15.75" customHeight="1" spans="1:22" x14ac:dyDescent="0.25">
      <c r="A584" s="122" t="s">
        <v>1957</v>
      </c>
      <c r="B584" s="123"/>
      <c r="C584" s="123"/>
      <c r="D584" s="122" t="s">
        <v>1958</v>
      </c>
      <c r="E584" s="123"/>
      <c r="F584" s="122" t="s">
        <v>753</v>
      </c>
      <c r="G584" s="122" t="s">
        <v>771</v>
      </c>
      <c r="H584" s="122" t="s">
        <v>1000</v>
      </c>
      <c r="I584" s="122" t="s">
        <v>733</v>
      </c>
      <c r="J584" s="122">
        <v>105</v>
      </c>
      <c r="K584" s="122">
        <v>0</v>
      </c>
      <c r="L584" s="122">
        <v>175</v>
      </c>
      <c r="M584" s="122">
        <v>120</v>
      </c>
      <c r="N584" s="122">
        <v>160</v>
      </c>
      <c r="O584" s="122">
        <v>295</v>
      </c>
      <c r="P584" s="122">
        <v>244</v>
      </c>
      <c r="Q584" s="123"/>
      <c r="R584" s="122">
        <v>1</v>
      </c>
      <c r="S584" s="122">
        <v>1</v>
      </c>
      <c r="T584" s="122">
        <v>1</v>
      </c>
      <c r="U584" s="123"/>
      <c r="V584" s="122">
        <v>8858890798512</v>
      </c>
    </row>
    <row r="585" ht="15.75" customHeight="1" spans="1:22" x14ac:dyDescent="0.25">
      <c r="A585" s="122" t="s">
        <v>1959</v>
      </c>
      <c r="B585" s="123"/>
      <c r="C585" s="123"/>
      <c r="D585" s="122" t="s">
        <v>1960</v>
      </c>
      <c r="E585" s="123"/>
      <c r="F585" s="122" t="s">
        <v>753</v>
      </c>
      <c r="G585" s="122" t="s">
        <v>771</v>
      </c>
      <c r="H585" s="122" t="s">
        <v>1000</v>
      </c>
      <c r="I585" s="122" t="s">
        <v>733</v>
      </c>
      <c r="J585" s="122">
        <v>105</v>
      </c>
      <c r="K585" s="122">
        <v>0</v>
      </c>
      <c r="L585" s="122">
        <v>175</v>
      </c>
      <c r="M585" s="122">
        <v>120</v>
      </c>
      <c r="N585" s="122">
        <v>160</v>
      </c>
      <c r="O585" s="122">
        <v>295</v>
      </c>
      <c r="P585" s="122">
        <v>833</v>
      </c>
      <c r="Q585" s="123"/>
      <c r="R585" s="122">
        <v>1</v>
      </c>
      <c r="S585" s="122">
        <v>1</v>
      </c>
      <c r="T585" s="122">
        <v>1</v>
      </c>
      <c r="U585" s="123"/>
      <c r="V585" s="122">
        <v>8858890798529</v>
      </c>
    </row>
    <row r="586" ht="15.75" customHeight="1" spans="1:22" x14ac:dyDescent="0.25">
      <c r="A586" s="122" t="s">
        <v>1961</v>
      </c>
      <c r="B586" s="123"/>
      <c r="C586" s="123"/>
      <c r="D586" s="122" t="s">
        <v>1962</v>
      </c>
      <c r="E586" s="123"/>
      <c r="F586" s="122" t="s">
        <v>742</v>
      </c>
      <c r="G586" s="122" t="s">
        <v>754</v>
      </c>
      <c r="H586" s="122" t="s">
        <v>1387</v>
      </c>
      <c r="I586" s="122" t="s">
        <v>733</v>
      </c>
      <c r="J586" s="122">
        <v>20</v>
      </c>
      <c r="K586" s="122">
        <v>0</v>
      </c>
      <c r="L586" s="122">
        <v>0</v>
      </c>
      <c r="M586" s="122">
        <v>35</v>
      </c>
      <c r="N586" s="122">
        <v>35</v>
      </c>
      <c r="O586" s="122">
        <v>55</v>
      </c>
      <c r="P586" s="122">
        <v>33</v>
      </c>
      <c r="Q586" s="123"/>
      <c r="R586" s="122">
        <v>1</v>
      </c>
      <c r="S586" s="123"/>
      <c r="T586" s="123"/>
      <c r="U586" s="123"/>
      <c r="V586" s="122">
        <v>8858890798659</v>
      </c>
    </row>
    <row r="587" ht="15.75" customHeight="1" spans="1:22" x14ac:dyDescent="0.25">
      <c r="A587" s="122" t="s">
        <v>259</v>
      </c>
      <c r="B587" s="123"/>
      <c r="C587" s="123"/>
      <c r="D587" s="122" t="s">
        <v>1963</v>
      </c>
      <c r="E587" s="123"/>
      <c r="F587" s="122" t="s">
        <v>779</v>
      </c>
      <c r="G587" s="122" t="s">
        <v>780</v>
      </c>
      <c r="H587" s="122" t="s">
        <v>1507</v>
      </c>
      <c r="I587" s="122" t="s">
        <v>733</v>
      </c>
      <c r="J587" s="122">
        <v>65</v>
      </c>
      <c r="K587" s="122">
        <v>20</v>
      </c>
      <c r="L587" s="122">
        <v>0</v>
      </c>
      <c r="M587" s="122">
        <v>20</v>
      </c>
      <c r="N587" s="122">
        <v>45</v>
      </c>
      <c r="O587" s="122">
        <v>100</v>
      </c>
      <c r="P587" s="122">
        <v>313</v>
      </c>
      <c r="Q587" s="123"/>
      <c r="R587" s="122">
        <v>1</v>
      </c>
      <c r="S587" s="123"/>
      <c r="T587" s="122">
        <v>1</v>
      </c>
      <c r="U587" s="123"/>
      <c r="V587" s="122">
        <v>8858890710194</v>
      </c>
    </row>
    <row r="588" ht="15.75" customHeight="1" spans="1:22" x14ac:dyDescent="0.25">
      <c r="A588" s="122" t="s">
        <v>1964</v>
      </c>
      <c r="B588" s="123"/>
      <c r="C588" s="123"/>
      <c r="D588" s="122" t="s">
        <v>1965</v>
      </c>
      <c r="E588" s="123"/>
      <c r="F588" s="122" t="s">
        <v>742</v>
      </c>
      <c r="G588" s="122" t="s">
        <v>1488</v>
      </c>
      <c r="H588" s="122" t="s">
        <v>1489</v>
      </c>
      <c r="I588" s="122" t="s">
        <v>733</v>
      </c>
      <c r="J588" s="122">
        <v>0</v>
      </c>
      <c r="K588" s="122">
        <v>0</v>
      </c>
      <c r="L588" s="122">
        <v>0</v>
      </c>
      <c r="M588" s="122">
        <v>0</v>
      </c>
      <c r="N588" s="122">
        <v>69</v>
      </c>
      <c r="O588" s="122">
        <v>0</v>
      </c>
      <c r="P588" s="122">
        <v>757</v>
      </c>
      <c r="Q588" s="123"/>
      <c r="R588" s="122">
        <v>1</v>
      </c>
      <c r="S588" s="123"/>
      <c r="T588" s="123"/>
      <c r="U588" s="123"/>
      <c r="V588" s="123"/>
    </row>
    <row r="589" ht="15.75" customHeight="1" spans="1:22" x14ac:dyDescent="0.25">
      <c r="A589" s="122" t="s">
        <v>472</v>
      </c>
      <c r="B589" s="123"/>
      <c r="C589" s="123"/>
      <c r="D589" s="122" t="s">
        <v>1966</v>
      </c>
      <c r="E589" s="123"/>
      <c r="F589" s="122" t="s">
        <v>753</v>
      </c>
      <c r="G589" s="122" t="s">
        <v>754</v>
      </c>
      <c r="H589" s="122" t="s">
        <v>1592</v>
      </c>
      <c r="I589" s="122" t="s">
        <v>733</v>
      </c>
      <c r="J589" s="122">
        <v>65</v>
      </c>
      <c r="K589" s="122">
        <v>0</v>
      </c>
      <c r="L589" s="122">
        <v>0</v>
      </c>
      <c r="M589" s="122">
        <v>75</v>
      </c>
      <c r="N589" s="122">
        <v>90</v>
      </c>
      <c r="O589" s="122">
        <v>120</v>
      </c>
      <c r="P589" s="122">
        <v>53</v>
      </c>
      <c r="Q589" s="123"/>
      <c r="R589" s="122">
        <v>1</v>
      </c>
      <c r="S589" s="123"/>
      <c r="T589" s="122">
        <v>1</v>
      </c>
      <c r="U589" s="123"/>
      <c r="V589" s="122">
        <v>8858890798758</v>
      </c>
    </row>
    <row r="590" ht="15.75" customHeight="1" spans="1:22" x14ac:dyDescent="0.25">
      <c r="A590" s="122" t="s">
        <v>20</v>
      </c>
      <c r="B590" s="123"/>
      <c r="C590" s="123"/>
      <c r="D590" s="122" t="s">
        <v>1967</v>
      </c>
      <c r="E590" s="122" t="s">
        <v>1968</v>
      </c>
      <c r="F590" s="122" t="s">
        <v>742</v>
      </c>
      <c r="G590" s="122" t="s">
        <v>731</v>
      </c>
      <c r="H590" s="122" t="s">
        <v>732</v>
      </c>
      <c r="I590" s="122" t="s">
        <v>733</v>
      </c>
      <c r="J590" s="122">
        <v>165</v>
      </c>
      <c r="K590" s="122">
        <v>99</v>
      </c>
      <c r="L590" s="122">
        <v>215</v>
      </c>
      <c r="M590" s="122">
        <v>130</v>
      </c>
      <c r="N590" s="122">
        <v>240</v>
      </c>
      <c r="O590" s="122">
        <v>240</v>
      </c>
      <c r="P590" s="122">
        <v>350</v>
      </c>
      <c r="Q590" s="123"/>
      <c r="R590" s="122">
        <v>1</v>
      </c>
      <c r="S590" s="122">
        <v>1</v>
      </c>
      <c r="T590" s="122">
        <v>1</v>
      </c>
      <c r="U590" s="123"/>
      <c r="V590" s="122">
        <v>8858890798499</v>
      </c>
    </row>
    <row r="591" ht="15.75" customHeight="1" spans="1:22" x14ac:dyDescent="0.25">
      <c r="A591" s="122" t="s">
        <v>21</v>
      </c>
      <c r="B591" s="123"/>
      <c r="C591" s="123"/>
      <c r="D591" s="122" t="s">
        <v>1969</v>
      </c>
      <c r="E591" s="122" t="s">
        <v>1970</v>
      </c>
      <c r="F591" s="122" t="s">
        <v>742</v>
      </c>
      <c r="G591" s="122" t="s">
        <v>731</v>
      </c>
      <c r="H591" s="122" t="s">
        <v>1588</v>
      </c>
      <c r="I591" s="122" t="s">
        <v>733</v>
      </c>
      <c r="J591" s="122">
        <v>176.64</v>
      </c>
      <c r="K591" s="122">
        <v>129</v>
      </c>
      <c r="L591" s="122">
        <v>585</v>
      </c>
      <c r="M591" s="122">
        <v>180</v>
      </c>
      <c r="N591" s="122">
        <v>250</v>
      </c>
      <c r="O591" s="122">
        <v>650</v>
      </c>
      <c r="P591" s="122">
        <v>271</v>
      </c>
      <c r="Q591" s="123"/>
      <c r="R591" s="122">
        <v>1</v>
      </c>
      <c r="S591" s="122">
        <v>1</v>
      </c>
      <c r="T591" s="122">
        <v>1</v>
      </c>
      <c r="U591" s="123"/>
      <c r="V591" s="122">
        <v>8858890798666</v>
      </c>
    </row>
    <row r="592" ht="15.75" customHeight="1" spans="1:22" x14ac:dyDescent="0.25">
      <c r="A592" s="122" t="s">
        <v>17</v>
      </c>
      <c r="B592" s="123"/>
      <c r="C592" s="123"/>
      <c r="D592" s="122" t="s">
        <v>1971</v>
      </c>
      <c r="E592" s="122" t="s">
        <v>1972</v>
      </c>
      <c r="F592" s="122" t="s">
        <v>742</v>
      </c>
      <c r="G592" s="122" t="s">
        <v>731</v>
      </c>
      <c r="H592" s="122" t="s">
        <v>1588</v>
      </c>
      <c r="I592" s="122" t="s">
        <v>733</v>
      </c>
      <c r="J592" s="122">
        <v>140</v>
      </c>
      <c r="K592" s="122">
        <v>129</v>
      </c>
      <c r="L592" s="122">
        <v>170</v>
      </c>
      <c r="M592" s="122">
        <v>150</v>
      </c>
      <c r="N592" s="122">
        <v>190</v>
      </c>
      <c r="O592" s="122">
        <v>190</v>
      </c>
      <c r="P592" s="122">
        <v>251</v>
      </c>
      <c r="Q592" s="123"/>
      <c r="R592" s="122">
        <v>1</v>
      </c>
      <c r="S592" s="122">
        <v>1</v>
      </c>
      <c r="T592" s="122">
        <v>1</v>
      </c>
      <c r="U592" s="123"/>
      <c r="V592" s="122">
        <v>8858890732516</v>
      </c>
    </row>
    <row r="593" ht="15.75" customHeight="1" spans="1:22" x14ac:dyDescent="0.25">
      <c r="A593" s="122" t="s">
        <v>1973</v>
      </c>
      <c r="B593" s="123"/>
      <c r="C593" s="123"/>
      <c r="D593" s="122" t="s">
        <v>1974</v>
      </c>
      <c r="E593" s="123"/>
      <c r="F593" s="122" t="s">
        <v>742</v>
      </c>
      <c r="G593" s="122" t="s">
        <v>1495</v>
      </c>
      <c r="H593" s="122" t="s">
        <v>1582</v>
      </c>
      <c r="I593" s="122" t="s">
        <v>733</v>
      </c>
      <c r="J593" s="122">
        <v>30</v>
      </c>
      <c r="K593" s="122">
        <v>0</v>
      </c>
      <c r="L593" s="122">
        <v>0</v>
      </c>
      <c r="M593" s="122">
        <v>0</v>
      </c>
      <c r="N593" s="122">
        <v>120</v>
      </c>
      <c r="O593" s="122">
        <v>0</v>
      </c>
      <c r="P593" s="122">
        <v>5</v>
      </c>
      <c r="Q593" s="123"/>
      <c r="R593" s="122">
        <v>1</v>
      </c>
      <c r="S593" s="123"/>
      <c r="T593" s="123"/>
      <c r="U593" s="123"/>
      <c r="V593" s="122">
        <v>8858890797416</v>
      </c>
    </row>
    <row r="594" ht="15.75" customHeight="1" spans="1:22" x14ac:dyDescent="0.25">
      <c r="A594" s="122" t="s">
        <v>1975</v>
      </c>
      <c r="B594" s="123"/>
      <c r="C594" s="123"/>
      <c r="D594" s="122" t="s">
        <v>1976</v>
      </c>
      <c r="E594" s="123"/>
      <c r="F594" s="122" t="s">
        <v>742</v>
      </c>
      <c r="G594" s="122" t="s">
        <v>1495</v>
      </c>
      <c r="H594" s="122" t="s">
        <v>1977</v>
      </c>
      <c r="I594" s="122" t="s">
        <v>733</v>
      </c>
      <c r="J594" s="122">
        <v>80</v>
      </c>
      <c r="K594" s="122">
        <v>0</v>
      </c>
      <c r="L594" s="122">
        <v>0</v>
      </c>
      <c r="M594" s="122">
        <v>0</v>
      </c>
      <c r="N594" s="122">
        <v>200</v>
      </c>
      <c r="O594" s="122">
        <v>0</v>
      </c>
      <c r="P594" s="122">
        <v>3</v>
      </c>
      <c r="Q594" s="123"/>
      <c r="R594" s="122">
        <v>1</v>
      </c>
      <c r="S594" s="123"/>
      <c r="T594" s="123"/>
      <c r="U594" s="123"/>
      <c r="V594" s="122">
        <v>8858800797874</v>
      </c>
    </row>
    <row r="595" ht="15.75" customHeight="1" spans="1:22" x14ac:dyDescent="0.25">
      <c r="A595" s="122" t="s">
        <v>1978</v>
      </c>
      <c r="B595" s="122" t="s">
        <v>750</v>
      </c>
      <c r="C595" s="122" t="s">
        <v>777</v>
      </c>
      <c r="D595" s="122" t="s">
        <v>1979</v>
      </c>
      <c r="E595" s="123"/>
      <c r="F595" s="122" t="s">
        <v>753</v>
      </c>
      <c r="G595" s="122" t="s">
        <v>754</v>
      </c>
      <c r="H595" s="122" t="s">
        <v>1896</v>
      </c>
      <c r="I595" s="122" t="s">
        <v>733</v>
      </c>
      <c r="J595" s="122">
        <v>422.64</v>
      </c>
      <c r="K595" s="122">
        <v>0</v>
      </c>
      <c r="L595" s="122">
        <v>0</v>
      </c>
      <c r="M595" s="122">
        <v>259</v>
      </c>
      <c r="N595" s="122">
        <v>299</v>
      </c>
      <c r="O595" s="122">
        <v>690</v>
      </c>
      <c r="P595" s="122">
        <v>1</v>
      </c>
      <c r="Q595" s="123"/>
      <c r="R595" s="122">
        <v>1</v>
      </c>
      <c r="S595" s="123"/>
      <c r="T595" s="122">
        <v>1</v>
      </c>
      <c r="U595" s="123"/>
      <c r="V595" s="122">
        <v>8858890797164</v>
      </c>
    </row>
    <row r="596" ht="15.75" customHeight="1" spans="1:22" x14ac:dyDescent="0.25">
      <c r="A596" s="122" t="s">
        <v>1978</v>
      </c>
      <c r="B596" s="122" t="s">
        <v>1103</v>
      </c>
      <c r="C596" s="123"/>
      <c r="D596" s="122" t="s">
        <v>1979</v>
      </c>
      <c r="E596" s="123"/>
      <c r="F596" s="122" t="s">
        <v>753</v>
      </c>
      <c r="G596" s="122" t="s">
        <v>754</v>
      </c>
      <c r="H596" s="122" t="s">
        <v>1896</v>
      </c>
      <c r="I596" s="122" t="s">
        <v>733</v>
      </c>
      <c r="J596" s="122">
        <v>422.64</v>
      </c>
      <c r="K596" s="122">
        <v>0</v>
      </c>
      <c r="L596" s="122">
        <v>0</v>
      </c>
      <c r="M596" s="122">
        <v>259</v>
      </c>
      <c r="N596" s="122">
        <v>299</v>
      </c>
      <c r="O596" s="122">
        <v>690</v>
      </c>
      <c r="P596" s="122">
        <v>0</v>
      </c>
      <c r="Q596" s="123"/>
      <c r="R596" s="122">
        <v>1</v>
      </c>
      <c r="S596" s="123"/>
      <c r="T596" s="122">
        <v>1</v>
      </c>
      <c r="U596" s="123"/>
      <c r="V596" s="122">
        <v>8858890797171</v>
      </c>
    </row>
    <row r="597" ht="15.75" customHeight="1" spans="1:22" x14ac:dyDescent="0.25">
      <c r="A597" s="122" t="s">
        <v>1978</v>
      </c>
      <c r="B597" s="122" t="s">
        <v>1103</v>
      </c>
      <c r="C597" s="122" t="s">
        <v>777</v>
      </c>
      <c r="D597" s="122" t="s">
        <v>1979</v>
      </c>
      <c r="E597" s="123"/>
      <c r="F597" s="122" t="s">
        <v>753</v>
      </c>
      <c r="G597" s="122" t="s">
        <v>754</v>
      </c>
      <c r="H597" s="122" t="s">
        <v>1896</v>
      </c>
      <c r="I597" s="122" t="s">
        <v>733</v>
      </c>
      <c r="J597" s="122">
        <v>422.64</v>
      </c>
      <c r="K597" s="122">
        <v>0</v>
      </c>
      <c r="L597" s="122">
        <v>0</v>
      </c>
      <c r="M597" s="122">
        <v>259</v>
      </c>
      <c r="N597" s="122">
        <v>299</v>
      </c>
      <c r="O597" s="122">
        <v>690</v>
      </c>
      <c r="P597" s="122">
        <v>0</v>
      </c>
      <c r="Q597" s="123"/>
      <c r="R597" s="122">
        <v>1</v>
      </c>
      <c r="S597" s="123"/>
      <c r="T597" s="122">
        <v>1</v>
      </c>
      <c r="U597" s="123"/>
      <c r="V597" s="122">
        <v>8858890797171</v>
      </c>
    </row>
    <row r="598" ht="15.75" customHeight="1" spans="1:22" x14ac:dyDescent="0.25">
      <c r="A598" s="122" t="s">
        <v>1978</v>
      </c>
      <c r="B598" s="122" t="s">
        <v>971</v>
      </c>
      <c r="C598" s="123"/>
      <c r="D598" s="122" t="s">
        <v>1979</v>
      </c>
      <c r="E598" s="123"/>
      <c r="F598" s="122" t="s">
        <v>753</v>
      </c>
      <c r="G598" s="122" t="s">
        <v>754</v>
      </c>
      <c r="H598" s="122" t="s">
        <v>1896</v>
      </c>
      <c r="I598" s="122" t="s">
        <v>733</v>
      </c>
      <c r="J598" s="122">
        <v>422.64</v>
      </c>
      <c r="K598" s="122">
        <v>0</v>
      </c>
      <c r="L598" s="122">
        <v>0</v>
      </c>
      <c r="M598" s="122">
        <v>259</v>
      </c>
      <c r="N598" s="122">
        <v>299</v>
      </c>
      <c r="O598" s="122">
        <v>690</v>
      </c>
      <c r="P598" s="122">
        <v>1</v>
      </c>
      <c r="Q598" s="123"/>
      <c r="R598" s="122">
        <v>1</v>
      </c>
      <c r="S598" s="123"/>
      <c r="T598" s="122">
        <v>1</v>
      </c>
      <c r="U598" s="123"/>
      <c r="V598" s="122">
        <v>8858890797188</v>
      </c>
    </row>
    <row r="599" ht="15.75" customHeight="1" spans="1:22" x14ac:dyDescent="0.25">
      <c r="A599" s="122" t="s">
        <v>1978</v>
      </c>
      <c r="B599" s="122" t="s">
        <v>971</v>
      </c>
      <c r="C599" s="122" t="s">
        <v>777</v>
      </c>
      <c r="D599" s="122" t="s">
        <v>1979</v>
      </c>
      <c r="E599" s="123"/>
      <c r="F599" s="122" t="s">
        <v>753</v>
      </c>
      <c r="G599" s="122" t="s">
        <v>754</v>
      </c>
      <c r="H599" s="122" t="s">
        <v>1896</v>
      </c>
      <c r="I599" s="122" t="s">
        <v>733</v>
      </c>
      <c r="J599" s="122">
        <v>422.64</v>
      </c>
      <c r="K599" s="122">
        <v>0</v>
      </c>
      <c r="L599" s="122">
        <v>0</v>
      </c>
      <c r="M599" s="122">
        <v>259</v>
      </c>
      <c r="N599" s="122">
        <v>299</v>
      </c>
      <c r="O599" s="122">
        <v>690</v>
      </c>
      <c r="P599" s="122">
        <v>0</v>
      </c>
      <c r="Q599" s="123"/>
      <c r="R599" s="122">
        <v>1</v>
      </c>
      <c r="S599" s="123"/>
      <c r="T599" s="122">
        <v>1</v>
      </c>
      <c r="U599" s="123"/>
      <c r="V599" s="122">
        <v>8858890797188</v>
      </c>
    </row>
    <row r="600" ht="15.75" customHeight="1" spans="1:22" x14ac:dyDescent="0.25">
      <c r="A600" s="122" t="s">
        <v>1978</v>
      </c>
      <c r="B600" s="122" t="s">
        <v>762</v>
      </c>
      <c r="C600" s="123"/>
      <c r="D600" s="122" t="s">
        <v>1979</v>
      </c>
      <c r="E600" s="123"/>
      <c r="F600" s="122" t="s">
        <v>753</v>
      </c>
      <c r="G600" s="122" t="s">
        <v>754</v>
      </c>
      <c r="H600" s="122" t="s">
        <v>1896</v>
      </c>
      <c r="I600" s="122" t="s">
        <v>733</v>
      </c>
      <c r="J600" s="122">
        <v>422.64</v>
      </c>
      <c r="K600" s="122">
        <v>0</v>
      </c>
      <c r="L600" s="122">
        <v>0</v>
      </c>
      <c r="M600" s="122">
        <v>259</v>
      </c>
      <c r="N600" s="122">
        <v>299</v>
      </c>
      <c r="O600" s="122">
        <v>690</v>
      </c>
      <c r="P600" s="122">
        <v>20</v>
      </c>
      <c r="Q600" s="123"/>
      <c r="R600" s="122">
        <v>1</v>
      </c>
      <c r="S600" s="123"/>
      <c r="T600" s="122">
        <v>1</v>
      </c>
      <c r="U600" s="123"/>
      <c r="V600" s="122">
        <v>8858890797195</v>
      </c>
    </row>
    <row r="601" ht="15.75" customHeight="1" spans="1:22" x14ac:dyDescent="0.25">
      <c r="A601" s="122" t="s">
        <v>1978</v>
      </c>
      <c r="B601" s="122" t="s">
        <v>762</v>
      </c>
      <c r="C601" s="122" t="s">
        <v>777</v>
      </c>
      <c r="D601" s="122" t="s">
        <v>1979</v>
      </c>
      <c r="E601" s="123"/>
      <c r="F601" s="122" t="s">
        <v>753</v>
      </c>
      <c r="G601" s="122" t="s">
        <v>754</v>
      </c>
      <c r="H601" s="122" t="s">
        <v>1896</v>
      </c>
      <c r="I601" s="122" t="s">
        <v>733</v>
      </c>
      <c r="J601" s="122">
        <v>422.64</v>
      </c>
      <c r="K601" s="122">
        <v>0</v>
      </c>
      <c r="L601" s="122">
        <v>0</v>
      </c>
      <c r="M601" s="122">
        <v>259</v>
      </c>
      <c r="N601" s="122">
        <v>299</v>
      </c>
      <c r="O601" s="122">
        <v>690</v>
      </c>
      <c r="P601" s="122">
        <v>0</v>
      </c>
      <c r="Q601" s="123"/>
      <c r="R601" s="122">
        <v>1</v>
      </c>
      <c r="S601" s="123"/>
      <c r="T601" s="122">
        <v>1</v>
      </c>
      <c r="U601" s="123"/>
      <c r="V601" s="122">
        <v>8858890797195</v>
      </c>
    </row>
    <row r="602" ht="15.75" customHeight="1" spans="1:22" x14ac:dyDescent="0.25">
      <c r="A602" s="122" t="s">
        <v>1978</v>
      </c>
      <c r="B602" s="122" t="s">
        <v>909</v>
      </c>
      <c r="C602" s="123"/>
      <c r="D602" s="122" t="s">
        <v>1979</v>
      </c>
      <c r="E602" s="123"/>
      <c r="F602" s="122" t="s">
        <v>753</v>
      </c>
      <c r="G602" s="122" t="s">
        <v>754</v>
      </c>
      <c r="H602" s="122" t="s">
        <v>1896</v>
      </c>
      <c r="I602" s="122" t="s">
        <v>733</v>
      </c>
      <c r="J602" s="122">
        <v>422.64</v>
      </c>
      <c r="K602" s="122">
        <v>0</v>
      </c>
      <c r="L602" s="122">
        <v>0</v>
      </c>
      <c r="M602" s="122">
        <v>259</v>
      </c>
      <c r="N602" s="122">
        <v>299</v>
      </c>
      <c r="O602" s="122">
        <v>690</v>
      </c>
      <c r="P602" s="122">
        <v>4</v>
      </c>
      <c r="Q602" s="123"/>
      <c r="R602" s="122">
        <v>1</v>
      </c>
      <c r="S602" s="123"/>
      <c r="T602" s="122">
        <v>1</v>
      </c>
      <c r="U602" s="123"/>
      <c r="V602" s="123"/>
    </row>
    <row r="603" ht="15.75" customHeight="1" spans="1:22" x14ac:dyDescent="0.25">
      <c r="A603" s="122" t="s">
        <v>1980</v>
      </c>
      <c r="B603" s="122" t="s">
        <v>1103</v>
      </c>
      <c r="C603" s="122" t="s">
        <v>777</v>
      </c>
      <c r="D603" s="122" t="s">
        <v>1981</v>
      </c>
      <c r="E603" s="123"/>
      <c r="F603" s="122" t="s">
        <v>753</v>
      </c>
      <c r="G603" s="122" t="s">
        <v>754</v>
      </c>
      <c r="H603" s="122" t="s">
        <v>1896</v>
      </c>
      <c r="I603" s="122" t="s">
        <v>733</v>
      </c>
      <c r="J603" s="122">
        <v>410</v>
      </c>
      <c r="K603" s="122">
        <v>0</v>
      </c>
      <c r="L603" s="122">
        <v>0</v>
      </c>
      <c r="M603" s="122">
        <v>299</v>
      </c>
      <c r="N603" s="122">
        <v>299</v>
      </c>
      <c r="O603" s="122">
        <v>599</v>
      </c>
      <c r="P603" s="122">
        <v>1</v>
      </c>
      <c r="Q603" s="123"/>
      <c r="R603" s="122">
        <v>1</v>
      </c>
      <c r="S603" s="123"/>
      <c r="T603" s="122">
        <v>1</v>
      </c>
      <c r="U603" s="123"/>
      <c r="V603" s="122">
        <v>8858890797096</v>
      </c>
    </row>
    <row r="604" ht="15.75" customHeight="1" spans="1:22" x14ac:dyDescent="0.25">
      <c r="A604" s="122" t="s">
        <v>1980</v>
      </c>
      <c r="B604" s="122" t="s">
        <v>909</v>
      </c>
      <c r="C604" s="123"/>
      <c r="D604" s="122" t="s">
        <v>1981</v>
      </c>
      <c r="E604" s="123"/>
      <c r="F604" s="122" t="s">
        <v>753</v>
      </c>
      <c r="G604" s="122" t="s">
        <v>754</v>
      </c>
      <c r="H604" s="122" t="s">
        <v>1896</v>
      </c>
      <c r="I604" s="122" t="s">
        <v>733</v>
      </c>
      <c r="J604" s="122">
        <v>410</v>
      </c>
      <c r="K604" s="122">
        <v>0</v>
      </c>
      <c r="L604" s="122">
        <v>0</v>
      </c>
      <c r="M604" s="122">
        <v>299</v>
      </c>
      <c r="N604" s="122">
        <v>299</v>
      </c>
      <c r="O604" s="122">
        <v>599</v>
      </c>
      <c r="P604" s="122">
        <v>4</v>
      </c>
      <c r="Q604" s="123"/>
      <c r="R604" s="122">
        <v>1</v>
      </c>
      <c r="S604" s="123"/>
      <c r="T604" s="122">
        <v>1</v>
      </c>
      <c r="U604" s="123"/>
      <c r="V604" s="122">
        <v>8858890797119</v>
      </c>
    </row>
    <row r="605" ht="15.75" customHeight="1" spans="1:22" x14ac:dyDescent="0.25">
      <c r="A605" s="122" t="s">
        <v>1980</v>
      </c>
      <c r="B605" s="122" t="s">
        <v>909</v>
      </c>
      <c r="C605" s="122" t="s">
        <v>777</v>
      </c>
      <c r="D605" s="122" t="s">
        <v>1981</v>
      </c>
      <c r="E605" s="123"/>
      <c r="F605" s="122" t="s">
        <v>753</v>
      </c>
      <c r="G605" s="122" t="s">
        <v>754</v>
      </c>
      <c r="H605" s="122" t="s">
        <v>1896</v>
      </c>
      <c r="I605" s="122" t="s">
        <v>733</v>
      </c>
      <c r="J605" s="122">
        <v>410</v>
      </c>
      <c r="K605" s="122">
        <v>0</v>
      </c>
      <c r="L605" s="122">
        <v>0</v>
      </c>
      <c r="M605" s="122">
        <v>299</v>
      </c>
      <c r="N605" s="122">
        <v>299</v>
      </c>
      <c r="O605" s="122">
        <v>599</v>
      </c>
      <c r="P605" s="122">
        <v>0</v>
      </c>
      <c r="Q605" s="123"/>
      <c r="R605" s="122">
        <v>1</v>
      </c>
      <c r="S605" s="123"/>
      <c r="T605" s="122">
        <v>1</v>
      </c>
      <c r="U605" s="123"/>
      <c r="V605" s="122">
        <v>8858890797119</v>
      </c>
    </row>
    <row r="606" ht="15.75" customHeight="1" spans="1:22" x14ac:dyDescent="0.25">
      <c r="A606" s="122" t="s">
        <v>1980</v>
      </c>
      <c r="B606" s="122" t="s">
        <v>1982</v>
      </c>
      <c r="C606" s="123"/>
      <c r="D606" s="122" t="s">
        <v>1981</v>
      </c>
      <c r="E606" s="123"/>
      <c r="F606" s="122" t="s">
        <v>753</v>
      </c>
      <c r="G606" s="122" t="s">
        <v>754</v>
      </c>
      <c r="H606" s="122" t="s">
        <v>1896</v>
      </c>
      <c r="I606" s="122" t="s">
        <v>733</v>
      </c>
      <c r="J606" s="122">
        <v>410</v>
      </c>
      <c r="K606" s="122">
        <v>0</v>
      </c>
      <c r="L606" s="122">
        <v>0</v>
      </c>
      <c r="M606" s="122">
        <v>299</v>
      </c>
      <c r="N606" s="122">
        <v>299</v>
      </c>
      <c r="O606" s="122">
        <v>599</v>
      </c>
      <c r="P606" s="122">
        <v>0</v>
      </c>
      <c r="Q606" s="123"/>
      <c r="R606" s="122">
        <v>1</v>
      </c>
      <c r="S606" s="123"/>
      <c r="T606" s="122">
        <v>1</v>
      </c>
      <c r="U606" s="123"/>
      <c r="V606" s="122">
        <v>8858890797102</v>
      </c>
    </row>
    <row r="607" ht="15.75" customHeight="1" spans="1:22" x14ac:dyDescent="0.25">
      <c r="A607" s="122" t="s">
        <v>1980</v>
      </c>
      <c r="B607" s="122" t="s">
        <v>1982</v>
      </c>
      <c r="C607" s="122" t="s">
        <v>777</v>
      </c>
      <c r="D607" s="122" t="s">
        <v>1981</v>
      </c>
      <c r="E607" s="123"/>
      <c r="F607" s="122" t="s">
        <v>753</v>
      </c>
      <c r="G607" s="122" t="s">
        <v>754</v>
      </c>
      <c r="H607" s="122" t="s">
        <v>1896</v>
      </c>
      <c r="I607" s="122" t="s">
        <v>733</v>
      </c>
      <c r="J607" s="122">
        <v>410</v>
      </c>
      <c r="K607" s="122">
        <v>0</v>
      </c>
      <c r="L607" s="122">
        <v>0</v>
      </c>
      <c r="M607" s="122">
        <v>299</v>
      </c>
      <c r="N607" s="122">
        <v>299</v>
      </c>
      <c r="O607" s="122">
        <v>599</v>
      </c>
      <c r="P607" s="122">
        <v>1</v>
      </c>
      <c r="Q607" s="123"/>
      <c r="R607" s="122">
        <v>1</v>
      </c>
      <c r="S607" s="123"/>
      <c r="T607" s="122">
        <v>1</v>
      </c>
      <c r="U607" s="123"/>
      <c r="V607" s="122">
        <v>8858890797102</v>
      </c>
    </row>
    <row r="608" ht="15.75" customHeight="1" spans="1:22" x14ac:dyDescent="0.25">
      <c r="A608" s="122" t="s">
        <v>1983</v>
      </c>
      <c r="B608" s="122" t="s">
        <v>750</v>
      </c>
      <c r="C608" s="122" t="s">
        <v>884</v>
      </c>
      <c r="D608" s="122" t="s">
        <v>1984</v>
      </c>
      <c r="E608" s="123"/>
      <c r="F608" s="122" t="s">
        <v>753</v>
      </c>
      <c r="G608" s="122" t="s">
        <v>754</v>
      </c>
      <c r="H608" s="122" t="s">
        <v>1896</v>
      </c>
      <c r="I608" s="122" t="s">
        <v>733</v>
      </c>
      <c r="J608" s="122">
        <v>550</v>
      </c>
      <c r="K608" s="122">
        <v>0</v>
      </c>
      <c r="L608" s="122">
        <v>0</v>
      </c>
      <c r="M608" s="122">
        <v>299</v>
      </c>
      <c r="N608" s="122">
        <v>399</v>
      </c>
      <c r="O608" s="122">
        <v>790</v>
      </c>
      <c r="P608" s="122">
        <v>20</v>
      </c>
      <c r="Q608" s="123"/>
      <c r="R608" s="122">
        <v>1</v>
      </c>
      <c r="S608" s="123"/>
      <c r="T608" s="122">
        <v>1</v>
      </c>
      <c r="U608" s="123"/>
      <c r="V608" s="122">
        <v>8858890797126</v>
      </c>
    </row>
    <row r="609" ht="15.75" customHeight="1" spans="1:22" x14ac:dyDescent="0.25">
      <c r="A609" s="122" t="s">
        <v>1983</v>
      </c>
      <c r="B609" s="122" t="s">
        <v>1103</v>
      </c>
      <c r="C609" s="123"/>
      <c r="D609" s="122" t="s">
        <v>1984</v>
      </c>
      <c r="E609" s="123"/>
      <c r="F609" s="122" t="s">
        <v>753</v>
      </c>
      <c r="G609" s="122" t="s">
        <v>754</v>
      </c>
      <c r="H609" s="122" t="s">
        <v>1896</v>
      </c>
      <c r="I609" s="122" t="s">
        <v>733</v>
      </c>
      <c r="J609" s="122">
        <v>550</v>
      </c>
      <c r="K609" s="122">
        <v>0</v>
      </c>
      <c r="L609" s="122">
        <v>0</v>
      </c>
      <c r="M609" s="122">
        <v>299</v>
      </c>
      <c r="N609" s="122">
        <v>399</v>
      </c>
      <c r="O609" s="122">
        <v>790</v>
      </c>
      <c r="P609" s="122">
        <v>10</v>
      </c>
      <c r="Q609" s="123"/>
      <c r="R609" s="122">
        <v>1</v>
      </c>
      <c r="S609" s="123"/>
      <c r="T609" s="122">
        <v>1</v>
      </c>
      <c r="U609" s="123"/>
      <c r="V609" s="122">
        <v>8858890797133</v>
      </c>
    </row>
    <row r="610" ht="15.75" customHeight="1" spans="1:22" x14ac:dyDescent="0.25">
      <c r="A610" s="122" t="s">
        <v>1983</v>
      </c>
      <c r="B610" s="122" t="s">
        <v>1103</v>
      </c>
      <c r="C610" s="122" t="s">
        <v>884</v>
      </c>
      <c r="D610" s="122" t="s">
        <v>1984</v>
      </c>
      <c r="E610" s="123"/>
      <c r="F610" s="122" t="s">
        <v>753</v>
      </c>
      <c r="G610" s="122" t="s">
        <v>754</v>
      </c>
      <c r="H610" s="122" t="s">
        <v>1896</v>
      </c>
      <c r="I610" s="122" t="s">
        <v>733</v>
      </c>
      <c r="J610" s="122">
        <v>550</v>
      </c>
      <c r="K610" s="122">
        <v>0</v>
      </c>
      <c r="L610" s="122">
        <v>0</v>
      </c>
      <c r="M610" s="122">
        <v>299</v>
      </c>
      <c r="N610" s="122">
        <v>399</v>
      </c>
      <c r="O610" s="122">
        <v>790</v>
      </c>
      <c r="P610" s="122">
        <v>0</v>
      </c>
      <c r="Q610" s="123"/>
      <c r="R610" s="122">
        <v>1</v>
      </c>
      <c r="S610" s="123"/>
      <c r="T610" s="122">
        <v>1</v>
      </c>
      <c r="U610" s="123"/>
      <c r="V610" s="122">
        <v>8858890797133</v>
      </c>
    </row>
    <row r="611" ht="15.75" customHeight="1" spans="1:22" x14ac:dyDescent="0.25">
      <c r="A611" s="122" t="s">
        <v>1983</v>
      </c>
      <c r="B611" s="122" t="s">
        <v>909</v>
      </c>
      <c r="C611" s="122" t="s">
        <v>884</v>
      </c>
      <c r="D611" s="122" t="s">
        <v>1984</v>
      </c>
      <c r="E611" s="123"/>
      <c r="F611" s="122" t="s">
        <v>753</v>
      </c>
      <c r="G611" s="122" t="s">
        <v>754</v>
      </c>
      <c r="H611" s="122" t="s">
        <v>1896</v>
      </c>
      <c r="I611" s="122" t="s">
        <v>733</v>
      </c>
      <c r="J611" s="122">
        <v>550</v>
      </c>
      <c r="K611" s="122">
        <v>0</v>
      </c>
      <c r="L611" s="122">
        <v>0</v>
      </c>
      <c r="M611" s="122">
        <v>299</v>
      </c>
      <c r="N611" s="122">
        <v>399</v>
      </c>
      <c r="O611" s="122">
        <v>790</v>
      </c>
      <c r="P611" s="122">
        <v>19</v>
      </c>
      <c r="Q611" s="123"/>
      <c r="R611" s="122">
        <v>1</v>
      </c>
      <c r="S611" s="123"/>
      <c r="T611" s="122">
        <v>1</v>
      </c>
      <c r="U611" s="123"/>
      <c r="V611" s="122">
        <v>8858890797157</v>
      </c>
    </row>
    <row r="612" ht="15.75" customHeight="1" spans="1:22" x14ac:dyDescent="0.25">
      <c r="A612" s="122" t="s">
        <v>1983</v>
      </c>
      <c r="B612" s="122" t="s">
        <v>1982</v>
      </c>
      <c r="C612" s="122" t="s">
        <v>884</v>
      </c>
      <c r="D612" s="122" t="s">
        <v>1984</v>
      </c>
      <c r="E612" s="123"/>
      <c r="F612" s="122" t="s">
        <v>753</v>
      </c>
      <c r="G612" s="122" t="s">
        <v>754</v>
      </c>
      <c r="H612" s="122" t="s">
        <v>1896</v>
      </c>
      <c r="I612" s="122" t="s">
        <v>733</v>
      </c>
      <c r="J612" s="122">
        <v>550</v>
      </c>
      <c r="K612" s="122">
        <v>0</v>
      </c>
      <c r="L612" s="122">
        <v>0</v>
      </c>
      <c r="M612" s="122">
        <v>299</v>
      </c>
      <c r="N612" s="122">
        <v>399</v>
      </c>
      <c r="O612" s="122">
        <v>790</v>
      </c>
      <c r="P612" s="122">
        <v>18</v>
      </c>
      <c r="Q612" s="123"/>
      <c r="R612" s="122">
        <v>1</v>
      </c>
      <c r="S612" s="123"/>
      <c r="T612" s="122">
        <v>1</v>
      </c>
      <c r="U612" s="123"/>
      <c r="V612" s="122">
        <v>8858890797140</v>
      </c>
    </row>
    <row r="613" ht="15.75" customHeight="1" spans="1:22" x14ac:dyDescent="0.25">
      <c r="A613" s="122" t="s">
        <v>1985</v>
      </c>
      <c r="B613" s="123"/>
      <c r="C613" s="123"/>
      <c r="D613" s="122" t="s">
        <v>1986</v>
      </c>
      <c r="E613" s="123"/>
      <c r="F613" s="122" t="s">
        <v>753</v>
      </c>
      <c r="G613" s="122" t="s">
        <v>745</v>
      </c>
      <c r="H613" s="122" t="s">
        <v>1214</v>
      </c>
      <c r="I613" s="122" t="s">
        <v>733</v>
      </c>
      <c r="J613" s="122">
        <v>550</v>
      </c>
      <c r="K613" s="122">
        <v>0</v>
      </c>
      <c r="L613" s="122">
        <v>850</v>
      </c>
      <c r="M613" s="122">
        <v>0</v>
      </c>
      <c r="N613" s="122">
        <v>950</v>
      </c>
      <c r="O613" s="122">
        <v>1050</v>
      </c>
      <c r="P613" s="122">
        <v>0</v>
      </c>
      <c r="Q613" s="123"/>
      <c r="R613" s="122">
        <v>1</v>
      </c>
      <c r="S613" s="122">
        <v>1</v>
      </c>
      <c r="T613" s="122">
        <v>1</v>
      </c>
      <c r="U613" s="123"/>
      <c r="V613" s="122">
        <v>8858890728427</v>
      </c>
    </row>
    <row r="614" ht="15.75" customHeight="1" spans="1:22" x14ac:dyDescent="0.25">
      <c r="A614" s="122" t="s">
        <v>612</v>
      </c>
      <c r="B614" s="123"/>
      <c r="C614" s="123"/>
      <c r="D614" s="122" t="s">
        <v>1987</v>
      </c>
      <c r="E614" s="123"/>
      <c r="F614" s="122" t="s">
        <v>753</v>
      </c>
      <c r="G614" s="122" t="s">
        <v>754</v>
      </c>
      <c r="H614" s="122" t="s">
        <v>1592</v>
      </c>
      <c r="I614" s="122" t="s">
        <v>733</v>
      </c>
      <c r="J614" s="122">
        <v>37</v>
      </c>
      <c r="K614" s="122">
        <v>0</v>
      </c>
      <c r="L614" s="122">
        <v>0</v>
      </c>
      <c r="M614" s="122">
        <v>0</v>
      </c>
      <c r="N614" s="122">
        <v>60</v>
      </c>
      <c r="O614" s="122">
        <v>100</v>
      </c>
      <c r="P614" s="122">
        <v>3</v>
      </c>
      <c r="Q614" s="123"/>
      <c r="R614" s="122">
        <v>1</v>
      </c>
      <c r="S614" s="123"/>
      <c r="T614" s="122">
        <v>1</v>
      </c>
      <c r="U614" s="123"/>
      <c r="V614" s="122">
        <v>8858890790042</v>
      </c>
    </row>
    <row r="615" ht="15.75" customHeight="1" spans="1:22" x14ac:dyDescent="0.25">
      <c r="A615" s="122" t="s">
        <v>613</v>
      </c>
      <c r="B615" s="123"/>
      <c r="C615" s="123"/>
      <c r="D615" s="122" t="s">
        <v>1988</v>
      </c>
      <c r="E615" s="123"/>
      <c r="F615" s="122" t="s">
        <v>753</v>
      </c>
      <c r="G615" s="122" t="s">
        <v>754</v>
      </c>
      <c r="H615" s="122" t="s">
        <v>1592</v>
      </c>
      <c r="I615" s="122" t="s">
        <v>733</v>
      </c>
      <c r="J615" s="122">
        <v>35</v>
      </c>
      <c r="K615" s="122">
        <v>0</v>
      </c>
      <c r="L615" s="122">
        <v>0</v>
      </c>
      <c r="M615" s="122">
        <v>0</v>
      </c>
      <c r="N615" s="122">
        <v>60</v>
      </c>
      <c r="O615" s="122">
        <v>99</v>
      </c>
      <c r="P615" s="122">
        <v>5</v>
      </c>
      <c r="Q615" s="123"/>
      <c r="R615" s="122">
        <v>1</v>
      </c>
      <c r="S615" s="123"/>
      <c r="T615" s="122">
        <v>1</v>
      </c>
      <c r="U615" s="123"/>
      <c r="V615" s="122">
        <v>8858890790059</v>
      </c>
    </row>
    <row r="616" ht="15.75" customHeight="1" spans="1:22" x14ac:dyDescent="0.25">
      <c r="A616" s="122" t="s">
        <v>1989</v>
      </c>
      <c r="B616" s="123"/>
      <c r="C616" s="123"/>
      <c r="D616" s="122" t="s">
        <v>1990</v>
      </c>
      <c r="E616" s="122" t="s">
        <v>1991</v>
      </c>
      <c r="F616" s="122" t="s">
        <v>1992</v>
      </c>
      <c r="G616" s="122" t="s">
        <v>1993</v>
      </c>
      <c r="H616" s="122" t="s">
        <v>1994</v>
      </c>
      <c r="I616" s="122" t="s">
        <v>1995</v>
      </c>
      <c r="J616" s="122">
        <v>139</v>
      </c>
      <c r="K616" s="122">
        <v>517.5</v>
      </c>
      <c r="L616" s="122">
        <v>0</v>
      </c>
      <c r="M616" s="122">
        <v>0</v>
      </c>
      <c r="N616" s="122">
        <v>690</v>
      </c>
      <c r="O616" s="122">
        <v>890</v>
      </c>
      <c r="P616" s="122">
        <v>23</v>
      </c>
      <c r="Q616" s="123"/>
      <c r="R616" s="122">
        <v>1</v>
      </c>
      <c r="S616" s="123"/>
      <c r="T616" s="123"/>
      <c r="U616" s="123"/>
      <c r="V616" s="122">
        <v>8859555001848</v>
      </c>
    </row>
    <row r="617" ht="15.75" customHeight="1" spans="1:22" x14ac:dyDescent="0.25">
      <c r="A617" s="122" t="s">
        <v>1996</v>
      </c>
      <c r="B617" s="123"/>
      <c r="C617" s="123"/>
      <c r="D617" s="122" t="s">
        <v>1997</v>
      </c>
      <c r="E617" s="122" t="s">
        <v>1991</v>
      </c>
      <c r="F617" s="122" t="s">
        <v>1992</v>
      </c>
      <c r="G617" s="122" t="s">
        <v>1993</v>
      </c>
      <c r="H617" s="122" t="s">
        <v>1994</v>
      </c>
      <c r="I617" s="122" t="s">
        <v>1995</v>
      </c>
      <c r="J617" s="122">
        <v>139</v>
      </c>
      <c r="K617" s="122">
        <v>292.5</v>
      </c>
      <c r="L617" s="122">
        <v>0</v>
      </c>
      <c r="M617" s="122">
        <v>0</v>
      </c>
      <c r="N617" s="122">
        <v>390</v>
      </c>
      <c r="O617" s="122">
        <v>590</v>
      </c>
      <c r="P617" s="122">
        <v>406</v>
      </c>
      <c r="Q617" s="123"/>
      <c r="R617" s="122">
        <v>1</v>
      </c>
      <c r="S617" s="123"/>
      <c r="T617" s="123"/>
      <c r="U617" s="123"/>
      <c r="V617" s="122">
        <v>8859555001855</v>
      </c>
    </row>
    <row r="618" ht="15.75" customHeight="1" spans="1:22" x14ac:dyDescent="0.25">
      <c r="A618" s="122" t="s">
        <v>1998</v>
      </c>
      <c r="B618" s="123"/>
      <c r="C618" s="123"/>
      <c r="D618" s="122" t="s">
        <v>1999</v>
      </c>
      <c r="E618" s="123"/>
      <c r="F618" s="122" t="s">
        <v>742</v>
      </c>
      <c r="G618" s="122" t="s">
        <v>1495</v>
      </c>
      <c r="H618" s="122" t="s">
        <v>2000</v>
      </c>
      <c r="I618" s="122" t="s">
        <v>733</v>
      </c>
      <c r="J618" s="122">
        <v>80</v>
      </c>
      <c r="K618" s="122">
        <v>0</v>
      </c>
      <c r="L618" s="122">
        <v>0</v>
      </c>
      <c r="M618" s="122">
        <v>0</v>
      </c>
      <c r="N618" s="122">
        <v>200</v>
      </c>
      <c r="O618" s="122">
        <v>0</v>
      </c>
      <c r="P618" s="122">
        <v>3</v>
      </c>
      <c r="Q618" s="123"/>
      <c r="R618" s="122">
        <v>1</v>
      </c>
      <c r="S618" s="123"/>
      <c r="T618" s="123"/>
      <c r="U618" s="123"/>
      <c r="V618" s="122">
        <v>8858890797904</v>
      </c>
    </row>
    <row r="619" ht="15.75" customHeight="1" spans="1:22" x14ac:dyDescent="0.25">
      <c r="A619" s="122" t="s">
        <v>2001</v>
      </c>
      <c r="B619" s="123"/>
      <c r="C619" s="123"/>
      <c r="D619" s="122" t="s">
        <v>2002</v>
      </c>
      <c r="E619" s="123"/>
      <c r="F619" s="122" t="s">
        <v>753</v>
      </c>
      <c r="G619" s="122" t="s">
        <v>1488</v>
      </c>
      <c r="H619" s="122" t="s">
        <v>2003</v>
      </c>
      <c r="I619" s="122" t="s">
        <v>733</v>
      </c>
      <c r="J619" s="122">
        <v>0</v>
      </c>
      <c r="K619" s="122">
        <v>0</v>
      </c>
      <c r="L619" s="122">
        <v>0</v>
      </c>
      <c r="M619" s="122">
        <v>0</v>
      </c>
      <c r="N619" s="122">
        <v>0</v>
      </c>
      <c r="O619" s="122">
        <v>0</v>
      </c>
      <c r="P619" s="122">
        <v>76</v>
      </c>
      <c r="Q619" s="123"/>
      <c r="R619" s="122">
        <v>1</v>
      </c>
      <c r="S619" s="123"/>
      <c r="T619" s="123"/>
      <c r="U619" s="123"/>
      <c r="V619" s="122">
        <v>88588907958641</v>
      </c>
    </row>
    <row r="620" ht="15.75" customHeight="1" spans="1:22" x14ac:dyDescent="0.25">
      <c r="A620" s="122" t="s">
        <v>2004</v>
      </c>
      <c r="B620" s="123"/>
      <c r="C620" s="123"/>
      <c r="D620" s="122" t="s">
        <v>2005</v>
      </c>
      <c r="E620" s="123"/>
      <c r="F620" s="122" t="s">
        <v>753</v>
      </c>
      <c r="G620" s="122" t="s">
        <v>754</v>
      </c>
      <c r="H620" s="122" t="s">
        <v>1126</v>
      </c>
      <c r="I620" s="122" t="s">
        <v>733</v>
      </c>
      <c r="J620" s="122">
        <v>18</v>
      </c>
      <c r="K620" s="122">
        <v>0</v>
      </c>
      <c r="L620" s="122">
        <v>0</v>
      </c>
      <c r="M620" s="122">
        <v>39</v>
      </c>
      <c r="N620" s="122">
        <v>35</v>
      </c>
      <c r="O620" s="122">
        <v>0</v>
      </c>
      <c r="P620" s="122">
        <v>31</v>
      </c>
      <c r="Q620" s="123"/>
      <c r="R620" s="122">
        <v>1</v>
      </c>
      <c r="S620" s="123"/>
      <c r="T620" s="123"/>
      <c r="U620" s="123"/>
      <c r="V620" s="122">
        <v>8858890798567</v>
      </c>
    </row>
    <row r="621" ht="15.75" customHeight="1" spans="1:22" x14ac:dyDescent="0.25">
      <c r="A621" s="122" t="s">
        <v>2006</v>
      </c>
      <c r="B621" s="123"/>
      <c r="C621" s="123"/>
      <c r="D621" s="122" t="s">
        <v>2007</v>
      </c>
      <c r="E621" s="123"/>
      <c r="F621" s="122" t="s">
        <v>779</v>
      </c>
      <c r="G621" s="122" t="s">
        <v>784</v>
      </c>
      <c r="H621" s="122" t="s">
        <v>785</v>
      </c>
      <c r="I621" s="122" t="s">
        <v>733</v>
      </c>
      <c r="J621" s="122">
        <v>127.5</v>
      </c>
      <c r="K621" s="122">
        <v>0</v>
      </c>
      <c r="L621" s="122">
        <v>0</v>
      </c>
      <c r="M621" s="122">
        <v>0</v>
      </c>
      <c r="N621" s="122">
        <v>180</v>
      </c>
      <c r="O621" s="122">
        <v>230</v>
      </c>
      <c r="P621" s="122">
        <v>0</v>
      </c>
      <c r="Q621" s="123"/>
      <c r="R621" s="122">
        <v>1</v>
      </c>
      <c r="S621" s="123"/>
      <c r="T621" s="123"/>
      <c r="U621" s="123"/>
      <c r="V621" s="122">
        <v>8858890740092</v>
      </c>
    </row>
    <row r="622" ht="15.75" customHeight="1" spans="1:22" x14ac:dyDescent="0.25">
      <c r="A622" s="122" t="s">
        <v>2008</v>
      </c>
      <c r="B622" s="123"/>
      <c r="C622" s="123"/>
      <c r="D622" s="122" t="s">
        <v>2009</v>
      </c>
      <c r="E622" s="123"/>
      <c r="F622" s="122" t="s">
        <v>753</v>
      </c>
      <c r="G622" s="122" t="s">
        <v>745</v>
      </c>
      <c r="H622" s="122" t="s">
        <v>1214</v>
      </c>
      <c r="I622" s="122" t="s">
        <v>733</v>
      </c>
      <c r="J622" s="122">
        <v>650</v>
      </c>
      <c r="K622" s="122">
        <v>799</v>
      </c>
      <c r="L622" s="122">
        <v>1150</v>
      </c>
      <c r="M622" s="122">
        <v>1045</v>
      </c>
      <c r="N622" s="122">
        <v>1250</v>
      </c>
      <c r="O622" s="122">
        <v>1250</v>
      </c>
      <c r="P622" s="122">
        <v>71</v>
      </c>
      <c r="Q622" s="123"/>
      <c r="R622" s="122">
        <v>1</v>
      </c>
      <c r="S622" s="122">
        <v>1</v>
      </c>
      <c r="T622" s="122">
        <v>1</v>
      </c>
      <c r="U622" s="123"/>
      <c r="V622" s="122">
        <v>8858890798772</v>
      </c>
    </row>
    <row r="623" ht="15.75" customHeight="1" spans="1:22" x14ac:dyDescent="0.25">
      <c r="A623" s="122" t="s">
        <v>2010</v>
      </c>
      <c r="B623" s="123"/>
      <c r="C623" s="123"/>
      <c r="D623" s="122" t="s">
        <v>2011</v>
      </c>
      <c r="E623" s="123"/>
      <c r="F623" s="122" t="s">
        <v>753</v>
      </c>
      <c r="G623" s="122" t="s">
        <v>745</v>
      </c>
      <c r="H623" s="122" t="s">
        <v>1214</v>
      </c>
      <c r="I623" s="122" t="s">
        <v>733</v>
      </c>
      <c r="J623" s="122">
        <v>850</v>
      </c>
      <c r="K623" s="122">
        <v>799</v>
      </c>
      <c r="L623" s="122">
        <v>1150</v>
      </c>
      <c r="M623" s="122">
        <v>1045</v>
      </c>
      <c r="N623" s="122">
        <v>1250</v>
      </c>
      <c r="O623" s="122">
        <v>1250</v>
      </c>
      <c r="P623" s="122">
        <v>71</v>
      </c>
      <c r="Q623" s="123"/>
      <c r="R623" s="122">
        <v>1</v>
      </c>
      <c r="S623" s="122">
        <v>1</v>
      </c>
      <c r="T623" s="122">
        <v>1</v>
      </c>
      <c r="U623" s="123"/>
      <c r="V623" s="122">
        <v>8858890798789</v>
      </c>
    </row>
    <row r="624" ht="15.75" customHeight="1" spans="1:22" x14ac:dyDescent="0.25">
      <c r="A624" s="122" t="s">
        <v>536</v>
      </c>
      <c r="B624" s="123"/>
      <c r="C624" s="123"/>
      <c r="D624" s="122" t="s">
        <v>2012</v>
      </c>
      <c r="E624" s="123"/>
      <c r="F624" s="122" t="s">
        <v>753</v>
      </c>
      <c r="G624" s="122" t="s">
        <v>771</v>
      </c>
      <c r="H624" s="122" t="s">
        <v>1000</v>
      </c>
      <c r="I624" s="122" t="s">
        <v>733</v>
      </c>
      <c r="J624" s="122">
        <v>145</v>
      </c>
      <c r="K624" s="122">
        <v>99</v>
      </c>
      <c r="L624" s="122">
        <v>180</v>
      </c>
      <c r="M624" s="122">
        <v>165</v>
      </c>
      <c r="N624" s="122">
        <v>190</v>
      </c>
      <c r="O624" s="122">
        <v>260</v>
      </c>
      <c r="P624" s="122">
        <v>66</v>
      </c>
      <c r="Q624" s="123"/>
      <c r="R624" s="122">
        <v>1</v>
      </c>
      <c r="S624" s="122">
        <v>1</v>
      </c>
      <c r="T624" s="122">
        <v>1</v>
      </c>
      <c r="U624" s="123"/>
      <c r="V624" s="122">
        <v>8858890798918</v>
      </c>
    </row>
    <row r="625" ht="15.75" customHeight="1" spans="1:22" x14ac:dyDescent="0.25">
      <c r="A625" s="122" t="s">
        <v>537</v>
      </c>
      <c r="B625" s="123"/>
      <c r="C625" s="123"/>
      <c r="D625" s="122" t="s">
        <v>2013</v>
      </c>
      <c r="E625" s="123"/>
      <c r="F625" s="122" t="s">
        <v>753</v>
      </c>
      <c r="G625" s="122" t="s">
        <v>771</v>
      </c>
      <c r="H625" s="122" t="s">
        <v>1000</v>
      </c>
      <c r="I625" s="122" t="s">
        <v>733</v>
      </c>
      <c r="J625" s="122">
        <v>155</v>
      </c>
      <c r="K625" s="122">
        <v>99</v>
      </c>
      <c r="L625" s="122">
        <v>198</v>
      </c>
      <c r="M625" s="122">
        <v>170</v>
      </c>
      <c r="N625" s="122">
        <v>200</v>
      </c>
      <c r="O625" s="122">
        <v>280</v>
      </c>
      <c r="P625" s="122">
        <v>44</v>
      </c>
      <c r="Q625" s="123"/>
      <c r="R625" s="122">
        <v>1</v>
      </c>
      <c r="S625" s="122">
        <v>1</v>
      </c>
      <c r="T625" s="122">
        <v>1</v>
      </c>
      <c r="U625" s="123"/>
      <c r="V625" s="122">
        <v>8858890798925</v>
      </c>
    </row>
    <row r="626" ht="15.75" customHeight="1" spans="1:22" x14ac:dyDescent="0.25">
      <c r="A626" s="122" t="s">
        <v>2014</v>
      </c>
      <c r="B626" s="123"/>
      <c r="C626" s="123"/>
      <c r="D626" s="122" t="s">
        <v>2015</v>
      </c>
      <c r="E626" s="123"/>
      <c r="F626" s="122" t="s">
        <v>742</v>
      </c>
      <c r="G626" s="122" t="s">
        <v>1495</v>
      </c>
      <c r="H626" s="122" t="s">
        <v>2000</v>
      </c>
      <c r="I626" s="122" t="s">
        <v>733</v>
      </c>
      <c r="J626" s="122">
        <v>120</v>
      </c>
      <c r="K626" s="122">
        <v>0</v>
      </c>
      <c r="L626" s="122">
        <v>0</v>
      </c>
      <c r="M626" s="122">
        <v>0</v>
      </c>
      <c r="N626" s="122">
        <v>200</v>
      </c>
      <c r="O626" s="122">
        <v>0</v>
      </c>
      <c r="P626" s="122">
        <v>4</v>
      </c>
      <c r="Q626" s="123"/>
      <c r="R626" s="122">
        <v>1</v>
      </c>
      <c r="S626" s="123"/>
      <c r="T626" s="123"/>
      <c r="U626" s="123"/>
      <c r="V626" s="122">
        <v>8858890797409</v>
      </c>
    </row>
    <row r="627" ht="15.75" customHeight="1" spans="1:22" x14ac:dyDescent="0.25">
      <c r="A627" s="122" t="s">
        <v>538</v>
      </c>
      <c r="B627" s="123"/>
      <c r="C627" s="123"/>
      <c r="D627" s="122" t="s">
        <v>2016</v>
      </c>
      <c r="E627" s="123"/>
      <c r="F627" s="122" t="s">
        <v>753</v>
      </c>
      <c r="G627" s="122" t="s">
        <v>771</v>
      </c>
      <c r="H627" s="122" t="s">
        <v>1000</v>
      </c>
      <c r="I627" s="122" t="s">
        <v>733</v>
      </c>
      <c r="J627" s="122">
        <v>165</v>
      </c>
      <c r="K627" s="122">
        <v>99</v>
      </c>
      <c r="L627" s="122">
        <v>216</v>
      </c>
      <c r="M627" s="122">
        <v>180</v>
      </c>
      <c r="N627" s="122">
        <v>220</v>
      </c>
      <c r="O627" s="122">
        <v>300</v>
      </c>
      <c r="P627" s="122">
        <v>8</v>
      </c>
      <c r="Q627" s="123"/>
      <c r="R627" s="122">
        <v>1</v>
      </c>
      <c r="S627" s="122">
        <v>1</v>
      </c>
      <c r="T627" s="122">
        <v>1</v>
      </c>
      <c r="U627" s="123"/>
      <c r="V627" s="122">
        <v>8858890798932</v>
      </c>
    </row>
    <row r="628" ht="15.75" customHeight="1" spans="1:22" x14ac:dyDescent="0.25">
      <c r="A628" s="122" t="s">
        <v>557</v>
      </c>
      <c r="B628" s="123"/>
      <c r="C628" s="123"/>
      <c r="D628" s="122" t="s">
        <v>2017</v>
      </c>
      <c r="E628" s="123"/>
      <c r="F628" s="122" t="s">
        <v>753</v>
      </c>
      <c r="G628" s="122" t="s">
        <v>771</v>
      </c>
      <c r="H628" s="122" t="s">
        <v>1251</v>
      </c>
      <c r="I628" s="122" t="s">
        <v>733</v>
      </c>
      <c r="J628" s="122">
        <v>42</v>
      </c>
      <c r="K628" s="122">
        <v>0</v>
      </c>
      <c r="L628" s="122">
        <v>59</v>
      </c>
      <c r="M628" s="122">
        <v>50</v>
      </c>
      <c r="N628" s="122">
        <v>65</v>
      </c>
      <c r="O628" s="122">
        <v>85</v>
      </c>
      <c r="P628" s="122">
        <v>23</v>
      </c>
      <c r="Q628" s="123"/>
      <c r="R628" s="122">
        <v>1</v>
      </c>
      <c r="S628" s="122">
        <v>1</v>
      </c>
      <c r="T628" s="122">
        <v>1</v>
      </c>
      <c r="U628" s="123"/>
      <c r="V628" s="122">
        <v>8858890798949</v>
      </c>
    </row>
    <row r="629" ht="15.75" customHeight="1" spans="1:22" x14ac:dyDescent="0.25">
      <c r="A629" s="122" t="s">
        <v>562</v>
      </c>
      <c r="B629" s="123"/>
      <c r="C629" s="123"/>
      <c r="D629" s="122" t="s">
        <v>2018</v>
      </c>
      <c r="E629" s="123"/>
      <c r="F629" s="122" t="s">
        <v>753</v>
      </c>
      <c r="G629" s="122" t="s">
        <v>771</v>
      </c>
      <c r="H629" s="122" t="s">
        <v>978</v>
      </c>
      <c r="I629" s="122" t="s">
        <v>733</v>
      </c>
      <c r="J629" s="122">
        <v>42</v>
      </c>
      <c r="K629" s="122">
        <v>0</v>
      </c>
      <c r="L629" s="122">
        <v>59</v>
      </c>
      <c r="M629" s="122">
        <v>50</v>
      </c>
      <c r="N629" s="122">
        <v>65</v>
      </c>
      <c r="O629" s="122">
        <v>85</v>
      </c>
      <c r="P629" s="122">
        <v>7</v>
      </c>
      <c r="Q629" s="123"/>
      <c r="R629" s="122">
        <v>1</v>
      </c>
      <c r="S629" s="122">
        <v>1</v>
      </c>
      <c r="T629" s="122">
        <v>1</v>
      </c>
      <c r="U629" s="123"/>
      <c r="V629" s="122">
        <v>8858890798956</v>
      </c>
    </row>
    <row r="630" ht="15.75" customHeight="1" spans="1:22" x14ac:dyDescent="0.25">
      <c r="A630" s="122" t="s">
        <v>452</v>
      </c>
      <c r="B630" s="123"/>
      <c r="C630" s="123"/>
      <c r="D630" s="122" t="s">
        <v>2019</v>
      </c>
      <c r="E630" s="122" t="s">
        <v>2020</v>
      </c>
      <c r="F630" s="122" t="s">
        <v>753</v>
      </c>
      <c r="G630" s="122" t="s">
        <v>754</v>
      </c>
      <c r="H630" s="122" t="s">
        <v>1671</v>
      </c>
      <c r="I630" s="122" t="s">
        <v>733</v>
      </c>
      <c r="J630" s="122">
        <v>55</v>
      </c>
      <c r="K630" s="122">
        <v>0</v>
      </c>
      <c r="L630" s="122">
        <v>72</v>
      </c>
      <c r="M630" s="122">
        <v>60</v>
      </c>
      <c r="N630" s="122">
        <v>80</v>
      </c>
      <c r="O630" s="122">
        <v>100</v>
      </c>
      <c r="P630" s="122">
        <v>45</v>
      </c>
      <c r="Q630" s="123"/>
      <c r="R630" s="122">
        <v>1</v>
      </c>
      <c r="S630" s="122">
        <v>1</v>
      </c>
      <c r="T630" s="122">
        <v>1</v>
      </c>
      <c r="U630" s="123"/>
      <c r="V630" s="122">
        <v>8858890798963</v>
      </c>
    </row>
    <row r="631" ht="15.75" customHeight="1" spans="1:22" x14ac:dyDescent="0.25">
      <c r="A631" s="122" t="s">
        <v>451</v>
      </c>
      <c r="B631" s="123"/>
      <c r="C631" s="123"/>
      <c r="D631" s="122" t="s">
        <v>2021</v>
      </c>
      <c r="E631" s="122" t="s">
        <v>2022</v>
      </c>
      <c r="F631" s="122" t="s">
        <v>753</v>
      </c>
      <c r="G631" s="122" t="s">
        <v>754</v>
      </c>
      <c r="H631" s="122" t="s">
        <v>1276</v>
      </c>
      <c r="I631" s="122" t="s">
        <v>733</v>
      </c>
      <c r="J631" s="122">
        <v>120</v>
      </c>
      <c r="K631" s="122">
        <v>0</v>
      </c>
      <c r="L631" s="122">
        <v>162</v>
      </c>
      <c r="M631" s="122">
        <v>135</v>
      </c>
      <c r="N631" s="122">
        <v>160</v>
      </c>
      <c r="O631" s="122">
        <v>200</v>
      </c>
      <c r="P631" s="122">
        <v>20</v>
      </c>
      <c r="Q631" s="123"/>
      <c r="R631" s="122">
        <v>1</v>
      </c>
      <c r="S631" s="122">
        <v>1</v>
      </c>
      <c r="T631" s="122">
        <v>1</v>
      </c>
      <c r="U631" s="123"/>
      <c r="V631" s="122">
        <v>8858890798970</v>
      </c>
    </row>
    <row r="632" ht="15.75" customHeight="1" spans="1:22" x14ac:dyDescent="0.25">
      <c r="A632" s="122" t="s">
        <v>436</v>
      </c>
      <c r="B632" s="123"/>
      <c r="C632" s="123"/>
      <c r="D632" s="122" t="s">
        <v>2023</v>
      </c>
      <c r="E632" s="122" t="s">
        <v>2024</v>
      </c>
      <c r="F632" s="122" t="s">
        <v>753</v>
      </c>
      <c r="G632" s="122" t="s">
        <v>754</v>
      </c>
      <c r="H632" s="122" t="s">
        <v>1112</v>
      </c>
      <c r="I632" s="122" t="s">
        <v>733</v>
      </c>
      <c r="J632" s="122">
        <v>95</v>
      </c>
      <c r="K632" s="122">
        <v>0</v>
      </c>
      <c r="L632" s="122">
        <v>130.5</v>
      </c>
      <c r="M632" s="122">
        <v>105</v>
      </c>
      <c r="N632" s="122">
        <v>120</v>
      </c>
      <c r="O632" s="122">
        <v>165</v>
      </c>
      <c r="P632" s="122">
        <v>53</v>
      </c>
      <c r="Q632" s="123"/>
      <c r="R632" s="122">
        <v>1</v>
      </c>
      <c r="S632" s="122">
        <v>1</v>
      </c>
      <c r="T632" s="122">
        <v>1</v>
      </c>
      <c r="U632" s="123"/>
      <c r="V632" s="122">
        <v>8858890798987</v>
      </c>
    </row>
    <row r="633" ht="15.75" customHeight="1" spans="1:22" x14ac:dyDescent="0.25">
      <c r="A633" s="122" t="s">
        <v>458</v>
      </c>
      <c r="B633" s="123"/>
      <c r="C633" s="123"/>
      <c r="D633" s="122" t="s">
        <v>2025</v>
      </c>
      <c r="E633" s="122" t="s">
        <v>2026</v>
      </c>
      <c r="F633" s="122" t="s">
        <v>753</v>
      </c>
      <c r="G633" s="122" t="s">
        <v>754</v>
      </c>
      <c r="H633" s="122" t="s">
        <v>2027</v>
      </c>
      <c r="I633" s="122" t="s">
        <v>733</v>
      </c>
      <c r="J633" s="122">
        <v>792.11</v>
      </c>
      <c r="K633" s="122">
        <v>750</v>
      </c>
      <c r="L633" s="122">
        <v>850</v>
      </c>
      <c r="M633" s="122">
        <v>750</v>
      </c>
      <c r="N633" s="122">
        <v>950</v>
      </c>
      <c r="O633" s="122">
        <v>1235</v>
      </c>
      <c r="P633" s="122">
        <v>34</v>
      </c>
      <c r="Q633" s="123"/>
      <c r="R633" s="122">
        <v>1</v>
      </c>
      <c r="S633" s="123"/>
      <c r="T633" s="122">
        <v>1</v>
      </c>
      <c r="U633" s="123"/>
      <c r="V633" s="122">
        <v>8858890798994</v>
      </c>
    </row>
    <row r="634" ht="15.75" customHeight="1" spans="1:22" x14ac:dyDescent="0.25">
      <c r="A634" s="122" t="s">
        <v>461</v>
      </c>
      <c r="B634" s="123"/>
      <c r="C634" s="123"/>
      <c r="D634" s="122" t="s">
        <v>2028</v>
      </c>
      <c r="E634" s="122" t="s">
        <v>2029</v>
      </c>
      <c r="F634" s="122" t="s">
        <v>753</v>
      </c>
      <c r="G634" s="122" t="s">
        <v>754</v>
      </c>
      <c r="H634" s="122" t="s">
        <v>2027</v>
      </c>
      <c r="I634" s="122" t="s">
        <v>733</v>
      </c>
      <c r="J634" s="122">
        <v>1600</v>
      </c>
      <c r="K634" s="122">
        <v>0</v>
      </c>
      <c r="L634" s="122">
        <v>1790</v>
      </c>
      <c r="M634" s="122">
        <v>1800</v>
      </c>
      <c r="N634" s="122">
        <v>1950</v>
      </c>
      <c r="O634" s="122">
        <v>2470</v>
      </c>
      <c r="P634" s="122">
        <v>12</v>
      </c>
      <c r="Q634" s="123"/>
      <c r="R634" s="122">
        <v>1</v>
      </c>
      <c r="S634" s="122">
        <v>1</v>
      </c>
      <c r="T634" s="122">
        <v>1</v>
      </c>
      <c r="U634" s="123"/>
      <c r="V634" s="122">
        <v>8858890799007</v>
      </c>
    </row>
    <row r="635" ht="15.75" customHeight="1" spans="1:22" x14ac:dyDescent="0.25">
      <c r="A635" s="122" t="s">
        <v>588</v>
      </c>
      <c r="B635" s="123"/>
      <c r="C635" s="123"/>
      <c r="D635" s="122" t="s">
        <v>2030</v>
      </c>
      <c r="E635" s="123"/>
      <c r="F635" s="122" t="s">
        <v>753</v>
      </c>
      <c r="G635" s="122" t="s">
        <v>771</v>
      </c>
      <c r="H635" s="122" t="s">
        <v>1012</v>
      </c>
      <c r="I635" s="122" t="s">
        <v>733</v>
      </c>
      <c r="J635" s="122">
        <v>175</v>
      </c>
      <c r="K635" s="122">
        <v>0</v>
      </c>
      <c r="L635" s="122">
        <v>189</v>
      </c>
      <c r="M635" s="122">
        <v>0</v>
      </c>
      <c r="N635" s="122">
        <v>222</v>
      </c>
      <c r="O635" s="122">
        <v>350</v>
      </c>
      <c r="P635" s="122">
        <v>1</v>
      </c>
      <c r="Q635" s="123"/>
      <c r="R635" s="122">
        <v>1</v>
      </c>
      <c r="S635" s="122">
        <v>1</v>
      </c>
      <c r="T635" s="122">
        <v>1</v>
      </c>
      <c r="U635" s="123"/>
      <c r="V635" s="122">
        <v>8858890799311</v>
      </c>
    </row>
    <row r="636" ht="15.75" customHeight="1" spans="1:22" x14ac:dyDescent="0.25">
      <c r="A636" s="122" t="s">
        <v>2031</v>
      </c>
      <c r="B636" s="123"/>
      <c r="C636" s="123"/>
      <c r="D636" s="122" t="s">
        <v>2032</v>
      </c>
      <c r="E636" s="123"/>
      <c r="F636" s="122" t="s">
        <v>742</v>
      </c>
      <c r="G636" s="122" t="s">
        <v>754</v>
      </c>
      <c r="H636" s="122" t="s">
        <v>818</v>
      </c>
      <c r="I636" s="122" t="s">
        <v>733</v>
      </c>
      <c r="J636" s="122">
        <v>100</v>
      </c>
      <c r="K636" s="122">
        <v>0</v>
      </c>
      <c r="L636" s="122">
        <v>0</v>
      </c>
      <c r="M636" s="122">
        <v>0</v>
      </c>
      <c r="N636" s="122">
        <v>150</v>
      </c>
      <c r="O636" s="122">
        <v>0</v>
      </c>
      <c r="P636" s="122">
        <v>0</v>
      </c>
      <c r="Q636" s="123"/>
      <c r="R636" s="122">
        <v>1</v>
      </c>
      <c r="S636" s="123"/>
      <c r="T636" s="123"/>
      <c r="U636" s="123"/>
      <c r="V636" s="123"/>
    </row>
    <row r="637" ht="15.75" customHeight="1" spans="1:22" x14ac:dyDescent="0.25">
      <c r="A637" s="122" t="s">
        <v>14</v>
      </c>
      <c r="B637" s="123"/>
      <c r="C637" s="123"/>
      <c r="D637" s="122" t="s">
        <v>2033</v>
      </c>
      <c r="E637" s="123"/>
      <c r="F637" s="122" t="s">
        <v>742</v>
      </c>
      <c r="G637" s="122" t="s">
        <v>731</v>
      </c>
      <c r="H637" s="122" t="s">
        <v>732</v>
      </c>
      <c r="I637" s="122" t="s">
        <v>733</v>
      </c>
      <c r="J637" s="122">
        <v>102</v>
      </c>
      <c r="K637" s="122">
        <v>99</v>
      </c>
      <c r="L637" s="122">
        <v>150</v>
      </c>
      <c r="M637" s="122">
        <v>130</v>
      </c>
      <c r="N637" s="122">
        <v>165</v>
      </c>
      <c r="O637" s="122">
        <v>165</v>
      </c>
      <c r="P637" s="122">
        <v>176</v>
      </c>
      <c r="Q637" s="123"/>
      <c r="R637" s="122">
        <v>1</v>
      </c>
      <c r="S637" s="122">
        <v>1</v>
      </c>
      <c r="T637" s="122">
        <v>1</v>
      </c>
      <c r="U637" s="123"/>
      <c r="V637" s="122">
        <v>8858890798802</v>
      </c>
    </row>
    <row r="638" ht="15.75" customHeight="1" spans="1:22" x14ac:dyDescent="0.25">
      <c r="A638" s="122" t="s">
        <v>385</v>
      </c>
      <c r="B638" s="123"/>
      <c r="C638" s="123"/>
      <c r="D638" s="122" t="s">
        <v>2034</v>
      </c>
      <c r="E638" s="123"/>
      <c r="F638" s="122" t="s">
        <v>753</v>
      </c>
      <c r="G638" s="122" t="s">
        <v>771</v>
      </c>
      <c r="H638" s="122" t="s">
        <v>772</v>
      </c>
      <c r="I638" s="122" t="s">
        <v>733</v>
      </c>
      <c r="J638" s="122">
        <v>60</v>
      </c>
      <c r="K638" s="122">
        <v>0</v>
      </c>
      <c r="L638" s="122">
        <v>85.5</v>
      </c>
      <c r="M638" s="122">
        <v>90</v>
      </c>
      <c r="N638" s="122">
        <v>95</v>
      </c>
      <c r="O638" s="122">
        <v>0</v>
      </c>
      <c r="P638" s="122">
        <v>14</v>
      </c>
      <c r="Q638" s="123"/>
      <c r="R638" s="122">
        <v>1</v>
      </c>
      <c r="S638" s="122">
        <v>1</v>
      </c>
      <c r="T638" s="122">
        <v>1</v>
      </c>
      <c r="U638" s="123"/>
      <c r="V638" s="122">
        <v>8858890799441</v>
      </c>
    </row>
    <row r="639" ht="15.75" customHeight="1" spans="1:22" x14ac:dyDescent="0.25">
      <c r="A639" s="122" t="s">
        <v>475</v>
      </c>
      <c r="B639" s="123"/>
      <c r="C639" s="123"/>
      <c r="D639" s="122" t="s">
        <v>2035</v>
      </c>
      <c r="E639" s="123"/>
      <c r="F639" s="122" t="s">
        <v>753</v>
      </c>
      <c r="G639" s="122" t="s">
        <v>754</v>
      </c>
      <c r="H639" s="122" t="s">
        <v>1112</v>
      </c>
      <c r="I639" s="122" t="s">
        <v>733</v>
      </c>
      <c r="J639" s="122">
        <v>60</v>
      </c>
      <c r="K639" s="122">
        <v>0</v>
      </c>
      <c r="L639" s="122">
        <v>108</v>
      </c>
      <c r="M639" s="122">
        <v>0</v>
      </c>
      <c r="N639" s="122">
        <v>120</v>
      </c>
      <c r="O639" s="122">
        <v>0</v>
      </c>
      <c r="P639" s="122">
        <v>39</v>
      </c>
      <c r="Q639" s="123"/>
      <c r="R639" s="122">
        <v>1</v>
      </c>
      <c r="S639" s="122">
        <v>1</v>
      </c>
      <c r="T639" s="122">
        <v>1</v>
      </c>
      <c r="U639" s="123"/>
      <c r="V639" s="122">
        <v>8858890799458</v>
      </c>
    </row>
    <row r="640" ht="15.75" customHeight="1" spans="1:22" x14ac:dyDescent="0.25">
      <c r="A640" s="122" t="s">
        <v>2036</v>
      </c>
      <c r="B640" s="123"/>
      <c r="C640" s="123"/>
      <c r="D640" s="122" t="s">
        <v>2037</v>
      </c>
      <c r="E640" s="123"/>
      <c r="F640" s="122" t="s">
        <v>753</v>
      </c>
      <c r="G640" s="122" t="s">
        <v>771</v>
      </c>
      <c r="H640" s="122" t="s">
        <v>1000</v>
      </c>
      <c r="I640" s="122" t="s">
        <v>733</v>
      </c>
      <c r="J640" s="122">
        <v>145</v>
      </c>
      <c r="K640" s="122">
        <v>0</v>
      </c>
      <c r="L640" s="122">
        <v>180</v>
      </c>
      <c r="M640" s="122">
        <v>0</v>
      </c>
      <c r="N640" s="122">
        <v>190</v>
      </c>
      <c r="O640" s="122">
        <v>295</v>
      </c>
      <c r="P640" s="122">
        <v>21</v>
      </c>
      <c r="Q640" s="123"/>
      <c r="R640" s="122">
        <v>1</v>
      </c>
      <c r="S640" s="122">
        <v>1</v>
      </c>
      <c r="T640" s="122">
        <v>1</v>
      </c>
      <c r="U640" s="123"/>
      <c r="V640" s="122">
        <v>8858890799380</v>
      </c>
    </row>
    <row r="641" ht="15.75" customHeight="1" spans="1:22" x14ac:dyDescent="0.25">
      <c r="A641" s="122" t="s">
        <v>2038</v>
      </c>
      <c r="B641" s="123"/>
      <c r="C641" s="123"/>
      <c r="D641" s="122" t="s">
        <v>2039</v>
      </c>
      <c r="E641" s="123"/>
      <c r="F641" s="122" t="s">
        <v>753</v>
      </c>
      <c r="G641" s="122" t="s">
        <v>771</v>
      </c>
      <c r="H641" s="122" t="s">
        <v>1000</v>
      </c>
      <c r="I641" s="122" t="s">
        <v>733</v>
      </c>
      <c r="J641" s="122">
        <v>155</v>
      </c>
      <c r="K641" s="122">
        <v>0</v>
      </c>
      <c r="L641" s="122">
        <v>198</v>
      </c>
      <c r="M641" s="122">
        <v>0</v>
      </c>
      <c r="N641" s="122">
        <v>200</v>
      </c>
      <c r="O641" s="122">
        <v>280</v>
      </c>
      <c r="P641" s="122">
        <v>4</v>
      </c>
      <c r="Q641" s="123"/>
      <c r="R641" s="122">
        <v>1</v>
      </c>
      <c r="S641" s="122">
        <v>1</v>
      </c>
      <c r="T641" s="122">
        <v>1</v>
      </c>
      <c r="U641" s="123"/>
      <c r="V641" s="122">
        <v>8858890799397</v>
      </c>
    </row>
    <row r="642" ht="15.75" customHeight="1" spans="1:22" x14ac:dyDescent="0.25">
      <c r="A642" s="122" t="s">
        <v>532</v>
      </c>
      <c r="B642" s="123"/>
      <c r="C642" s="123"/>
      <c r="D642" s="122" t="s">
        <v>2040</v>
      </c>
      <c r="E642" s="123"/>
      <c r="F642" s="122" t="s">
        <v>753</v>
      </c>
      <c r="G642" s="122" t="s">
        <v>771</v>
      </c>
      <c r="H642" s="122" t="s">
        <v>1000</v>
      </c>
      <c r="I642" s="122" t="s">
        <v>733</v>
      </c>
      <c r="J642" s="122">
        <v>165</v>
      </c>
      <c r="K642" s="122">
        <v>0</v>
      </c>
      <c r="L642" s="122">
        <v>216</v>
      </c>
      <c r="M642" s="122">
        <v>0</v>
      </c>
      <c r="N642" s="122">
        <v>220</v>
      </c>
      <c r="O642" s="122">
        <v>300</v>
      </c>
      <c r="P642" s="122">
        <v>0</v>
      </c>
      <c r="Q642" s="123"/>
      <c r="R642" s="122">
        <v>1</v>
      </c>
      <c r="S642" s="122">
        <v>1</v>
      </c>
      <c r="T642" s="122">
        <v>1</v>
      </c>
      <c r="U642" s="123"/>
      <c r="V642" s="122">
        <v>8858890799403</v>
      </c>
    </row>
    <row r="643" ht="15.75" customHeight="1" spans="1:22" x14ac:dyDescent="0.25">
      <c r="A643" s="122" t="s">
        <v>533</v>
      </c>
      <c r="B643" s="123"/>
      <c r="C643" s="123"/>
      <c r="D643" s="122" t="s">
        <v>2041</v>
      </c>
      <c r="E643" s="123"/>
      <c r="F643" s="122" t="s">
        <v>753</v>
      </c>
      <c r="G643" s="122" t="s">
        <v>771</v>
      </c>
      <c r="H643" s="122" t="s">
        <v>1000</v>
      </c>
      <c r="I643" s="122" t="s">
        <v>733</v>
      </c>
      <c r="J643" s="122">
        <v>145</v>
      </c>
      <c r="K643" s="122">
        <v>0</v>
      </c>
      <c r="L643" s="122">
        <v>180</v>
      </c>
      <c r="M643" s="122">
        <v>160</v>
      </c>
      <c r="N643" s="122">
        <v>190</v>
      </c>
      <c r="O643" s="122">
        <v>300</v>
      </c>
      <c r="P643" s="122">
        <v>64</v>
      </c>
      <c r="Q643" s="123"/>
      <c r="R643" s="122">
        <v>1</v>
      </c>
      <c r="S643" s="122">
        <v>1</v>
      </c>
      <c r="T643" s="122">
        <v>1</v>
      </c>
      <c r="U643" s="123"/>
      <c r="V643" s="122">
        <v>8858890799410</v>
      </c>
    </row>
    <row r="644" ht="15.75" customHeight="1" spans="1:22" x14ac:dyDescent="0.25">
      <c r="A644" s="122" t="s">
        <v>534</v>
      </c>
      <c r="B644" s="123"/>
      <c r="C644" s="123"/>
      <c r="D644" s="122" t="s">
        <v>2042</v>
      </c>
      <c r="E644" s="123"/>
      <c r="F644" s="122" t="s">
        <v>753</v>
      </c>
      <c r="G644" s="122" t="s">
        <v>771</v>
      </c>
      <c r="H644" s="122" t="s">
        <v>1000</v>
      </c>
      <c r="I644" s="122" t="s">
        <v>733</v>
      </c>
      <c r="J644" s="122">
        <v>155</v>
      </c>
      <c r="K644" s="122">
        <v>0</v>
      </c>
      <c r="L644" s="122">
        <v>198</v>
      </c>
      <c r="M644" s="122">
        <v>175</v>
      </c>
      <c r="N644" s="122">
        <v>200</v>
      </c>
      <c r="O644" s="122">
        <v>300</v>
      </c>
      <c r="P644" s="122">
        <v>50</v>
      </c>
      <c r="Q644" s="123"/>
      <c r="R644" s="122">
        <v>1</v>
      </c>
      <c r="S644" s="122">
        <v>1</v>
      </c>
      <c r="T644" s="122">
        <v>1</v>
      </c>
      <c r="U644" s="123"/>
      <c r="V644" s="122">
        <v>8858890799427</v>
      </c>
    </row>
    <row r="645" ht="15.75" customHeight="1" spans="1:22" x14ac:dyDescent="0.25">
      <c r="A645" s="122" t="s">
        <v>535</v>
      </c>
      <c r="B645" s="123"/>
      <c r="C645" s="123"/>
      <c r="D645" s="122" t="s">
        <v>2043</v>
      </c>
      <c r="E645" s="123"/>
      <c r="F645" s="122" t="s">
        <v>753</v>
      </c>
      <c r="G645" s="122" t="s">
        <v>771</v>
      </c>
      <c r="H645" s="122" t="s">
        <v>1000</v>
      </c>
      <c r="I645" s="122" t="s">
        <v>733</v>
      </c>
      <c r="J645" s="122">
        <v>165</v>
      </c>
      <c r="K645" s="122">
        <v>0</v>
      </c>
      <c r="L645" s="122">
        <v>216</v>
      </c>
      <c r="M645" s="122">
        <v>185</v>
      </c>
      <c r="N645" s="122">
        <v>210</v>
      </c>
      <c r="O645" s="122">
        <v>300</v>
      </c>
      <c r="P645" s="122">
        <v>12</v>
      </c>
      <c r="Q645" s="123"/>
      <c r="R645" s="122">
        <v>1</v>
      </c>
      <c r="S645" s="122">
        <v>1</v>
      </c>
      <c r="T645" s="122">
        <v>1</v>
      </c>
      <c r="U645" s="123"/>
      <c r="V645" s="122">
        <v>8858890799434</v>
      </c>
    </row>
    <row r="646" ht="15.75" customHeight="1" spans="1:22" x14ac:dyDescent="0.25">
      <c r="A646" s="122" t="s">
        <v>2044</v>
      </c>
      <c r="B646" s="123"/>
      <c r="C646" s="123"/>
      <c r="D646" s="122" t="s">
        <v>2045</v>
      </c>
      <c r="E646" s="123"/>
      <c r="F646" s="122" t="s">
        <v>742</v>
      </c>
      <c r="G646" s="122" t="s">
        <v>1495</v>
      </c>
      <c r="H646" s="122" t="s">
        <v>1977</v>
      </c>
      <c r="I646" s="122" t="s">
        <v>733</v>
      </c>
      <c r="J646" s="122">
        <v>80</v>
      </c>
      <c r="K646" s="122">
        <v>0</v>
      </c>
      <c r="L646" s="122">
        <v>0</v>
      </c>
      <c r="M646" s="122">
        <v>0</v>
      </c>
      <c r="N646" s="122">
        <v>200</v>
      </c>
      <c r="O646" s="122">
        <v>0</v>
      </c>
      <c r="P646" s="122">
        <v>8</v>
      </c>
      <c r="Q646" s="123"/>
      <c r="R646" s="122">
        <v>1</v>
      </c>
      <c r="S646" s="123"/>
      <c r="T646" s="123"/>
      <c r="U646" s="123"/>
      <c r="V646" s="123"/>
    </row>
    <row r="647" ht="15.75" customHeight="1" spans="1:22" x14ac:dyDescent="0.25">
      <c r="A647" s="122" t="s">
        <v>2046</v>
      </c>
      <c r="B647" s="123"/>
      <c r="C647" s="123"/>
      <c r="D647" s="122" t="s">
        <v>2047</v>
      </c>
      <c r="E647" s="123"/>
      <c r="F647" s="122" t="s">
        <v>753</v>
      </c>
      <c r="G647" s="122" t="s">
        <v>759</v>
      </c>
      <c r="H647" s="122" t="s">
        <v>821</v>
      </c>
      <c r="I647" s="122" t="s">
        <v>733</v>
      </c>
      <c r="J647" s="122">
        <v>270</v>
      </c>
      <c r="K647" s="122">
        <v>0</v>
      </c>
      <c r="L647" s="122">
        <v>0</v>
      </c>
      <c r="M647" s="122">
        <v>0</v>
      </c>
      <c r="N647" s="122">
        <v>390</v>
      </c>
      <c r="O647" s="122">
        <v>0</v>
      </c>
      <c r="P647" s="122">
        <v>0</v>
      </c>
      <c r="Q647" s="123"/>
      <c r="R647" s="122">
        <v>1</v>
      </c>
      <c r="S647" s="123"/>
      <c r="T647" s="123"/>
      <c r="U647" s="123"/>
      <c r="V647" s="123"/>
    </row>
    <row r="648" ht="15.75" customHeight="1" spans="1:22" x14ac:dyDescent="0.25">
      <c r="A648" s="122" t="s">
        <v>2048</v>
      </c>
      <c r="B648" s="123"/>
      <c r="C648" s="123"/>
      <c r="D648" s="122" t="s">
        <v>2049</v>
      </c>
      <c r="E648" s="123"/>
      <c r="F648" s="122" t="s">
        <v>742</v>
      </c>
      <c r="G648" s="122" t="s">
        <v>1488</v>
      </c>
      <c r="H648" s="122" t="s">
        <v>2003</v>
      </c>
      <c r="I648" s="122" t="s">
        <v>733</v>
      </c>
      <c r="J648" s="122">
        <v>0</v>
      </c>
      <c r="K648" s="122">
        <v>0</v>
      </c>
      <c r="L648" s="122">
        <v>0</v>
      </c>
      <c r="M648" s="122">
        <v>0</v>
      </c>
      <c r="N648" s="122">
        <v>690</v>
      </c>
      <c r="O648" s="122">
        <v>890</v>
      </c>
      <c r="P648" s="122">
        <v>48</v>
      </c>
      <c r="Q648" s="123"/>
      <c r="R648" s="122">
        <v>1</v>
      </c>
      <c r="S648" s="123"/>
      <c r="T648" s="123"/>
      <c r="U648" s="123"/>
      <c r="V648" s="123"/>
    </row>
    <row r="649" ht="15.75" customHeight="1" spans="1:22" x14ac:dyDescent="0.25">
      <c r="A649" s="122" t="s">
        <v>2050</v>
      </c>
      <c r="B649" s="123"/>
      <c r="C649" s="123"/>
      <c r="D649" s="122" t="s">
        <v>2051</v>
      </c>
      <c r="E649" s="123"/>
      <c r="F649" s="122" t="s">
        <v>742</v>
      </c>
      <c r="G649" s="122" t="s">
        <v>1488</v>
      </c>
      <c r="H649" s="122" t="s">
        <v>2003</v>
      </c>
      <c r="I649" s="122" t="s">
        <v>733</v>
      </c>
      <c r="J649" s="122">
        <v>0</v>
      </c>
      <c r="K649" s="122">
        <v>0</v>
      </c>
      <c r="L649" s="122">
        <v>0</v>
      </c>
      <c r="M649" s="122">
        <v>390</v>
      </c>
      <c r="N649" s="122">
        <v>390</v>
      </c>
      <c r="O649" s="122">
        <v>690</v>
      </c>
      <c r="P649" s="122">
        <v>50</v>
      </c>
      <c r="Q649" s="123"/>
      <c r="R649" s="122">
        <v>1</v>
      </c>
      <c r="S649" s="123"/>
      <c r="T649" s="123"/>
      <c r="U649" s="123"/>
      <c r="V649" s="123"/>
    </row>
    <row r="650" ht="15.75" customHeight="1" spans="1:22" x14ac:dyDescent="0.25">
      <c r="A650" s="122" t="s">
        <v>2052</v>
      </c>
      <c r="B650" s="123"/>
      <c r="C650" s="123"/>
      <c r="D650" s="122" t="s">
        <v>2053</v>
      </c>
      <c r="E650" s="123"/>
      <c r="F650" s="122" t="s">
        <v>742</v>
      </c>
      <c r="G650" s="122" t="s">
        <v>1488</v>
      </c>
      <c r="H650" s="122" t="s">
        <v>2003</v>
      </c>
      <c r="I650" s="122" t="s">
        <v>733</v>
      </c>
      <c r="J650" s="122">
        <v>0</v>
      </c>
      <c r="K650" s="122">
        <v>0</v>
      </c>
      <c r="L650" s="122">
        <v>0</v>
      </c>
      <c r="M650" s="122">
        <v>490</v>
      </c>
      <c r="N650" s="122">
        <v>490</v>
      </c>
      <c r="O650" s="122">
        <v>790</v>
      </c>
      <c r="P650" s="122">
        <v>50</v>
      </c>
      <c r="Q650" s="123"/>
      <c r="R650" s="122">
        <v>1</v>
      </c>
      <c r="S650" s="123"/>
      <c r="T650" s="123"/>
      <c r="U650" s="123"/>
      <c r="V650" s="123"/>
    </row>
    <row r="651" ht="15.75" customHeight="1" spans="1:22" x14ac:dyDescent="0.25">
      <c r="A651" s="122" t="s">
        <v>2054</v>
      </c>
      <c r="B651" s="123"/>
      <c r="C651" s="123"/>
      <c r="D651" s="122" t="s">
        <v>2055</v>
      </c>
      <c r="E651" s="123"/>
      <c r="F651" s="122" t="s">
        <v>742</v>
      </c>
      <c r="G651" s="122" t="s">
        <v>1488</v>
      </c>
      <c r="H651" s="122" t="s">
        <v>2003</v>
      </c>
      <c r="I651" s="122" t="s">
        <v>733</v>
      </c>
      <c r="J651" s="122">
        <v>0</v>
      </c>
      <c r="K651" s="122">
        <v>0</v>
      </c>
      <c r="L651" s="122">
        <v>0</v>
      </c>
      <c r="M651" s="122">
        <v>490</v>
      </c>
      <c r="N651" s="122">
        <v>390</v>
      </c>
      <c r="O651" s="122">
        <v>690</v>
      </c>
      <c r="P651" s="122">
        <v>50</v>
      </c>
      <c r="Q651" s="123"/>
      <c r="R651" s="122">
        <v>1</v>
      </c>
      <c r="S651" s="123"/>
      <c r="T651" s="123"/>
      <c r="U651" s="123"/>
      <c r="V651" s="123"/>
    </row>
    <row r="652" ht="15.75" customHeight="1" spans="1:22" x14ac:dyDescent="0.25">
      <c r="A652" s="122" t="s">
        <v>2056</v>
      </c>
      <c r="B652" s="123"/>
      <c r="C652" s="123"/>
      <c r="D652" s="122" t="s">
        <v>2057</v>
      </c>
      <c r="E652" s="123"/>
      <c r="F652" s="122" t="s">
        <v>742</v>
      </c>
      <c r="G652" s="122" t="s">
        <v>1488</v>
      </c>
      <c r="H652" s="122" t="s">
        <v>2003</v>
      </c>
      <c r="I652" s="122" t="s">
        <v>733</v>
      </c>
      <c r="J652" s="122">
        <v>0</v>
      </c>
      <c r="K652" s="122">
        <v>0</v>
      </c>
      <c r="L652" s="122">
        <v>0</v>
      </c>
      <c r="M652" s="122">
        <v>0</v>
      </c>
      <c r="N652" s="122">
        <v>490</v>
      </c>
      <c r="O652" s="122">
        <v>790</v>
      </c>
      <c r="P652" s="122">
        <v>50</v>
      </c>
      <c r="Q652" s="123"/>
      <c r="R652" s="122">
        <v>1</v>
      </c>
      <c r="S652" s="123"/>
      <c r="T652" s="123"/>
      <c r="U652" s="123"/>
      <c r="V652" s="123"/>
    </row>
    <row r="653" ht="15.75" customHeight="1" spans="1:22" x14ac:dyDescent="0.25">
      <c r="A653" s="122" t="s">
        <v>2058</v>
      </c>
      <c r="B653" s="123"/>
      <c r="C653" s="123"/>
      <c r="D653" s="122" t="s">
        <v>2059</v>
      </c>
      <c r="E653" s="123"/>
      <c r="F653" s="122" t="s">
        <v>753</v>
      </c>
      <c r="G653" s="122" t="s">
        <v>771</v>
      </c>
      <c r="H653" s="122" t="s">
        <v>1012</v>
      </c>
      <c r="I653" s="122" t="s">
        <v>733</v>
      </c>
      <c r="J653" s="122">
        <v>67</v>
      </c>
      <c r="K653" s="122">
        <v>0</v>
      </c>
      <c r="L653" s="122">
        <v>0</v>
      </c>
      <c r="M653" s="122">
        <v>0</v>
      </c>
      <c r="N653" s="122">
        <v>90</v>
      </c>
      <c r="O653" s="122">
        <v>190</v>
      </c>
      <c r="P653" s="122">
        <v>6</v>
      </c>
      <c r="Q653" s="123"/>
      <c r="R653" s="122">
        <v>1</v>
      </c>
      <c r="S653" s="123"/>
      <c r="T653" s="123"/>
      <c r="U653" s="123"/>
      <c r="V653" s="123"/>
    </row>
    <row r="654" ht="15.75" customHeight="1" spans="1:22" x14ac:dyDescent="0.25">
      <c r="A654" s="122" t="s">
        <v>329</v>
      </c>
      <c r="B654" s="123"/>
      <c r="C654" s="123"/>
      <c r="D654" s="122" t="s">
        <v>2060</v>
      </c>
      <c r="E654" s="123"/>
      <c r="F654" s="122" t="s">
        <v>753</v>
      </c>
      <c r="G654" s="122" t="s">
        <v>745</v>
      </c>
      <c r="H654" s="122" t="s">
        <v>746</v>
      </c>
      <c r="I654" s="122" t="s">
        <v>733</v>
      </c>
      <c r="J654" s="122">
        <v>626.67</v>
      </c>
      <c r="K654" s="122">
        <v>600</v>
      </c>
      <c r="L654" s="122">
        <v>0</v>
      </c>
      <c r="M654" s="122">
        <v>690</v>
      </c>
      <c r="N654" s="122">
        <v>750</v>
      </c>
      <c r="O654" s="122">
        <v>1235</v>
      </c>
      <c r="P654" s="122">
        <v>89</v>
      </c>
      <c r="Q654" s="123"/>
      <c r="R654" s="122">
        <v>1</v>
      </c>
      <c r="S654" s="122">
        <v>1</v>
      </c>
      <c r="T654" s="122">
        <v>1</v>
      </c>
      <c r="U654" s="123"/>
      <c r="V654" s="122">
        <v>8858890798819</v>
      </c>
    </row>
    <row r="655" ht="15.75" customHeight="1" spans="1:22" x14ac:dyDescent="0.25">
      <c r="A655" s="122" t="s">
        <v>2061</v>
      </c>
      <c r="B655" s="123"/>
      <c r="C655" s="123"/>
      <c r="D655" s="122" t="s">
        <v>2062</v>
      </c>
      <c r="E655" s="123"/>
      <c r="F655" s="122" t="s">
        <v>2063</v>
      </c>
      <c r="G655" s="122" t="s">
        <v>784</v>
      </c>
      <c r="H655" s="122" t="s">
        <v>787</v>
      </c>
      <c r="I655" s="122" t="s">
        <v>733</v>
      </c>
      <c r="J655" s="122">
        <v>150</v>
      </c>
      <c r="K655" s="122">
        <v>120</v>
      </c>
      <c r="L655" s="122">
        <v>170</v>
      </c>
      <c r="M655" s="122">
        <v>170</v>
      </c>
      <c r="N655" s="122">
        <v>190</v>
      </c>
      <c r="O655" s="122">
        <v>250</v>
      </c>
      <c r="P655" s="122">
        <v>213</v>
      </c>
      <c r="Q655" s="123"/>
      <c r="R655" s="122">
        <v>1</v>
      </c>
      <c r="S655" s="122">
        <v>1</v>
      </c>
      <c r="T655" s="122">
        <v>1</v>
      </c>
      <c r="U655" s="123"/>
      <c r="V655" s="122">
        <v>876120002688</v>
      </c>
    </row>
    <row r="656" ht="15.75" customHeight="1" spans="1:22" x14ac:dyDescent="0.25">
      <c r="A656" s="122" t="s">
        <v>2064</v>
      </c>
      <c r="B656" s="123"/>
      <c r="C656" s="123"/>
      <c r="D656" s="122" t="s">
        <v>2065</v>
      </c>
      <c r="E656" s="123"/>
      <c r="F656" s="122" t="s">
        <v>2063</v>
      </c>
      <c r="G656" s="122" t="s">
        <v>784</v>
      </c>
      <c r="H656" s="122" t="s">
        <v>785</v>
      </c>
      <c r="I656" s="122" t="s">
        <v>733</v>
      </c>
      <c r="J656" s="122">
        <v>165</v>
      </c>
      <c r="K656" s="122">
        <v>120</v>
      </c>
      <c r="L656" s="122">
        <v>190</v>
      </c>
      <c r="M656" s="122">
        <v>199</v>
      </c>
      <c r="N656" s="122">
        <v>215</v>
      </c>
      <c r="O656" s="122">
        <v>280</v>
      </c>
      <c r="P656" s="122">
        <v>177</v>
      </c>
      <c r="Q656" s="123"/>
      <c r="R656" s="122">
        <v>1</v>
      </c>
      <c r="S656" s="122">
        <v>1</v>
      </c>
      <c r="T656" s="122">
        <v>1</v>
      </c>
      <c r="U656" s="123"/>
      <c r="V656" s="122">
        <v>876120002589</v>
      </c>
    </row>
    <row r="657" ht="15.75" customHeight="1" spans="1:22" x14ac:dyDescent="0.25">
      <c r="A657" s="122" t="s">
        <v>2066</v>
      </c>
      <c r="B657" s="123"/>
      <c r="C657" s="123"/>
      <c r="D657" s="122" t="s">
        <v>2067</v>
      </c>
      <c r="E657" s="123"/>
      <c r="F657" s="122" t="s">
        <v>2063</v>
      </c>
      <c r="G657" s="122" t="s">
        <v>784</v>
      </c>
      <c r="H657" s="122" t="s">
        <v>2068</v>
      </c>
      <c r="I657" s="122" t="s">
        <v>733</v>
      </c>
      <c r="J657" s="122">
        <v>150</v>
      </c>
      <c r="K657" s="122">
        <v>120</v>
      </c>
      <c r="L657" s="122">
        <v>170</v>
      </c>
      <c r="M657" s="122">
        <v>199</v>
      </c>
      <c r="N657" s="122">
        <v>190</v>
      </c>
      <c r="O657" s="122">
        <v>250</v>
      </c>
      <c r="P657" s="122">
        <v>178</v>
      </c>
      <c r="Q657" s="123"/>
      <c r="R657" s="122">
        <v>1</v>
      </c>
      <c r="S657" s="122">
        <v>1</v>
      </c>
      <c r="T657" s="122">
        <v>1</v>
      </c>
      <c r="U657" s="123"/>
      <c r="V657" s="122">
        <v>876120003739</v>
      </c>
    </row>
    <row r="658" ht="15.75" customHeight="1" spans="1:22" x14ac:dyDescent="0.25">
      <c r="A658" s="122" t="s">
        <v>300</v>
      </c>
      <c r="B658" s="123"/>
      <c r="C658" s="123"/>
      <c r="D658" s="122" t="s">
        <v>2069</v>
      </c>
      <c r="E658" s="123"/>
      <c r="F658" s="122" t="s">
        <v>753</v>
      </c>
      <c r="G658" s="122" t="s">
        <v>745</v>
      </c>
      <c r="H658" s="122" t="s">
        <v>1220</v>
      </c>
      <c r="I658" s="122" t="s">
        <v>733</v>
      </c>
      <c r="J658" s="122">
        <v>1450</v>
      </c>
      <c r="K658" s="122">
        <v>1050</v>
      </c>
      <c r="L658" s="122">
        <v>0</v>
      </c>
      <c r="M658" s="122">
        <v>1350</v>
      </c>
      <c r="N658" s="122">
        <v>1750</v>
      </c>
      <c r="O658" s="122">
        <v>2250</v>
      </c>
      <c r="P658" s="122">
        <v>59</v>
      </c>
      <c r="Q658" s="123"/>
      <c r="R658" s="122">
        <v>1</v>
      </c>
      <c r="S658" s="122">
        <v>1</v>
      </c>
      <c r="T658" s="122">
        <v>1</v>
      </c>
      <c r="U658" s="123"/>
      <c r="V658" s="122">
        <v>8858890799489</v>
      </c>
    </row>
    <row r="659" ht="15.75" customHeight="1" spans="1:22" x14ac:dyDescent="0.25">
      <c r="A659" s="122" t="s">
        <v>296</v>
      </c>
      <c r="B659" s="123"/>
      <c r="C659" s="123"/>
      <c r="D659" s="122" t="s">
        <v>2070</v>
      </c>
      <c r="E659" s="123"/>
      <c r="F659" s="122" t="s">
        <v>753</v>
      </c>
      <c r="G659" s="122" t="s">
        <v>745</v>
      </c>
      <c r="H659" s="122" t="s">
        <v>1220</v>
      </c>
      <c r="I659" s="122" t="s">
        <v>733</v>
      </c>
      <c r="J659" s="122">
        <v>1350</v>
      </c>
      <c r="K659" s="122">
        <v>1050</v>
      </c>
      <c r="L659" s="122">
        <v>0</v>
      </c>
      <c r="M659" s="122">
        <v>1350</v>
      </c>
      <c r="N659" s="122">
        <v>1650</v>
      </c>
      <c r="O659" s="122">
        <v>2150</v>
      </c>
      <c r="P659" s="122">
        <v>34</v>
      </c>
      <c r="Q659" s="123"/>
      <c r="R659" s="122">
        <v>1</v>
      </c>
      <c r="S659" s="122">
        <v>1</v>
      </c>
      <c r="T659" s="122">
        <v>1</v>
      </c>
      <c r="U659" s="123"/>
      <c r="V659" s="122">
        <v>8858890799472</v>
      </c>
    </row>
    <row r="660" ht="15.75" customHeight="1" spans="1:22" x14ac:dyDescent="0.25">
      <c r="A660" s="122" t="s">
        <v>355</v>
      </c>
      <c r="B660" s="123"/>
      <c r="C660" s="123"/>
      <c r="D660" s="122" t="s">
        <v>2071</v>
      </c>
      <c r="E660" s="123"/>
      <c r="F660" s="122" t="s">
        <v>753</v>
      </c>
      <c r="G660" s="122" t="s">
        <v>759</v>
      </c>
      <c r="H660" s="122" t="s">
        <v>760</v>
      </c>
      <c r="I660" s="122" t="s">
        <v>733</v>
      </c>
      <c r="J660" s="122">
        <v>1850</v>
      </c>
      <c r="K660" s="122">
        <v>1500</v>
      </c>
      <c r="L660" s="122">
        <v>0</v>
      </c>
      <c r="M660" s="122">
        <v>2035</v>
      </c>
      <c r="N660" s="122">
        <v>2500</v>
      </c>
      <c r="O660" s="122">
        <v>3250</v>
      </c>
      <c r="P660" s="122">
        <v>26</v>
      </c>
      <c r="Q660" s="123"/>
      <c r="R660" s="122">
        <v>1</v>
      </c>
      <c r="S660" s="122">
        <v>1</v>
      </c>
      <c r="T660" s="122">
        <v>1</v>
      </c>
      <c r="U660" s="123"/>
      <c r="V660" s="122">
        <v>8858890799687</v>
      </c>
    </row>
    <row r="661" ht="15.75" customHeight="1" spans="1:22" x14ac:dyDescent="0.25">
      <c r="A661" s="122" t="s">
        <v>356</v>
      </c>
      <c r="B661" s="123"/>
      <c r="C661" s="123"/>
      <c r="D661" s="122" t="s">
        <v>2072</v>
      </c>
      <c r="E661" s="123"/>
      <c r="F661" s="122" t="s">
        <v>753</v>
      </c>
      <c r="G661" s="122" t="s">
        <v>759</v>
      </c>
      <c r="H661" s="122" t="s">
        <v>760</v>
      </c>
      <c r="I661" s="122" t="s">
        <v>733</v>
      </c>
      <c r="J661" s="122">
        <v>1850</v>
      </c>
      <c r="K661" s="122">
        <v>1500</v>
      </c>
      <c r="L661" s="122">
        <v>0</v>
      </c>
      <c r="M661" s="122">
        <v>2035</v>
      </c>
      <c r="N661" s="122">
        <v>2500</v>
      </c>
      <c r="O661" s="122">
        <v>3250</v>
      </c>
      <c r="P661" s="122">
        <v>24</v>
      </c>
      <c r="Q661" s="123"/>
      <c r="R661" s="122">
        <v>1</v>
      </c>
      <c r="S661" s="122">
        <v>1</v>
      </c>
      <c r="T661" s="122">
        <v>1</v>
      </c>
      <c r="U661" s="123"/>
      <c r="V661" s="122">
        <v>8858890798888</v>
      </c>
    </row>
    <row r="662" ht="15.75" customHeight="1" spans="1:22" x14ac:dyDescent="0.25">
      <c r="A662" s="122" t="s">
        <v>357</v>
      </c>
      <c r="B662" s="123"/>
      <c r="C662" s="123"/>
      <c r="D662" s="122" t="s">
        <v>2073</v>
      </c>
      <c r="E662" s="123"/>
      <c r="F662" s="122" t="s">
        <v>753</v>
      </c>
      <c r="G662" s="122" t="s">
        <v>759</v>
      </c>
      <c r="H662" s="122" t="s">
        <v>821</v>
      </c>
      <c r="I662" s="122" t="s">
        <v>733</v>
      </c>
      <c r="J662" s="122">
        <v>1200</v>
      </c>
      <c r="K662" s="122">
        <v>850</v>
      </c>
      <c r="L662" s="122">
        <v>0</v>
      </c>
      <c r="M662" s="122">
        <v>1320</v>
      </c>
      <c r="N662" s="122">
        <v>1650</v>
      </c>
      <c r="O662" s="122">
        <v>2145</v>
      </c>
      <c r="P662" s="122">
        <v>29</v>
      </c>
      <c r="Q662" s="123"/>
      <c r="R662" s="122">
        <v>1</v>
      </c>
      <c r="S662" s="122">
        <v>1</v>
      </c>
      <c r="T662" s="122">
        <v>1</v>
      </c>
      <c r="U662" s="123"/>
      <c r="V662" s="122">
        <v>8858890798864</v>
      </c>
    </row>
    <row r="663" ht="15.75" customHeight="1" spans="1:22" x14ac:dyDescent="0.25">
      <c r="A663" s="122" t="s">
        <v>415</v>
      </c>
      <c r="B663" s="123"/>
      <c r="C663" s="123"/>
      <c r="D663" s="122" t="s">
        <v>2074</v>
      </c>
      <c r="E663" s="123"/>
      <c r="F663" s="122" t="s">
        <v>753</v>
      </c>
      <c r="G663" s="122" t="s">
        <v>754</v>
      </c>
      <c r="H663" s="122" t="s">
        <v>755</v>
      </c>
      <c r="I663" s="122" t="s">
        <v>733</v>
      </c>
      <c r="J663" s="122">
        <v>250</v>
      </c>
      <c r="K663" s="122">
        <v>0</v>
      </c>
      <c r="L663" s="122">
        <v>270</v>
      </c>
      <c r="M663" s="122">
        <v>295</v>
      </c>
      <c r="N663" s="122">
        <v>350</v>
      </c>
      <c r="O663" s="122">
        <v>0</v>
      </c>
      <c r="P663" s="122">
        <v>172</v>
      </c>
      <c r="Q663" s="123"/>
      <c r="R663" s="122">
        <v>1</v>
      </c>
      <c r="S663" s="122">
        <v>1</v>
      </c>
      <c r="T663" s="122">
        <v>1</v>
      </c>
      <c r="U663" s="123"/>
      <c r="V663" s="122">
        <v>8858890798796</v>
      </c>
    </row>
    <row r="664" ht="15.75" customHeight="1" spans="1:22" x14ac:dyDescent="0.25">
      <c r="A664" s="122" t="s">
        <v>2075</v>
      </c>
      <c r="B664" s="123"/>
      <c r="C664" s="123"/>
      <c r="D664" s="122" t="s">
        <v>2076</v>
      </c>
      <c r="E664" s="123"/>
      <c r="F664" s="122" t="s">
        <v>753</v>
      </c>
      <c r="G664" s="122" t="s">
        <v>754</v>
      </c>
      <c r="H664" s="122" t="s">
        <v>1407</v>
      </c>
      <c r="I664" s="122" t="s">
        <v>733</v>
      </c>
      <c r="J664" s="122">
        <v>15</v>
      </c>
      <c r="K664" s="122">
        <v>0</v>
      </c>
      <c r="L664" s="122">
        <v>0</v>
      </c>
      <c r="M664" s="122">
        <v>0</v>
      </c>
      <c r="N664" s="122">
        <v>35</v>
      </c>
      <c r="O664" s="122">
        <v>0</v>
      </c>
      <c r="P664" s="122">
        <v>12</v>
      </c>
      <c r="Q664" s="123"/>
      <c r="R664" s="122">
        <v>1</v>
      </c>
      <c r="S664" s="123"/>
      <c r="T664" s="123"/>
      <c r="U664" s="123"/>
      <c r="V664" s="122">
        <v>8858890793845</v>
      </c>
    </row>
    <row r="665" ht="15.75" customHeight="1" spans="1:22" x14ac:dyDescent="0.25">
      <c r="A665" s="122" t="s">
        <v>2077</v>
      </c>
      <c r="B665" s="123"/>
      <c r="C665" s="123"/>
      <c r="D665" s="122" t="s">
        <v>2078</v>
      </c>
      <c r="E665" s="123"/>
      <c r="F665" s="122" t="s">
        <v>742</v>
      </c>
      <c r="G665" s="122" t="s">
        <v>754</v>
      </c>
      <c r="H665" s="122" t="s">
        <v>1126</v>
      </c>
      <c r="I665" s="122" t="s">
        <v>733</v>
      </c>
      <c r="J665" s="122">
        <v>50</v>
      </c>
      <c r="K665" s="122">
        <v>25</v>
      </c>
      <c r="L665" s="122">
        <v>65</v>
      </c>
      <c r="M665" s="122">
        <v>30</v>
      </c>
      <c r="N665" s="122">
        <v>100</v>
      </c>
      <c r="O665" s="122">
        <v>0</v>
      </c>
      <c r="P665" s="122">
        <v>133</v>
      </c>
      <c r="Q665" s="123"/>
      <c r="R665" s="122">
        <v>1</v>
      </c>
      <c r="S665" s="122">
        <v>1</v>
      </c>
      <c r="T665" s="122">
        <v>1</v>
      </c>
      <c r="U665" s="123"/>
      <c r="V665" s="122">
        <v>8858890798390</v>
      </c>
    </row>
    <row r="666" ht="15.75" customHeight="1" spans="1:22" x14ac:dyDescent="0.25">
      <c r="A666" s="122" t="s">
        <v>2079</v>
      </c>
      <c r="B666" s="123"/>
      <c r="C666" s="123"/>
      <c r="D666" s="122" t="s">
        <v>2080</v>
      </c>
      <c r="E666" s="123"/>
      <c r="F666" s="122" t="s">
        <v>742</v>
      </c>
      <c r="G666" s="122" t="s">
        <v>754</v>
      </c>
      <c r="H666" s="122" t="s">
        <v>1126</v>
      </c>
      <c r="I666" s="122" t="s">
        <v>733</v>
      </c>
      <c r="J666" s="122">
        <v>50</v>
      </c>
      <c r="K666" s="122">
        <v>25</v>
      </c>
      <c r="L666" s="122">
        <v>65</v>
      </c>
      <c r="M666" s="122">
        <v>30</v>
      </c>
      <c r="N666" s="122">
        <v>100</v>
      </c>
      <c r="O666" s="122">
        <v>0</v>
      </c>
      <c r="P666" s="122">
        <v>188</v>
      </c>
      <c r="Q666" s="123"/>
      <c r="R666" s="122">
        <v>1</v>
      </c>
      <c r="S666" s="122">
        <v>1</v>
      </c>
      <c r="T666" s="122">
        <v>1</v>
      </c>
      <c r="U666" s="123"/>
      <c r="V666" s="122">
        <v>885889079579502</v>
      </c>
    </row>
    <row r="667" ht="15.75" customHeight="1" spans="1:22" x14ac:dyDescent="0.25">
      <c r="A667" s="122" t="s">
        <v>2081</v>
      </c>
      <c r="B667" s="123"/>
      <c r="C667" s="123"/>
      <c r="D667" s="122" t="s">
        <v>2082</v>
      </c>
      <c r="E667" s="123"/>
      <c r="F667" s="122" t="s">
        <v>742</v>
      </c>
      <c r="G667" s="122" t="s">
        <v>754</v>
      </c>
      <c r="H667" s="122" t="s">
        <v>1126</v>
      </c>
      <c r="I667" s="122" t="s">
        <v>733</v>
      </c>
      <c r="J667" s="122">
        <v>50</v>
      </c>
      <c r="K667" s="122">
        <v>25</v>
      </c>
      <c r="L667" s="122">
        <v>65</v>
      </c>
      <c r="M667" s="122">
        <v>30</v>
      </c>
      <c r="N667" s="122">
        <v>100</v>
      </c>
      <c r="O667" s="122">
        <v>0</v>
      </c>
      <c r="P667" s="122">
        <v>132</v>
      </c>
      <c r="Q667" s="123"/>
      <c r="R667" s="122">
        <v>1</v>
      </c>
      <c r="S667" s="122">
        <v>1</v>
      </c>
      <c r="T667" s="122">
        <v>1</v>
      </c>
      <c r="U667" s="123"/>
      <c r="V667" s="122">
        <v>8858890795795</v>
      </c>
    </row>
    <row r="668" ht="15.75" customHeight="1" spans="1:22" x14ac:dyDescent="0.25">
      <c r="A668" s="122" t="s">
        <v>2083</v>
      </c>
      <c r="B668" s="123"/>
      <c r="C668" s="123"/>
      <c r="D668" s="122" t="s">
        <v>2084</v>
      </c>
      <c r="E668" s="123"/>
      <c r="F668" s="122" t="s">
        <v>742</v>
      </c>
      <c r="G668" s="122" t="s">
        <v>831</v>
      </c>
      <c r="H668" s="122" t="s">
        <v>832</v>
      </c>
      <c r="I668" s="122" t="s">
        <v>733</v>
      </c>
      <c r="J668" s="122">
        <v>138.6</v>
      </c>
      <c r="K668" s="122">
        <v>0</v>
      </c>
      <c r="L668" s="122">
        <v>165</v>
      </c>
      <c r="M668" s="122">
        <v>0</v>
      </c>
      <c r="N668" s="122">
        <v>180</v>
      </c>
      <c r="O668" s="122">
        <v>240</v>
      </c>
      <c r="P668" s="122">
        <v>0</v>
      </c>
      <c r="Q668" s="123"/>
      <c r="R668" s="122">
        <v>1</v>
      </c>
      <c r="S668" s="122">
        <v>1</v>
      </c>
      <c r="T668" s="122">
        <v>1</v>
      </c>
      <c r="U668" s="123"/>
      <c r="V668" s="122">
        <v>8858890795917</v>
      </c>
    </row>
    <row r="669" ht="15.75" customHeight="1" spans="1:22" x14ac:dyDescent="0.25">
      <c r="A669" s="122" t="s">
        <v>46</v>
      </c>
      <c r="B669" s="123"/>
      <c r="C669" s="123"/>
      <c r="D669" s="122" t="s">
        <v>2085</v>
      </c>
      <c r="E669" s="123"/>
      <c r="F669" s="122" t="s">
        <v>742</v>
      </c>
      <c r="G669" s="122" t="s">
        <v>831</v>
      </c>
      <c r="H669" s="122" t="s">
        <v>832</v>
      </c>
      <c r="I669" s="122" t="s">
        <v>733</v>
      </c>
      <c r="J669" s="122">
        <v>151.8</v>
      </c>
      <c r="K669" s="122">
        <v>0</v>
      </c>
      <c r="L669" s="122">
        <v>170</v>
      </c>
      <c r="M669" s="122">
        <v>200</v>
      </c>
      <c r="N669" s="122">
        <v>195</v>
      </c>
      <c r="O669" s="122">
        <v>250</v>
      </c>
      <c r="P669" s="122">
        <v>92</v>
      </c>
      <c r="Q669" s="123"/>
      <c r="R669" s="122">
        <v>1</v>
      </c>
      <c r="S669" s="122">
        <v>1</v>
      </c>
      <c r="T669" s="122">
        <v>1</v>
      </c>
      <c r="U669" s="123"/>
      <c r="V669" s="122">
        <v>8858890795955</v>
      </c>
    </row>
    <row r="670" ht="15.75" customHeight="1" spans="1:22" x14ac:dyDescent="0.25">
      <c r="A670" s="122" t="s">
        <v>333</v>
      </c>
      <c r="B670" s="123"/>
      <c r="C670" s="123"/>
      <c r="D670" s="122" t="s">
        <v>2086</v>
      </c>
      <c r="E670" s="123"/>
      <c r="F670" s="122" t="s">
        <v>753</v>
      </c>
      <c r="G670" s="122" t="s">
        <v>754</v>
      </c>
      <c r="H670" s="122" t="s">
        <v>1112</v>
      </c>
      <c r="I670" s="122" t="s">
        <v>733</v>
      </c>
      <c r="J670" s="122">
        <v>2500</v>
      </c>
      <c r="K670" s="122">
        <v>0</v>
      </c>
      <c r="L670" s="122">
        <v>0</v>
      </c>
      <c r="M670" s="122">
        <v>0</v>
      </c>
      <c r="N670" s="122">
        <v>2500</v>
      </c>
      <c r="O670" s="122">
        <v>0</v>
      </c>
      <c r="P670" s="122">
        <v>0</v>
      </c>
      <c r="Q670" s="123"/>
      <c r="R670" s="122">
        <v>1</v>
      </c>
      <c r="S670" s="123"/>
      <c r="T670" s="123"/>
      <c r="U670" s="123"/>
      <c r="V670" s="123"/>
    </row>
    <row r="671" ht="15.75" customHeight="1" spans="1:22" x14ac:dyDescent="0.25">
      <c r="A671" s="122" t="s">
        <v>35</v>
      </c>
      <c r="B671" s="123"/>
      <c r="C671" s="123"/>
      <c r="D671" s="122" t="s">
        <v>2087</v>
      </c>
      <c r="E671" s="123"/>
      <c r="F671" s="122" t="s">
        <v>742</v>
      </c>
      <c r="G671" s="122" t="s">
        <v>759</v>
      </c>
      <c r="H671" s="122" t="s">
        <v>821</v>
      </c>
      <c r="I671" s="122" t="s">
        <v>733</v>
      </c>
      <c r="J671" s="122">
        <v>315</v>
      </c>
      <c r="K671" s="122">
        <v>399</v>
      </c>
      <c r="L671" s="122">
        <v>0</v>
      </c>
      <c r="M671" s="122">
        <v>350</v>
      </c>
      <c r="N671" s="122">
        <v>450</v>
      </c>
      <c r="O671" s="122">
        <v>450</v>
      </c>
      <c r="P671" s="122">
        <v>11</v>
      </c>
      <c r="Q671" s="123"/>
      <c r="R671" s="122">
        <v>1</v>
      </c>
      <c r="S671" s="123"/>
      <c r="T671" s="122">
        <v>1</v>
      </c>
      <c r="U671" s="123"/>
      <c r="V671" s="122">
        <v>8858890799823</v>
      </c>
    </row>
    <row r="672" ht="15.75" customHeight="1" spans="1:22" x14ac:dyDescent="0.25">
      <c r="A672" s="122" t="s">
        <v>36</v>
      </c>
      <c r="B672" s="123"/>
      <c r="C672" s="123"/>
      <c r="D672" s="122" t="s">
        <v>2088</v>
      </c>
      <c r="E672" s="123"/>
      <c r="F672" s="122" t="s">
        <v>742</v>
      </c>
      <c r="G672" s="122" t="s">
        <v>759</v>
      </c>
      <c r="H672" s="122" t="s">
        <v>821</v>
      </c>
      <c r="I672" s="122" t="s">
        <v>733</v>
      </c>
      <c r="J672" s="122">
        <v>325</v>
      </c>
      <c r="K672" s="122">
        <v>399</v>
      </c>
      <c r="L672" s="122">
        <v>0</v>
      </c>
      <c r="M672" s="122">
        <v>360</v>
      </c>
      <c r="N672" s="122">
        <v>450</v>
      </c>
      <c r="O672" s="122">
        <v>450</v>
      </c>
      <c r="P672" s="122">
        <v>1</v>
      </c>
      <c r="Q672" s="123"/>
      <c r="R672" s="122">
        <v>1</v>
      </c>
      <c r="S672" s="123"/>
      <c r="T672" s="122">
        <v>1</v>
      </c>
      <c r="U672" s="123"/>
      <c r="V672" s="122">
        <v>8858890799830</v>
      </c>
    </row>
    <row r="673" ht="15.75" customHeight="1" spans="1:22" x14ac:dyDescent="0.25">
      <c r="A673" s="122" t="s">
        <v>2089</v>
      </c>
      <c r="B673" s="123"/>
      <c r="C673" s="123"/>
      <c r="D673" s="122" t="s">
        <v>2090</v>
      </c>
      <c r="E673" s="123"/>
      <c r="F673" s="122" t="s">
        <v>753</v>
      </c>
      <c r="G673" s="122" t="s">
        <v>1488</v>
      </c>
      <c r="H673" s="122" t="s">
        <v>2003</v>
      </c>
      <c r="I673" s="122" t="s">
        <v>733</v>
      </c>
      <c r="J673" s="122">
        <v>0</v>
      </c>
      <c r="K673" s="122">
        <v>0</v>
      </c>
      <c r="L673" s="122">
        <v>0</v>
      </c>
      <c r="M673" s="122">
        <v>25</v>
      </c>
      <c r="N673" s="122">
        <v>25</v>
      </c>
      <c r="O673" s="122">
        <v>0</v>
      </c>
      <c r="P673" s="122">
        <v>6</v>
      </c>
      <c r="Q673" s="123"/>
      <c r="R673" s="122">
        <v>1</v>
      </c>
      <c r="S673" s="123"/>
      <c r="T673" s="123"/>
      <c r="U673" s="123"/>
      <c r="V673" s="122">
        <v>8858890791650</v>
      </c>
    </row>
    <row r="674" ht="15.75" customHeight="1" spans="1:22" x14ac:dyDescent="0.25">
      <c r="A674" s="122" t="s">
        <v>2091</v>
      </c>
      <c r="B674" s="123"/>
      <c r="C674" s="123"/>
      <c r="D674" s="122" t="s">
        <v>2092</v>
      </c>
      <c r="E674" s="123"/>
      <c r="F674" s="122" t="s">
        <v>753</v>
      </c>
      <c r="G674" s="122" t="s">
        <v>1488</v>
      </c>
      <c r="H674" s="122" t="s">
        <v>2003</v>
      </c>
      <c r="I674" s="122" t="s">
        <v>733</v>
      </c>
      <c r="J674" s="122">
        <v>0</v>
      </c>
      <c r="K674" s="122">
        <v>0</v>
      </c>
      <c r="L674" s="122">
        <v>0</v>
      </c>
      <c r="M674" s="122">
        <v>39</v>
      </c>
      <c r="N674" s="122">
        <v>39</v>
      </c>
      <c r="O674" s="122">
        <v>0</v>
      </c>
      <c r="P674" s="122">
        <v>1</v>
      </c>
      <c r="Q674" s="123"/>
      <c r="R674" s="122">
        <v>1</v>
      </c>
      <c r="S674" s="123"/>
      <c r="T674" s="123"/>
      <c r="U674" s="123"/>
      <c r="V674" s="122">
        <v>8858890792473</v>
      </c>
    </row>
    <row r="675" ht="15.75" customHeight="1" spans="1:22" x14ac:dyDescent="0.25">
      <c r="A675" s="122" t="s">
        <v>2093</v>
      </c>
      <c r="B675" s="123"/>
      <c r="C675" s="123"/>
      <c r="D675" s="122" t="s">
        <v>2094</v>
      </c>
      <c r="E675" s="123"/>
      <c r="F675" s="122" t="s">
        <v>753</v>
      </c>
      <c r="G675" s="122" t="s">
        <v>754</v>
      </c>
      <c r="H675" s="122" t="s">
        <v>1407</v>
      </c>
      <c r="I675" s="122" t="s">
        <v>733</v>
      </c>
      <c r="J675" s="122">
        <v>0</v>
      </c>
      <c r="K675" s="122">
        <v>0</v>
      </c>
      <c r="L675" s="122">
        <v>0</v>
      </c>
      <c r="M675" s="122">
        <v>29</v>
      </c>
      <c r="N675" s="122">
        <v>29</v>
      </c>
      <c r="O675" s="122">
        <v>29</v>
      </c>
      <c r="P675" s="122">
        <v>14</v>
      </c>
      <c r="Q675" s="123"/>
      <c r="R675" s="122">
        <v>1</v>
      </c>
      <c r="S675" s="123"/>
      <c r="T675" s="122">
        <v>1</v>
      </c>
      <c r="U675" s="123"/>
      <c r="V675" s="122">
        <v>8858890792145</v>
      </c>
    </row>
    <row r="676" ht="15.75" customHeight="1" spans="1:22" x14ac:dyDescent="0.25">
      <c r="A676" s="122" t="s">
        <v>636</v>
      </c>
      <c r="B676" s="123"/>
      <c r="C676" s="123"/>
      <c r="D676" s="122" t="s">
        <v>2095</v>
      </c>
      <c r="E676" s="123"/>
      <c r="F676" s="122" t="s">
        <v>753</v>
      </c>
      <c r="G676" s="122" t="s">
        <v>754</v>
      </c>
      <c r="H676" s="122" t="s">
        <v>1112</v>
      </c>
      <c r="I676" s="122" t="s">
        <v>733</v>
      </c>
      <c r="J676" s="122">
        <v>24</v>
      </c>
      <c r="K676" s="122">
        <v>0</v>
      </c>
      <c r="L676" s="122">
        <v>0</v>
      </c>
      <c r="M676" s="122">
        <v>24</v>
      </c>
      <c r="N676" s="122">
        <v>45</v>
      </c>
      <c r="O676" s="122">
        <v>65</v>
      </c>
      <c r="P676" s="122">
        <v>11</v>
      </c>
      <c r="Q676" s="123"/>
      <c r="R676" s="122">
        <v>1</v>
      </c>
      <c r="S676" s="123"/>
      <c r="T676" s="122">
        <v>1</v>
      </c>
      <c r="U676" s="123"/>
      <c r="V676" s="122">
        <v>8858890782689</v>
      </c>
    </row>
    <row r="677" ht="15.75" customHeight="1" spans="1:22" x14ac:dyDescent="0.25">
      <c r="A677" s="122" t="s">
        <v>637</v>
      </c>
      <c r="B677" s="123"/>
      <c r="C677" s="123"/>
      <c r="D677" s="122" t="s">
        <v>2096</v>
      </c>
      <c r="E677" s="123"/>
      <c r="F677" s="122" t="s">
        <v>753</v>
      </c>
      <c r="G677" s="122" t="s">
        <v>754</v>
      </c>
      <c r="H677" s="122" t="s">
        <v>1112</v>
      </c>
      <c r="I677" s="122" t="s">
        <v>733</v>
      </c>
      <c r="J677" s="122">
        <v>24</v>
      </c>
      <c r="K677" s="122">
        <v>0</v>
      </c>
      <c r="L677" s="122">
        <v>0</v>
      </c>
      <c r="M677" s="122">
        <v>24</v>
      </c>
      <c r="N677" s="122">
        <v>45</v>
      </c>
      <c r="O677" s="122">
        <v>65</v>
      </c>
      <c r="P677" s="122">
        <v>11</v>
      </c>
      <c r="Q677" s="123"/>
      <c r="R677" s="122">
        <v>1</v>
      </c>
      <c r="S677" s="123"/>
      <c r="T677" s="122">
        <v>1</v>
      </c>
      <c r="U677" s="123"/>
      <c r="V677" s="122">
        <v>8858890782597</v>
      </c>
    </row>
    <row r="678" ht="15.75" customHeight="1" spans="1:22" x14ac:dyDescent="0.25">
      <c r="A678" s="122" t="s">
        <v>638</v>
      </c>
      <c r="B678" s="123"/>
      <c r="C678" s="123"/>
      <c r="D678" s="122" t="s">
        <v>2097</v>
      </c>
      <c r="E678" s="123"/>
      <c r="F678" s="122" t="s">
        <v>753</v>
      </c>
      <c r="G678" s="122" t="s">
        <v>754</v>
      </c>
      <c r="H678" s="122" t="s">
        <v>1112</v>
      </c>
      <c r="I678" s="122" t="s">
        <v>733</v>
      </c>
      <c r="J678" s="122">
        <v>24</v>
      </c>
      <c r="K678" s="122">
        <v>0</v>
      </c>
      <c r="L678" s="122">
        <v>0</v>
      </c>
      <c r="M678" s="122">
        <v>24</v>
      </c>
      <c r="N678" s="122">
        <v>45</v>
      </c>
      <c r="O678" s="122">
        <v>65</v>
      </c>
      <c r="P678" s="122">
        <v>11</v>
      </c>
      <c r="Q678" s="123"/>
      <c r="R678" s="122">
        <v>1</v>
      </c>
      <c r="S678" s="123"/>
      <c r="T678" s="122">
        <v>1</v>
      </c>
      <c r="U678" s="123"/>
      <c r="V678" s="122">
        <v>8858890780696</v>
      </c>
    </row>
    <row r="679" ht="15.75" customHeight="1" spans="1:22" x14ac:dyDescent="0.25">
      <c r="A679" s="122" t="s">
        <v>2098</v>
      </c>
      <c r="B679" s="123"/>
      <c r="C679" s="123"/>
      <c r="D679" s="122" t="s">
        <v>2099</v>
      </c>
      <c r="E679" s="123"/>
      <c r="F679" s="122" t="s">
        <v>753</v>
      </c>
      <c r="G679" s="122" t="s">
        <v>754</v>
      </c>
      <c r="H679" s="122" t="s">
        <v>1407</v>
      </c>
      <c r="I679" s="122" t="s">
        <v>733</v>
      </c>
      <c r="J679" s="122">
        <v>25</v>
      </c>
      <c r="K679" s="122">
        <v>0</v>
      </c>
      <c r="L679" s="122">
        <v>0</v>
      </c>
      <c r="M679" s="122">
        <v>30</v>
      </c>
      <c r="N679" s="122">
        <v>50</v>
      </c>
      <c r="O679" s="122">
        <v>50</v>
      </c>
      <c r="P679" s="122">
        <v>10</v>
      </c>
      <c r="Q679" s="123"/>
      <c r="R679" s="122">
        <v>1</v>
      </c>
      <c r="S679" s="123"/>
      <c r="T679" s="123"/>
      <c r="U679" s="123"/>
      <c r="V679" s="123"/>
    </row>
    <row r="680" ht="15.75" customHeight="1" spans="1:22" x14ac:dyDescent="0.25">
      <c r="A680" s="122" t="s">
        <v>2100</v>
      </c>
      <c r="B680" s="123"/>
      <c r="C680" s="123"/>
      <c r="D680" s="122" t="s">
        <v>2101</v>
      </c>
      <c r="E680" s="123"/>
      <c r="F680" s="122" t="s">
        <v>753</v>
      </c>
      <c r="G680" s="122" t="s">
        <v>754</v>
      </c>
      <c r="H680" s="122" t="s">
        <v>1407</v>
      </c>
      <c r="I680" s="122" t="s">
        <v>733</v>
      </c>
      <c r="J680" s="122">
        <v>10</v>
      </c>
      <c r="K680" s="122">
        <v>0</v>
      </c>
      <c r="L680" s="122">
        <v>0</v>
      </c>
      <c r="M680" s="122">
        <v>10</v>
      </c>
      <c r="N680" s="122">
        <v>25</v>
      </c>
      <c r="O680" s="122">
        <v>25</v>
      </c>
      <c r="P680" s="122">
        <v>30</v>
      </c>
      <c r="Q680" s="123"/>
      <c r="R680" s="122">
        <v>1</v>
      </c>
      <c r="S680" s="123"/>
      <c r="T680" s="123"/>
      <c r="U680" s="123"/>
      <c r="V680" s="122">
        <v>8858890732332</v>
      </c>
    </row>
    <row r="681" ht="15.75" customHeight="1" spans="1:22" x14ac:dyDescent="0.25">
      <c r="A681" s="122" t="s">
        <v>2102</v>
      </c>
      <c r="B681" s="123"/>
      <c r="C681" s="123"/>
      <c r="D681" s="122" t="s">
        <v>2103</v>
      </c>
      <c r="E681" s="123"/>
      <c r="F681" s="122" t="s">
        <v>753</v>
      </c>
      <c r="G681" s="122" t="s">
        <v>754</v>
      </c>
      <c r="H681" s="122" t="s">
        <v>1407</v>
      </c>
      <c r="I681" s="122" t="s">
        <v>733</v>
      </c>
      <c r="J681" s="122">
        <v>10</v>
      </c>
      <c r="K681" s="122">
        <v>0</v>
      </c>
      <c r="L681" s="122">
        <v>0</v>
      </c>
      <c r="M681" s="122">
        <v>10</v>
      </c>
      <c r="N681" s="122">
        <v>25</v>
      </c>
      <c r="O681" s="122">
        <v>25</v>
      </c>
      <c r="P681" s="122">
        <v>10</v>
      </c>
      <c r="Q681" s="123"/>
      <c r="R681" s="122">
        <v>1</v>
      </c>
      <c r="S681" s="123"/>
      <c r="T681" s="123"/>
      <c r="U681" s="123"/>
      <c r="V681" s="122">
        <v>8858890730031</v>
      </c>
    </row>
    <row r="682" ht="15.75" customHeight="1" spans="1:22" x14ac:dyDescent="0.25">
      <c r="A682" s="122" t="s">
        <v>2104</v>
      </c>
      <c r="B682" s="123"/>
      <c r="C682" s="123"/>
      <c r="D682" s="122" t="s">
        <v>2105</v>
      </c>
      <c r="E682" s="123"/>
      <c r="F682" s="122" t="s">
        <v>753</v>
      </c>
      <c r="G682" s="122" t="s">
        <v>754</v>
      </c>
      <c r="H682" s="122" t="s">
        <v>1407</v>
      </c>
      <c r="I682" s="122" t="s">
        <v>733</v>
      </c>
      <c r="J682" s="122">
        <v>10</v>
      </c>
      <c r="K682" s="122">
        <v>0</v>
      </c>
      <c r="L682" s="122">
        <v>0</v>
      </c>
      <c r="M682" s="122">
        <v>10</v>
      </c>
      <c r="N682" s="122">
        <v>25</v>
      </c>
      <c r="O682" s="122">
        <v>25</v>
      </c>
      <c r="P682" s="122">
        <v>29</v>
      </c>
      <c r="Q682" s="123"/>
      <c r="R682" s="122">
        <v>1</v>
      </c>
      <c r="S682" s="123"/>
      <c r="T682" s="123"/>
      <c r="U682" s="123"/>
      <c r="V682" s="122">
        <v>8858890732349</v>
      </c>
    </row>
    <row r="683" ht="15.75" customHeight="1" spans="1:22" x14ac:dyDescent="0.25">
      <c r="A683" s="122" t="s">
        <v>2106</v>
      </c>
      <c r="B683" s="123"/>
      <c r="C683" s="123"/>
      <c r="D683" s="122" t="s">
        <v>2107</v>
      </c>
      <c r="E683" s="123"/>
      <c r="F683" s="122" t="s">
        <v>753</v>
      </c>
      <c r="G683" s="122" t="s">
        <v>754</v>
      </c>
      <c r="H683" s="122" t="s">
        <v>1407</v>
      </c>
      <c r="I683" s="122" t="s">
        <v>733</v>
      </c>
      <c r="J683" s="122">
        <v>0</v>
      </c>
      <c r="K683" s="122">
        <v>0</v>
      </c>
      <c r="L683" s="122">
        <v>0</v>
      </c>
      <c r="M683" s="122">
        <v>25</v>
      </c>
      <c r="N683" s="122">
        <v>25</v>
      </c>
      <c r="O683" s="122">
        <v>25</v>
      </c>
      <c r="P683" s="122">
        <v>16</v>
      </c>
      <c r="Q683" s="123"/>
      <c r="R683" s="122">
        <v>1</v>
      </c>
      <c r="S683" s="123"/>
      <c r="T683" s="123"/>
      <c r="U683" s="123"/>
      <c r="V683" s="122">
        <v>8858890736392</v>
      </c>
    </row>
    <row r="684" ht="15.75" customHeight="1" spans="1:22" x14ac:dyDescent="0.25">
      <c r="A684" s="122" t="s">
        <v>2108</v>
      </c>
      <c r="B684" s="123"/>
      <c r="C684" s="123"/>
      <c r="D684" s="122" t="s">
        <v>2109</v>
      </c>
      <c r="E684" s="123"/>
      <c r="F684" s="122" t="s">
        <v>779</v>
      </c>
      <c r="G684" s="122" t="s">
        <v>831</v>
      </c>
      <c r="H684" s="122" t="s">
        <v>1203</v>
      </c>
      <c r="I684" s="122" t="s">
        <v>733</v>
      </c>
      <c r="J684" s="122">
        <v>68</v>
      </c>
      <c r="K684" s="122">
        <v>0</v>
      </c>
      <c r="L684" s="122">
        <v>0</v>
      </c>
      <c r="M684" s="122">
        <v>99</v>
      </c>
      <c r="N684" s="122">
        <v>120</v>
      </c>
      <c r="O684" s="122">
        <v>190</v>
      </c>
      <c r="P684" s="122">
        <v>6</v>
      </c>
      <c r="Q684" s="123"/>
      <c r="R684" s="122">
        <v>1</v>
      </c>
      <c r="S684" s="123"/>
      <c r="T684" s="123"/>
      <c r="U684" s="123"/>
      <c r="V684" s="122">
        <v>8858890794484</v>
      </c>
    </row>
    <row r="685" ht="15.75" customHeight="1" spans="1:22" x14ac:dyDescent="0.25">
      <c r="A685" s="122" t="s">
        <v>2110</v>
      </c>
      <c r="B685" s="123"/>
      <c r="C685" s="123"/>
      <c r="D685" s="122" t="s">
        <v>2111</v>
      </c>
      <c r="E685" s="123"/>
      <c r="F685" s="122" t="s">
        <v>742</v>
      </c>
      <c r="G685" s="122" t="s">
        <v>771</v>
      </c>
      <c r="H685" s="122" t="s">
        <v>978</v>
      </c>
      <c r="I685" s="122" t="s">
        <v>733</v>
      </c>
      <c r="J685" s="122">
        <v>69</v>
      </c>
      <c r="K685" s="122">
        <v>0</v>
      </c>
      <c r="L685" s="122">
        <v>0</v>
      </c>
      <c r="M685" s="122">
        <v>69</v>
      </c>
      <c r="N685" s="122">
        <v>135</v>
      </c>
      <c r="O685" s="122">
        <v>135</v>
      </c>
      <c r="P685" s="122">
        <v>6</v>
      </c>
      <c r="Q685" s="123"/>
      <c r="R685" s="122">
        <v>1</v>
      </c>
      <c r="S685" s="123"/>
      <c r="T685" s="123"/>
      <c r="U685" s="123"/>
      <c r="V685" s="122">
        <v>8858890782030</v>
      </c>
    </row>
    <row r="686" ht="15.75" customHeight="1" spans="1:22" x14ac:dyDescent="0.25">
      <c r="A686" s="122" t="s">
        <v>2112</v>
      </c>
      <c r="B686" s="123"/>
      <c r="C686" s="123"/>
      <c r="D686" s="122" t="s">
        <v>2112</v>
      </c>
      <c r="E686" s="123"/>
      <c r="F686" s="122" t="s">
        <v>753</v>
      </c>
      <c r="G686" s="122" t="s">
        <v>754</v>
      </c>
      <c r="H686" s="122" t="s">
        <v>1112</v>
      </c>
      <c r="I686" s="122" t="s">
        <v>733</v>
      </c>
      <c r="J686" s="122">
        <v>30</v>
      </c>
      <c r="K686" s="122">
        <v>0</v>
      </c>
      <c r="L686" s="122">
        <v>0</v>
      </c>
      <c r="M686" s="122">
        <v>30</v>
      </c>
      <c r="N686" s="122">
        <v>65</v>
      </c>
      <c r="O686" s="122">
        <v>100</v>
      </c>
      <c r="P686" s="122">
        <v>10</v>
      </c>
      <c r="Q686" s="123"/>
      <c r="R686" s="122">
        <v>1</v>
      </c>
      <c r="S686" s="123"/>
      <c r="T686" s="123"/>
      <c r="U686" s="123"/>
      <c r="V686" s="122">
        <v>8858890791346</v>
      </c>
    </row>
    <row r="687" ht="15.75" customHeight="1" spans="1:22" x14ac:dyDescent="0.25">
      <c r="A687" s="122" t="s">
        <v>2113</v>
      </c>
      <c r="B687" s="123"/>
      <c r="C687" s="123"/>
      <c r="D687" s="122" t="s">
        <v>2114</v>
      </c>
      <c r="E687" s="123"/>
      <c r="F687" s="122" t="s">
        <v>753</v>
      </c>
      <c r="G687" s="122" t="s">
        <v>754</v>
      </c>
      <c r="H687" s="122" t="s">
        <v>1522</v>
      </c>
      <c r="I687" s="122" t="s">
        <v>733</v>
      </c>
      <c r="J687" s="122">
        <v>20</v>
      </c>
      <c r="K687" s="122">
        <v>0</v>
      </c>
      <c r="L687" s="122">
        <v>0</v>
      </c>
      <c r="M687" s="122">
        <v>35</v>
      </c>
      <c r="N687" s="122">
        <v>60</v>
      </c>
      <c r="O687" s="122">
        <v>100</v>
      </c>
      <c r="P687" s="122">
        <v>17</v>
      </c>
      <c r="Q687" s="123"/>
      <c r="R687" s="122">
        <v>1</v>
      </c>
      <c r="S687" s="123"/>
      <c r="T687" s="123"/>
      <c r="U687" s="123"/>
      <c r="V687" s="122">
        <v>8858890793012</v>
      </c>
    </row>
    <row r="688" ht="15.75" customHeight="1" spans="1:22" x14ac:dyDescent="0.25">
      <c r="A688" s="122" t="s">
        <v>615</v>
      </c>
      <c r="B688" s="123"/>
      <c r="C688" s="123"/>
      <c r="D688" s="122" t="s">
        <v>615</v>
      </c>
      <c r="E688" s="123"/>
      <c r="F688" s="122" t="s">
        <v>753</v>
      </c>
      <c r="G688" s="122" t="s">
        <v>754</v>
      </c>
      <c r="H688" s="122" t="s">
        <v>1522</v>
      </c>
      <c r="I688" s="122" t="s">
        <v>733</v>
      </c>
      <c r="J688" s="122">
        <v>36</v>
      </c>
      <c r="K688" s="122">
        <v>0</v>
      </c>
      <c r="L688" s="122">
        <v>0</v>
      </c>
      <c r="M688" s="122">
        <v>55</v>
      </c>
      <c r="N688" s="122">
        <v>60</v>
      </c>
      <c r="O688" s="122">
        <v>100</v>
      </c>
      <c r="P688" s="122">
        <v>9</v>
      </c>
      <c r="Q688" s="123"/>
      <c r="R688" s="122">
        <v>1</v>
      </c>
      <c r="S688" s="123"/>
      <c r="T688" s="122">
        <v>1</v>
      </c>
      <c r="U688" s="122" t="s">
        <v>615</v>
      </c>
      <c r="V688" s="122">
        <v>8858890790400</v>
      </c>
    </row>
    <row r="689" ht="15.75" customHeight="1" spans="1:22" x14ac:dyDescent="0.25">
      <c r="A689" s="122" t="s">
        <v>2115</v>
      </c>
      <c r="B689" s="123"/>
      <c r="C689" s="123"/>
      <c r="D689" s="122" t="s">
        <v>2116</v>
      </c>
      <c r="E689" s="123"/>
      <c r="F689" s="122" t="s">
        <v>753</v>
      </c>
      <c r="G689" s="122" t="s">
        <v>754</v>
      </c>
      <c r="H689" s="122" t="s">
        <v>1112</v>
      </c>
      <c r="I689" s="122" t="s">
        <v>733</v>
      </c>
      <c r="J689" s="122">
        <v>14</v>
      </c>
      <c r="K689" s="122">
        <v>0</v>
      </c>
      <c r="L689" s="122">
        <v>0</v>
      </c>
      <c r="M689" s="122">
        <v>39</v>
      </c>
      <c r="N689" s="122">
        <v>39</v>
      </c>
      <c r="O689" s="122">
        <v>39</v>
      </c>
      <c r="P689" s="122">
        <v>98</v>
      </c>
      <c r="Q689" s="123"/>
      <c r="R689" s="122">
        <v>1</v>
      </c>
      <c r="S689" s="123"/>
      <c r="T689" s="123"/>
      <c r="U689" s="123"/>
      <c r="V689" s="122">
        <v>8858890738464</v>
      </c>
    </row>
    <row r="690" ht="15.75" customHeight="1" spans="1:22" x14ac:dyDescent="0.25">
      <c r="A690" s="122" t="s">
        <v>559</v>
      </c>
      <c r="B690" s="123"/>
      <c r="C690" s="123"/>
      <c r="D690" s="122" t="s">
        <v>2117</v>
      </c>
      <c r="E690" s="123"/>
      <c r="F690" s="122" t="s">
        <v>753</v>
      </c>
      <c r="G690" s="122" t="s">
        <v>771</v>
      </c>
      <c r="H690" s="122" t="s">
        <v>978</v>
      </c>
      <c r="I690" s="122" t="s">
        <v>733</v>
      </c>
      <c r="J690" s="122">
        <v>52</v>
      </c>
      <c r="K690" s="122">
        <v>0</v>
      </c>
      <c r="L690" s="122">
        <v>0</v>
      </c>
      <c r="M690" s="122">
        <v>0</v>
      </c>
      <c r="N690" s="122">
        <v>80</v>
      </c>
      <c r="O690" s="122">
        <v>95</v>
      </c>
      <c r="P690" s="122">
        <v>45</v>
      </c>
      <c r="Q690" s="123"/>
      <c r="R690" s="122">
        <v>1</v>
      </c>
      <c r="S690" s="123"/>
      <c r="T690" s="122">
        <v>1</v>
      </c>
      <c r="U690" s="123"/>
      <c r="V690" s="122">
        <v>8858890799946</v>
      </c>
    </row>
    <row r="691" ht="15.75" customHeight="1" spans="1:22" x14ac:dyDescent="0.25">
      <c r="A691" s="122" t="s">
        <v>397</v>
      </c>
      <c r="B691" s="123"/>
      <c r="C691" s="123"/>
      <c r="D691" s="122" t="s">
        <v>2118</v>
      </c>
      <c r="E691" s="123"/>
      <c r="F691" s="122" t="s">
        <v>753</v>
      </c>
      <c r="G691" s="122" t="s">
        <v>754</v>
      </c>
      <c r="H691" s="122" t="s">
        <v>1126</v>
      </c>
      <c r="I691" s="122" t="s">
        <v>733</v>
      </c>
      <c r="J691" s="122">
        <v>25</v>
      </c>
      <c r="K691" s="122">
        <v>0</v>
      </c>
      <c r="L691" s="122">
        <v>0</v>
      </c>
      <c r="M691" s="122">
        <v>39</v>
      </c>
      <c r="N691" s="122">
        <v>60</v>
      </c>
      <c r="O691" s="122">
        <v>65</v>
      </c>
      <c r="P691" s="122">
        <v>45</v>
      </c>
      <c r="Q691" s="123"/>
      <c r="R691" s="122">
        <v>1</v>
      </c>
      <c r="S691" s="123"/>
      <c r="T691" s="122">
        <v>1</v>
      </c>
      <c r="U691" s="123"/>
      <c r="V691" s="122">
        <v>8858890799953</v>
      </c>
    </row>
    <row r="692" ht="15.75" customHeight="1" spans="1:22" x14ac:dyDescent="0.25">
      <c r="A692" s="122" t="s">
        <v>477</v>
      </c>
      <c r="B692" s="123"/>
      <c r="C692" s="123"/>
      <c r="D692" s="122" t="s">
        <v>2119</v>
      </c>
      <c r="E692" s="123"/>
      <c r="F692" s="122" t="s">
        <v>753</v>
      </c>
      <c r="G692" s="122" t="s">
        <v>754</v>
      </c>
      <c r="H692" s="122" t="s">
        <v>1112</v>
      </c>
      <c r="I692" s="122" t="s">
        <v>733</v>
      </c>
      <c r="J692" s="122">
        <v>40</v>
      </c>
      <c r="K692" s="122">
        <v>0</v>
      </c>
      <c r="L692" s="122">
        <v>0</v>
      </c>
      <c r="M692" s="122">
        <v>65</v>
      </c>
      <c r="N692" s="122">
        <v>100</v>
      </c>
      <c r="O692" s="122">
        <v>95</v>
      </c>
      <c r="P692" s="122">
        <v>43</v>
      </c>
      <c r="Q692" s="123"/>
      <c r="R692" s="122">
        <v>1</v>
      </c>
      <c r="S692" s="123"/>
      <c r="T692" s="122">
        <v>1</v>
      </c>
      <c r="U692" s="123"/>
      <c r="V692" s="122">
        <v>8858890799847</v>
      </c>
    </row>
    <row r="693" ht="15.75" customHeight="1" spans="1:22" x14ac:dyDescent="0.25">
      <c r="A693" s="122" t="s">
        <v>454</v>
      </c>
      <c r="B693" s="123"/>
      <c r="C693" s="123"/>
      <c r="D693" s="122" t="s">
        <v>2120</v>
      </c>
      <c r="E693" s="123"/>
      <c r="F693" s="122" t="s">
        <v>753</v>
      </c>
      <c r="G693" s="122" t="s">
        <v>754</v>
      </c>
      <c r="H693" s="122" t="s">
        <v>1112</v>
      </c>
      <c r="I693" s="122" t="s">
        <v>733</v>
      </c>
      <c r="J693" s="122">
        <v>79</v>
      </c>
      <c r="K693" s="122">
        <v>0</v>
      </c>
      <c r="L693" s="122">
        <v>0</v>
      </c>
      <c r="M693" s="122">
        <v>0</v>
      </c>
      <c r="N693" s="122">
        <v>120</v>
      </c>
      <c r="O693" s="122">
        <v>130</v>
      </c>
      <c r="P693" s="122">
        <v>48</v>
      </c>
      <c r="Q693" s="123"/>
      <c r="R693" s="122">
        <v>1</v>
      </c>
      <c r="S693" s="123"/>
      <c r="T693" s="122">
        <v>1</v>
      </c>
      <c r="U693" s="123"/>
      <c r="V693" s="122">
        <v>8858890799878</v>
      </c>
    </row>
    <row r="694" ht="15.75" customHeight="1" spans="1:22" x14ac:dyDescent="0.25">
      <c r="A694" s="122" t="s">
        <v>2121</v>
      </c>
      <c r="B694" s="123"/>
      <c r="C694" s="123"/>
      <c r="D694" s="122" t="s">
        <v>2122</v>
      </c>
      <c r="E694" s="123"/>
      <c r="F694" s="122" t="s">
        <v>753</v>
      </c>
      <c r="G694" s="122" t="s">
        <v>831</v>
      </c>
      <c r="H694" s="122" t="s">
        <v>832</v>
      </c>
      <c r="I694" s="122" t="s">
        <v>733</v>
      </c>
      <c r="J694" s="122">
        <v>150</v>
      </c>
      <c r="K694" s="122">
        <v>0</v>
      </c>
      <c r="L694" s="122">
        <v>0</v>
      </c>
      <c r="M694" s="122">
        <v>180</v>
      </c>
      <c r="N694" s="122">
        <v>200</v>
      </c>
      <c r="O694" s="122">
        <v>200</v>
      </c>
      <c r="P694" s="122">
        <v>47</v>
      </c>
      <c r="Q694" s="123"/>
      <c r="R694" s="122">
        <v>1</v>
      </c>
      <c r="S694" s="123"/>
      <c r="T694" s="122">
        <v>1</v>
      </c>
      <c r="U694" s="123"/>
      <c r="V694" s="122">
        <v>8858890799960</v>
      </c>
    </row>
    <row r="695" ht="15.75" customHeight="1" spans="1:22" x14ac:dyDescent="0.25">
      <c r="A695" s="122" t="s">
        <v>439</v>
      </c>
      <c r="B695" s="123"/>
      <c r="C695" s="123"/>
      <c r="D695" s="122" t="s">
        <v>2123</v>
      </c>
      <c r="E695" s="123"/>
      <c r="F695" s="122" t="s">
        <v>753</v>
      </c>
      <c r="G695" s="122" t="s">
        <v>754</v>
      </c>
      <c r="H695" s="122" t="s">
        <v>1117</v>
      </c>
      <c r="I695" s="122" t="s">
        <v>733</v>
      </c>
      <c r="J695" s="122">
        <v>65</v>
      </c>
      <c r="K695" s="122">
        <v>0</v>
      </c>
      <c r="L695" s="122">
        <v>0</v>
      </c>
      <c r="M695" s="122">
        <v>75</v>
      </c>
      <c r="N695" s="122">
        <v>90</v>
      </c>
      <c r="O695" s="122">
        <v>100</v>
      </c>
      <c r="P695" s="122">
        <v>11</v>
      </c>
      <c r="Q695" s="123"/>
      <c r="R695" s="122">
        <v>1</v>
      </c>
      <c r="S695" s="123"/>
      <c r="T695" s="122">
        <v>1</v>
      </c>
      <c r="U695" s="123"/>
      <c r="V695" s="122">
        <v>8858890799892</v>
      </c>
    </row>
    <row r="696" ht="15.75" customHeight="1" spans="1:22" x14ac:dyDescent="0.25">
      <c r="A696" s="122" t="s">
        <v>416</v>
      </c>
      <c r="B696" s="123"/>
      <c r="C696" s="123"/>
      <c r="D696" s="122" t="s">
        <v>2124</v>
      </c>
      <c r="E696" s="123"/>
      <c r="F696" s="122" t="s">
        <v>753</v>
      </c>
      <c r="G696" s="122" t="s">
        <v>754</v>
      </c>
      <c r="H696" s="122" t="s">
        <v>755</v>
      </c>
      <c r="I696" s="122" t="s">
        <v>733</v>
      </c>
      <c r="J696" s="122">
        <v>130</v>
      </c>
      <c r="K696" s="122">
        <v>0</v>
      </c>
      <c r="L696" s="122">
        <v>0</v>
      </c>
      <c r="M696" s="122">
        <v>150</v>
      </c>
      <c r="N696" s="122">
        <v>230</v>
      </c>
      <c r="O696" s="122">
        <v>285</v>
      </c>
      <c r="P696" s="122">
        <v>46</v>
      </c>
      <c r="Q696" s="123"/>
      <c r="R696" s="122">
        <v>1</v>
      </c>
      <c r="S696" s="123"/>
      <c r="T696" s="122">
        <v>1</v>
      </c>
      <c r="U696" s="123"/>
      <c r="V696" s="122">
        <v>8858890799854</v>
      </c>
    </row>
    <row r="697" ht="15.75" customHeight="1" spans="1:22" x14ac:dyDescent="0.25">
      <c r="A697" s="122" t="s">
        <v>418</v>
      </c>
      <c r="B697" s="123"/>
      <c r="C697" s="123"/>
      <c r="D697" s="122" t="s">
        <v>2125</v>
      </c>
      <c r="E697" s="123"/>
      <c r="F697" s="122" t="s">
        <v>753</v>
      </c>
      <c r="G697" s="122" t="s">
        <v>754</v>
      </c>
      <c r="H697" s="122" t="s">
        <v>755</v>
      </c>
      <c r="I697" s="122" t="s">
        <v>733</v>
      </c>
      <c r="J697" s="122">
        <v>130</v>
      </c>
      <c r="K697" s="122">
        <v>0</v>
      </c>
      <c r="L697" s="122">
        <v>0</v>
      </c>
      <c r="M697" s="122">
        <v>0</v>
      </c>
      <c r="N697" s="122">
        <v>200</v>
      </c>
      <c r="O697" s="122">
        <v>285</v>
      </c>
      <c r="P697" s="122">
        <v>47</v>
      </c>
      <c r="Q697" s="123"/>
      <c r="R697" s="122">
        <v>1</v>
      </c>
      <c r="S697" s="123"/>
      <c r="T697" s="122">
        <v>1</v>
      </c>
      <c r="U697" s="123"/>
      <c r="V697" s="122">
        <v>8858890799861</v>
      </c>
    </row>
    <row r="698" ht="15.75" customHeight="1" spans="1:22" x14ac:dyDescent="0.25">
      <c r="A698" s="122" t="s">
        <v>600</v>
      </c>
      <c r="B698" s="123"/>
      <c r="C698" s="123"/>
      <c r="D698" s="122" t="s">
        <v>2126</v>
      </c>
      <c r="E698" s="123"/>
      <c r="F698" s="122" t="s">
        <v>753</v>
      </c>
      <c r="G698" s="122" t="s">
        <v>771</v>
      </c>
      <c r="H698" s="122" t="s">
        <v>978</v>
      </c>
      <c r="I698" s="122" t="s">
        <v>733</v>
      </c>
      <c r="J698" s="122">
        <v>150</v>
      </c>
      <c r="K698" s="122">
        <v>0</v>
      </c>
      <c r="L698" s="122">
        <v>0</v>
      </c>
      <c r="M698" s="122">
        <v>0</v>
      </c>
      <c r="N698" s="122">
        <v>150</v>
      </c>
      <c r="O698" s="122">
        <v>150</v>
      </c>
      <c r="P698" s="122">
        <v>48</v>
      </c>
      <c r="Q698" s="123"/>
      <c r="R698" s="122">
        <v>1</v>
      </c>
      <c r="S698" s="123"/>
      <c r="T698" s="122">
        <v>1</v>
      </c>
      <c r="U698" s="123"/>
      <c r="V698" s="122">
        <v>8858890799922</v>
      </c>
    </row>
    <row r="699" ht="15.75" customHeight="1" spans="1:22" x14ac:dyDescent="0.25">
      <c r="A699" s="122" t="s">
        <v>364</v>
      </c>
      <c r="B699" s="123"/>
      <c r="C699" s="123"/>
      <c r="D699" s="122" t="s">
        <v>2127</v>
      </c>
      <c r="E699" s="123"/>
      <c r="F699" s="122" t="s">
        <v>753</v>
      </c>
      <c r="G699" s="122" t="s">
        <v>831</v>
      </c>
      <c r="H699" s="122" t="s">
        <v>832</v>
      </c>
      <c r="I699" s="122" t="s">
        <v>733</v>
      </c>
      <c r="J699" s="122">
        <v>88</v>
      </c>
      <c r="K699" s="122">
        <v>0</v>
      </c>
      <c r="L699" s="122">
        <v>0</v>
      </c>
      <c r="M699" s="122">
        <v>0</v>
      </c>
      <c r="N699" s="122">
        <v>120</v>
      </c>
      <c r="O699" s="122">
        <v>190</v>
      </c>
      <c r="P699" s="122">
        <v>48</v>
      </c>
      <c r="Q699" s="123"/>
      <c r="R699" s="122">
        <v>1</v>
      </c>
      <c r="S699" s="123"/>
      <c r="T699" s="122">
        <v>1</v>
      </c>
      <c r="U699" s="123"/>
      <c r="V699" s="122">
        <v>8858890799915</v>
      </c>
    </row>
    <row r="700" ht="15.75" customHeight="1" spans="1:22" x14ac:dyDescent="0.25">
      <c r="A700" s="122" t="s">
        <v>2128</v>
      </c>
      <c r="B700" s="123"/>
      <c r="C700" s="123"/>
      <c r="D700" s="122" t="s">
        <v>2129</v>
      </c>
      <c r="E700" s="123"/>
      <c r="F700" s="122" t="s">
        <v>753</v>
      </c>
      <c r="G700" s="122" t="s">
        <v>754</v>
      </c>
      <c r="H700" s="122" t="s">
        <v>1126</v>
      </c>
      <c r="I700" s="122" t="s">
        <v>733</v>
      </c>
      <c r="J700" s="122">
        <v>18</v>
      </c>
      <c r="K700" s="122">
        <v>0</v>
      </c>
      <c r="L700" s="122">
        <v>0</v>
      </c>
      <c r="M700" s="122">
        <v>0</v>
      </c>
      <c r="N700" s="122">
        <v>35</v>
      </c>
      <c r="O700" s="122">
        <v>35</v>
      </c>
      <c r="P700" s="122">
        <v>48</v>
      </c>
      <c r="Q700" s="123"/>
      <c r="R700" s="122">
        <v>1</v>
      </c>
      <c r="S700" s="123"/>
      <c r="T700" s="122">
        <v>1</v>
      </c>
      <c r="U700" s="123"/>
      <c r="V700" s="122">
        <v>8858890799908</v>
      </c>
    </row>
    <row r="701" ht="15.75" customHeight="1" spans="1:22" x14ac:dyDescent="0.25">
      <c r="A701" s="122" t="s">
        <v>399</v>
      </c>
      <c r="B701" s="123"/>
      <c r="C701" s="123"/>
      <c r="D701" s="122" t="s">
        <v>2130</v>
      </c>
      <c r="E701" s="123"/>
      <c r="F701" s="122" t="s">
        <v>753</v>
      </c>
      <c r="G701" s="122" t="s">
        <v>754</v>
      </c>
      <c r="H701" s="122" t="s">
        <v>1126</v>
      </c>
      <c r="I701" s="122" t="s">
        <v>733</v>
      </c>
      <c r="J701" s="122">
        <v>15</v>
      </c>
      <c r="K701" s="122">
        <v>0</v>
      </c>
      <c r="L701" s="122">
        <v>0</v>
      </c>
      <c r="M701" s="122">
        <v>0</v>
      </c>
      <c r="N701" s="122">
        <v>35</v>
      </c>
      <c r="O701" s="122">
        <v>60</v>
      </c>
      <c r="P701" s="122">
        <v>24</v>
      </c>
      <c r="Q701" s="123"/>
      <c r="R701" s="122">
        <v>1</v>
      </c>
      <c r="S701" s="123"/>
      <c r="T701" s="122">
        <v>1</v>
      </c>
      <c r="U701" s="123"/>
      <c r="V701" s="122">
        <v>8858890799885</v>
      </c>
    </row>
    <row r="702" ht="15.75" customHeight="1" spans="1:22" x14ac:dyDescent="0.25">
      <c r="A702" s="122" t="s">
        <v>2131</v>
      </c>
      <c r="B702" s="123"/>
      <c r="C702" s="123"/>
      <c r="D702" s="122" t="s">
        <v>2132</v>
      </c>
      <c r="E702" s="123"/>
      <c r="F702" s="122" t="s">
        <v>753</v>
      </c>
      <c r="G702" s="122" t="s">
        <v>765</v>
      </c>
      <c r="H702" s="122" t="s">
        <v>2133</v>
      </c>
      <c r="I702" s="122" t="s">
        <v>733</v>
      </c>
      <c r="J702" s="122">
        <v>38</v>
      </c>
      <c r="K702" s="122">
        <v>0</v>
      </c>
      <c r="L702" s="122">
        <v>0</v>
      </c>
      <c r="M702" s="122">
        <v>0</v>
      </c>
      <c r="N702" s="122">
        <v>60</v>
      </c>
      <c r="O702" s="122">
        <v>75</v>
      </c>
      <c r="P702" s="122">
        <v>12</v>
      </c>
      <c r="Q702" s="123"/>
      <c r="R702" s="122">
        <v>1</v>
      </c>
      <c r="S702" s="123"/>
      <c r="T702" s="122">
        <v>1</v>
      </c>
      <c r="U702" s="123"/>
      <c r="V702" s="122">
        <v>6936505144953</v>
      </c>
    </row>
    <row r="703" ht="15.75" customHeight="1" spans="1:22" x14ac:dyDescent="0.25">
      <c r="A703" s="122" t="s">
        <v>2134</v>
      </c>
      <c r="B703" s="123"/>
      <c r="C703" s="123"/>
      <c r="D703" s="122" t="s">
        <v>2135</v>
      </c>
      <c r="E703" s="123"/>
      <c r="F703" s="122" t="s">
        <v>753</v>
      </c>
      <c r="G703" s="122" t="s">
        <v>765</v>
      </c>
      <c r="H703" s="122" t="s">
        <v>2133</v>
      </c>
      <c r="I703" s="122" t="s">
        <v>733</v>
      </c>
      <c r="J703" s="122">
        <v>38</v>
      </c>
      <c r="K703" s="122">
        <v>0</v>
      </c>
      <c r="L703" s="122">
        <v>0</v>
      </c>
      <c r="M703" s="122">
        <v>0</v>
      </c>
      <c r="N703" s="122">
        <v>60</v>
      </c>
      <c r="O703" s="122">
        <v>75</v>
      </c>
      <c r="P703" s="122">
        <v>12</v>
      </c>
      <c r="Q703" s="123"/>
      <c r="R703" s="122">
        <v>1</v>
      </c>
      <c r="S703" s="123"/>
      <c r="T703" s="122">
        <v>1</v>
      </c>
      <c r="U703" s="123"/>
      <c r="V703" s="123"/>
    </row>
    <row r="704" ht="15.75" customHeight="1" spans="1:22" x14ac:dyDescent="0.25">
      <c r="A704" s="122" t="s">
        <v>2136</v>
      </c>
      <c r="B704" s="123"/>
      <c r="C704" s="123"/>
      <c r="D704" s="122" t="s">
        <v>2137</v>
      </c>
      <c r="E704" s="123"/>
      <c r="F704" s="122" t="s">
        <v>753</v>
      </c>
      <c r="G704" s="122" t="s">
        <v>765</v>
      </c>
      <c r="H704" s="122" t="s">
        <v>2133</v>
      </c>
      <c r="I704" s="122" t="s">
        <v>733</v>
      </c>
      <c r="J704" s="122">
        <v>38</v>
      </c>
      <c r="K704" s="122">
        <v>0</v>
      </c>
      <c r="L704" s="122">
        <v>0</v>
      </c>
      <c r="M704" s="122">
        <v>0</v>
      </c>
      <c r="N704" s="122">
        <v>60</v>
      </c>
      <c r="O704" s="122">
        <v>75</v>
      </c>
      <c r="P704" s="122">
        <v>12</v>
      </c>
      <c r="Q704" s="123"/>
      <c r="R704" s="122">
        <v>1</v>
      </c>
      <c r="S704" s="123"/>
      <c r="T704" s="122">
        <v>1</v>
      </c>
      <c r="U704" s="123"/>
      <c r="V704" s="122">
        <v>6936505145028</v>
      </c>
    </row>
    <row r="705" ht="15.75" customHeight="1" spans="1:22" x14ac:dyDescent="0.25">
      <c r="A705" s="122" t="s">
        <v>2138</v>
      </c>
      <c r="B705" s="123"/>
      <c r="C705" s="123"/>
      <c r="D705" s="122" t="s">
        <v>2139</v>
      </c>
      <c r="E705" s="123"/>
      <c r="F705" s="122" t="s">
        <v>753</v>
      </c>
      <c r="G705" s="122" t="s">
        <v>765</v>
      </c>
      <c r="H705" s="122" t="s">
        <v>2133</v>
      </c>
      <c r="I705" s="122" t="s">
        <v>733</v>
      </c>
      <c r="J705" s="122">
        <v>38</v>
      </c>
      <c r="K705" s="122">
        <v>0</v>
      </c>
      <c r="L705" s="122">
        <v>0</v>
      </c>
      <c r="M705" s="122">
        <v>0</v>
      </c>
      <c r="N705" s="122">
        <v>60</v>
      </c>
      <c r="O705" s="122">
        <v>75</v>
      </c>
      <c r="P705" s="122">
        <v>12</v>
      </c>
      <c r="Q705" s="123"/>
      <c r="R705" s="122">
        <v>1</v>
      </c>
      <c r="S705" s="123"/>
      <c r="T705" s="122">
        <v>1</v>
      </c>
      <c r="U705" s="123"/>
      <c r="V705" s="122">
        <v>6936505197423</v>
      </c>
    </row>
    <row r="706" ht="15.75" customHeight="1" spans="1:22" x14ac:dyDescent="0.25">
      <c r="A706" s="122" t="s">
        <v>2140</v>
      </c>
      <c r="B706" s="123"/>
      <c r="C706" s="123"/>
      <c r="D706" s="122" t="s">
        <v>2141</v>
      </c>
      <c r="E706" s="123"/>
      <c r="F706" s="122" t="s">
        <v>753</v>
      </c>
      <c r="G706" s="122" t="s">
        <v>765</v>
      </c>
      <c r="H706" s="122" t="s">
        <v>2133</v>
      </c>
      <c r="I706" s="122" t="s">
        <v>733</v>
      </c>
      <c r="J706" s="122">
        <v>38</v>
      </c>
      <c r="K706" s="122">
        <v>0</v>
      </c>
      <c r="L706" s="122">
        <v>0</v>
      </c>
      <c r="M706" s="122">
        <v>0</v>
      </c>
      <c r="N706" s="122">
        <v>60</v>
      </c>
      <c r="O706" s="122">
        <v>75</v>
      </c>
      <c r="P706" s="122">
        <v>12</v>
      </c>
      <c r="Q706" s="123"/>
      <c r="R706" s="122">
        <v>1</v>
      </c>
      <c r="S706" s="123"/>
      <c r="T706" s="122">
        <v>1</v>
      </c>
      <c r="U706" s="123"/>
      <c r="V706" s="122">
        <v>6936505145028</v>
      </c>
    </row>
    <row r="707" ht="15.75" customHeight="1" spans="1:22" x14ac:dyDescent="0.25">
      <c r="A707" s="122" t="s">
        <v>2142</v>
      </c>
      <c r="B707" s="123"/>
      <c r="C707" s="123"/>
      <c r="D707" s="122" t="s">
        <v>2143</v>
      </c>
      <c r="E707" s="123"/>
      <c r="F707" s="122" t="s">
        <v>753</v>
      </c>
      <c r="G707" s="122" t="s">
        <v>765</v>
      </c>
      <c r="H707" s="122" t="s">
        <v>2133</v>
      </c>
      <c r="I707" s="122" t="s">
        <v>733</v>
      </c>
      <c r="J707" s="122">
        <v>38</v>
      </c>
      <c r="K707" s="122">
        <v>0</v>
      </c>
      <c r="L707" s="122">
        <v>0</v>
      </c>
      <c r="M707" s="122">
        <v>0</v>
      </c>
      <c r="N707" s="122">
        <v>60</v>
      </c>
      <c r="O707" s="122">
        <v>75</v>
      </c>
      <c r="P707" s="122">
        <v>11</v>
      </c>
      <c r="Q707" s="123"/>
      <c r="R707" s="122">
        <v>1</v>
      </c>
      <c r="S707" s="123"/>
      <c r="T707" s="122">
        <v>1</v>
      </c>
      <c r="U707" s="123"/>
      <c r="V707" s="122">
        <v>6936505197508</v>
      </c>
    </row>
    <row r="708" ht="15.75" customHeight="1" spans="1:22" x14ac:dyDescent="0.25">
      <c r="A708" s="122" t="s">
        <v>2144</v>
      </c>
      <c r="B708" s="123"/>
      <c r="C708" s="123"/>
      <c r="D708" s="122" t="s">
        <v>2145</v>
      </c>
      <c r="E708" s="123"/>
      <c r="F708" s="122" t="s">
        <v>753</v>
      </c>
      <c r="G708" s="122" t="s">
        <v>765</v>
      </c>
      <c r="H708" s="122" t="s">
        <v>2133</v>
      </c>
      <c r="I708" s="122" t="s">
        <v>733</v>
      </c>
      <c r="J708" s="122">
        <v>38</v>
      </c>
      <c r="K708" s="122">
        <v>0</v>
      </c>
      <c r="L708" s="122">
        <v>0</v>
      </c>
      <c r="M708" s="122">
        <v>0</v>
      </c>
      <c r="N708" s="122">
        <v>60</v>
      </c>
      <c r="O708" s="122">
        <v>75</v>
      </c>
      <c r="P708" s="122">
        <v>12</v>
      </c>
      <c r="Q708" s="123"/>
      <c r="R708" s="122">
        <v>1</v>
      </c>
      <c r="S708" s="123"/>
      <c r="T708" s="122">
        <v>1</v>
      </c>
      <c r="U708" s="123"/>
      <c r="V708" s="122">
        <v>6936505197492</v>
      </c>
    </row>
    <row r="709" ht="15.75" customHeight="1" spans="1:22" x14ac:dyDescent="0.25">
      <c r="A709" s="122" t="s">
        <v>2146</v>
      </c>
      <c r="B709" s="123"/>
      <c r="C709" s="123"/>
      <c r="D709" s="122" t="s">
        <v>2147</v>
      </c>
      <c r="E709" s="123"/>
      <c r="F709" s="122" t="s">
        <v>753</v>
      </c>
      <c r="G709" s="122" t="s">
        <v>765</v>
      </c>
      <c r="H709" s="122" t="s">
        <v>2133</v>
      </c>
      <c r="I709" s="122" t="s">
        <v>733</v>
      </c>
      <c r="J709" s="122">
        <v>38</v>
      </c>
      <c r="K709" s="122">
        <v>0</v>
      </c>
      <c r="L709" s="122">
        <v>0</v>
      </c>
      <c r="M709" s="122">
        <v>0</v>
      </c>
      <c r="N709" s="122">
        <v>60</v>
      </c>
      <c r="O709" s="122">
        <v>75</v>
      </c>
      <c r="P709" s="122">
        <v>11</v>
      </c>
      <c r="Q709" s="123"/>
      <c r="R709" s="122">
        <v>1</v>
      </c>
      <c r="S709" s="123"/>
      <c r="T709" s="122">
        <v>1</v>
      </c>
      <c r="U709" s="123"/>
      <c r="V709" s="122">
        <v>6936505197461</v>
      </c>
    </row>
    <row r="710" ht="15.75" customHeight="1" spans="1:22" x14ac:dyDescent="0.25">
      <c r="A710" s="122" t="s">
        <v>2148</v>
      </c>
      <c r="B710" s="123"/>
      <c r="C710" s="123"/>
      <c r="D710" s="122" t="s">
        <v>2149</v>
      </c>
      <c r="E710" s="123"/>
      <c r="F710" s="122" t="s">
        <v>753</v>
      </c>
      <c r="G710" s="122" t="s">
        <v>765</v>
      </c>
      <c r="H710" s="122" t="s">
        <v>2133</v>
      </c>
      <c r="I710" s="122" t="s">
        <v>733</v>
      </c>
      <c r="J710" s="122">
        <v>38</v>
      </c>
      <c r="K710" s="122">
        <v>0</v>
      </c>
      <c r="L710" s="122">
        <v>0</v>
      </c>
      <c r="M710" s="122">
        <v>0</v>
      </c>
      <c r="N710" s="122">
        <v>60</v>
      </c>
      <c r="O710" s="122">
        <v>75</v>
      </c>
      <c r="P710" s="122">
        <v>12</v>
      </c>
      <c r="Q710" s="123"/>
      <c r="R710" s="122">
        <v>1</v>
      </c>
      <c r="S710" s="123"/>
      <c r="T710" s="122">
        <v>1</v>
      </c>
      <c r="U710" s="123"/>
      <c r="V710" s="122">
        <v>6936505119982</v>
      </c>
    </row>
    <row r="711" ht="15.75" customHeight="1" spans="1:22" x14ac:dyDescent="0.25">
      <c r="A711" s="122" t="s">
        <v>2150</v>
      </c>
      <c r="B711" s="123"/>
      <c r="C711" s="123"/>
      <c r="D711" s="122" t="s">
        <v>2151</v>
      </c>
      <c r="E711" s="123"/>
      <c r="F711" s="122" t="s">
        <v>753</v>
      </c>
      <c r="G711" s="122" t="s">
        <v>765</v>
      </c>
      <c r="H711" s="122" t="s">
        <v>2133</v>
      </c>
      <c r="I711" s="122" t="s">
        <v>733</v>
      </c>
      <c r="J711" s="122">
        <v>38</v>
      </c>
      <c r="K711" s="122">
        <v>0</v>
      </c>
      <c r="L711" s="122">
        <v>0</v>
      </c>
      <c r="M711" s="122">
        <v>0</v>
      </c>
      <c r="N711" s="122">
        <v>60</v>
      </c>
      <c r="O711" s="122">
        <v>75</v>
      </c>
      <c r="P711" s="122">
        <v>11</v>
      </c>
      <c r="Q711" s="123"/>
      <c r="R711" s="122">
        <v>1</v>
      </c>
      <c r="S711" s="123"/>
      <c r="T711" s="122">
        <v>1</v>
      </c>
      <c r="U711" s="123"/>
      <c r="V711" s="122">
        <v>6936505197454</v>
      </c>
    </row>
    <row r="712" ht="15.75" customHeight="1" spans="1:22" x14ac:dyDescent="0.25">
      <c r="A712" s="122" t="s">
        <v>2152</v>
      </c>
      <c r="B712" s="123"/>
      <c r="C712" s="123"/>
      <c r="D712" s="122" t="s">
        <v>2153</v>
      </c>
      <c r="E712" s="123"/>
      <c r="F712" s="122" t="s">
        <v>753</v>
      </c>
      <c r="G712" s="122" t="s">
        <v>765</v>
      </c>
      <c r="H712" s="122" t="s">
        <v>2133</v>
      </c>
      <c r="I712" s="122" t="s">
        <v>733</v>
      </c>
      <c r="J712" s="122">
        <v>58</v>
      </c>
      <c r="K712" s="122">
        <v>0</v>
      </c>
      <c r="L712" s="122">
        <v>0</v>
      </c>
      <c r="M712" s="122">
        <v>0</v>
      </c>
      <c r="N712" s="122">
        <v>85</v>
      </c>
      <c r="O712" s="122">
        <v>85</v>
      </c>
      <c r="P712" s="122">
        <v>12</v>
      </c>
      <c r="Q712" s="123"/>
      <c r="R712" s="122">
        <v>1</v>
      </c>
      <c r="S712" s="123"/>
      <c r="T712" s="122">
        <v>1</v>
      </c>
      <c r="U712" s="123"/>
      <c r="V712" s="122">
        <v>6936505114109</v>
      </c>
    </row>
    <row r="713" ht="15.75" customHeight="1" spans="1:22" x14ac:dyDescent="0.25">
      <c r="A713" s="122" t="s">
        <v>2154</v>
      </c>
      <c r="B713" s="123"/>
      <c r="C713" s="123"/>
      <c r="D713" s="122" t="s">
        <v>2155</v>
      </c>
      <c r="E713" s="123"/>
      <c r="F713" s="122" t="s">
        <v>753</v>
      </c>
      <c r="G713" s="122" t="s">
        <v>765</v>
      </c>
      <c r="H713" s="122" t="s">
        <v>2133</v>
      </c>
      <c r="I713" s="122" t="s">
        <v>733</v>
      </c>
      <c r="J713" s="122">
        <v>58</v>
      </c>
      <c r="K713" s="122">
        <v>0</v>
      </c>
      <c r="L713" s="122">
        <v>0</v>
      </c>
      <c r="M713" s="122">
        <v>0</v>
      </c>
      <c r="N713" s="122">
        <v>85</v>
      </c>
      <c r="O713" s="122">
        <v>85</v>
      </c>
      <c r="P713" s="122">
        <v>11</v>
      </c>
      <c r="Q713" s="123"/>
      <c r="R713" s="122">
        <v>1</v>
      </c>
      <c r="S713" s="123"/>
      <c r="T713" s="122">
        <v>1</v>
      </c>
      <c r="U713" s="123"/>
      <c r="V713" s="122">
        <v>6936505193227</v>
      </c>
    </row>
    <row r="714" ht="15.75" customHeight="1" spans="1:22" x14ac:dyDescent="0.25">
      <c r="A714" s="122" t="s">
        <v>2156</v>
      </c>
      <c r="B714" s="123"/>
      <c r="C714" s="123"/>
      <c r="D714" s="122" t="s">
        <v>2157</v>
      </c>
      <c r="E714" s="123"/>
      <c r="F714" s="122" t="s">
        <v>753</v>
      </c>
      <c r="G714" s="122" t="s">
        <v>765</v>
      </c>
      <c r="H714" s="122" t="s">
        <v>2133</v>
      </c>
      <c r="I714" s="122" t="s">
        <v>733</v>
      </c>
      <c r="J714" s="122">
        <v>58</v>
      </c>
      <c r="K714" s="122">
        <v>0</v>
      </c>
      <c r="L714" s="122">
        <v>0</v>
      </c>
      <c r="M714" s="122">
        <v>0</v>
      </c>
      <c r="N714" s="122">
        <v>85</v>
      </c>
      <c r="O714" s="122">
        <v>85</v>
      </c>
      <c r="P714" s="122">
        <v>12</v>
      </c>
      <c r="Q714" s="123"/>
      <c r="R714" s="122">
        <v>1</v>
      </c>
      <c r="S714" s="123"/>
      <c r="T714" s="122">
        <v>1</v>
      </c>
      <c r="U714" s="123"/>
      <c r="V714" s="122">
        <v>6936505114109</v>
      </c>
    </row>
    <row r="715" ht="15.75" customHeight="1" spans="1:22" x14ac:dyDescent="0.25">
      <c r="A715" s="122" t="s">
        <v>2158</v>
      </c>
      <c r="B715" s="123"/>
      <c r="C715" s="123"/>
      <c r="D715" s="122" t="s">
        <v>2159</v>
      </c>
      <c r="E715" s="123"/>
      <c r="F715" s="122" t="s">
        <v>753</v>
      </c>
      <c r="G715" s="122" t="s">
        <v>765</v>
      </c>
      <c r="H715" s="122" t="s">
        <v>2133</v>
      </c>
      <c r="I715" s="122" t="s">
        <v>733</v>
      </c>
      <c r="J715" s="122">
        <v>58</v>
      </c>
      <c r="K715" s="122">
        <v>0</v>
      </c>
      <c r="L715" s="122">
        <v>0</v>
      </c>
      <c r="M715" s="122">
        <v>0</v>
      </c>
      <c r="N715" s="122">
        <v>85</v>
      </c>
      <c r="O715" s="122">
        <v>85</v>
      </c>
      <c r="P715" s="122">
        <v>12</v>
      </c>
      <c r="Q715" s="123"/>
      <c r="R715" s="122">
        <v>1</v>
      </c>
      <c r="S715" s="123"/>
      <c r="T715" s="122">
        <v>1</v>
      </c>
      <c r="U715" s="123"/>
      <c r="V715" s="122">
        <v>6936505114109</v>
      </c>
    </row>
    <row r="716" ht="15.75" customHeight="1" spans="1:22" x14ac:dyDescent="0.25">
      <c r="A716" s="122" t="s">
        <v>2160</v>
      </c>
      <c r="B716" s="123"/>
      <c r="C716" s="123"/>
      <c r="D716" s="122" t="s">
        <v>2161</v>
      </c>
      <c r="E716" s="123"/>
      <c r="F716" s="122" t="s">
        <v>753</v>
      </c>
      <c r="G716" s="122" t="s">
        <v>765</v>
      </c>
      <c r="H716" s="122" t="s">
        <v>2133</v>
      </c>
      <c r="I716" s="122" t="s">
        <v>733</v>
      </c>
      <c r="J716" s="122">
        <v>58</v>
      </c>
      <c r="K716" s="122">
        <v>0</v>
      </c>
      <c r="L716" s="122">
        <v>0</v>
      </c>
      <c r="M716" s="122">
        <v>0</v>
      </c>
      <c r="N716" s="122">
        <v>85</v>
      </c>
      <c r="O716" s="122">
        <v>85</v>
      </c>
      <c r="P716" s="122">
        <v>12</v>
      </c>
      <c r="Q716" s="123"/>
      <c r="R716" s="122">
        <v>1</v>
      </c>
      <c r="S716" s="123"/>
      <c r="T716" s="122">
        <v>1</v>
      </c>
      <c r="U716" s="123"/>
      <c r="V716" s="122">
        <v>6936505120216</v>
      </c>
    </row>
    <row r="717" ht="15.75" customHeight="1" spans="1:22" x14ac:dyDescent="0.25">
      <c r="A717" s="122" t="s">
        <v>2162</v>
      </c>
      <c r="B717" s="123"/>
      <c r="C717" s="123"/>
      <c r="D717" s="122" t="s">
        <v>2163</v>
      </c>
      <c r="E717" s="123"/>
      <c r="F717" s="122" t="s">
        <v>753</v>
      </c>
      <c r="G717" s="122" t="s">
        <v>765</v>
      </c>
      <c r="H717" s="122" t="s">
        <v>2133</v>
      </c>
      <c r="I717" s="122" t="s">
        <v>733</v>
      </c>
      <c r="J717" s="122">
        <v>58</v>
      </c>
      <c r="K717" s="122">
        <v>0</v>
      </c>
      <c r="L717" s="122">
        <v>0</v>
      </c>
      <c r="M717" s="122">
        <v>0</v>
      </c>
      <c r="N717" s="122">
        <v>85</v>
      </c>
      <c r="O717" s="122">
        <v>85</v>
      </c>
      <c r="P717" s="122">
        <v>8</v>
      </c>
      <c r="Q717" s="123"/>
      <c r="R717" s="122">
        <v>1</v>
      </c>
      <c r="S717" s="123"/>
      <c r="T717" s="122">
        <v>1</v>
      </c>
      <c r="U717" s="123"/>
      <c r="V717" s="122">
        <v>6936505193159</v>
      </c>
    </row>
    <row r="718" ht="15.75" customHeight="1" spans="1:22" x14ac:dyDescent="0.25">
      <c r="A718" s="122" t="s">
        <v>2164</v>
      </c>
      <c r="B718" s="123"/>
      <c r="C718" s="123"/>
      <c r="D718" s="122" t="s">
        <v>2165</v>
      </c>
      <c r="E718" s="123"/>
      <c r="F718" s="122" t="s">
        <v>753</v>
      </c>
      <c r="G718" s="122" t="s">
        <v>765</v>
      </c>
      <c r="H718" s="122" t="s">
        <v>2133</v>
      </c>
      <c r="I718" s="122" t="s">
        <v>733</v>
      </c>
      <c r="J718" s="122">
        <v>58</v>
      </c>
      <c r="K718" s="122">
        <v>0</v>
      </c>
      <c r="L718" s="122">
        <v>0</v>
      </c>
      <c r="M718" s="122">
        <v>0</v>
      </c>
      <c r="N718" s="122">
        <v>85</v>
      </c>
      <c r="O718" s="122">
        <v>85</v>
      </c>
      <c r="P718" s="122">
        <v>10</v>
      </c>
      <c r="Q718" s="123"/>
      <c r="R718" s="122">
        <v>1</v>
      </c>
      <c r="S718" s="123"/>
      <c r="T718" s="122">
        <v>1</v>
      </c>
      <c r="U718" s="123"/>
      <c r="V718" s="122">
        <v>6936505114109</v>
      </c>
    </row>
    <row r="719" ht="15.75" customHeight="1" spans="1:22" x14ac:dyDescent="0.25">
      <c r="A719" s="122" t="s">
        <v>2166</v>
      </c>
      <c r="B719" s="123"/>
      <c r="C719" s="123"/>
      <c r="D719" s="122" t="s">
        <v>2167</v>
      </c>
      <c r="E719" s="123"/>
      <c r="F719" s="122" t="s">
        <v>753</v>
      </c>
      <c r="G719" s="122" t="s">
        <v>765</v>
      </c>
      <c r="H719" s="122" t="s">
        <v>2133</v>
      </c>
      <c r="I719" s="122" t="s">
        <v>733</v>
      </c>
      <c r="J719" s="122">
        <v>58</v>
      </c>
      <c r="K719" s="122">
        <v>0</v>
      </c>
      <c r="L719" s="122">
        <v>0</v>
      </c>
      <c r="M719" s="122">
        <v>0</v>
      </c>
      <c r="N719" s="122">
        <v>85</v>
      </c>
      <c r="O719" s="122">
        <v>85</v>
      </c>
      <c r="P719" s="122">
        <v>11</v>
      </c>
      <c r="Q719" s="123"/>
      <c r="R719" s="122">
        <v>1</v>
      </c>
      <c r="S719" s="123"/>
      <c r="T719" s="122">
        <v>1</v>
      </c>
      <c r="U719" s="123"/>
      <c r="V719" s="122">
        <v>6936505114109</v>
      </c>
    </row>
    <row r="720" ht="15.75" customHeight="1" spans="1:22" x14ac:dyDescent="0.25">
      <c r="A720" s="122" t="s">
        <v>2168</v>
      </c>
      <c r="B720" s="123"/>
      <c r="C720" s="123"/>
      <c r="D720" s="122" t="s">
        <v>2169</v>
      </c>
      <c r="E720" s="123"/>
      <c r="F720" s="122" t="s">
        <v>753</v>
      </c>
      <c r="G720" s="122" t="s">
        <v>765</v>
      </c>
      <c r="H720" s="122" t="s">
        <v>2133</v>
      </c>
      <c r="I720" s="122" t="s">
        <v>733</v>
      </c>
      <c r="J720" s="122">
        <v>58</v>
      </c>
      <c r="K720" s="122">
        <v>0</v>
      </c>
      <c r="L720" s="122">
        <v>0</v>
      </c>
      <c r="M720" s="122">
        <v>0</v>
      </c>
      <c r="N720" s="122">
        <v>85</v>
      </c>
      <c r="O720" s="122">
        <v>85</v>
      </c>
      <c r="P720" s="122">
        <v>11</v>
      </c>
      <c r="Q720" s="123"/>
      <c r="R720" s="122">
        <v>1</v>
      </c>
      <c r="S720" s="123"/>
      <c r="T720" s="122">
        <v>1</v>
      </c>
      <c r="U720" s="123"/>
      <c r="V720" s="122">
        <v>6936505114109</v>
      </c>
    </row>
    <row r="721" ht="15.75" customHeight="1" spans="1:22" x14ac:dyDescent="0.25">
      <c r="A721" s="122" t="s">
        <v>2170</v>
      </c>
      <c r="B721" s="123"/>
      <c r="C721" s="123"/>
      <c r="D721" s="122" t="s">
        <v>2171</v>
      </c>
      <c r="E721" s="123"/>
      <c r="F721" s="122" t="s">
        <v>753</v>
      </c>
      <c r="G721" s="122" t="s">
        <v>765</v>
      </c>
      <c r="H721" s="122" t="s">
        <v>2133</v>
      </c>
      <c r="I721" s="122" t="s">
        <v>733</v>
      </c>
      <c r="J721" s="122">
        <v>95</v>
      </c>
      <c r="K721" s="122">
        <v>0</v>
      </c>
      <c r="L721" s="122">
        <v>0</v>
      </c>
      <c r="M721" s="122">
        <v>0</v>
      </c>
      <c r="N721" s="122">
        <v>120</v>
      </c>
      <c r="O721" s="122">
        <v>145</v>
      </c>
      <c r="P721" s="122">
        <v>12</v>
      </c>
      <c r="Q721" s="123"/>
      <c r="R721" s="122">
        <v>1</v>
      </c>
      <c r="S721" s="123"/>
      <c r="T721" s="122">
        <v>1</v>
      </c>
      <c r="U721" s="123"/>
      <c r="V721" s="122">
        <v>6936505105961</v>
      </c>
    </row>
    <row r="722" ht="15.75" customHeight="1" spans="1:22" x14ac:dyDescent="0.25">
      <c r="A722" s="122" t="s">
        <v>2172</v>
      </c>
      <c r="B722" s="123"/>
      <c r="C722" s="123"/>
      <c r="D722" s="122" t="s">
        <v>2173</v>
      </c>
      <c r="E722" s="123"/>
      <c r="F722" s="122" t="s">
        <v>753</v>
      </c>
      <c r="G722" s="122" t="s">
        <v>765</v>
      </c>
      <c r="H722" s="122" t="s">
        <v>2133</v>
      </c>
      <c r="I722" s="122" t="s">
        <v>733</v>
      </c>
      <c r="J722" s="122">
        <v>95</v>
      </c>
      <c r="K722" s="122">
        <v>0</v>
      </c>
      <c r="L722" s="122">
        <v>0</v>
      </c>
      <c r="M722" s="122">
        <v>0</v>
      </c>
      <c r="N722" s="122">
        <v>120</v>
      </c>
      <c r="O722" s="122">
        <v>145</v>
      </c>
      <c r="P722" s="122">
        <v>12</v>
      </c>
      <c r="Q722" s="123"/>
      <c r="R722" s="122">
        <v>1</v>
      </c>
      <c r="S722" s="123"/>
      <c r="T722" s="122">
        <v>1</v>
      </c>
      <c r="U722" s="123"/>
      <c r="V722" s="122">
        <v>6936505171614</v>
      </c>
    </row>
    <row r="723" ht="15.75" customHeight="1" spans="1:22" x14ac:dyDescent="0.25">
      <c r="A723" s="122" t="s">
        <v>2174</v>
      </c>
      <c r="B723" s="123"/>
      <c r="C723" s="123"/>
      <c r="D723" s="122" t="s">
        <v>2175</v>
      </c>
      <c r="E723" s="123"/>
      <c r="F723" s="122" t="s">
        <v>753</v>
      </c>
      <c r="G723" s="122" t="s">
        <v>765</v>
      </c>
      <c r="H723" s="122" t="s">
        <v>2133</v>
      </c>
      <c r="I723" s="122" t="s">
        <v>733</v>
      </c>
      <c r="J723" s="122">
        <v>95</v>
      </c>
      <c r="K723" s="122">
        <v>0</v>
      </c>
      <c r="L723" s="122">
        <v>0</v>
      </c>
      <c r="M723" s="122">
        <v>0</v>
      </c>
      <c r="N723" s="122">
        <v>120</v>
      </c>
      <c r="O723" s="122">
        <v>145</v>
      </c>
      <c r="P723" s="122">
        <v>12</v>
      </c>
      <c r="Q723" s="123"/>
      <c r="R723" s="122">
        <v>1</v>
      </c>
      <c r="S723" s="123"/>
      <c r="T723" s="122">
        <v>1</v>
      </c>
      <c r="U723" s="123"/>
      <c r="V723" s="122">
        <v>6936505106739</v>
      </c>
    </row>
    <row r="724" ht="15.75" customHeight="1" spans="1:22" x14ac:dyDescent="0.25">
      <c r="A724" s="122" t="s">
        <v>2176</v>
      </c>
      <c r="B724" s="123"/>
      <c r="C724" s="123"/>
      <c r="D724" s="122" t="s">
        <v>2177</v>
      </c>
      <c r="E724" s="123"/>
      <c r="F724" s="122" t="s">
        <v>753</v>
      </c>
      <c r="G724" s="122" t="s">
        <v>765</v>
      </c>
      <c r="H724" s="122" t="s">
        <v>2133</v>
      </c>
      <c r="I724" s="122" t="s">
        <v>733</v>
      </c>
      <c r="J724" s="122">
        <v>95</v>
      </c>
      <c r="K724" s="122">
        <v>0</v>
      </c>
      <c r="L724" s="122">
        <v>0</v>
      </c>
      <c r="M724" s="122">
        <v>0</v>
      </c>
      <c r="N724" s="122">
        <v>120</v>
      </c>
      <c r="O724" s="122">
        <v>145</v>
      </c>
      <c r="P724" s="122">
        <v>11</v>
      </c>
      <c r="Q724" s="123"/>
      <c r="R724" s="122">
        <v>1</v>
      </c>
      <c r="S724" s="123"/>
      <c r="T724" s="122">
        <v>1</v>
      </c>
      <c r="U724" s="123"/>
      <c r="V724" s="122">
        <v>6936505116363</v>
      </c>
    </row>
    <row r="725" ht="15.75" customHeight="1" spans="1:22" x14ac:dyDescent="0.25">
      <c r="A725" s="122" t="s">
        <v>2178</v>
      </c>
      <c r="B725" s="123"/>
      <c r="C725" s="123"/>
      <c r="D725" s="122" t="s">
        <v>2179</v>
      </c>
      <c r="E725" s="123"/>
      <c r="F725" s="122" t="s">
        <v>753</v>
      </c>
      <c r="G725" s="122" t="s">
        <v>765</v>
      </c>
      <c r="H725" s="122" t="s">
        <v>2133</v>
      </c>
      <c r="I725" s="122" t="s">
        <v>733</v>
      </c>
      <c r="J725" s="122">
        <v>95</v>
      </c>
      <c r="K725" s="122">
        <v>0</v>
      </c>
      <c r="L725" s="122">
        <v>0</v>
      </c>
      <c r="M725" s="122">
        <v>0</v>
      </c>
      <c r="N725" s="122">
        <v>120</v>
      </c>
      <c r="O725" s="122">
        <v>145</v>
      </c>
      <c r="P725" s="122">
        <v>11</v>
      </c>
      <c r="Q725" s="123"/>
      <c r="R725" s="122">
        <v>1</v>
      </c>
      <c r="S725" s="123"/>
      <c r="T725" s="122">
        <v>1</v>
      </c>
      <c r="U725" s="123"/>
      <c r="V725" s="122">
        <v>6936505105138</v>
      </c>
    </row>
    <row r="726" ht="15.75" customHeight="1" spans="1:22" x14ac:dyDescent="0.25">
      <c r="A726" s="122" t="s">
        <v>2180</v>
      </c>
      <c r="B726" s="123"/>
      <c r="C726" s="123"/>
      <c r="D726" s="122" t="s">
        <v>2181</v>
      </c>
      <c r="E726" s="123"/>
      <c r="F726" s="122" t="s">
        <v>753</v>
      </c>
      <c r="G726" s="122" t="s">
        <v>765</v>
      </c>
      <c r="H726" s="122" t="s">
        <v>2133</v>
      </c>
      <c r="I726" s="122" t="s">
        <v>733</v>
      </c>
      <c r="J726" s="122">
        <v>95</v>
      </c>
      <c r="K726" s="122">
        <v>0</v>
      </c>
      <c r="L726" s="122">
        <v>0</v>
      </c>
      <c r="M726" s="122">
        <v>0</v>
      </c>
      <c r="N726" s="122">
        <v>120</v>
      </c>
      <c r="O726" s="122">
        <v>145</v>
      </c>
      <c r="P726" s="122">
        <v>12</v>
      </c>
      <c r="Q726" s="123"/>
      <c r="R726" s="122">
        <v>1</v>
      </c>
      <c r="S726" s="123"/>
      <c r="T726" s="122">
        <v>1</v>
      </c>
      <c r="U726" s="123"/>
      <c r="V726" s="122">
        <v>6936505103134</v>
      </c>
    </row>
    <row r="727" ht="15.75" customHeight="1" spans="1:22" x14ac:dyDescent="0.25">
      <c r="A727" s="122" t="s">
        <v>2182</v>
      </c>
      <c r="B727" s="123"/>
      <c r="C727" s="123"/>
      <c r="D727" s="122" t="s">
        <v>2183</v>
      </c>
      <c r="E727" s="123"/>
      <c r="F727" s="122" t="s">
        <v>753</v>
      </c>
      <c r="G727" s="122" t="s">
        <v>765</v>
      </c>
      <c r="H727" s="122" t="s">
        <v>2133</v>
      </c>
      <c r="I727" s="122" t="s">
        <v>733</v>
      </c>
      <c r="J727" s="122">
        <v>95</v>
      </c>
      <c r="K727" s="122">
        <v>0</v>
      </c>
      <c r="L727" s="122">
        <v>0</v>
      </c>
      <c r="M727" s="122">
        <v>0</v>
      </c>
      <c r="N727" s="122">
        <v>120</v>
      </c>
      <c r="O727" s="122">
        <v>145</v>
      </c>
      <c r="P727" s="122">
        <v>12</v>
      </c>
      <c r="Q727" s="123"/>
      <c r="R727" s="122">
        <v>1</v>
      </c>
      <c r="S727" s="123"/>
      <c r="T727" s="122">
        <v>1</v>
      </c>
      <c r="U727" s="123"/>
      <c r="V727" s="123"/>
    </row>
    <row r="728" ht="15.75" customHeight="1" spans="1:22" x14ac:dyDescent="0.25">
      <c r="A728" s="122" t="s">
        <v>2184</v>
      </c>
      <c r="B728" s="123"/>
      <c r="C728" s="123"/>
      <c r="D728" s="122" t="s">
        <v>2185</v>
      </c>
      <c r="E728" s="123"/>
      <c r="F728" s="122" t="s">
        <v>753</v>
      </c>
      <c r="G728" s="122" t="s">
        <v>765</v>
      </c>
      <c r="H728" s="122" t="s">
        <v>2133</v>
      </c>
      <c r="I728" s="122" t="s">
        <v>733</v>
      </c>
      <c r="J728" s="122">
        <v>95</v>
      </c>
      <c r="K728" s="122">
        <v>0</v>
      </c>
      <c r="L728" s="122">
        <v>0</v>
      </c>
      <c r="M728" s="122">
        <v>0</v>
      </c>
      <c r="N728" s="122">
        <v>120</v>
      </c>
      <c r="O728" s="122">
        <v>145</v>
      </c>
      <c r="P728" s="122">
        <v>12</v>
      </c>
      <c r="Q728" s="123"/>
      <c r="R728" s="122">
        <v>1</v>
      </c>
      <c r="S728" s="123"/>
      <c r="T728" s="122">
        <v>1</v>
      </c>
      <c r="U728" s="123"/>
      <c r="V728" s="122">
        <v>6936505104087</v>
      </c>
    </row>
    <row r="729" ht="15.75" customHeight="1" spans="1:22" x14ac:dyDescent="0.25">
      <c r="A729" s="122" t="s">
        <v>2186</v>
      </c>
      <c r="B729" s="123"/>
      <c r="C729" s="123"/>
      <c r="D729" s="122" t="s">
        <v>2187</v>
      </c>
      <c r="E729" s="123"/>
      <c r="F729" s="122" t="s">
        <v>753</v>
      </c>
      <c r="G729" s="122" t="s">
        <v>765</v>
      </c>
      <c r="H729" s="122" t="s">
        <v>2133</v>
      </c>
      <c r="I729" s="122" t="s">
        <v>733</v>
      </c>
      <c r="J729" s="122">
        <v>95</v>
      </c>
      <c r="K729" s="122">
        <v>0</v>
      </c>
      <c r="L729" s="122">
        <v>0</v>
      </c>
      <c r="M729" s="122">
        <v>0</v>
      </c>
      <c r="N729" s="122">
        <v>120</v>
      </c>
      <c r="O729" s="122">
        <v>145</v>
      </c>
      <c r="P729" s="122">
        <v>12</v>
      </c>
      <c r="Q729" s="123"/>
      <c r="R729" s="122">
        <v>1</v>
      </c>
      <c r="S729" s="123"/>
      <c r="T729" s="122">
        <v>1</v>
      </c>
      <c r="U729" s="123"/>
      <c r="V729" s="122">
        <v>6936505105381</v>
      </c>
    </row>
    <row r="730" ht="15.75" customHeight="1" spans="1:22" x14ac:dyDescent="0.25">
      <c r="A730" s="122" t="s">
        <v>2188</v>
      </c>
      <c r="B730" s="123"/>
      <c r="C730" s="123"/>
      <c r="D730" s="122" t="s">
        <v>2189</v>
      </c>
      <c r="E730" s="123"/>
      <c r="F730" s="122" t="s">
        <v>753</v>
      </c>
      <c r="G730" s="122" t="s">
        <v>765</v>
      </c>
      <c r="H730" s="122" t="s">
        <v>2133</v>
      </c>
      <c r="I730" s="122" t="s">
        <v>733</v>
      </c>
      <c r="J730" s="122">
        <v>95</v>
      </c>
      <c r="K730" s="122">
        <v>0</v>
      </c>
      <c r="L730" s="122">
        <v>0</v>
      </c>
      <c r="M730" s="122">
        <v>0</v>
      </c>
      <c r="N730" s="122">
        <v>120</v>
      </c>
      <c r="O730" s="122">
        <v>150</v>
      </c>
      <c r="P730" s="122">
        <v>12</v>
      </c>
      <c r="Q730" s="123"/>
      <c r="R730" s="122">
        <v>1</v>
      </c>
      <c r="S730" s="123"/>
      <c r="T730" s="122">
        <v>1</v>
      </c>
      <c r="U730" s="123"/>
      <c r="V730" s="122">
        <v>6936505114437</v>
      </c>
    </row>
    <row r="731" ht="15.75" customHeight="1" spans="1:22" x14ac:dyDescent="0.25">
      <c r="A731" s="122" t="s">
        <v>2190</v>
      </c>
      <c r="B731" s="123"/>
      <c r="C731" s="123"/>
      <c r="D731" s="122" t="s">
        <v>2191</v>
      </c>
      <c r="E731" s="123"/>
      <c r="F731" s="122" t="s">
        <v>753</v>
      </c>
      <c r="G731" s="122" t="s">
        <v>765</v>
      </c>
      <c r="H731" s="122" t="s">
        <v>2133</v>
      </c>
      <c r="I731" s="122" t="s">
        <v>733</v>
      </c>
      <c r="J731" s="122">
        <v>95</v>
      </c>
      <c r="K731" s="122">
        <v>0</v>
      </c>
      <c r="L731" s="122">
        <v>0</v>
      </c>
      <c r="M731" s="122">
        <v>0</v>
      </c>
      <c r="N731" s="122">
        <v>120</v>
      </c>
      <c r="O731" s="122">
        <v>150</v>
      </c>
      <c r="P731" s="122">
        <v>11</v>
      </c>
      <c r="Q731" s="123"/>
      <c r="R731" s="122">
        <v>1</v>
      </c>
      <c r="S731" s="123"/>
      <c r="T731" s="122">
        <v>1</v>
      </c>
      <c r="U731" s="123"/>
      <c r="V731" s="122">
        <v>6936505105169</v>
      </c>
    </row>
    <row r="732" ht="15.75" customHeight="1" spans="1:22" x14ac:dyDescent="0.25">
      <c r="A732" s="122" t="s">
        <v>2192</v>
      </c>
      <c r="B732" s="123"/>
      <c r="C732" s="123"/>
      <c r="D732" s="122" t="s">
        <v>2193</v>
      </c>
      <c r="E732" s="123"/>
      <c r="F732" s="122" t="s">
        <v>753</v>
      </c>
      <c r="G732" s="122" t="s">
        <v>765</v>
      </c>
      <c r="H732" s="122" t="s">
        <v>2133</v>
      </c>
      <c r="I732" s="122" t="s">
        <v>733</v>
      </c>
      <c r="J732" s="122">
        <v>95</v>
      </c>
      <c r="K732" s="122">
        <v>0</v>
      </c>
      <c r="L732" s="122">
        <v>0</v>
      </c>
      <c r="M732" s="122">
        <v>0</v>
      </c>
      <c r="N732" s="122">
        <v>120</v>
      </c>
      <c r="O732" s="122">
        <v>150</v>
      </c>
      <c r="P732" s="122">
        <v>12</v>
      </c>
      <c r="Q732" s="123"/>
      <c r="R732" s="122">
        <v>1</v>
      </c>
      <c r="S732" s="123"/>
      <c r="T732" s="122">
        <v>1</v>
      </c>
      <c r="U732" s="123"/>
      <c r="V732" s="122">
        <v>6936505109426</v>
      </c>
    </row>
    <row r="733" ht="15.75" customHeight="1" spans="1:22" x14ac:dyDescent="0.25">
      <c r="A733" s="122" t="s">
        <v>2194</v>
      </c>
      <c r="B733" s="123"/>
      <c r="C733" s="123"/>
      <c r="D733" s="122" t="s">
        <v>2195</v>
      </c>
      <c r="E733" s="123"/>
      <c r="F733" s="122" t="s">
        <v>753</v>
      </c>
      <c r="G733" s="122" t="s">
        <v>765</v>
      </c>
      <c r="H733" s="122" t="s">
        <v>2133</v>
      </c>
      <c r="I733" s="122" t="s">
        <v>733</v>
      </c>
      <c r="J733" s="122">
        <v>0</v>
      </c>
      <c r="K733" s="122">
        <v>0</v>
      </c>
      <c r="L733" s="122">
        <v>0</v>
      </c>
      <c r="M733" s="122">
        <v>0</v>
      </c>
      <c r="N733" s="122">
        <v>150</v>
      </c>
      <c r="O733" s="122">
        <v>0</v>
      </c>
      <c r="P733" s="122">
        <v>30</v>
      </c>
      <c r="Q733" s="123"/>
      <c r="R733" s="122">
        <v>1</v>
      </c>
      <c r="S733" s="123"/>
      <c r="T733" s="123"/>
      <c r="U733" s="123"/>
      <c r="V733" s="123"/>
    </row>
    <row r="734" ht="15.75" customHeight="1" spans="1:22" x14ac:dyDescent="0.25">
      <c r="A734" s="122" t="s">
        <v>2196</v>
      </c>
      <c r="B734" s="123"/>
      <c r="C734" s="123"/>
      <c r="D734" s="122" t="s">
        <v>2197</v>
      </c>
      <c r="E734" s="123"/>
      <c r="F734" s="122" t="s">
        <v>753</v>
      </c>
      <c r="G734" s="122" t="s">
        <v>765</v>
      </c>
      <c r="H734" s="122" t="s">
        <v>2133</v>
      </c>
      <c r="I734" s="122" t="s">
        <v>733</v>
      </c>
      <c r="J734" s="122">
        <v>0</v>
      </c>
      <c r="K734" s="122">
        <v>0</v>
      </c>
      <c r="L734" s="122">
        <v>0</v>
      </c>
      <c r="M734" s="122">
        <v>0</v>
      </c>
      <c r="N734" s="122">
        <v>160</v>
      </c>
      <c r="O734" s="122">
        <v>0</v>
      </c>
      <c r="P734" s="122">
        <v>30</v>
      </c>
      <c r="Q734" s="123"/>
      <c r="R734" s="122">
        <v>1</v>
      </c>
      <c r="S734" s="123"/>
      <c r="T734" s="123"/>
      <c r="U734" s="123"/>
      <c r="V734" s="123"/>
    </row>
    <row r="735" ht="15.75" customHeight="1" spans="1:22" x14ac:dyDescent="0.25">
      <c r="A735" s="122" t="s">
        <v>2198</v>
      </c>
      <c r="B735" s="123"/>
      <c r="C735" s="123"/>
      <c r="D735" s="122" t="s">
        <v>2199</v>
      </c>
      <c r="E735" s="123"/>
      <c r="F735" s="122" t="s">
        <v>753</v>
      </c>
      <c r="G735" s="122" t="s">
        <v>765</v>
      </c>
      <c r="H735" s="122" t="s">
        <v>2133</v>
      </c>
      <c r="I735" s="122" t="s">
        <v>733</v>
      </c>
      <c r="J735" s="122">
        <v>0</v>
      </c>
      <c r="K735" s="122">
        <v>0</v>
      </c>
      <c r="L735" s="122">
        <v>0</v>
      </c>
      <c r="M735" s="122">
        <v>0</v>
      </c>
      <c r="N735" s="122">
        <v>40</v>
      </c>
      <c r="O735" s="122">
        <v>0</v>
      </c>
      <c r="P735" s="122">
        <v>12</v>
      </c>
      <c r="Q735" s="123"/>
      <c r="R735" s="122">
        <v>1</v>
      </c>
      <c r="S735" s="123"/>
      <c r="T735" s="123"/>
      <c r="U735" s="123"/>
      <c r="V735" s="123"/>
    </row>
    <row r="736" ht="15.75" customHeight="1" spans="1:22" x14ac:dyDescent="0.25">
      <c r="A736" s="122" t="s">
        <v>2200</v>
      </c>
      <c r="B736" s="123"/>
      <c r="C736" s="123"/>
      <c r="D736" s="122" t="s">
        <v>2201</v>
      </c>
      <c r="E736" s="123"/>
      <c r="F736" s="122" t="s">
        <v>753</v>
      </c>
      <c r="G736" s="122" t="s">
        <v>765</v>
      </c>
      <c r="H736" s="122" t="s">
        <v>2133</v>
      </c>
      <c r="I736" s="122" t="s">
        <v>733</v>
      </c>
      <c r="J736" s="122">
        <v>0</v>
      </c>
      <c r="K736" s="122">
        <v>0</v>
      </c>
      <c r="L736" s="122">
        <v>0</v>
      </c>
      <c r="M736" s="122">
        <v>0</v>
      </c>
      <c r="N736" s="122">
        <v>75</v>
      </c>
      <c r="O736" s="122">
        <v>0</v>
      </c>
      <c r="P736" s="122">
        <v>12</v>
      </c>
      <c r="Q736" s="123"/>
      <c r="R736" s="122">
        <v>1</v>
      </c>
      <c r="S736" s="123"/>
      <c r="T736" s="123"/>
      <c r="U736" s="123"/>
      <c r="V736" s="123"/>
    </row>
    <row r="737" ht="15.75" customHeight="1" spans="1:22" x14ac:dyDescent="0.25">
      <c r="A737" s="122" t="s">
        <v>22</v>
      </c>
      <c r="B737" s="123"/>
      <c r="C737" s="123"/>
      <c r="D737" s="122" t="s">
        <v>2202</v>
      </c>
      <c r="E737" s="122" t="s">
        <v>2203</v>
      </c>
      <c r="F737" s="122" t="s">
        <v>742</v>
      </c>
      <c r="G737" s="122" t="s">
        <v>745</v>
      </c>
      <c r="H737" s="122" t="s">
        <v>746</v>
      </c>
      <c r="I737" s="122" t="s">
        <v>733</v>
      </c>
      <c r="J737" s="122">
        <v>1350</v>
      </c>
      <c r="K737" s="122">
        <v>1350</v>
      </c>
      <c r="L737" s="122">
        <v>1450</v>
      </c>
      <c r="M737" s="122">
        <v>1480</v>
      </c>
      <c r="N737" s="122">
        <v>1950</v>
      </c>
      <c r="O737" s="122">
        <v>1950</v>
      </c>
      <c r="P737" s="122">
        <v>61</v>
      </c>
      <c r="Q737" s="123"/>
      <c r="R737" s="123"/>
      <c r="S737" s="122">
        <v>1</v>
      </c>
      <c r="T737" s="122">
        <v>1</v>
      </c>
      <c r="U737" s="123"/>
      <c r="V737" s="122">
        <v>8858890799557</v>
      </c>
    </row>
    <row r="738" ht="15.75" customHeight="1" spans="1:22" x14ac:dyDescent="0.25">
      <c r="A738" s="122" t="s">
        <v>23</v>
      </c>
      <c r="B738" s="123"/>
      <c r="C738" s="123"/>
      <c r="D738" s="122" t="s">
        <v>2204</v>
      </c>
      <c r="E738" s="122" t="s">
        <v>2205</v>
      </c>
      <c r="F738" s="122" t="s">
        <v>742</v>
      </c>
      <c r="G738" s="122" t="s">
        <v>745</v>
      </c>
      <c r="H738" s="122" t="s">
        <v>746</v>
      </c>
      <c r="I738" s="122" t="s">
        <v>733</v>
      </c>
      <c r="J738" s="122">
        <v>1000</v>
      </c>
      <c r="K738" s="122">
        <v>1000</v>
      </c>
      <c r="L738" s="122">
        <v>1150</v>
      </c>
      <c r="M738" s="122">
        <v>1250</v>
      </c>
      <c r="N738" s="122">
        <v>1350</v>
      </c>
      <c r="O738" s="122">
        <v>1350</v>
      </c>
      <c r="P738" s="122">
        <v>67</v>
      </c>
      <c r="Q738" s="123"/>
      <c r="R738" s="122">
        <v>1</v>
      </c>
      <c r="S738" s="122">
        <v>1</v>
      </c>
      <c r="T738" s="122">
        <v>1</v>
      </c>
      <c r="U738" s="123"/>
      <c r="V738" s="122">
        <v>8858890799786</v>
      </c>
    </row>
    <row r="739" ht="15.75" customHeight="1" spans="1:22" x14ac:dyDescent="0.25">
      <c r="A739" s="122" t="s">
        <v>38</v>
      </c>
      <c r="B739" s="123"/>
      <c r="C739" s="123"/>
      <c r="D739" s="122" t="s">
        <v>2206</v>
      </c>
      <c r="E739" s="123"/>
      <c r="F739" s="122" t="s">
        <v>742</v>
      </c>
      <c r="G739" s="122" t="s">
        <v>831</v>
      </c>
      <c r="H739" s="122" t="s">
        <v>832</v>
      </c>
      <c r="I739" s="122" t="s">
        <v>733</v>
      </c>
      <c r="J739" s="122">
        <v>150</v>
      </c>
      <c r="K739" s="122">
        <v>150</v>
      </c>
      <c r="L739" s="122">
        <v>180</v>
      </c>
      <c r="M739" s="122">
        <v>165</v>
      </c>
      <c r="N739" s="122">
        <v>190</v>
      </c>
      <c r="O739" s="122">
        <v>200</v>
      </c>
      <c r="P739" s="122">
        <v>44</v>
      </c>
      <c r="Q739" s="123"/>
      <c r="R739" s="122">
        <v>1</v>
      </c>
      <c r="S739" s="122">
        <v>1</v>
      </c>
      <c r="T739" s="122">
        <v>1</v>
      </c>
      <c r="U739" s="123"/>
      <c r="V739" s="122">
        <v>8858890799939</v>
      </c>
    </row>
    <row r="740" ht="15.75" customHeight="1" spans="1:22" x14ac:dyDescent="0.25">
      <c r="A740" s="122" t="s">
        <v>2207</v>
      </c>
      <c r="B740" s="123"/>
      <c r="C740" s="123"/>
      <c r="D740" s="122" t="s">
        <v>2208</v>
      </c>
      <c r="E740" s="123"/>
      <c r="F740" s="122" t="s">
        <v>742</v>
      </c>
      <c r="G740" s="122" t="s">
        <v>2209</v>
      </c>
      <c r="H740" s="122" t="s">
        <v>2210</v>
      </c>
      <c r="I740" s="122" t="s">
        <v>733</v>
      </c>
      <c r="J740" s="122">
        <v>2500</v>
      </c>
      <c r="K740" s="122">
        <v>0</v>
      </c>
      <c r="L740" s="122">
        <v>2880</v>
      </c>
      <c r="M740" s="122">
        <v>0</v>
      </c>
      <c r="N740" s="122">
        <v>3200</v>
      </c>
      <c r="O740" s="122">
        <v>3200</v>
      </c>
      <c r="P740" s="122">
        <v>19</v>
      </c>
      <c r="Q740" s="123"/>
      <c r="R740" s="123"/>
      <c r="S740" s="123"/>
      <c r="T740" s="123"/>
      <c r="U740" s="123"/>
      <c r="V740" s="123"/>
    </row>
    <row r="741" ht="15.75" customHeight="1" spans="1:22" x14ac:dyDescent="0.25">
      <c r="A741" s="122" t="s">
        <v>494</v>
      </c>
      <c r="B741" s="123"/>
      <c r="C741" s="123"/>
      <c r="D741" s="122" t="s">
        <v>494</v>
      </c>
      <c r="E741" s="123"/>
      <c r="F741" s="122" t="s">
        <v>753</v>
      </c>
      <c r="G741" s="122" t="s">
        <v>771</v>
      </c>
      <c r="H741" s="122" t="s">
        <v>1000</v>
      </c>
      <c r="I741" s="122" t="s">
        <v>733</v>
      </c>
      <c r="J741" s="122">
        <v>48.12</v>
      </c>
      <c r="K741" s="122">
        <v>60</v>
      </c>
      <c r="L741" s="122">
        <v>0</v>
      </c>
      <c r="M741" s="122">
        <v>55</v>
      </c>
      <c r="N741" s="122">
        <v>90</v>
      </c>
      <c r="O741" s="122">
        <v>90</v>
      </c>
      <c r="P741" s="122">
        <v>47</v>
      </c>
      <c r="Q741" s="123"/>
      <c r="R741" s="122">
        <v>1</v>
      </c>
      <c r="S741" s="123"/>
      <c r="T741" s="122">
        <v>1</v>
      </c>
      <c r="U741" s="123"/>
      <c r="V741" s="122">
        <v>8858890800079</v>
      </c>
    </row>
    <row r="742" ht="15.75" customHeight="1" spans="1:22" x14ac:dyDescent="0.25">
      <c r="A742" s="122" t="s">
        <v>495</v>
      </c>
      <c r="B742" s="123"/>
      <c r="C742" s="123"/>
      <c r="D742" s="122" t="s">
        <v>2211</v>
      </c>
      <c r="E742" s="123"/>
      <c r="F742" s="122" t="s">
        <v>753</v>
      </c>
      <c r="G742" s="122" t="s">
        <v>771</v>
      </c>
      <c r="H742" s="122" t="s">
        <v>1000</v>
      </c>
      <c r="I742" s="122" t="s">
        <v>733</v>
      </c>
      <c r="J742" s="122">
        <v>54.61</v>
      </c>
      <c r="K742" s="122">
        <v>65</v>
      </c>
      <c r="L742" s="122">
        <v>0</v>
      </c>
      <c r="M742" s="122">
        <v>65</v>
      </c>
      <c r="N742" s="122">
        <v>90</v>
      </c>
      <c r="O742" s="122">
        <v>95</v>
      </c>
      <c r="P742" s="122">
        <v>76</v>
      </c>
      <c r="Q742" s="123"/>
      <c r="R742" s="122">
        <v>1</v>
      </c>
      <c r="S742" s="123"/>
      <c r="T742" s="122">
        <v>1</v>
      </c>
      <c r="U742" s="123"/>
      <c r="V742" s="122">
        <v>8858890800086</v>
      </c>
    </row>
    <row r="743" ht="15.75" customHeight="1" spans="1:22" x14ac:dyDescent="0.25">
      <c r="A743" s="122" t="s">
        <v>2212</v>
      </c>
      <c r="B743" s="123"/>
      <c r="C743" s="123"/>
      <c r="D743" s="122" t="s">
        <v>2213</v>
      </c>
      <c r="E743" s="123"/>
      <c r="F743" s="122" t="s">
        <v>742</v>
      </c>
      <c r="G743" s="122" t="s">
        <v>1495</v>
      </c>
      <c r="H743" s="122" t="s">
        <v>1595</v>
      </c>
      <c r="I743" s="122" t="s">
        <v>733</v>
      </c>
      <c r="J743" s="122">
        <v>190</v>
      </c>
      <c r="K743" s="122">
        <v>0</v>
      </c>
      <c r="L743" s="122">
        <v>0</v>
      </c>
      <c r="M743" s="122">
        <v>0</v>
      </c>
      <c r="N743" s="122">
        <v>300</v>
      </c>
      <c r="O743" s="122">
        <v>350</v>
      </c>
      <c r="P743" s="122">
        <v>3</v>
      </c>
      <c r="Q743" s="123"/>
      <c r="R743" s="122">
        <v>1</v>
      </c>
      <c r="S743" s="123"/>
      <c r="T743" s="123"/>
      <c r="U743" s="123"/>
      <c r="V743" s="123"/>
    </row>
    <row r="744" ht="15.75" customHeight="1" spans="1:22" x14ac:dyDescent="0.25">
      <c r="A744" s="122" t="s">
        <v>58</v>
      </c>
      <c r="B744" s="123"/>
      <c r="C744" s="123"/>
      <c r="D744" s="122" t="s">
        <v>2214</v>
      </c>
      <c r="E744" s="123"/>
      <c r="F744" s="122" t="s">
        <v>742</v>
      </c>
      <c r="G744" s="122" t="s">
        <v>754</v>
      </c>
      <c r="H744" s="122" t="s">
        <v>818</v>
      </c>
      <c r="I744" s="122" t="s">
        <v>733</v>
      </c>
      <c r="J744" s="122">
        <v>100</v>
      </c>
      <c r="K744" s="122">
        <v>99</v>
      </c>
      <c r="L744" s="122">
        <v>110</v>
      </c>
      <c r="M744" s="122">
        <v>120</v>
      </c>
      <c r="N744" s="122">
        <v>135</v>
      </c>
      <c r="O744" s="122">
        <v>135</v>
      </c>
      <c r="P744" s="122">
        <v>90</v>
      </c>
      <c r="Q744" s="123"/>
      <c r="R744" s="122">
        <v>1</v>
      </c>
      <c r="S744" s="122">
        <v>1</v>
      </c>
      <c r="T744" s="122">
        <v>1</v>
      </c>
      <c r="U744" s="123"/>
      <c r="V744" s="122">
        <v>8858890800116</v>
      </c>
    </row>
    <row r="745" ht="15.75" customHeight="1" spans="1:22" x14ac:dyDescent="0.25">
      <c r="A745" s="122" t="s">
        <v>2215</v>
      </c>
      <c r="B745" s="123"/>
      <c r="C745" s="123"/>
      <c r="D745" s="122" t="s">
        <v>2216</v>
      </c>
      <c r="E745" s="123"/>
      <c r="F745" s="122" t="s">
        <v>742</v>
      </c>
      <c r="G745" s="122" t="s">
        <v>1495</v>
      </c>
      <c r="H745" s="122" t="s">
        <v>1579</v>
      </c>
      <c r="I745" s="122" t="s">
        <v>733</v>
      </c>
      <c r="J745" s="122">
        <v>150</v>
      </c>
      <c r="K745" s="122">
        <v>0</v>
      </c>
      <c r="L745" s="122">
        <v>0</v>
      </c>
      <c r="M745" s="122">
        <v>0</v>
      </c>
      <c r="N745" s="122">
        <v>300</v>
      </c>
      <c r="O745" s="122">
        <v>300</v>
      </c>
      <c r="P745" s="122">
        <v>0</v>
      </c>
      <c r="Q745" s="123"/>
      <c r="R745" s="122">
        <v>1</v>
      </c>
      <c r="S745" s="123"/>
      <c r="T745" s="123"/>
      <c r="U745" s="123"/>
      <c r="V745" s="122">
        <v>8858890799816</v>
      </c>
    </row>
    <row r="746" ht="15.75" customHeight="1" spans="1:22" x14ac:dyDescent="0.25">
      <c r="A746" s="122" t="s">
        <v>2217</v>
      </c>
      <c r="B746" s="123"/>
      <c r="C746" s="123"/>
      <c r="D746" s="122" t="s">
        <v>2218</v>
      </c>
      <c r="E746" s="123"/>
      <c r="F746" s="122" t="s">
        <v>742</v>
      </c>
      <c r="G746" s="122" t="s">
        <v>1488</v>
      </c>
      <c r="H746" s="122" t="s">
        <v>2003</v>
      </c>
      <c r="I746" s="122" t="s">
        <v>733</v>
      </c>
      <c r="J746" s="122">
        <v>0</v>
      </c>
      <c r="K746" s="122">
        <v>0</v>
      </c>
      <c r="L746" s="122">
        <v>0</v>
      </c>
      <c r="M746" s="122">
        <v>0</v>
      </c>
      <c r="N746" s="122">
        <v>50</v>
      </c>
      <c r="O746" s="122">
        <v>50</v>
      </c>
      <c r="P746" s="122">
        <v>94</v>
      </c>
      <c r="Q746" s="123"/>
      <c r="R746" s="122">
        <v>1</v>
      </c>
      <c r="S746" s="123"/>
      <c r="T746" s="123"/>
      <c r="U746" s="123"/>
      <c r="V746" s="123"/>
    </row>
    <row r="747" ht="15.75" customHeight="1" spans="1:22" x14ac:dyDescent="0.25">
      <c r="A747" s="122" t="s">
        <v>2219</v>
      </c>
      <c r="B747" s="123"/>
      <c r="C747" s="123"/>
      <c r="D747" s="122" t="s">
        <v>2220</v>
      </c>
      <c r="E747" s="123"/>
      <c r="F747" s="122" t="s">
        <v>742</v>
      </c>
      <c r="G747" s="122" t="s">
        <v>1488</v>
      </c>
      <c r="H747" s="122" t="s">
        <v>2003</v>
      </c>
      <c r="I747" s="122" t="s">
        <v>733</v>
      </c>
      <c r="J747" s="122">
        <v>0</v>
      </c>
      <c r="K747" s="122">
        <v>0</v>
      </c>
      <c r="L747" s="122">
        <v>0</v>
      </c>
      <c r="M747" s="122">
        <v>0</v>
      </c>
      <c r="N747" s="122">
        <v>100</v>
      </c>
      <c r="O747" s="122">
        <v>100100</v>
      </c>
      <c r="P747" s="122">
        <v>99</v>
      </c>
      <c r="Q747" s="123"/>
      <c r="R747" s="122">
        <v>1</v>
      </c>
      <c r="S747" s="123"/>
      <c r="T747" s="123"/>
      <c r="U747" s="123"/>
      <c r="V747" s="123"/>
    </row>
    <row r="748" ht="15.75" customHeight="1" spans="1:22" x14ac:dyDescent="0.25">
      <c r="A748" s="122" t="s">
        <v>2221</v>
      </c>
      <c r="B748" s="123"/>
      <c r="C748" s="123"/>
      <c r="D748" s="122" t="s">
        <v>2222</v>
      </c>
      <c r="E748" s="123"/>
      <c r="F748" s="122" t="s">
        <v>742</v>
      </c>
      <c r="G748" s="122" t="s">
        <v>1488</v>
      </c>
      <c r="H748" s="122" t="s">
        <v>2003</v>
      </c>
      <c r="I748" s="122" t="s">
        <v>733</v>
      </c>
      <c r="J748" s="122">
        <v>0</v>
      </c>
      <c r="K748" s="122">
        <v>0</v>
      </c>
      <c r="L748" s="122">
        <v>0</v>
      </c>
      <c r="M748" s="122">
        <v>0</v>
      </c>
      <c r="N748" s="122">
        <v>80</v>
      </c>
      <c r="O748" s="122">
        <v>80</v>
      </c>
      <c r="P748" s="122">
        <v>100</v>
      </c>
      <c r="Q748" s="123"/>
      <c r="R748" s="122">
        <v>1</v>
      </c>
      <c r="S748" s="123"/>
      <c r="T748" s="123"/>
      <c r="U748" s="123"/>
      <c r="V748" s="123"/>
    </row>
    <row r="749" ht="15.75" customHeight="1" spans="1:22" x14ac:dyDescent="0.25">
      <c r="A749" s="122" t="s">
        <v>2223</v>
      </c>
      <c r="B749" s="123"/>
      <c r="C749" s="123"/>
      <c r="D749" s="122" t="s">
        <v>2224</v>
      </c>
      <c r="E749" s="123"/>
      <c r="F749" s="122" t="s">
        <v>2225</v>
      </c>
      <c r="G749" s="122" t="s">
        <v>1993</v>
      </c>
      <c r="H749" s="122" t="s">
        <v>2226</v>
      </c>
      <c r="I749" s="122" t="s">
        <v>733</v>
      </c>
      <c r="J749" s="122">
        <v>85</v>
      </c>
      <c r="K749" s="122">
        <v>0</v>
      </c>
      <c r="L749" s="122">
        <v>0</v>
      </c>
      <c r="M749" s="122">
        <v>0</v>
      </c>
      <c r="N749" s="122">
        <v>115</v>
      </c>
      <c r="O749" s="122">
        <v>185</v>
      </c>
      <c r="P749" s="122">
        <v>119</v>
      </c>
      <c r="Q749" s="123"/>
      <c r="R749" s="122">
        <v>1</v>
      </c>
      <c r="S749" s="123"/>
      <c r="T749" s="122">
        <v>1</v>
      </c>
      <c r="U749" s="123"/>
      <c r="V749" s="122">
        <v>8858890800055</v>
      </c>
    </row>
    <row r="750" ht="15.75" customHeight="1" spans="1:22" x14ac:dyDescent="0.25">
      <c r="A750" s="122" t="s">
        <v>271</v>
      </c>
      <c r="B750" s="123"/>
      <c r="C750" s="123"/>
      <c r="D750" s="122" t="s">
        <v>2227</v>
      </c>
      <c r="E750" s="123"/>
      <c r="F750" s="122" t="s">
        <v>779</v>
      </c>
      <c r="G750" s="122" t="s">
        <v>780</v>
      </c>
      <c r="H750" s="122" t="s">
        <v>1507</v>
      </c>
      <c r="I750" s="122" t="s">
        <v>733</v>
      </c>
      <c r="J750" s="122">
        <v>65</v>
      </c>
      <c r="K750" s="122">
        <v>50</v>
      </c>
      <c r="L750" s="122">
        <v>0</v>
      </c>
      <c r="M750" s="122">
        <v>69</v>
      </c>
      <c r="N750" s="122">
        <v>90</v>
      </c>
      <c r="O750" s="122">
        <v>150</v>
      </c>
      <c r="P750" s="122">
        <v>122</v>
      </c>
      <c r="Q750" s="123"/>
      <c r="R750" s="122">
        <v>1</v>
      </c>
      <c r="S750" s="123"/>
      <c r="T750" s="122">
        <v>1</v>
      </c>
      <c r="U750" s="123"/>
      <c r="V750" s="122">
        <v>8858890799014</v>
      </c>
    </row>
    <row r="751" ht="15.75" customHeight="1" spans="1:22" x14ac:dyDescent="0.25">
      <c r="A751" s="122" t="s">
        <v>273</v>
      </c>
      <c r="B751" s="123"/>
      <c r="C751" s="123"/>
      <c r="D751" s="122" t="s">
        <v>2228</v>
      </c>
      <c r="E751" s="123"/>
      <c r="F751" s="122" t="s">
        <v>779</v>
      </c>
      <c r="G751" s="122" t="s">
        <v>780</v>
      </c>
      <c r="H751" s="122" t="s">
        <v>1507</v>
      </c>
      <c r="I751" s="122" t="s">
        <v>733</v>
      </c>
      <c r="J751" s="122">
        <v>65</v>
      </c>
      <c r="K751" s="122">
        <v>50</v>
      </c>
      <c r="L751" s="122">
        <v>0</v>
      </c>
      <c r="M751" s="122">
        <v>69</v>
      </c>
      <c r="N751" s="122">
        <v>90</v>
      </c>
      <c r="O751" s="122">
        <v>100</v>
      </c>
      <c r="P751" s="122">
        <v>122</v>
      </c>
      <c r="Q751" s="123"/>
      <c r="R751" s="122">
        <v>1</v>
      </c>
      <c r="S751" s="123"/>
      <c r="T751" s="122">
        <v>1</v>
      </c>
      <c r="U751" s="123"/>
      <c r="V751" s="122">
        <v>8858890799021</v>
      </c>
    </row>
    <row r="752" ht="15.75" customHeight="1" spans="1:22" x14ac:dyDescent="0.25">
      <c r="A752" s="122" t="s">
        <v>274</v>
      </c>
      <c r="B752" s="123"/>
      <c r="C752" s="123"/>
      <c r="D752" s="122" t="s">
        <v>2229</v>
      </c>
      <c r="E752" s="123"/>
      <c r="F752" s="122" t="s">
        <v>779</v>
      </c>
      <c r="G752" s="122" t="s">
        <v>780</v>
      </c>
      <c r="H752" s="122" t="s">
        <v>1507</v>
      </c>
      <c r="I752" s="122" t="s">
        <v>733</v>
      </c>
      <c r="J752" s="122">
        <v>65</v>
      </c>
      <c r="K752" s="122">
        <v>50</v>
      </c>
      <c r="L752" s="122">
        <v>0</v>
      </c>
      <c r="M752" s="122">
        <v>69</v>
      </c>
      <c r="N752" s="122">
        <v>90</v>
      </c>
      <c r="O752" s="122">
        <v>100</v>
      </c>
      <c r="P752" s="122">
        <v>114</v>
      </c>
      <c r="Q752" s="123"/>
      <c r="R752" s="122">
        <v>1</v>
      </c>
      <c r="S752" s="123"/>
      <c r="T752" s="122">
        <v>1</v>
      </c>
      <c r="U752" s="123"/>
      <c r="V752" s="122">
        <v>8858890799038</v>
      </c>
    </row>
    <row r="753" ht="15.75" customHeight="1" spans="1:22" x14ac:dyDescent="0.25">
      <c r="A753" s="122" t="s">
        <v>275</v>
      </c>
      <c r="B753" s="123"/>
      <c r="C753" s="123"/>
      <c r="D753" s="122" t="s">
        <v>2230</v>
      </c>
      <c r="E753" s="123"/>
      <c r="F753" s="122" t="s">
        <v>779</v>
      </c>
      <c r="G753" s="122" t="s">
        <v>780</v>
      </c>
      <c r="H753" s="122" t="s">
        <v>1507</v>
      </c>
      <c r="I753" s="122" t="s">
        <v>733</v>
      </c>
      <c r="J753" s="122">
        <v>65</v>
      </c>
      <c r="K753" s="122">
        <v>50</v>
      </c>
      <c r="L753" s="122">
        <v>0</v>
      </c>
      <c r="M753" s="122">
        <v>69</v>
      </c>
      <c r="N753" s="122">
        <v>90</v>
      </c>
      <c r="O753" s="122">
        <v>100</v>
      </c>
      <c r="P753" s="122">
        <v>131</v>
      </c>
      <c r="Q753" s="123"/>
      <c r="R753" s="122">
        <v>1</v>
      </c>
      <c r="S753" s="123"/>
      <c r="T753" s="122">
        <v>1</v>
      </c>
      <c r="U753" s="123"/>
      <c r="V753" s="122">
        <v>8858890799045</v>
      </c>
    </row>
    <row r="754" ht="15.75" customHeight="1" spans="1:22" x14ac:dyDescent="0.25">
      <c r="A754" s="122" t="s">
        <v>276</v>
      </c>
      <c r="B754" s="123"/>
      <c r="C754" s="123"/>
      <c r="D754" s="122" t="s">
        <v>2231</v>
      </c>
      <c r="E754" s="123"/>
      <c r="F754" s="122" t="s">
        <v>779</v>
      </c>
      <c r="G754" s="122" t="s">
        <v>780</v>
      </c>
      <c r="H754" s="122" t="s">
        <v>1507</v>
      </c>
      <c r="I754" s="122" t="s">
        <v>733</v>
      </c>
      <c r="J754" s="122">
        <v>65</v>
      </c>
      <c r="K754" s="122">
        <v>50</v>
      </c>
      <c r="L754" s="122">
        <v>0</v>
      </c>
      <c r="M754" s="122">
        <v>69</v>
      </c>
      <c r="N754" s="122">
        <v>90</v>
      </c>
      <c r="O754" s="122">
        <v>100</v>
      </c>
      <c r="P754" s="122">
        <v>147</v>
      </c>
      <c r="Q754" s="123"/>
      <c r="R754" s="122">
        <v>1</v>
      </c>
      <c r="S754" s="123"/>
      <c r="T754" s="122">
        <v>1</v>
      </c>
      <c r="U754" s="123"/>
      <c r="V754" s="122">
        <v>8858890799052</v>
      </c>
    </row>
    <row r="755" ht="15.75" customHeight="1" spans="1:22" x14ac:dyDescent="0.25">
      <c r="A755" s="122" t="s">
        <v>277</v>
      </c>
      <c r="B755" s="123"/>
      <c r="C755" s="123"/>
      <c r="D755" s="122" t="s">
        <v>2232</v>
      </c>
      <c r="E755" s="123"/>
      <c r="F755" s="122" t="s">
        <v>779</v>
      </c>
      <c r="G755" s="122" t="s">
        <v>780</v>
      </c>
      <c r="H755" s="122" t="s">
        <v>1507</v>
      </c>
      <c r="I755" s="122" t="s">
        <v>733</v>
      </c>
      <c r="J755" s="122">
        <v>65</v>
      </c>
      <c r="K755" s="122">
        <v>50</v>
      </c>
      <c r="L755" s="122">
        <v>0</v>
      </c>
      <c r="M755" s="122">
        <v>69</v>
      </c>
      <c r="N755" s="122">
        <v>90</v>
      </c>
      <c r="O755" s="122">
        <v>100</v>
      </c>
      <c r="P755" s="122">
        <v>126</v>
      </c>
      <c r="Q755" s="123"/>
      <c r="R755" s="122">
        <v>1</v>
      </c>
      <c r="S755" s="123"/>
      <c r="T755" s="122">
        <v>1</v>
      </c>
      <c r="U755" s="123"/>
      <c r="V755" s="122">
        <v>8858890799069</v>
      </c>
    </row>
    <row r="756" ht="15.75" customHeight="1" spans="1:22" x14ac:dyDescent="0.25">
      <c r="A756" s="122" t="s">
        <v>278</v>
      </c>
      <c r="B756" s="123"/>
      <c r="C756" s="123"/>
      <c r="D756" s="122" t="s">
        <v>2233</v>
      </c>
      <c r="E756" s="123"/>
      <c r="F756" s="122" t="s">
        <v>779</v>
      </c>
      <c r="G756" s="122" t="s">
        <v>780</v>
      </c>
      <c r="H756" s="122" t="s">
        <v>1507</v>
      </c>
      <c r="I756" s="122" t="s">
        <v>733</v>
      </c>
      <c r="J756" s="122">
        <v>65</v>
      </c>
      <c r="K756" s="122">
        <v>50</v>
      </c>
      <c r="L756" s="122">
        <v>0</v>
      </c>
      <c r="M756" s="122">
        <v>69</v>
      </c>
      <c r="N756" s="122">
        <v>90</v>
      </c>
      <c r="O756" s="122">
        <v>100</v>
      </c>
      <c r="P756" s="122">
        <v>157</v>
      </c>
      <c r="Q756" s="123"/>
      <c r="R756" s="122">
        <v>1</v>
      </c>
      <c r="S756" s="123"/>
      <c r="T756" s="122">
        <v>1</v>
      </c>
      <c r="U756" s="123"/>
      <c r="V756" s="122">
        <v>8858890799076</v>
      </c>
    </row>
    <row r="757" ht="15.75" customHeight="1" spans="1:22" x14ac:dyDescent="0.25">
      <c r="A757" s="122" t="s">
        <v>279</v>
      </c>
      <c r="B757" s="123"/>
      <c r="C757" s="123"/>
      <c r="D757" s="122" t="s">
        <v>2234</v>
      </c>
      <c r="E757" s="123"/>
      <c r="F757" s="122" t="s">
        <v>779</v>
      </c>
      <c r="G757" s="122" t="s">
        <v>780</v>
      </c>
      <c r="H757" s="122" t="s">
        <v>1507</v>
      </c>
      <c r="I757" s="122" t="s">
        <v>733</v>
      </c>
      <c r="J757" s="122">
        <v>65</v>
      </c>
      <c r="K757" s="122">
        <v>50</v>
      </c>
      <c r="L757" s="122">
        <v>0</v>
      </c>
      <c r="M757" s="122">
        <v>69</v>
      </c>
      <c r="N757" s="122">
        <v>90</v>
      </c>
      <c r="O757" s="122">
        <v>100</v>
      </c>
      <c r="P757" s="122">
        <v>145</v>
      </c>
      <c r="Q757" s="123"/>
      <c r="R757" s="122">
        <v>1</v>
      </c>
      <c r="S757" s="123"/>
      <c r="T757" s="122">
        <v>1</v>
      </c>
      <c r="U757" s="123"/>
      <c r="V757" s="122">
        <v>8858890799083</v>
      </c>
    </row>
    <row r="758" ht="15.75" customHeight="1" spans="1:22" x14ac:dyDescent="0.25">
      <c r="A758" s="122" t="s">
        <v>280</v>
      </c>
      <c r="B758" s="123"/>
      <c r="C758" s="123"/>
      <c r="D758" s="122" t="s">
        <v>2235</v>
      </c>
      <c r="E758" s="123"/>
      <c r="F758" s="122" t="s">
        <v>779</v>
      </c>
      <c r="G758" s="122" t="s">
        <v>780</v>
      </c>
      <c r="H758" s="122" t="s">
        <v>1507</v>
      </c>
      <c r="I758" s="122" t="s">
        <v>733</v>
      </c>
      <c r="J758" s="122">
        <v>65</v>
      </c>
      <c r="K758" s="122">
        <v>50</v>
      </c>
      <c r="L758" s="122">
        <v>0</v>
      </c>
      <c r="M758" s="122">
        <v>69</v>
      </c>
      <c r="N758" s="122">
        <v>90</v>
      </c>
      <c r="O758" s="122">
        <v>100</v>
      </c>
      <c r="P758" s="122">
        <v>153</v>
      </c>
      <c r="Q758" s="123"/>
      <c r="R758" s="122">
        <v>1</v>
      </c>
      <c r="S758" s="123"/>
      <c r="T758" s="122">
        <v>1</v>
      </c>
      <c r="U758" s="123"/>
      <c r="V758" s="122">
        <v>8858890799090</v>
      </c>
    </row>
    <row r="759" ht="15.75" customHeight="1" spans="1:22" x14ac:dyDescent="0.25">
      <c r="A759" s="122" t="s">
        <v>281</v>
      </c>
      <c r="B759" s="123"/>
      <c r="C759" s="123"/>
      <c r="D759" s="122" t="s">
        <v>2236</v>
      </c>
      <c r="E759" s="123"/>
      <c r="F759" s="122" t="s">
        <v>779</v>
      </c>
      <c r="G759" s="122" t="s">
        <v>780</v>
      </c>
      <c r="H759" s="122" t="s">
        <v>1507</v>
      </c>
      <c r="I759" s="122" t="s">
        <v>733</v>
      </c>
      <c r="J759" s="122">
        <v>65</v>
      </c>
      <c r="K759" s="122">
        <v>50</v>
      </c>
      <c r="L759" s="122">
        <v>0</v>
      </c>
      <c r="M759" s="122">
        <v>69</v>
      </c>
      <c r="N759" s="122">
        <v>90</v>
      </c>
      <c r="O759" s="122">
        <v>100</v>
      </c>
      <c r="P759" s="122">
        <v>92</v>
      </c>
      <c r="Q759" s="123"/>
      <c r="R759" s="122">
        <v>1</v>
      </c>
      <c r="S759" s="123"/>
      <c r="T759" s="122">
        <v>1</v>
      </c>
      <c r="U759" s="123"/>
      <c r="V759" s="122">
        <v>8858890799106</v>
      </c>
    </row>
    <row r="760" ht="15.75" customHeight="1" spans="1:22" x14ac:dyDescent="0.25">
      <c r="A760" s="122" t="s">
        <v>282</v>
      </c>
      <c r="B760" s="123"/>
      <c r="C760" s="123"/>
      <c r="D760" s="122" t="s">
        <v>2237</v>
      </c>
      <c r="E760" s="123"/>
      <c r="F760" s="122" t="s">
        <v>779</v>
      </c>
      <c r="G760" s="122" t="s">
        <v>780</v>
      </c>
      <c r="H760" s="122" t="s">
        <v>1507</v>
      </c>
      <c r="I760" s="122" t="s">
        <v>733</v>
      </c>
      <c r="J760" s="122">
        <v>65</v>
      </c>
      <c r="K760" s="122">
        <v>50</v>
      </c>
      <c r="L760" s="122">
        <v>0</v>
      </c>
      <c r="M760" s="122">
        <v>69</v>
      </c>
      <c r="N760" s="122">
        <v>90</v>
      </c>
      <c r="O760" s="122">
        <v>100</v>
      </c>
      <c r="P760" s="122">
        <v>146</v>
      </c>
      <c r="Q760" s="123"/>
      <c r="R760" s="122">
        <v>1</v>
      </c>
      <c r="S760" s="123"/>
      <c r="T760" s="122">
        <v>1</v>
      </c>
      <c r="U760" s="123"/>
      <c r="V760" s="122">
        <v>8858890799113</v>
      </c>
    </row>
    <row r="761" ht="15.75" customHeight="1" spans="1:22" x14ac:dyDescent="0.25">
      <c r="A761" s="122" t="s">
        <v>283</v>
      </c>
      <c r="B761" s="123"/>
      <c r="C761" s="123"/>
      <c r="D761" s="122" t="s">
        <v>2238</v>
      </c>
      <c r="E761" s="123"/>
      <c r="F761" s="122" t="s">
        <v>779</v>
      </c>
      <c r="G761" s="122" t="s">
        <v>780</v>
      </c>
      <c r="H761" s="122" t="s">
        <v>1507</v>
      </c>
      <c r="I761" s="122" t="s">
        <v>733</v>
      </c>
      <c r="J761" s="122">
        <v>65</v>
      </c>
      <c r="K761" s="122">
        <v>50</v>
      </c>
      <c r="L761" s="122">
        <v>0</v>
      </c>
      <c r="M761" s="122">
        <v>69</v>
      </c>
      <c r="N761" s="122">
        <v>90</v>
      </c>
      <c r="O761" s="122">
        <v>100</v>
      </c>
      <c r="P761" s="122">
        <v>156</v>
      </c>
      <c r="Q761" s="123"/>
      <c r="R761" s="122">
        <v>1</v>
      </c>
      <c r="S761" s="123"/>
      <c r="T761" s="122">
        <v>1</v>
      </c>
      <c r="U761" s="123"/>
      <c r="V761" s="122">
        <v>8858890799120</v>
      </c>
    </row>
    <row r="762" ht="15.75" customHeight="1" spans="1:22" x14ac:dyDescent="0.25">
      <c r="A762" s="122" t="s">
        <v>284</v>
      </c>
      <c r="B762" s="123"/>
      <c r="C762" s="123"/>
      <c r="D762" s="122" t="s">
        <v>2239</v>
      </c>
      <c r="E762" s="123"/>
      <c r="F762" s="122" t="s">
        <v>779</v>
      </c>
      <c r="G762" s="122" t="s">
        <v>780</v>
      </c>
      <c r="H762" s="122" t="s">
        <v>1507</v>
      </c>
      <c r="I762" s="122" t="s">
        <v>733</v>
      </c>
      <c r="J762" s="122">
        <v>65</v>
      </c>
      <c r="K762" s="122">
        <v>50</v>
      </c>
      <c r="L762" s="122">
        <v>0</v>
      </c>
      <c r="M762" s="122">
        <v>69</v>
      </c>
      <c r="N762" s="122">
        <v>90</v>
      </c>
      <c r="O762" s="122">
        <v>100</v>
      </c>
      <c r="P762" s="122">
        <v>152</v>
      </c>
      <c r="Q762" s="123"/>
      <c r="R762" s="122">
        <v>1</v>
      </c>
      <c r="S762" s="123"/>
      <c r="T762" s="122">
        <v>1</v>
      </c>
      <c r="U762" s="123"/>
      <c r="V762" s="122">
        <v>8858890799137</v>
      </c>
    </row>
    <row r="763" ht="15.75" customHeight="1" spans="1:22" x14ac:dyDescent="0.25">
      <c r="A763" s="122" t="s">
        <v>285</v>
      </c>
      <c r="B763" s="123"/>
      <c r="C763" s="123"/>
      <c r="D763" s="122" t="s">
        <v>2240</v>
      </c>
      <c r="E763" s="123"/>
      <c r="F763" s="122" t="s">
        <v>779</v>
      </c>
      <c r="G763" s="122" t="s">
        <v>780</v>
      </c>
      <c r="H763" s="122" t="s">
        <v>1507</v>
      </c>
      <c r="I763" s="122" t="s">
        <v>733</v>
      </c>
      <c r="J763" s="122">
        <v>65</v>
      </c>
      <c r="K763" s="122">
        <v>50</v>
      </c>
      <c r="L763" s="122">
        <v>0</v>
      </c>
      <c r="M763" s="122">
        <v>69</v>
      </c>
      <c r="N763" s="122">
        <v>90</v>
      </c>
      <c r="O763" s="122">
        <v>100</v>
      </c>
      <c r="P763" s="122">
        <v>146</v>
      </c>
      <c r="Q763" s="123"/>
      <c r="R763" s="122">
        <v>1</v>
      </c>
      <c r="S763" s="123"/>
      <c r="T763" s="122">
        <v>1</v>
      </c>
      <c r="U763" s="123"/>
      <c r="V763" s="122">
        <v>8858890799144</v>
      </c>
    </row>
    <row r="764" ht="15.75" customHeight="1" spans="1:22" x14ac:dyDescent="0.25">
      <c r="A764" s="122" t="s">
        <v>286</v>
      </c>
      <c r="B764" s="123"/>
      <c r="C764" s="123"/>
      <c r="D764" s="122" t="s">
        <v>2241</v>
      </c>
      <c r="E764" s="123"/>
      <c r="F764" s="122" t="s">
        <v>779</v>
      </c>
      <c r="G764" s="122" t="s">
        <v>780</v>
      </c>
      <c r="H764" s="122" t="s">
        <v>1507</v>
      </c>
      <c r="I764" s="122" t="s">
        <v>733</v>
      </c>
      <c r="J764" s="122">
        <v>65</v>
      </c>
      <c r="K764" s="122">
        <v>35</v>
      </c>
      <c r="L764" s="122">
        <v>0</v>
      </c>
      <c r="M764" s="122">
        <v>75</v>
      </c>
      <c r="N764" s="122">
        <v>90</v>
      </c>
      <c r="O764" s="122">
        <v>100</v>
      </c>
      <c r="P764" s="122">
        <v>142</v>
      </c>
      <c r="Q764" s="123"/>
      <c r="R764" s="122">
        <v>1</v>
      </c>
      <c r="S764" s="123"/>
      <c r="T764" s="122">
        <v>1</v>
      </c>
      <c r="U764" s="123"/>
      <c r="V764" s="122">
        <v>8858890799168</v>
      </c>
    </row>
    <row r="765" ht="15.75" customHeight="1" spans="1:22" x14ac:dyDescent="0.25">
      <c r="A765" s="122" t="s">
        <v>287</v>
      </c>
      <c r="B765" s="123"/>
      <c r="C765" s="123"/>
      <c r="D765" s="122" t="s">
        <v>2242</v>
      </c>
      <c r="E765" s="123"/>
      <c r="F765" s="122" t="s">
        <v>779</v>
      </c>
      <c r="G765" s="122" t="s">
        <v>780</v>
      </c>
      <c r="H765" s="122" t="s">
        <v>1507</v>
      </c>
      <c r="I765" s="122" t="s">
        <v>733</v>
      </c>
      <c r="J765" s="122">
        <v>65</v>
      </c>
      <c r="K765" s="122">
        <v>50</v>
      </c>
      <c r="L765" s="122">
        <v>0</v>
      </c>
      <c r="M765" s="122">
        <v>69</v>
      </c>
      <c r="N765" s="122">
        <v>90</v>
      </c>
      <c r="O765" s="122">
        <v>100</v>
      </c>
      <c r="P765" s="122">
        <v>129</v>
      </c>
      <c r="Q765" s="123"/>
      <c r="R765" s="122">
        <v>1</v>
      </c>
      <c r="S765" s="123"/>
      <c r="T765" s="122">
        <v>1</v>
      </c>
      <c r="U765" s="123"/>
      <c r="V765" s="122">
        <v>8858890799175</v>
      </c>
    </row>
    <row r="766" ht="15.75" customHeight="1" spans="1:22" x14ac:dyDescent="0.25">
      <c r="A766" s="122" t="s">
        <v>288</v>
      </c>
      <c r="B766" s="123"/>
      <c r="C766" s="123"/>
      <c r="D766" s="122" t="s">
        <v>2243</v>
      </c>
      <c r="E766" s="123"/>
      <c r="F766" s="122" t="s">
        <v>779</v>
      </c>
      <c r="G766" s="122" t="s">
        <v>780</v>
      </c>
      <c r="H766" s="122" t="s">
        <v>1507</v>
      </c>
      <c r="I766" s="122" t="s">
        <v>733</v>
      </c>
      <c r="J766" s="122">
        <v>65</v>
      </c>
      <c r="K766" s="122">
        <v>50</v>
      </c>
      <c r="L766" s="122">
        <v>0</v>
      </c>
      <c r="M766" s="122">
        <v>69</v>
      </c>
      <c r="N766" s="122">
        <v>90</v>
      </c>
      <c r="O766" s="122">
        <v>100</v>
      </c>
      <c r="P766" s="122">
        <v>105</v>
      </c>
      <c r="Q766" s="123"/>
      <c r="R766" s="122">
        <v>1</v>
      </c>
      <c r="S766" s="123"/>
      <c r="T766" s="122">
        <v>1</v>
      </c>
      <c r="U766" s="123"/>
      <c r="V766" s="122">
        <v>8858890799182</v>
      </c>
    </row>
    <row r="767" ht="15.75" customHeight="1" spans="1:22" x14ac:dyDescent="0.25">
      <c r="A767" s="122" t="s">
        <v>289</v>
      </c>
      <c r="B767" s="123"/>
      <c r="C767" s="123"/>
      <c r="D767" s="122" t="s">
        <v>2244</v>
      </c>
      <c r="E767" s="123"/>
      <c r="F767" s="122" t="s">
        <v>779</v>
      </c>
      <c r="G767" s="122" t="s">
        <v>780</v>
      </c>
      <c r="H767" s="122" t="s">
        <v>1507</v>
      </c>
      <c r="I767" s="122" t="s">
        <v>733</v>
      </c>
      <c r="J767" s="122">
        <v>65</v>
      </c>
      <c r="K767" s="122">
        <v>50</v>
      </c>
      <c r="L767" s="122">
        <v>0</v>
      </c>
      <c r="M767" s="122">
        <v>69</v>
      </c>
      <c r="N767" s="122">
        <v>90</v>
      </c>
      <c r="O767" s="122">
        <v>100</v>
      </c>
      <c r="P767" s="122">
        <v>95</v>
      </c>
      <c r="Q767" s="123"/>
      <c r="R767" s="122">
        <v>1</v>
      </c>
      <c r="S767" s="123"/>
      <c r="T767" s="122">
        <v>1</v>
      </c>
      <c r="U767" s="123"/>
      <c r="V767" s="122">
        <v>8858890799199</v>
      </c>
    </row>
    <row r="768" ht="15.75" customHeight="1" spans="1:22" x14ac:dyDescent="0.25">
      <c r="A768" s="122" t="s">
        <v>2245</v>
      </c>
      <c r="B768" s="123"/>
      <c r="C768" s="123"/>
      <c r="D768" s="122" t="s">
        <v>2246</v>
      </c>
      <c r="E768" s="123"/>
      <c r="F768" s="122" t="s">
        <v>2225</v>
      </c>
      <c r="G768" s="122" t="s">
        <v>1993</v>
      </c>
      <c r="H768" s="122" t="s">
        <v>2226</v>
      </c>
      <c r="I768" s="122" t="s">
        <v>733</v>
      </c>
      <c r="J768" s="122">
        <v>85</v>
      </c>
      <c r="K768" s="122">
        <v>0</v>
      </c>
      <c r="L768" s="122">
        <v>0</v>
      </c>
      <c r="M768" s="122">
        <v>0</v>
      </c>
      <c r="N768" s="122">
        <v>115</v>
      </c>
      <c r="O768" s="122">
        <v>185</v>
      </c>
      <c r="P768" s="122">
        <v>20</v>
      </c>
      <c r="Q768" s="123"/>
      <c r="R768" s="122">
        <v>1</v>
      </c>
      <c r="S768" s="123"/>
      <c r="T768" s="122">
        <v>1</v>
      </c>
      <c r="U768" s="123"/>
      <c r="V768" s="122">
        <v>8858890800062</v>
      </c>
    </row>
    <row r="769" ht="15.75" customHeight="1" spans="1:22" x14ac:dyDescent="0.25">
      <c r="A769" s="122" t="s">
        <v>2247</v>
      </c>
      <c r="B769" s="123"/>
      <c r="C769" s="123"/>
      <c r="D769" s="122" t="s">
        <v>2248</v>
      </c>
      <c r="E769" s="123"/>
      <c r="F769" s="122" t="s">
        <v>2225</v>
      </c>
      <c r="G769" s="122" t="s">
        <v>1993</v>
      </c>
      <c r="H769" s="122" t="s">
        <v>2226</v>
      </c>
      <c r="I769" s="122" t="s">
        <v>733</v>
      </c>
      <c r="J769" s="122">
        <v>85</v>
      </c>
      <c r="K769" s="122">
        <v>0</v>
      </c>
      <c r="L769" s="122">
        <v>0</v>
      </c>
      <c r="M769" s="122">
        <v>0</v>
      </c>
      <c r="N769" s="122">
        <v>115</v>
      </c>
      <c r="O769" s="122">
        <v>185</v>
      </c>
      <c r="P769" s="122">
        <v>20</v>
      </c>
      <c r="Q769" s="123"/>
      <c r="R769" s="122">
        <v>1</v>
      </c>
      <c r="S769" s="123"/>
      <c r="T769" s="122">
        <v>1</v>
      </c>
      <c r="U769" s="123"/>
      <c r="V769" s="122">
        <v>8858890800024</v>
      </c>
    </row>
    <row r="770" ht="15.75" customHeight="1" spans="1:22" x14ac:dyDescent="0.25">
      <c r="A770" s="122" t="s">
        <v>2249</v>
      </c>
      <c r="B770" s="123"/>
      <c r="C770" s="123"/>
      <c r="D770" s="122" t="s">
        <v>2250</v>
      </c>
      <c r="E770" s="123"/>
      <c r="F770" s="122" t="s">
        <v>2225</v>
      </c>
      <c r="G770" s="122" t="s">
        <v>1993</v>
      </c>
      <c r="H770" s="122" t="s">
        <v>2226</v>
      </c>
      <c r="I770" s="122" t="s">
        <v>733</v>
      </c>
      <c r="J770" s="122">
        <v>85</v>
      </c>
      <c r="K770" s="122">
        <v>0</v>
      </c>
      <c r="L770" s="122">
        <v>0</v>
      </c>
      <c r="M770" s="122">
        <v>0</v>
      </c>
      <c r="N770" s="122">
        <v>115</v>
      </c>
      <c r="O770" s="122">
        <v>185</v>
      </c>
      <c r="P770" s="122">
        <v>20</v>
      </c>
      <c r="Q770" s="123"/>
      <c r="R770" s="122">
        <v>1</v>
      </c>
      <c r="S770" s="123"/>
      <c r="T770" s="122">
        <v>1</v>
      </c>
      <c r="U770" s="123"/>
      <c r="V770" s="122">
        <v>8858890800048</v>
      </c>
    </row>
    <row r="771" ht="15.75" customHeight="1" spans="1:22" x14ac:dyDescent="0.25">
      <c r="A771" s="122" t="s">
        <v>2251</v>
      </c>
      <c r="B771" s="123"/>
      <c r="C771" s="123"/>
      <c r="D771" s="122" t="s">
        <v>2252</v>
      </c>
      <c r="E771" s="123"/>
      <c r="F771" s="122" t="s">
        <v>2225</v>
      </c>
      <c r="G771" s="122" t="s">
        <v>1993</v>
      </c>
      <c r="H771" s="122" t="s">
        <v>2226</v>
      </c>
      <c r="I771" s="122" t="s">
        <v>733</v>
      </c>
      <c r="J771" s="122">
        <v>85</v>
      </c>
      <c r="K771" s="122">
        <v>0</v>
      </c>
      <c r="L771" s="122">
        <v>0</v>
      </c>
      <c r="M771" s="122">
        <v>0</v>
      </c>
      <c r="N771" s="122">
        <v>115</v>
      </c>
      <c r="O771" s="122">
        <v>185</v>
      </c>
      <c r="P771" s="122">
        <v>20</v>
      </c>
      <c r="Q771" s="123"/>
      <c r="R771" s="122">
        <v>1</v>
      </c>
      <c r="S771" s="123"/>
      <c r="T771" s="122">
        <v>1</v>
      </c>
      <c r="U771" s="123"/>
      <c r="V771" s="122">
        <v>8858890800031</v>
      </c>
    </row>
    <row r="772" ht="15.75" customHeight="1" spans="1:22" x14ac:dyDescent="0.25">
      <c r="A772" s="122" t="s">
        <v>2253</v>
      </c>
      <c r="B772" s="123"/>
      <c r="C772" s="123"/>
      <c r="D772" s="122" t="s">
        <v>2254</v>
      </c>
      <c r="E772" s="123"/>
      <c r="F772" s="122" t="s">
        <v>742</v>
      </c>
      <c r="G772" s="122" t="s">
        <v>1495</v>
      </c>
      <c r="H772" s="122" t="s">
        <v>2000</v>
      </c>
      <c r="I772" s="122" t="s">
        <v>733</v>
      </c>
      <c r="J772" s="122">
        <v>80</v>
      </c>
      <c r="K772" s="122">
        <v>0</v>
      </c>
      <c r="L772" s="122">
        <v>0</v>
      </c>
      <c r="M772" s="122">
        <v>0</v>
      </c>
      <c r="N772" s="122">
        <v>150</v>
      </c>
      <c r="O772" s="122">
        <v>150</v>
      </c>
      <c r="P772" s="122">
        <v>2</v>
      </c>
      <c r="Q772" s="123"/>
      <c r="R772" s="122">
        <v>1</v>
      </c>
      <c r="S772" s="123"/>
      <c r="T772" s="123"/>
      <c r="U772" s="123"/>
      <c r="V772" s="122">
        <v>8858890797447</v>
      </c>
    </row>
    <row r="773" ht="15.75" customHeight="1" spans="1:22" x14ac:dyDescent="0.25">
      <c r="A773" s="122" t="s">
        <v>2255</v>
      </c>
      <c r="B773" s="123"/>
      <c r="C773" s="123"/>
      <c r="D773" s="122" t="s">
        <v>2256</v>
      </c>
      <c r="E773" s="123"/>
      <c r="F773" s="122" t="s">
        <v>742</v>
      </c>
      <c r="G773" s="122" t="s">
        <v>2257</v>
      </c>
      <c r="H773" s="122" t="s">
        <v>2258</v>
      </c>
      <c r="I773" s="122" t="s">
        <v>733</v>
      </c>
      <c r="J773" s="122">
        <v>220</v>
      </c>
      <c r="K773" s="122">
        <v>0</v>
      </c>
      <c r="L773" s="122">
        <v>0</v>
      </c>
      <c r="M773" s="122">
        <v>0</v>
      </c>
      <c r="N773" s="122">
        <v>499</v>
      </c>
      <c r="O773" s="122">
        <v>499</v>
      </c>
      <c r="P773" s="122">
        <v>2</v>
      </c>
      <c r="Q773" s="123"/>
      <c r="R773" s="122">
        <v>1</v>
      </c>
      <c r="S773" s="123"/>
      <c r="T773" s="123"/>
      <c r="U773" s="123"/>
      <c r="V773" s="123"/>
    </row>
    <row r="774" ht="15.75" customHeight="1" spans="1:22" x14ac:dyDescent="0.25">
      <c r="A774" s="122" t="s">
        <v>2259</v>
      </c>
      <c r="B774" s="123"/>
      <c r="C774" s="123"/>
      <c r="D774" s="122" t="s">
        <v>2256</v>
      </c>
      <c r="E774" s="123"/>
      <c r="F774" s="122" t="s">
        <v>742</v>
      </c>
      <c r="G774" s="122" t="s">
        <v>2257</v>
      </c>
      <c r="H774" s="122" t="s">
        <v>2258</v>
      </c>
      <c r="I774" s="122" t="s">
        <v>733</v>
      </c>
      <c r="J774" s="122">
        <v>230</v>
      </c>
      <c r="K774" s="122">
        <v>0</v>
      </c>
      <c r="L774" s="122">
        <v>0</v>
      </c>
      <c r="M774" s="122">
        <v>0</v>
      </c>
      <c r="N774" s="122">
        <v>499</v>
      </c>
      <c r="O774" s="122">
        <v>499</v>
      </c>
      <c r="P774" s="122">
        <v>2</v>
      </c>
      <c r="Q774" s="123"/>
      <c r="R774" s="122">
        <v>1</v>
      </c>
      <c r="S774" s="123"/>
      <c r="T774" s="123"/>
      <c r="U774" s="123"/>
      <c r="V774" s="123"/>
    </row>
    <row r="775" ht="15.75" customHeight="1" spans="1:22" x14ac:dyDescent="0.25">
      <c r="A775" s="122" t="s">
        <v>2260</v>
      </c>
      <c r="B775" s="123"/>
      <c r="C775" s="123"/>
      <c r="D775" s="122" t="s">
        <v>2261</v>
      </c>
      <c r="E775" s="123"/>
      <c r="F775" s="122" t="s">
        <v>742</v>
      </c>
      <c r="G775" s="122" t="s">
        <v>2257</v>
      </c>
      <c r="H775" s="122" t="s">
        <v>2262</v>
      </c>
      <c r="I775" s="122" t="s">
        <v>733</v>
      </c>
      <c r="J775" s="122">
        <v>144</v>
      </c>
      <c r="K775" s="122">
        <v>0</v>
      </c>
      <c r="L775" s="122">
        <v>0</v>
      </c>
      <c r="M775" s="122">
        <v>0</v>
      </c>
      <c r="N775" s="122">
        <v>300</v>
      </c>
      <c r="O775" s="122">
        <v>300</v>
      </c>
      <c r="P775" s="122">
        <v>0</v>
      </c>
      <c r="Q775" s="123"/>
      <c r="R775" s="122">
        <v>1</v>
      </c>
      <c r="S775" s="123"/>
      <c r="T775" s="123"/>
      <c r="U775" s="123"/>
      <c r="V775" s="123"/>
    </row>
    <row r="776" ht="15.75" customHeight="1" spans="1:22" x14ac:dyDescent="0.25">
      <c r="A776" s="122" t="s">
        <v>2263</v>
      </c>
      <c r="B776" s="123"/>
      <c r="C776" s="123"/>
      <c r="D776" s="122" t="s">
        <v>2264</v>
      </c>
      <c r="E776" s="123"/>
      <c r="F776" s="122" t="s">
        <v>742</v>
      </c>
      <c r="G776" s="122" t="s">
        <v>2257</v>
      </c>
      <c r="H776" s="122" t="s">
        <v>2258</v>
      </c>
      <c r="I776" s="122" t="s">
        <v>733</v>
      </c>
      <c r="J776" s="122">
        <v>260</v>
      </c>
      <c r="K776" s="122">
        <v>0</v>
      </c>
      <c r="L776" s="122">
        <v>0</v>
      </c>
      <c r="M776" s="122">
        <v>0</v>
      </c>
      <c r="N776" s="122">
        <v>499</v>
      </c>
      <c r="O776" s="122">
        <v>499</v>
      </c>
      <c r="P776" s="122">
        <v>2</v>
      </c>
      <c r="Q776" s="123"/>
      <c r="R776" s="122">
        <v>1</v>
      </c>
      <c r="S776" s="123"/>
      <c r="T776" s="123"/>
      <c r="U776" s="123"/>
      <c r="V776" s="123"/>
    </row>
    <row r="777" ht="15.75" customHeight="1" spans="1:22" x14ac:dyDescent="0.25">
      <c r="A777" s="122" t="s">
        <v>2265</v>
      </c>
      <c r="B777" s="123"/>
      <c r="C777" s="123"/>
      <c r="D777" s="122" t="s">
        <v>2256</v>
      </c>
      <c r="E777" s="123"/>
      <c r="F777" s="122" t="s">
        <v>742</v>
      </c>
      <c r="G777" s="122" t="s">
        <v>2257</v>
      </c>
      <c r="H777" s="122" t="s">
        <v>2258</v>
      </c>
      <c r="I777" s="122" t="s">
        <v>733</v>
      </c>
      <c r="J777" s="122">
        <v>220</v>
      </c>
      <c r="K777" s="122">
        <v>0</v>
      </c>
      <c r="L777" s="122">
        <v>0</v>
      </c>
      <c r="M777" s="122">
        <v>0</v>
      </c>
      <c r="N777" s="122">
        <v>499</v>
      </c>
      <c r="O777" s="122">
        <v>499</v>
      </c>
      <c r="P777" s="122">
        <v>2</v>
      </c>
      <c r="Q777" s="123"/>
      <c r="R777" s="122">
        <v>1</v>
      </c>
      <c r="S777" s="123"/>
      <c r="T777" s="123"/>
      <c r="U777" s="123"/>
      <c r="V777" s="123"/>
    </row>
    <row r="778" ht="15.75" customHeight="1" spans="1:22" x14ac:dyDescent="0.25">
      <c r="A778" s="122" t="s">
        <v>539</v>
      </c>
      <c r="B778" s="123"/>
      <c r="C778" s="123"/>
      <c r="D778" s="122" t="s">
        <v>2266</v>
      </c>
      <c r="E778" s="123"/>
      <c r="F778" s="122" t="s">
        <v>753</v>
      </c>
      <c r="G778" s="122" t="s">
        <v>771</v>
      </c>
      <c r="H778" s="122" t="s">
        <v>1000</v>
      </c>
      <c r="I778" s="122" t="s">
        <v>733</v>
      </c>
      <c r="J778" s="122">
        <v>75</v>
      </c>
      <c r="K778" s="122">
        <v>75</v>
      </c>
      <c r="L778" s="122">
        <v>100</v>
      </c>
      <c r="M778" s="122">
        <v>85</v>
      </c>
      <c r="N778" s="122">
        <v>110</v>
      </c>
      <c r="O778" s="122">
        <v>110</v>
      </c>
      <c r="P778" s="122">
        <v>70</v>
      </c>
      <c r="Q778" s="123"/>
      <c r="R778" s="122">
        <v>1</v>
      </c>
      <c r="S778" s="123"/>
      <c r="T778" s="122">
        <v>1</v>
      </c>
      <c r="U778" s="123"/>
      <c r="V778" s="122">
        <v>8858890800239</v>
      </c>
    </row>
    <row r="779" ht="15.75" customHeight="1" spans="1:22" x14ac:dyDescent="0.25">
      <c r="A779" s="122" t="s">
        <v>540</v>
      </c>
      <c r="B779" s="123"/>
      <c r="C779" s="123"/>
      <c r="D779" s="122" t="s">
        <v>2266</v>
      </c>
      <c r="E779" s="123"/>
      <c r="F779" s="122" t="s">
        <v>753</v>
      </c>
      <c r="G779" s="122" t="s">
        <v>771</v>
      </c>
      <c r="H779" s="122" t="s">
        <v>1000</v>
      </c>
      <c r="I779" s="122" t="s">
        <v>733</v>
      </c>
      <c r="J779" s="122">
        <v>80</v>
      </c>
      <c r="K779" s="122">
        <v>80</v>
      </c>
      <c r="L779" s="122">
        <v>100</v>
      </c>
      <c r="M779" s="122">
        <v>90</v>
      </c>
      <c r="N779" s="122">
        <v>115</v>
      </c>
      <c r="O779" s="122">
        <v>115</v>
      </c>
      <c r="P779" s="122">
        <v>145</v>
      </c>
      <c r="Q779" s="123"/>
      <c r="R779" s="122">
        <v>1</v>
      </c>
      <c r="S779" s="123"/>
      <c r="T779" s="122">
        <v>1</v>
      </c>
      <c r="U779" s="123"/>
      <c r="V779" s="122">
        <v>8858890800246</v>
      </c>
    </row>
    <row r="780" ht="15.75" customHeight="1" spans="1:22" x14ac:dyDescent="0.25">
      <c r="A780" s="122" t="s">
        <v>446</v>
      </c>
      <c r="B780" s="123"/>
      <c r="C780" s="123"/>
      <c r="D780" s="122" t="s">
        <v>2267</v>
      </c>
      <c r="E780" s="123"/>
      <c r="F780" s="122" t="s">
        <v>753</v>
      </c>
      <c r="G780" s="122" t="s">
        <v>754</v>
      </c>
      <c r="H780" s="122" t="s">
        <v>1112</v>
      </c>
      <c r="I780" s="122" t="s">
        <v>733</v>
      </c>
      <c r="J780" s="122">
        <v>45</v>
      </c>
      <c r="K780" s="122">
        <v>50</v>
      </c>
      <c r="L780" s="122">
        <v>50</v>
      </c>
      <c r="M780" s="122">
        <v>45</v>
      </c>
      <c r="N780" s="122">
        <v>50</v>
      </c>
      <c r="O780" s="122">
        <v>50</v>
      </c>
      <c r="P780" s="122">
        <v>49</v>
      </c>
      <c r="Q780" s="123"/>
      <c r="R780" s="122">
        <v>1</v>
      </c>
      <c r="S780" s="123"/>
      <c r="T780" s="123"/>
      <c r="U780" s="123"/>
      <c r="V780" s="123"/>
    </row>
    <row r="781" ht="15.75" customHeight="1" spans="1:22" x14ac:dyDescent="0.25">
      <c r="A781" s="122" t="s">
        <v>541</v>
      </c>
      <c r="B781" s="123"/>
      <c r="C781" s="123"/>
      <c r="D781" s="122" t="s">
        <v>2268</v>
      </c>
      <c r="E781" s="123"/>
      <c r="F781" s="122" t="s">
        <v>753</v>
      </c>
      <c r="G781" s="122" t="s">
        <v>771</v>
      </c>
      <c r="H781" s="122" t="s">
        <v>1000</v>
      </c>
      <c r="I781" s="122" t="s">
        <v>733</v>
      </c>
      <c r="J781" s="122">
        <v>85</v>
      </c>
      <c r="K781" s="122">
        <v>85</v>
      </c>
      <c r="L781" s="122">
        <v>0</v>
      </c>
      <c r="M781" s="122">
        <v>95</v>
      </c>
      <c r="N781" s="122">
        <v>120</v>
      </c>
      <c r="O781" s="122">
        <v>120</v>
      </c>
      <c r="P781" s="122">
        <v>65</v>
      </c>
      <c r="Q781" s="123"/>
      <c r="R781" s="122">
        <v>1</v>
      </c>
      <c r="S781" s="123"/>
      <c r="T781" s="122">
        <v>1</v>
      </c>
      <c r="U781" s="123"/>
      <c r="V781" s="122">
        <v>8858890800451</v>
      </c>
    </row>
    <row r="782" ht="15.75" customHeight="1" spans="1:22" x14ac:dyDescent="0.25">
      <c r="A782" s="122" t="s">
        <v>542</v>
      </c>
      <c r="B782" s="123"/>
      <c r="C782" s="123"/>
      <c r="D782" s="122" t="s">
        <v>2269</v>
      </c>
      <c r="E782" s="123"/>
      <c r="F782" s="122" t="s">
        <v>753</v>
      </c>
      <c r="G782" s="122" t="s">
        <v>771</v>
      </c>
      <c r="H782" s="122" t="s">
        <v>1000</v>
      </c>
      <c r="I782" s="122" t="s">
        <v>733</v>
      </c>
      <c r="J782" s="122">
        <v>90</v>
      </c>
      <c r="K782" s="122">
        <v>90</v>
      </c>
      <c r="L782" s="122">
        <v>0</v>
      </c>
      <c r="M782" s="122">
        <v>100</v>
      </c>
      <c r="N782" s="122">
        <v>125</v>
      </c>
      <c r="O782" s="122">
        <v>125</v>
      </c>
      <c r="P782" s="122">
        <v>70</v>
      </c>
      <c r="Q782" s="123"/>
      <c r="R782" s="122">
        <v>1</v>
      </c>
      <c r="S782" s="123"/>
      <c r="T782" s="122">
        <v>1</v>
      </c>
      <c r="U782" s="123"/>
      <c r="V782" s="122">
        <v>8858800800468</v>
      </c>
    </row>
    <row r="783" ht="15.75" customHeight="1" spans="1:22" x14ac:dyDescent="0.25">
      <c r="A783" s="122" t="s">
        <v>2270</v>
      </c>
      <c r="B783" s="123"/>
      <c r="C783" s="123"/>
      <c r="D783" s="122" t="s">
        <v>2271</v>
      </c>
      <c r="E783" s="123"/>
      <c r="F783" s="122" t="s">
        <v>742</v>
      </c>
      <c r="G783" s="122" t="s">
        <v>831</v>
      </c>
      <c r="H783" s="122" t="s">
        <v>832</v>
      </c>
      <c r="I783" s="122" t="s">
        <v>733</v>
      </c>
      <c r="J783" s="122">
        <v>85</v>
      </c>
      <c r="K783" s="122">
        <v>0</v>
      </c>
      <c r="L783" s="122">
        <v>0</v>
      </c>
      <c r="M783" s="122">
        <v>100</v>
      </c>
      <c r="N783" s="122">
        <v>120</v>
      </c>
      <c r="O783" s="122">
        <v>130</v>
      </c>
      <c r="P783" s="122">
        <v>12</v>
      </c>
      <c r="Q783" s="123"/>
      <c r="R783" s="122">
        <v>1</v>
      </c>
      <c r="S783" s="123"/>
      <c r="T783" s="122">
        <v>1</v>
      </c>
      <c r="U783" s="123"/>
      <c r="V783" s="122">
        <v>8858890800093</v>
      </c>
    </row>
    <row r="784" ht="15.75" customHeight="1" spans="1:22" x14ac:dyDescent="0.25">
      <c r="A784" s="122" t="s">
        <v>8</v>
      </c>
      <c r="B784" s="123"/>
      <c r="C784" s="123"/>
      <c r="D784" s="122" t="s">
        <v>2272</v>
      </c>
      <c r="E784" s="123"/>
      <c r="F784" s="122" t="s">
        <v>742</v>
      </c>
      <c r="G784" s="122" t="s">
        <v>731</v>
      </c>
      <c r="H784" s="122" t="s">
        <v>732</v>
      </c>
      <c r="I784" s="122" t="s">
        <v>733</v>
      </c>
      <c r="J784" s="122">
        <v>150</v>
      </c>
      <c r="K784" s="122">
        <v>99</v>
      </c>
      <c r="L784" s="122">
        <v>0</v>
      </c>
      <c r="M784" s="122">
        <v>165</v>
      </c>
      <c r="N784" s="122">
        <v>199</v>
      </c>
      <c r="O784" s="122">
        <v>250</v>
      </c>
      <c r="P784" s="122">
        <v>97</v>
      </c>
      <c r="Q784" s="123"/>
      <c r="R784" s="122">
        <v>1</v>
      </c>
      <c r="S784" s="122">
        <v>1</v>
      </c>
      <c r="T784" s="122">
        <v>1</v>
      </c>
      <c r="U784" s="123"/>
      <c r="V784" s="122">
        <v>8858890800420</v>
      </c>
    </row>
    <row r="785" ht="15.75" customHeight="1" spans="1:22" x14ac:dyDescent="0.25">
      <c r="A785" s="122" t="s">
        <v>350</v>
      </c>
      <c r="B785" s="123"/>
      <c r="C785" s="123"/>
      <c r="D785" s="122" t="s">
        <v>2273</v>
      </c>
      <c r="E785" s="123"/>
      <c r="F785" s="122" t="s">
        <v>753</v>
      </c>
      <c r="G785" s="122" t="s">
        <v>759</v>
      </c>
      <c r="H785" s="122" t="s">
        <v>821</v>
      </c>
      <c r="I785" s="122" t="s">
        <v>733</v>
      </c>
      <c r="J785" s="122">
        <v>250</v>
      </c>
      <c r="K785" s="122">
        <v>299</v>
      </c>
      <c r="L785" s="122">
        <v>0</v>
      </c>
      <c r="M785" s="122">
        <v>275</v>
      </c>
      <c r="N785" s="122">
        <v>350</v>
      </c>
      <c r="O785" s="122">
        <v>350</v>
      </c>
      <c r="P785" s="122">
        <v>30</v>
      </c>
      <c r="Q785" s="123"/>
      <c r="R785" s="122">
        <v>1</v>
      </c>
      <c r="S785" s="123"/>
      <c r="T785" s="123"/>
      <c r="U785" s="123"/>
      <c r="V785" s="122">
        <v>8858890800473</v>
      </c>
    </row>
    <row r="786" ht="15.75" customHeight="1" spans="1:22" x14ac:dyDescent="0.25">
      <c r="A786" s="122" t="s">
        <v>351</v>
      </c>
      <c r="B786" s="123"/>
      <c r="C786" s="123"/>
      <c r="D786" s="122" t="s">
        <v>2274</v>
      </c>
      <c r="E786" s="123"/>
      <c r="F786" s="122" t="s">
        <v>753</v>
      </c>
      <c r="G786" s="122" t="s">
        <v>759</v>
      </c>
      <c r="H786" s="122" t="s">
        <v>821</v>
      </c>
      <c r="I786" s="122" t="s">
        <v>733</v>
      </c>
      <c r="J786" s="122">
        <v>260</v>
      </c>
      <c r="K786" s="122">
        <v>299</v>
      </c>
      <c r="L786" s="122">
        <v>0</v>
      </c>
      <c r="M786" s="122">
        <v>290</v>
      </c>
      <c r="N786" s="122">
        <v>350</v>
      </c>
      <c r="O786" s="122">
        <v>350</v>
      </c>
      <c r="P786" s="122">
        <v>33</v>
      </c>
      <c r="Q786" s="123"/>
      <c r="R786" s="122">
        <v>1</v>
      </c>
      <c r="S786" s="123"/>
      <c r="T786" s="123"/>
      <c r="U786" s="123"/>
      <c r="V786" s="122">
        <v>8858890800444</v>
      </c>
    </row>
    <row r="787" ht="15.75" customHeight="1" spans="1:22" x14ac:dyDescent="0.25">
      <c r="A787" s="122" t="s">
        <v>344</v>
      </c>
      <c r="B787" s="123"/>
      <c r="C787" s="123"/>
      <c r="D787" s="122" t="s">
        <v>2273</v>
      </c>
      <c r="E787" s="123"/>
      <c r="F787" s="122" t="s">
        <v>753</v>
      </c>
      <c r="G787" s="122" t="s">
        <v>759</v>
      </c>
      <c r="H787" s="122" t="s">
        <v>821</v>
      </c>
      <c r="I787" s="122" t="s">
        <v>733</v>
      </c>
      <c r="J787" s="122">
        <v>315</v>
      </c>
      <c r="K787" s="122">
        <v>350</v>
      </c>
      <c r="L787" s="122">
        <v>0</v>
      </c>
      <c r="M787" s="122">
        <v>390</v>
      </c>
      <c r="N787" s="122">
        <v>490</v>
      </c>
      <c r="O787" s="122">
        <v>600</v>
      </c>
      <c r="P787" s="122">
        <v>8</v>
      </c>
      <c r="Q787" s="123"/>
      <c r="R787" s="122">
        <v>1</v>
      </c>
      <c r="S787" s="123"/>
      <c r="T787" s="123"/>
      <c r="U787" s="123"/>
      <c r="V787" s="122">
        <v>8858890800215</v>
      </c>
    </row>
    <row r="788" ht="15.75" customHeight="1" spans="1:22" x14ac:dyDescent="0.25">
      <c r="A788" s="122" t="s">
        <v>345</v>
      </c>
      <c r="B788" s="123"/>
      <c r="C788" s="123"/>
      <c r="D788" s="122" t="s">
        <v>2274</v>
      </c>
      <c r="E788" s="123"/>
      <c r="F788" s="122" t="s">
        <v>753</v>
      </c>
      <c r="G788" s="122" t="s">
        <v>759</v>
      </c>
      <c r="H788" s="122" t="s">
        <v>821</v>
      </c>
      <c r="I788" s="122" t="s">
        <v>733</v>
      </c>
      <c r="J788" s="122">
        <v>315</v>
      </c>
      <c r="K788" s="122">
        <v>350</v>
      </c>
      <c r="L788" s="122">
        <v>0</v>
      </c>
      <c r="M788" s="122">
        <v>320</v>
      </c>
      <c r="N788" s="122">
        <v>490</v>
      </c>
      <c r="O788" s="122">
        <v>600</v>
      </c>
      <c r="P788" s="122">
        <v>12</v>
      </c>
      <c r="Q788" s="123"/>
      <c r="R788" s="122">
        <v>1</v>
      </c>
      <c r="S788" s="123"/>
      <c r="T788" s="123"/>
      <c r="U788" s="123"/>
      <c r="V788" s="122">
        <v>8858890800208</v>
      </c>
    </row>
    <row r="789" ht="15.75" customHeight="1" spans="1:22" x14ac:dyDescent="0.25">
      <c r="A789" s="122" t="s">
        <v>2275</v>
      </c>
      <c r="B789" s="123"/>
      <c r="C789" s="123"/>
      <c r="D789" s="122" t="s">
        <v>2276</v>
      </c>
      <c r="E789" s="123"/>
      <c r="F789" s="122" t="s">
        <v>753</v>
      </c>
      <c r="G789" s="122" t="s">
        <v>759</v>
      </c>
      <c r="H789" s="122" t="s">
        <v>821</v>
      </c>
      <c r="I789" s="122" t="s">
        <v>733</v>
      </c>
      <c r="J789" s="122">
        <v>900</v>
      </c>
      <c r="K789" s="122">
        <v>900</v>
      </c>
      <c r="L789" s="122">
        <v>0</v>
      </c>
      <c r="M789" s="122">
        <v>990</v>
      </c>
      <c r="N789" s="122">
        <v>900</v>
      </c>
      <c r="O789" s="122">
        <v>900</v>
      </c>
      <c r="P789" s="122">
        <v>12</v>
      </c>
      <c r="Q789" s="123"/>
      <c r="R789" s="122">
        <v>1</v>
      </c>
      <c r="S789" s="123"/>
      <c r="T789" s="123"/>
      <c r="U789" s="123"/>
      <c r="V789" s="122">
        <v>8858890800222</v>
      </c>
    </row>
    <row r="790" ht="15.75" customHeight="1" spans="1:22" x14ac:dyDescent="0.25">
      <c r="A790" s="122" t="s">
        <v>346</v>
      </c>
      <c r="B790" s="123"/>
      <c r="C790" s="123"/>
      <c r="D790" s="122" t="s">
        <v>2273</v>
      </c>
      <c r="E790" s="123"/>
      <c r="F790" s="122" t="s">
        <v>753</v>
      </c>
      <c r="G790" s="122" t="s">
        <v>759</v>
      </c>
      <c r="H790" s="122" t="s">
        <v>821</v>
      </c>
      <c r="I790" s="122" t="s">
        <v>733</v>
      </c>
      <c r="J790" s="122">
        <v>750</v>
      </c>
      <c r="K790" s="122">
        <v>900</v>
      </c>
      <c r="L790" s="122">
        <v>0</v>
      </c>
      <c r="M790" s="122">
        <v>825</v>
      </c>
      <c r="N790" s="122">
        <v>900</v>
      </c>
      <c r="O790" s="122">
        <v>900</v>
      </c>
      <c r="P790" s="122">
        <v>22</v>
      </c>
      <c r="Q790" s="123"/>
      <c r="R790" s="122">
        <v>1</v>
      </c>
      <c r="S790" s="123"/>
      <c r="T790" s="123"/>
      <c r="U790" s="123"/>
      <c r="V790" s="122">
        <v>8858890800260</v>
      </c>
    </row>
    <row r="791" ht="15.75" customHeight="1" spans="1:22" x14ac:dyDescent="0.25">
      <c r="A791" s="122" t="s">
        <v>348</v>
      </c>
      <c r="B791" s="123"/>
      <c r="C791" s="123"/>
      <c r="D791" s="122" t="s">
        <v>2273</v>
      </c>
      <c r="E791" s="123"/>
      <c r="F791" s="122" t="s">
        <v>753</v>
      </c>
      <c r="G791" s="122" t="s">
        <v>759</v>
      </c>
      <c r="H791" s="122" t="s">
        <v>821</v>
      </c>
      <c r="I791" s="122" t="s">
        <v>733</v>
      </c>
      <c r="J791" s="122">
        <v>1850</v>
      </c>
      <c r="K791" s="122">
        <v>1850</v>
      </c>
      <c r="L791" s="122">
        <v>0</v>
      </c>
      <c r="M791" s="122">
        <v>2035</v>
      </c>
      <c r="N791" s="122">
        <v>2100</v>
      </c>
      <c r="O791" s="122">
        <v>2100</v>
      </c>
      <c r="P791" s="122">
        <v>18</v>
      </c>
      <c r="Q791" s="123"/>
      <c r="R791" s="122">
        <v>1</v>
      </c>
      <c r="S791" s="123"/>
      <c r="T791" s="123"/>
      <c r="U791" s="123"/>
      <c r="V791" s="122">
        <v>8858890800277</v>
      </c>
    </row>
    <row r="792" ht="15.75" customHeight="1" spans="1:22" x14ac:dyDescent="0.25">
      <c r="A792" s="122" t="s">
        <v>2277</v>
      </c>
      <c r="B792" s="123"/>
      <c r="C792" s="123"/>
      <c r="D792" s="122" t="s">
        <v>2273</v>
      </c>
      <c r="E792" s="123"/>
      <c r="F792" s="122" t="s">
        <v>753</v>
      </c>
      <c r="G792" s="122" t="s">
        <v>759</v>
      </c>
      <c r="H792" s="122" t="s">
        <v>821</v>
      </c>
      <c r="I792" s="122" t="s">
        <v>733</v>
      </c>
      <c r="J792" s="122">
        <v>1850</v>
      </c>
      <c r="K792" s="122">
        <v>1850</v>
      </c>
      <c r="L792" s="122">
        <v>0</v>
      </c>
      <c r="M792" s="122">
        <v>2035</v>
      </c>
      <c r="N792" s="122">
        <v>2100</v>
      </c>
      <c r="O792" s="122">
        <v>2100</v>
      </c>
      <c r="P792" s="122">
        <v>14</v>
      </c>
      <c r="Q792" s="123"/>
      <c r="R792" s="122">
        <v>1</v>
      </c>
      <c r="S792" s="123"/>
      <c r="T792" s="123"/>
      <c r="U792" s="123"/>
      <c r="V792" s="122">
        <v>8858890800284</v>
      </c>
    </row>
    <row r="793" ht="15.75" customHeight="1" spans="1:22" x14ac:dyDescent="0.25">
      <c r="A793" s="122" t="s">
        <v>349</v>
      </c>
      <c r="B793" s="123"/>
      <c r="C793" s="123"/>
      <c r="D793" s="122" t="s">
        <v>2273</v>
      </c>
      <c r="E793" s="123"/>
      <c r="F793" s="122" t="s">
        <v>753</v>
      </c>
      <c r="G793" s="122" t="s">
        <v>759</v>
      </c>
      <c r="H793" s="122" t="s">
        <v>821</v>
      </c>
      <c r="I793" s="122" t="s">
        <v>733</v>
      </c>
      <c r="J793" s="122">
        <v>1850</v>
      </c>
      <c r="K793" s="122">
        <v>1850</v>
      </c>
      <c r="L793" s="122">
        <v>0</v>
      </c>
      <c r="M793" s="122">
        <v>2035</v>
      </c>
      <c r="N793" s="122">
        <v>2100</v>
      </c>
      <c r="O793" s="122">
        <v>2100</v>
      </c>
      <c r="P793" s="122">
        <v>15</v>
      </c>
      <c r="Q793" s="123"/>
      <c r="R793" s="122">
        <v>1</v>
      </c>
      <c r="S793" s="123"/>
      <c r="T793" s="123"/>
      <c r="U793" s="123"/>
      <c r="V793" s="122">
        <v>8858890800291</v>
      </c>
    </row>
    <row r="794" ht="15.75" customHeight="1" spans="1:22" x14ac:dyDescent="0.25">
      <c r="A794" s="122" t="s">
        <v>2278</v>
      </c>
      <c r="B794" s="123"/>
      <c r="C794" s="123"/>
      <c r="D794" s="122" t="s">
        <v>2279</v>
      </c>
      <c r="E794" s="123"/>
      <c r="F794" s="122" t="s">
        <v>753</v>
      </c>
      <c r="G794" s="122" t="s">
        <v>759</v>
      </c>
      <c r="H794" s="122" t="s">
        <v>821</v>
      </c>
      <c r="I794" s="122" t="s">
        <v>733</v>
      </c>
      <c r="J794" s="122">
        <v>350</v>
      </c>
      <c r="K794" s="122">
        <v>399</v>
      </c>
      <c r="L794" s="122">
        <v>0</v>
      </c>
      <c r="M794" s="122">
        <v>350</v>
      </c>
      <c r="N794" s="122">
        <v>490</v>
      </c>
      <c r="O794" s="122">
        <v>600</v>
      </c>
      <c r="P794" s="122">
        <v>22</v>
      </c>
      <c r="Q794" s="123"/>
      <c r="R794" s="122">
        <v>1</v>
      </c>
      <c r="S794" s="123"/>
      <c r="T794" s="123"/>
      <c r="U794" s="123"/>
      <c r="V794" s="122">
        <v>8858890800192</v>
      </c>
    </row>
    <row r="795" ht="15.75" customHeight="1" spans="1:22" x14ac:dyDescent="0.25">
      <c r="A795" s="122" t="s">
        <v>2280</v>
      </c>
      <c r="B795" s="123"/>
      <c r="C795" s="123"/>
      <c r="D795" s="122" t="s">
        <v>2274</v>
      </c>
      <c r="E795" s="123"/>
      <c r="F795" s="122" t="s">
        <v>753</v>
      </c>
      <c r="G795" s="122" t="s">
        <v>759</v>
      </c>
      <c r="H795" s="122" t="s">
        <v>821</v>
      </c>
      <c r="I795" s="122" t="s">
        <v>733</v>
      </c>
      <c r="J795" s="122">
        <v>360</v>
      </c>
      <c r="K795" s="122">
        <v>399</v>
      </c>
      <c r="L795" s="122">
        <v>0</v>
      </c>
      <c r="M795" s="122">
        <v>360</v>
      </c>
      <c r="N795" s="122">
        <v>490</v>
      </c>
      <c r="O795" s="122">
        <v>600</v>
      </c>
      <c r="P795" s="122">
        <v>21</v>
      </c>
      <c r="Q795" s="123"/>
      <c r="R795" s="122">
        <v>1</v>
      </c>
      <c r="S795" s="123"/>
      <c r="T795" s="123"/>
      <c r="U795" s="123"/>
      <c r="V795" s="122">
        <v>8858890800185</v>
      </c>
    </row>
    <row r="796" ht="15.75" customHeight="1" spans="1:22" x14ac:dyDescent="0.25">
      <c r="A796" s="122" t="s">
        <v>2281</v>
      </c>
      <c r="B796" s="123"/>
      <c r="C796" s="123"/>
      <c r="D796" s="122" t="s">
        <v>2282</v>
      </c>
      <c r="E796" s="123"/>
      <c r="F796" s="122" t="s">
        <v>753</v>
      </c>
      <c r="G796" s="122" t="s">
        <v>754</v>
      </c>
      <c r="H796" s="122" t="s">
        <v>1592</v>
      </c>
      <c r="I796" s="122" t="s">
        <v>733</v>
      </c>
      <c r="J796" s="122">
        <v>36</v>
      </c>
      <c r="K796" s="122">
        <v>45</v>
      </c>
      <c r="L796" s="122">
        <v>45</v>
      </c>
      <c r="M796" s="122">
        <v>40</v>
      </c>
      <c r="N796" s="122">
        <v>60</v>
      </c>
      <c r="O796" s="122">
        <v>100</v>
      </c>
      <c r="P796" s="122">
        <v>16</v>
      </c>
      <c r="Q796" s="123"/>
      <c r="R796" s="122">
        <v>1</v>
      </c>
      <c r="S796" s="123"/>
      <c r="T796" s="122">
        <v>1</v>
      </c>
      <c r="U796" s="122" t="s">
        <v>2281</v>
      </c>
      <c r="V796" s="122">
        <v>8858890800604</v>
      </c>
    </row>
    <row r="797" ht="15.75" customHeight="1" spans="1:22" x14ac:dyDescent="0.25">
      <c r="A797" s="122" t="s">
        <v>2283</v>
      </c>
      <c r="B797" s="123"/>
      <c r="C797" s="123"/>
      <c r="D797" s="122" t="s">
        <v>2284</v>
      </c>
      <c r="E797" s="123"/>
      <c r="F797" s="122" t="s">
        <v>753</v>
      </c>
      <c r="G797" s="122" t="s">
        <v>754</v>
      </c>
      <c r="H797" s="122" t="s">
        <v>1592</v>
      </c>
      <c r="I797" s="122" t="s">
        <v>733</v>
      </c>
      <c r="J797" s="122">
        <v>42</v>
      </c>
      <c r="K797" s="122">
        <v>45</v>
      </c>
      <c r="L797" s="122">
        <v>45</v>
      </c>
      <c r="M797" s="122">
        <v>59</v>
      </c>
      <c r="N797" s="122">
        <v>60</v>
      </c>
      <c r="O797" s="122">
        <v>100</v>
      </c>
      <c r="P797" s="122">
        <v>20</v>
      </c>
      <c r="Q797" s="123"/>
      <c r="R797" s="122">
        <v>1</v>
      </c>
      <c r="S797" s="123"/>
      <c r="T797" s="122">
        <v>1</v>
      </c>
      <c r="U797" s="122" t="s">
        <v>2283</v>
      </c>
      <c r="V797" s="122">
        <v>8858890800512</v>
      </c>
    </row>
    <row r="798" ht="15.75" customHeight="1" spans="1:22" x14ac:dyDescent="0.25">
      <c r="A798" s="122" t="s">
        <v>2285</v>
      </c>
      <c r="B798" s="123"/>
      <c r="C798" s="123"/>
      <c r="D798" s="122" t="s">
        <v>2286</v>
      </c>
      <c r="E798" s="123"/>
      <c r="F798" s="122" t="s">
        <v>753</v>
      </c>
      <c r="G798" s="122" t="s">
        <v>754</v>
      </c>
      <c r="H798" s="122" t="s">
        <v>1592</v>
      </c>
      <c r="I798" s="122" t="s">
        <v>733</v>
      </c>
      <c r="J798" s="122">
        <v>40</v>
      </c>
      <c r="K798" s="122">
        <v>45</v>
      </c>
      <c r="L798" s="122">
        <v>45</v>
      </c>
      <c r="M798" s="122">
        <v>49</v>
      </c>
      <c r="N798" s="122">
        <v>60</v>
      </c>
      <c r="O798" s="122">
        <v>100</v>
      </c>
      <c r="P798" s="122">
        <v>18</v>
      </c>
      <c r="Q798" s="123"/>
      <c r="R798" s="122">
        <v>1</v>
      </c>
      <c r="S798" s="123"/>
      <c r="T798" s="122">
        <v>1</v>
      </c>
      <c r="U798" s="122" t="s">
        <v>2285</v>
      </c>
      <c r="V798" s="122">
        <v>8858890800505</v>
      </c>
    </row>
    <row r="799" ht="15.75" customHeight="1" spans="1:22" x14ac:dyDescent="0.25">
      <c r="A799" s="122" t="s">
        <v>2287</v>
      </c>
      <c r="B799" s="123"/>
      <c r="C799" s="123"/>
      <c r="D799" s="122" t="s">
        <v>2288</v>
      </c>
      <c r="E799" s="123"/>
      <c r="F799" s="122" t="s">
        <v>753</v>
      </c>
      <c r="G799" s="122" t="s">
        <v>754</v>
      </c>
      <c r="H799" s="122" t="s">
        <v>1592</v>
      </c>
      <c r="I799" s="122" t="s">
        <v>733</v>
      </c>
      <c r="J799" s="122">
        <v>38</v>
      </c>
      <c r="K799" s="122">
        <v>45</v>
      </c>
      <c r="L799" s="122">
        <v>45</v>
      </c>
      <c r="M799" s="122">
        <v>49</v>
      </c>
      <c r="N799" s="122">
        <v>60</v>
      </c>
      <c r="O799" s="122">
        <v>100</v>
      </c>
      <c r="P799" s="122">
        <v>1</v>
      </c>
      <c r="Q799" s="123"/>
      <c r="R799" s="122">
        <v>1</v>
      </c>
      <c r="S799" s="123"/>
      <c r="T799" s="122">
        <v>1</v>
      </c>
      <c r="U799" s="122" t="s">
        <v>2287</v>
      </c>
      <c r="V799" s="122">
        <v>8858890800499</v>
      </c>
    </row>
    <row r="800" ht="15.75" customHeight="1" spans="1:22" x14ac:dyDescent="0.25">
      <c r="A800" s="122" t="s">
        <v>603</v>
      </c>
      <c r="B800" s="123"/>
      <c r="C800" s="123"/>
      <c r="D800" s="122" t="s">
        <v>2289</v>
      </c>
      <c r="E800" s="123"/>
      <c r="F800" s="122" t="s">
        <v>753</v>
      </c>
      <c r="G800" s="122" t="s">
        <v>754</v>
      </c>
      <c r="H800" s="122" t="s">
        <v>1592</v>
      </c>
      <c r="I800" s="122" t="s">
        <v>733</v>
      </c>
      <c r="J800" s="122">
        <v>40</v>
      </c>
      <c r="K800" s="122">
        <v>45</v>
      </c>
      <c r="L800" s="122">
        <v>45</v>
      </c>
      <c r="M800" s="122">
        <v>55</v>
      </c>
      <c r="N800" s="122">
        <v>65</v>
      </c>
      <c r="O800" s="122">
        <v>80</v>
      </c>
      <c r="P800" s="122">
        <v>17</v>
      </c>
      <c r="Q800" s="123"/>
      <c r="R800" s="122">
        <v>1</v>
      </c>
      <c r="S800" s="123"/>
      <c r="T800" s="122">
        <v>1</v>
      </c>
      <c r="U800" s="122" t="s">
        <v>603</v>
      </c>
      <c r="V800" s="122">
        <v>8858890800543</v>
      </c>
    </row>
    <row r="801" ht="15.75" customHeight="1" spans="1:22" x14ac:dyDescent="0.25">
      <c r="A801" s="122" t="s">
        <v>604</v>
      </c>
      <c r="B801" s="123"/>
      <c r="C801" s="123"/>
      <c r="D801" s="122" t="s">
        <v>2290</v>
      </c>
      <c r="E801" s="123"/>
      <c r="F801" s="122" t="s">
        <v>753</v>
      </c>
      <c r="G801" s="122" t="s">
        <v>754</v>
      </c>
      <c r="H801" s="122" t="s">
        <v>1592</v>
      </c>
      <c r="I801" s="122" t="s">
        <v>733</v>
      </c>
      <c r="J801" s="122">
        <v>41</v>
      </c>
      <c r="K801" s="122">
        <v>45</v>
      </c>
      <c r="L801" s="122">
        <v>45</v>
      </c>
      <c r="M801" s="122">
        <v>55</v>
      </c>
      <c r="N801" s="122">
        <v>65</v>
      </c>
      <c r="O801" s="122">
        <v>80</v>
      </c>
      <c r="P801" s="122">
        <v>19</v>
      </c>
      <c r="Q801" s="123"/>
      <c r="R801" s="122">
        <v>1</v>
      </c>
      <c r="S801" s="123"/>
      <c r="T801" s="122">
        <v>1</v>
      </c>
      <c r="U801" s="122" t="s">
        <v>604</v>
      </c>
      <c r="V801" s="122">
        <v>8858890800550</v>
      </c>
    </row>
    <row r="802" ht="15.75" customHeight="1" spans="1:22" x14ac:dyDescent="0.25">
      <c r="A802" s="122" t="s">
        <v>605</v>
      </c>
      <c r="B802" s="123"/>
      <c r="C802" s="123"/>
      <c r="D802" s="122" t="s">
        <v>2291</v>
      </c>
      <c r="E802" s="123"/>
      <c r="F802" s="122" t="s">
        <v>753</v>
      </c>
      <c r="G802" s="122" t="s">
        <v>754</v>
      </c>
      <c r="H802" s="122" t="s">
        <v>1592</v>
      </c>
      <c r="I802" s="122" t="s">
        <v>733</v>
      </c>
      <c r="J802" s="122">
        <v>43</v>
      </c>
      <c r="K802" s="122">
        <v>45</v>
      </c>
      <c r="L802" s="122">
        <v>45</v>
      </c>
      <c r="M802" s="122">
        <v>50</v>
      </c>
      <c r="N802" s="122">
        <v>70</v>
      </c>
      <c r="O802" s="122">
        <v>100</v>
      </c>
      <c r="P802" s="122">
        <v>17</v>
      </c>
      <c r="Q802" s="123"/>
      <c r="R802" s="122">
        <v>1</v>
      </c>
      <c r="S802" s="123"/>
      <c r="T802" s="122">
        <v>1</v>
      </c>
      <c r="U802" s="122" t="s">
        <v>605</v>
      </c>
      <c r="V802" s="122">
        <v>8858890800567</v>
      </c>
    </row>
    <row r="803" ht="15.75" customHeight="1" spans="1:22" x14ac:dyDescent="0.25">
      <c r="A803" s="122" t="s">
        <v>606</v>
      </c>
      <c r="B803" s="123"/>
      <c r="C803" s="123"/>
      <c r="D803" s="122" t="s">
        <v>2286</v>
      </c>
      <c r="E803" s="123"/>
      <c r="F803" s="122" t="s">
        <v>753</v>
      </c>
      <c r="G803" s="122" t="s">
        <v>754</v>
      </c>
      <c r="H803" s="122" t="s">
        <v>1592</v>
      </c>
      <c r="I803" s="122" t="s">
        <v>733</v>
      </c>
      <c r="J803" s="122">
        <v>45</v>
      </c>
      <c r="K803" s="122">
        <v>45</v>
      </c>
      <c r="L803" s="122">
        <v>45</v>
      </c>
      <c r="M803" s="122">
        <v>50</v>
      </c>
      <c r="N803" s="122">
        <v>70</v>
      </c>
      <c r="O803" s="122">
        <v>100</v>
      </c>
      <c r="P803" s="122">
        <v>22</v>
      </c>
      <c r="Q803" s="123"/>
      <c r="R803" s="122">
        <v>1</v>
      </c>
      <c r="S803" s="123"/>
      <c r="T803" s="122">
        <v>1</v>
      </c>
      <c r="U803" s="122" t="s">
        <v>606</v>
      </c>
      <c r="V803" s="122">
        <v>8858890800574</v>
      </c>
    </row>
    <row r="804" ht="15.75" customHeight="1" spans="1:22" x14ac:dyDescent="0.25">
      <c r="A804" s="122" t="s">
        <v>347</v>
      </c>
      <c r="B804" s="123"/>
      <c r="C804" s="123"/>
      <c r="D804" s="122" t="s">
        <v>2292</v>
      </c>
      <c r="E804" s="123"/>
      <c r="F804" s="122" t="s">
        <v>753</v>
      </c>
      <c r="G804" s="122" t="s">
        <v>759</v>
      </c>
      <c r="H804" s="122" t="s">
        <v>760</v>
      </c>
      <c r="I804" s="122" t="s">
        <v>733</v>
      </c>
      <c r="J804" s="122">
        <v>750</v>
      </c>
      <c r="K804" s="122">
        <v>900</v>
      </c>
      <c r="L804" s="122">
        <v>0</v>
      </c>
      <c r="M804" s="122">
        <v>825</v>
      </c>
      <c r="N804" s="122">
        <v>900</v>
      </c>
      <c r="O804" s="122">
        <v>900</v>
      </c>
      <c r="P804" s="122">
        <v>12</v>
      </c>
      <c r="Q804" s="123"/>
      <c r="R804" s="122">
        <v>1</v>
      </c>
      <c r="S804" s="123"/>
      <c r="T804" s="123"/>
      <c r="U804" s="123"/>
      <c r="V804" s="122">
        <v>8858890800338</v>
      </c>
    </row>
    <row r="805" ht="15.75" customHeight="1" spans="1:22" x14ac:dyDescent="0.25">
      <c r="A805" s="122" t="s">
        <v>372</v>
      </c>
      <c r="B805" s="123"/>
      <c r="C805" s="123"/>
      <c r="D805" s="122" t="s">
        <v>2293</v>
      </c>
      <c r="E805" s="123"/>
      <c r="F805" s="122" t="s">
        <v>753</v>
      </c>
      <c r="G805" s="122" t="s">
        <v>831</v>
      </c>
      <c r="H805" s="122" t="s">
        <v>832</v>
      </c>
      <c r="I805" s="122" t="s">
        <v>733</v>
      </c>
      <c r="J805" s="122">
        <v>170</v>
      </c>
      <c r="K805" s="122">
        <v>150</v>
      </c>
      <c r="L805" s="122">
        <v>0</v>
      </c>
      <c r="M805" s="122">
        <v>190</v>
      </c>
      <c r="N805" s="122">
        <v>220</v>
      </c>
      <c r="O805" s="122">
        <v>300</v>
      </c>
      <c r="P805" s="122">
        <v>32</v>
      </c>
      <c r="Q805" s="123"/>
      <c r="R805" s="122">
        <v>1</v>
      </c>
      <c r="S805" s="123"/>
      <c r="T805" s="123"/>
      <c r="U805" s="122" t="s">
        <v>372</v>
      </c>
      <c r="V805" s="122">
        <v>8858890800611</v>
      </c>
    </row>
    <row r="806" ht="15.75" customHeight="1" spans="1:22" x14ac:dyDescent="0.25">
      <c r="A806" s="122" t="s">
        <v>335</v>
      </c>
      <c r="B806" s="123"/>
      <c r="C806" s="123"/>
      <c r="D806" s="122" t="s">
        <v>1896</v>
      </c>
      <c r="E806" s="123"/>
      <c r="F806" s="122" t="s">
        <v>753</v>
      </c>
      <c r="G806" s="122" t="s">
        <v>754</v>
      </c>
      <c r="H806" s="122" t="s">
        <v>1896</v>
      </c>
      <c r="I806" s="122" t="s">
        <v>733</v>
      </c>
      <c r="J806" s="122">
        <v>1250</v>
      </c>
      <c r="K806" s="122">
        <v>1250</v>
      </c>
      <c r="L806" s="122">
        <v>0</v>
      </c>
      <c r="M806" s="122">
        <v>1250</v>
      </c>
      <c r="N806" s="122">
        <v>1450</v>
      </c>
      <c r="O806" s="122">
        <v>1450</v>
      </c>
      <c r="P806" s="122">
        <v>8</v>
      </c>
      <c r="Q806" s="123"/>
      <c r="R806" s="122">
        <v>1</v>
      </c>
      <c r="S806" s="123"/>
      <c r="T806" s="123"/>
      <c r="U806" s="123"/>
      <c r="V806" s="122">
        <v>8858890800482</v>
      </c>
    </row>
    <row r="807" ht="15.75" customHeight="1" spans="1:22" x14ac:dyDescent="0.25">
      <c r="A807" s="122" t="s">
        <v>601</v>
      </c>
      <c r="B807" s="123"/>
      <c r="C807" s="123"/>
      <c r="D807" s="122" t="s">
        <v>2294</v>
      </c>
      <c r="E807" s="123"/>
      <c r="F807" s="122" t="s">
        <v>753</v>
      </c>
      <c r="G807" s="122" t="s">
        <v>754</v>
      </c>
      <c r="H807" s="122" t="s">
        <v>1592</v>
      </c>
      <c r="I807" s="122" t="s">
        <v>733</v>
      </c>
      <c r="J807" s="122">
        <v>38</v>
      </c>
      <c r="K807" s="122">
        <v>0</v>
      </c>
      <c r="L807" s="122">
        <v>0</v>
      </c>
      <c r="M807" s="122">
        <v>55</v>
      </c>
      <c r="N807" s="122">
        <v>65</v>
      </c>
      <c r="O807" s="122">
        <v>70</v>
      </c>
      <c r="P807" s="122">
        <v>3</v>
      </c>
      <c r="Q807" s="123"/>
      <c r="R807" s="122">
        <v>1</v>
      </c>
      <c r="S807" s="123"/>
      <c r="T807" s="122">
        <v>1</v>
      </c>
      <c r="U807" s="122" t="s">
        <v>601</v>
      </c>
      <c r="V807" s="122">
        <v>8858890800529</v>
      </c>
    </row>
    <row r="808" ht="15.75" customHeight="1" spans="1:22" x14ac:dyDescent="0.25">
      <c r="A808" s="122" t="s">
        <v>602</v>
      </c>
      <c r="B808" s="123"/>
      <c r="C808" s="123"/>
      <c r="D808" s="122" t="s">
        <v>2295</v>
      </c>
      <c r="E808" s="123"/>
      <c r="F808" s="122" t="s">
        <v>753</v>
      </c>
      <c r="G808" s="122" t="s">
        <v>754</v>
      </c>
      <c r="H808" s="122" t="s">
        <v>1592</v>
      </c>
      <c r="I808" s="122" t="s">
        <v>733</v>
      </c>
      <c r="J808" s="122">
        <v>39</v>
      </c>
      <c r="K808" s="122">
        <v>0</v>
      </c>
      <c r="L808" s="122">
        <v>0</v>
      </c>
      <c r="M808" s="122">
        <v>55</v>
      </c>
      <c r="N808" s="122">
        <v>65</v>
      </c>
      <c r="O808" s="122">
        <v>75</v>
      </c>
      <c r="P808" s="122">
        <v>7</v>
      </c>
      <c r="Q808" s="123"/>
      <c r="R808" s="122">
        <v>1</v>
      </c>
      <c r="S808" s="123"/>
      <c r="T808" s="122">
        <v>1</v>
      </c>
      <c r="U808" s="122" t="s">
        <v>602</v>
      </c>
      <c r="V808" s="122">
        <v>8858890800536</v>
      </c>
    </row>
    <row r="809" ht="15.75" customHeight="1" spans="1:22" x14ac:dyDescent="0.25">
      <c r="A809" s="122" t="s">
        <v>2296</v>
      </c>
      <c r="B809" s="123"/>
      <c r="C809" s="123"/>
      <c r="D809" s="122" t="s">
        <v>2297</v>
      </c>
      <c r="E809" s="123"/>
      <c r="F809" s="122" t="s">
        <v>753</v>
      </c>
      <c r="G809" s="122" t="s">
        <v>754</v>
      </c>
      <c r="H809" s="122" t="s">
        <v>1592</v>
      </c>
      <c r="I809" s="122" t="s">
        <v>733</v>
      </c>
      <c r="J809" s="122">
        <v>35</v>
      </c>
      <c r="K809" s="122">
        <v>22</v>
      </c>
      <c r="L809" s="122">
        <v>22</v>
      </c>
      <c r="M809" s="122">
        <v>22</v>
      </c>
      <c r="N809" s="122">
        <v>55</v>
      </c>
      <c r="O809" s="122">
        <v>55</v>
      </c>
      <c r="P809" s="122">
        <v>17</v>
      </c>
      <c r="Q809" s="123"/>
      <c r="R809" s="122">
        <v>1</v>
      </c>
      <c r="S809" s="123"/>
      <c r="T809" s="122">
        <v>1</v>
      </c>
      <c r="U809" s="123"/>
      <c r="V809" s="122">
        <v>8858890800598</v>
      </c>
    </row>
    <row r="810" ht="15.75" customHeight="1" spans="1:22" x14ac:dyDescent="0.25">
      <c r="A810" s="122" t="s">
        <v>2298</v>
      </c>
      <c r="B810" s="123"/>
      <c r="C810" s="123"/>
      <c r="D810" s="122" t="s">
        <v>2299</v>
      </c>
      <c r="E810" s="123"/>
      <c r="F810" s="122" t="s">
        <v>753</v>
      </c>
      <c r="G810" s="122" t="s">
        <v>754</v>
      </c>
      <c r="H810" s="122" t="s">
        <v>1592</v>
      </c>
      <c r="I810" s="122" t="s">
        <v>733</v>
      </c>
      <c r="J810" s="122">
        <v>35</v>
      </c>
      <c r="K810" s="122">
        <v>22</v>
      </c>
      <c r="L810" s="122">
        <v>22</v>
      </c>
      <c r="M810" s="122">
        <v>22</v>
      </c>
      <c r="N810" s="122">
        <v>55</v>
      </c>
      <c r="O810" s="122">
        <v>55</v>
      </c>
      <c r="P810" s="122">
        <v>13</v>
      </c>
      <c r="Q810" s="123"/>
      <c r="R810" s="122">
        <v>1</v>
      </c>
      <c r="S810" s="123"/>
      <c r="T810" s="122">
        <v>1</v>
      </c>
      <c r="U810" s="123"/>
      <c r="V810" s="122">
        <v>8858890800581</v>
      </c>
    </row>
    <row r="811" ht="15.75" customHeight="1" spans="1:22" x14ac:dyDescent="0.25">
      <c r="A811" s="122" t="s">
        <v>2300</v>
      </c>
      <c r="B811" s="123"/>
      <c r="C811" s="123"/>
      <c r="D811" s="122" t="s">
        <v>2301</v>
      </c>
      <c r="E811" s="123"/>
      <c r="F811" s="122" t="s">
        <v>753</v>
      </c>
      <c r="G811" s="122" t="s">
        <v>754</v>
      </c>
      <c r="H811" s="122" t="s">
        <v>1592</v>
      </c>
      <c r="I811" s="122" t="s">
        <v>733</v>
      </c>
      <c r="J811" s="122">
        <v>26</v>
      </c>
      <c r="K811" s="122">
        <v>0</v>
      </c>
      <c r="L811" s="122">
        <v>0</v>
      </c>
      <c r="M811" s="122">
        <v>25</v>
      </c>
      <c r="N811" s="122">
        <v>55</v>
      </c>
      <c r="O811" s="122">
        <v>55</v>
      </c>
      <c r="P811" s="122">
        <v>46</v>
      </c>
      <c r="Q811" s="123"/>
      <c r="R811" s="122">
        <v>1</v>
      </c>
      <c r="S811" s="123"/>
      <c r="T811" s="122">
        <v>1</v>
      </c>
      <c r="U811" s="122" t="s">
        <v>2300</v>
      </c>
      <c r="V811" s="122">
        <v>8858890798697</v>
      </c>
    </row>
    <row r="812" ht="15.75" customHeight="1" spans="1:22" x14ac:dyDescent="0.25">
      <c r="A812" s="122" t="s">
        <v>2302</v>
      </c>
      <c r="B812" s="123"/>
      <c r="C812" s="123"/>
      <c r="D812" s="122" t="s">
        <v>2303</v>
      </c>
      <c r="E812" s="123"/>
      <c r="F812" s="122" t="s">
        <v>753</v>
      </c>
      <c r="G812" s="122" t="s">
        <v>754</v>
      </c>
      <c r="H812" s="122" t="s">
        <v>1592</v>
      </c>
      <c r="I812" s="122" t="s">
        <v>733</v>
      </c>
      <c r="J812" s="122">
        <v>27</v>
      </c>
      <c r="K812" s="122">
        <v>0</v>
      </c>
      <c r="L812" s="122">
        <v>0</v>
      </c>
      <c r="M812" s="122">
        <v>0</v>
      </c>
      <c r="N812" s="122">
        <v>55</v>
      </c>
      <c r="O812" s="122">
        <v>55</v>
      </c>
      <c r="P812" s="122">
        <v>50</v>
      </c>
      <c r="Q812" s="123"/>
      <c r="R812" s="122">
        <v>1</v>
      </c>
      <c r="S812" s="123"/>
      <c r="T812" s="122">
        <v>1</v>
      </c>
      <c r="U812" s="122" t="s">
        <v>2302</v>
      </c>
      <c r="V812" s="122">
        <v>8858890798673</v>
      </c>
    </row>
    <row r="813" ht="15.75" customHeight="1" spans="1:22" x14ac:dyDescent="0.25">
      <c r="A813" s="122" t="s">
        <v>2304</v>
      </c>
      <c r="B813" s="123"/>
      <c r="C813" s="123"/>
      <c r="D813" s="122" t="s">
        <v>2305</v>
      </c>
      <c r="E813" s="123"/>
      <c r="F813" s="122" t="s">
        <v>753</v>
      </c>
      <c r="G813" s="122" t="s">
        <v>754</v>
      </c>
      <c r="H813" s="122" t="s">
        <v>1592</v>
      </c>
      <c r="I813" s="122" t="s">
        <v>733</v>
      </c>
      <c r="J813" s="122">
        <v>22</v>
      </c>
      <c r="K813" s="122">
        <v>0</v>
      </c>
      <c r="L813" s="122">
        <v>0</v>
      </c>
      <c r="M813" s="122">
        <v>22</v>
      </c>
      <c r="N813" s="122">
        <v>55</v>
      </c>
      <c r="O813" s="122">
        <v>55</v>
      </c>
      <c r="P813" s="122">
        <v>48</v>
      </c>
      <c r="Q813" s="123"/>
      <c r="R813" s="122">
        <v>1</v>
      </c>
      <c r="S813" s="123"/>
      <c r="T813" s="122">
        <v>1</v>
      </c>
      <c r="U813" s="123"/>
      <c r="V813" s="123"/>
    </row>
    <row r="814" ht="15.75" customHeight="1" spans="1:22" x14ac:dyDescent="0.25">
      <c r="A814" s="122" t="s">
        <v>2306</v>
      </c>
      <c r="B814" s="123"/>
      <c r="C814" s="123"/>
      <c r="D814" s="122" t="s">
        <v>2307</v>
      </c>
      <c r="E814" s="123"/>
      <c r="F814" s="122" t="s">
        <v>753</v>
      </c>
      <c r="G814" s="122" t="s">
        <v>754</v>
      </c>
      <c r="H814" s="122" t="s">
        <v>1592</v>
      </c>
      <c r="I814" s="122" t="s">
        <v>733</v>
      </c>
      <c r="J814" s="122">
        <v>22</v>
      </c>
      <c r="K814" s="122">
        <v>0</v>
      </c>
      <c r="L814" s="122">
        <v>0</v>
      </c>
      <c r="M814" s="122">
        <v>25</v>
      </c>
      <c r="N814" s="122">
        <v>55</v>
      </c>
      <c r="O814" s="122">
        <v>55</v>
      </c>
      <c r="P814" s="122">
        <v>49</v>
      </c>
      <c r="Q814" s="123"/>
      <c r="R814" s="122">
        <v>1</v>
      </c>
      <c r="S814" s="123"/>
      <c r="T814" s="122">
        <v>1</v>
      </c>
      <c r="U814" s="123"/>
      <c r="V814" s="122">
        <v>8858890798734</v>
      </c>
    </row>
    <row r="815" ht="15.75" customHeight="1" spans="1:22" x14ac:dyDescent="0.25">
      <c r="A815" s="122" t="s">
        <v>2308</v>
      </c>
      <c r="B815" s="123"/>
      <c r="C815" s="123"/>
      <c r="D815" s="122" t="s">
        <v>2309</v>
      </c>
      <c r="E815" s="123"/>
      <c r="F815" s="122" t="s">
        <v>753</v>
      </c>
      <c r="G815" s="122" t="s">
        <v>754</v>
      </c>
      <c r="H815" s="122" t="s">
        <v>1592</v>
      </c>
      <c r="I815" s="122" t="s">
        <v>733</v>
      </c>
      <c r="J815" s="122">
        <v>27</v>
      </c>
      <c r="K815" s="122">
        <v>0</v>
      </c>
      <c r="L815" s="122">
        <v>0</v>
      </c>
      <c r="M815" s="122">
        <v>39</v>
      </c>
      <c r="N815" s="122">
        <v>55</v>
      </c>
      <c r="O815" s="122">
        <v>55</v>
      </c>
      <c r="P815" s="122">
        <v>48</v>
      </c>
      <c r="Q815" s="123"/>
      <c r="R815" s="122">
        <v>1</v>
      </c>
      <c r="S815" s="123"/>
      <c r="T815" s="122">
        <v>1</v>
      </c>
      <c r="U815" s="123"/>
      <c r="V815" s="122">
        <v>8858890798680</v>
      </c>
    </row>
    <row r="816" ht="15.75" customHeight="1" spans="1:22" x14ac:dyDescent="0.25">
      <c r="A816" s="122" t="s">
        <v>2310</v>
      </c>
      <c r="B816" s="123"/>
      <c r="C816" s="123"/>
      <c r="D816" s="122" t="s">
        <v>2311</v>
      </c>
      <c r="E816" s="123"/>
      <c r="F816" s="122" t="s">
        <v>753</v>
      </c>
      <c r="G816" s="122" t="s">
        <v>754</v>
      </c>
      <c r="H816" s="122" t="s">
        <v>1592</v>
      </c>
      <c r="I816" s="122" t="s">
        <v>733</v>
      </c>
      <c r="J816" s="122">
        <v>25</v>
      </c>
      <c r="K816" s="122">
        <v>0</v>
      </c>
      <c r="L816" s="122">
        <v>0</v>
      </c>
      <c r="M816" s="122">
        <v>39</v>
      </c>
      <c r="N816" s="122">
        <v>55</v>
      </c>
      <c r="O816" s="122">
        <v>55</v>
      </c>
      <c r="P816" s="122">
        <v>48</v>
      </c>
      <c r="Q816" s="123"/>
      <c r="R816" s="122">
        <v>1</v>
      </c>
      <c r="S816" s="123"/>
      <c r="T816" s="122">
        <v>1</v>
      </c>
      <c r="U816" s="123"/>
      <c r="V816" s="122">
        <v>8858890798703</v>
      </c>
    </row>
    <row r="817" ht="15.75" customHeight="1" spans="1:22" x14ac:dyDescent="0.25">
      <c r="A817" s="122" t="s">
        <v>2312</v>
      </c>
      <c r="B817" s="123"/>
      <c r="C817" s="123"/>
      <c r="D817" s="122" t="s">
        <v>2313</v>
      </c>
      <c r="E817" s="123"/>
      <c r="F817" s="122" t="s">
        <v>753</v>
      </c>
      <c r="G817" s="122" t="s">
        <v>754</v>
      </c>
      <c r="H817" s="122" t="s">
        <v>1592</v>
      </c>
      <c r="I817" s="122" t="s">
        <v>733</v>
      </c>
      <c r="J817" s="122">
        <v>25</v>
      </c>
      <c r="K817" s="122">
        <v>0</v>
      </c>
      <c r="L817" s="122">
        <v>0</v>
      </c>
      <c r="M817" s="122">
        <v>39</v>
      </c>
      <c r="N817" s="122">
        <v>55</v>
      </c>
      <c r="O817" s="122">
        <v>55</v>
      </c>
      <c r="P817" s="122">
        <v>45</v>
      </c>
      <c r="Q817" s="123"/>
      <c r="R817" s="122">
        <v>1</v>
      </c>
      <c r="S817" s="123"/>
      <c r="T817" s="122">
        <v>1</v>
      </c>
      <c r="U817" s="123"/>
      <c r="V817" s="122">
        <v>8858890798710</v>
      </c>
    </row>
    <row r="818" ht="15.75" customHeight="1" spans="1:22" x14ac:dyDescent="0.25">
      <c r="A818" s="122" t="s">
        <v>2314</v>
      </c>
      <c r="B818" s="123"/>
      <c r="C818" s="123"/>
      <c r="D818" s="122" t="s">
        <v>2315</v>
      </c>
      <c r="E818" s="123"/>
      <c r="F818" s="122" t="s">
        <v>753</v>
      </c>
      <c r="G818" s="122" t="s">
        <v>754</v>
      </c>
      <c r="H818" s="122" t="s">
        <v>1592</v>
      </c>
      <c r="I818" s="122" t="s">
        <v>733</v>
      </c>
      <c r="J818" s="122">
        <v>22</v>
      </c>
      <c r="K818" s="122">
        <v>0</v>
      </c>
      <c r="L818" s="122">
        <v>0</v>
      </c>
      <c r="M818" s="122">
        <v>39</v>
      </c>
      <c r="N818" s="122">
        <v>55</v>
      </c>
      <c r="O818" s="122">
        <v>55</v>
      </c>
      <c r="P818" s="122">
        <v>41</v>
      </c>
      <c r="Q818" s="123"/>
      <c r="R818" s="122">
        <v>1</v>
      </c>
      <c r="S818" s="123"/>
      <c r="T818" s="122">
        <v>1</v>
      </c>
      <c r="U818" s="123"/>
      <c r="V818" s="122">
        <v>8858890798727</v>
      </c>
    </row>
    <row r="819" ht="15.75" customHeight="1" spans="1:22" x14ac:dyDescent="0.25">
      <c r="A819" s="122" t="s">
        <v>702</v>
      </c>
      <c r="B819" s="123"/>
      <c r="C819" s="123"/>
      <c r="D819" s="122" t="s">
        <v>2316</v>
      </c>
      <c r="E819" s="123"/>
      <c r="F819" s="122" t="s">
        <v>742</v>
      </c>
      <c r="G819" s="122" t="s">
        <v>1495</v>
      </c>
      <c r="H819" s="122" t="s">
        <v>1595</v>
      </c>
      <c r="I819" s="122" t="s">
        <v>733</v>
      </c>
      <c r="J819" s="122">
        <v>200</v>
      </c>
      <c r="K819" s="122">
        <v>450</v>
      </c>
      <c r="L819" s="122">
        <v>0</v>
      </c>
      <c r="M819" s="122">
        <v>0</v>
      </c>
      <c r="N819" s="122">
        <v>300</v>
      </c>
      <c r="O819" s="122">
        <v>300</v>
      </c>
      <c r="P819" s="122">
        <v>19</v>
      </c>
      <c r="Q819" s="123"/>
      <c r="R819" s="122">
        <v>1</v>
      </c>
      <c r="S819" s="123"/>
      <c r="T819" s="123"/>
      <c r="U819" s="122" t="s">
        <v>702</v>
      </c>
      <c r="V819" s="122">
        <v>8858890799601</v>
      </c>
    </row>
    <row r="820" ht="15.75" customHeight="1" spans="1:22" x14ac:dyDescent="0.25">
      <c r="A820" s="122" t="s">
        <v>2317</v>
      </c>
      <c r="B820" s="123"/>
      <c r="C820" s="123"/>
      <c r="D820" s="122" t="s">
        <v>2318</v>
      </c>
      <c r="E820" s="123"/>
      <c r="F820" s="122" t="s">
        <v>742</v>
      </c>
      <c r="G820" s="122" t="s">
        <v>1495</v>
      </c>
      <c r="H820" s="122" t="s">
        <v>1612</v>
      </c>
      <c r="I820" s="122" t="s">
        <v>733</v>
      </c>
      <c r="J820" s="122">
        <v>150</v>
      </c>
      <c r="K820" s="122">
        <v>0</v>
      </c>
      <c r="L820" s="122">
        <v>0</v>
      </c>
      <c r="M820" s="122">
        <v>0</v>
      </c>
      <c r="N820" s="122">
        <v>300</v>
      </c>
      <c r="O820" s="122">
        <v>300</v>
      </c>
      <c r="P820" s="122">
        <v>1</v>
      </c>
      <c r="Q820" s="123"/>
      <c r="R820" s="122">
        <v>1</v>
      </c>
      <c r="S820" s="123"/>
      <c r="T820" s="123"/>
      <c r="U820" s="122" t="s">
        <v>2317</v>
      </c>
      <c r="V820" s="123"/>
    </row>
    <row r="821" ht="15.75" customHeight="1" spans="1:22" x14ac:dyDescent="0.25">
      <c r="A821" s="122" t="s">
        <v>2319</v>
      </c>
      <c r="B821" s="123"/>
      <c r="C821" s="123"/>
      <c r="D821" s="122" t="s">
        <v>2320</v>
      </c>
      <c r="E821" s="122" t="s">
        <v>2321</v>
      </c>
      <c r="F821" s="122" t="s">
        <v>2322</v>
      </c>
      <c r="G821" s="122" t="s">
        <v>784</v>
      </c>
      <c r="H821" s="122" t="s">
        <v>2068</v>
      </c>
      <c r="I821" s="122" t="s">
        <v>733</v>
      </c>
      <c r="J821" s="122">
        <v>210</v>
      </c>
      <c r="K821" s="122">
        <v>200</v>
      </c>
      <c r="L821" s="122">
        <v>0</v>
      </c>
      <c r="M821" s="122">
        <v>220</v>
      </c>
      <c r="N821" s="122">
        <v>275</v>
      </c>
      <c r="O821" s="122">
        <v>275</v>
      </c>
      <c r="P821" s="122">
        <v>76</v>
      </c>
      <c r="Q821" s="123"/>
      <c r="R821" s="122">
        <v>1</v>
      </c>
      <c r="S821" s="123"/>
      <c r="T821" s="123"/>
      <c r="U821" s="122" t="s">
        <v>2319</v>
      </c>
      <c r="V821" s="122">
        <v>619185837945</v>
      </c>
    </row>
    <row r="822" ht="15.75" customHeight="1" spans="1:22" x14ac:dyDescent="0.25">
      <c r="A822" s="122" t="s">
        <v>2323</v>
      </c>
      <c r="B822" s="123"/>
      <c r="C822" s="123"/>
      <c r="D822" s="122" t="s">
        <v>2324</v>
      </c>
      <c r="E822" s="122" t="s">
        <v>2325</v>
      </c>
      <c r="F822" s="122" t="s">
        <v>2322</v>
      </c>
      <c r="G822" s="122" t="s">
        <v>784</v>
      </c>
      <c r="H822" s="122" t="s">
        <v>787</v>
      </c>
      <c r="I822" s="122" t="s">
        <v>733</v>
      </c>
      <c r="J822" s="122">
        <v>160</v>
      </c>
      <c r="K822" s="122">
        <v>165</v>
      </c>
      <c r="L822" s="122">
        <v>0</v>
      </c>
      <c r="M822" s="122">
        <v>180</v>
      </c>
      <c r="N822" s="122">
        <v>220</v>
      </c>
      <c r="O822" s="122">
        <v>220</v>
      </c>
      <c r="P822" s="122">
        <v>77</v>
      </c>
      <c r="Q822" s="123"/>
      <c r="R822" s="122">
        <v>1</v>
      </c>
      <c r="S822" s="123"/>
      <c r="T822" s="123"/>
      <c r="U822" s="122" t="s">
        <v>2323</v>
      </c>
      <c r="V822" s="122">
        <v>619185837952</v>
      </c>
    </row>
    <row r="823" ht="15.75" customHeight="1" spans="1:22" x14ac:dyDescent="0.25">
      <c r="A823" s="122" t="s">
        <v>2326</v>
      </c>
      <c r="B823" s="123"/>
      <c r="C823" s="123"/>
      <c r="D823" s="122" t="s">
        <v>2327</v>
      </c>
      <c r="E823" s="122" t="s">
        <v>2328</v>
      </c>
      <c r="F823" s="122" t="s">
        <v>2322</v>
      </c>
      <c r="G823" s="122" t="s">
        <v>784</v>
      </c>
      <c r="H823" s="122" t="s">
        <v>2329</v>
      </c>
      <c r="I823" s="122" t="s">
        <v>733</v>
      </c>
      <c r="J823" s="122">
        <v>200</v>
      </c>
      <c r="K823" s="122">
        <v>200</v>
      </c>
      <c r="L823" s="122">
        <v>0</v>
      </c>
      <c r="M823" s="122">
        <v>220</v>
      </c>
      <c r="N823" s="122">
        <v>220</v>
      </c>
      <c r="O823" s="122">
        <v>220</v>
      </c>
      <c r="P823" s="122">
        <v>75</v>
      </c>
      <c r="Q823" s="123"/>
      <c r="R823" s="122">
        <v>1</v>
      </c>
      <c r="S823" s="123"/>
      <c r="T823" s="123"/>
      <c r="U823" s="122" t="s">
        <v>2326</v>
      </c>
      <c r="V823" s="122">
        <v>619185837969</v>
      </c>
    </row>
    <row r="824" ht="15.75" customHeight="1" spans="1:22" x14ac:dyDescent="0.25">
      <c r="A824" s="122" t="s">
        <v>2330</v>
      </c>
      <c r="B824" s="123"/>
      <c r="C824" s="123"/>
      <c r="D824" s="122" t="s">
        <v>2331</v>
      </c>
      <c r="E824" s="122" t="s">
        <v>2332</v>
      </c>
      <c r="F824" s="122" t="s">
        <v>2322</v>
      </c>
      <c r="G824" s="122" t="s">
        <v>784</v>
      </c>
      <c r="H824" s="122" t="s">
        <v>785</v>
      </c>
      <c r="I824" s="122" t="s">
        <v>733</v>
      </c>
      <c r="J824" s="122">
        <v>160</v>
      </c>
      <c r="K824" s="122">
        <v>165</v>
      </c>
      <c r="L824" s="122">
        <v>0</v>
      </c>
      <c r="M824" s="122">
        <v>200</v>
      </c>
      <c r="N824" s="122">
        <v>220</v>
      </c>
      <c r="O824" s="122">
        <v>220</v>
      </c>
      <c r="P824" s="122">
        <v>75</v>
      </c>
      <c r="Q824" s="123"/>
      <c r="R824" s="122">
        <v>1</v>
      </c>
      <c r="S824" s="123"/>
      <c r="T824" s="123"/>
      <c r="U824" s="122" t="s">
        <v>2330</v>
      </c>
      <c r="V824" s="122">
        <v>619185837976</v>
      </c>
    </row>
    <row r="825" ht="15.75" customHeight="1" spans="1:22" x14ac:dyDescent="0.25">
      <c r="A825" s="122" t="s">
        <v>2333</v>
      </c>
      <c r="B825" s="123"/>
      <c r="C825" s="122" t="s">
        <v>777</v>
      </c>
      <c r="D825" s="122" t="s">
        <v>2334</v>
      </c>
      <c r="E825" s="123"/>
      <c r="F825" s="122" t="s">
        <v>742</v>
      </c>
      <c r="G825" s="122" t="s">
        <v>2257</v>
      </c>
      <c r="H825" s="122" t="s">
        <v>2335</v>
      </c>
      <c r="I825" s="123"/>
      <c r="J825" s="122">
        <v>400</v>
      </c>
      <c r="K825" s="122">
        <v>850</v>
      </c>
      <c r="L825" s="122">
        <v>850</v>
      </c>
      <c r="M825" s="122">
        <v>850</v>
      </c>
      <c r="N825" s="122">
        <v>850</v>
      </c>
      <c r="O825" s="122">
        <v>850</v>
      </c>
      <c r="P825" s="122">
        <v>0</v>
      </c>
      <c r="Q825" s="123"/>
      <c r="R825" s="122">
        <v>1</v>
      </c>
      <c r="S825" s="123"/>
      <c r="T825" s="123"/>
      <c r="U825" s="122" t="s">
        <v>2336</v>
      </c>
      <c r="V825" s="123"/>
    </row>
    <row r="826" ht="15.75" customHeight="1" spans="1:22" x14ac:dyDescent="0.25">
      <c r="A826" s="122" t="s">
        <v>2333</v>
      </c>
      <c r="B826" s="123"/>
      <c r="C826" s="122" t="s">
        <v>1113</v>
      </c>
      <c r="D826" s="122" t="s">
        <v>2334</v>
      </c>
      <c r="E826" s="123"/>
      <c r="F826" s="122" t="s">
        <v>742</v>
      </c>
      <c r="G826" s="122" t="s">
        <v>2257</v>
      </c>
      <c r="H826" s="122" t="s">
        <v>2335</v>
      </c>
      <c r="I826" s="123"/>
      <c r="J826" s="122">
        <v>400</v>
      </c>
      <c r="K826" s="122">
        <v>850</v>
      </c>
      <c r="L826" s="122">
        <v>850</v>
      </c>
      <c r="M826" s="122">
        <v>850</v>
      </c>
      <c r="N826" s="122">
        <v>850</v>
      </c>
      <c r="O826" s="122">
        <v>850</v>
      </c>
      <c r="P826" s="122">
        <v>0</v>
      </c>
      <c r="Q826" s="123"/>
      <c r="R826" s="122">
        <v>1</v>
      </c>
      <c r="S826" s="123"/>
      <c r="T826" s="123"/>
      <c r="U826" s="122" t="s">
        <v>2337</v>
      </c>
      <c r="V826" s="123"/>
    </row>
    <row r="827" ht="15.75" customHeight="1" spans="1:22" x14ac:dyDescent="0.25">
      <c r="A827" s="122" t="s">
        <v>2333</v>
      </c>
      <c r="B827" s="123"/>
      <c r="C827" s="122" t="s">
        <v>884</v>
      </c>
      <c r="D827" s="122" t="s">
        <v>2334</v>
      </c>
      <c r="E827" s="123"/>
      <c r="F827" s="122" t="s">
        <v>742</v>
      </c>
      <c r="G827" s="122" t="s">
        <v>2257</v>
      </c>
      <c r="H827" s="122" t="s">
        <v>2335</v>
      </c>
      <c r="I827" s="123"/>
      <c r="J827" s="122">
        <v>400</v>
      </c>
      <c r="K827" s="122">
        <v>850</v>
      </c>
      <c r="L827" s="122">
        <v>850</v>
      </c>
      <c r="M827" s="122">
        <v>850</v>
      </c>
      <c r="N827" s="122">
        <v>850</v>
      </c>
      <c r="O827" s="122">
        <v>850</v>
      </c>
      <c r="P827" s="122">
        <v>0</v>
      </c>
      <c r="Q827" s="123"/>
      <c r="R827" s="122">
        <v>1</v>
      </c>
      <c r="S827" s="123"/>
      <c r="T827" s="123"/>
      <c r="U827" s="122" t="s">
        <v>2338</v>
      </c>
      <c r="V827" s="123"/>
    </row>
    <row r="828" ht="15.75" customHeight="1" spans="1:22" x14ac:dyDescent="0.25">
      <c r="A828" s="122" t="s">
        <v>2339</v>
      </c>
      <c r="B828" s="123"/>
      <c r="C828" s="123"/>
      <c r="D828" s="122" t="s">
        <v>2340</v>
      </c>
      <c r="E828" s="123"/>
      <c r="F828" s="122" t="s">
        <v>779</v>
      </c>
      <c r="G828" s="122" t="s">
        <v>780</v>
      </c>
      <c r="H828" s="122" t="s">
        <v>807</v>
      </c>
      <c r="I828" s="122" t="s">
        <v>733</v>
      </c>
      <c r="J828" s="122">
        <v>25</v>
      </c>
      <c r="K828" s="122">
        <v>25</v>
      </c>
      <c r="L828" s="122">
        <v>25</v>
      </c>
      <c r="M828" s="122">
        <v>35</v>
      </c>
      <c r="N828" s="122">
        <v>25</v>
      </c>
      <c r="O828" s="122">
        <v>25</v>
      </c>
      <c r="P828" s="122">
        <v>14</v>
      </c>
      <c r="Q828" s="123"/>
      <c r="R828" s="122">
        <v>1</v>
      </c>
      <c r="S828" s="123"/>
      <c r="T828" s="123"/>
      <c r="U828" s="123"/>
      <c r="V828" s="123"/>
    </row>
    <row r="829" ht="15.75" customHeight="1" spans="1:22" x14ac:dyDescent="0.25">
      <c r="A829" s="122" t="s">
        <v>2341</v>
      </c>
      <c r="B829" s="123"/>
      <c r="C829" s="123"/>
      <c r="D829" s="122" t="s">
        <v>2342</v>
      </c>
      <c r="E829" s="123"/>
      <c r="F829" s="122" t="s">
        <v>779</v>
      </c>
      <c r="G829" s="122" t="s">
        <v>2209</v>
      </c>
      <c r="H829" s="122" t="s">
        <v>2210</v>
      </c>
      <c r="I829" s="122" t="s">
        <v>733</v>
      </c>
      <c r="J829" s="122">
        <v>0</v>
      </c>
      <c r="K829" s="122">
        <v>3000</v>
      </c>
      <c r="L829" s="122">
        <v>3000</v>
      </c>
      <c r="M829" s="122">
        <v>2650</v>
      </c>
      <c r="N829" s="122">
        <v>3000</v>
      </c>
      <c r="O829" s="122">
        <v>3000</v>
      </c>
      <c r="P829" s="122">
        <v>4</v>
      </c>
      <c r="Q829" s="123"/>
      <c r="R829" s="122">
        <v>1</v>
      </c>
      <c r="S829" s="123"/>
      <c r="T829" s="123"/>
      <c r="U829" s="123"/>
      <c r="V829" s="123"/>
    </row>
    <row r="830" ht="15.75" customHeight="1" spans="1:22" x14ac:dyDescent="0.25">
      <c r="A830" s="122" t="s">
        <v>2343</v>
      </c>
      <c r="B830" s="123"/>
      <c r="C830" s="123"/>
      <c r="D830" s="122" t="s">
        <v>2344</v>
      </c>
      <c r="E830" s="123"/>
      <c r="F830" s="122" t="s">
        <v>779</v>
      </c>
      <c r="G830" s="122" t="s">
        <v>2209</v>
      </c>
      <c r="H830" s="122" t="s">
        <v>2210</v>
      </c>
      <c r="I830" s="122" t="s">
        <v>733</v>
      </c>
      <c r="J830" s="122">
        <v>1000</v>
      </c>
      <c r="K830" s="122">
        <v>1000</v>
      </c>
      <c r="L830" s="122">
        <v>1000</v>
      </c>
      <c r="M830" s="122">
        <v>1350</v>
      </c>
      <c r="N830" s="122">
        <v>1000</v>
      </c>
      <c r="O830" s="122">
        <v>1000</v>
      </c>
      <c r="P830" s="122">
        <v>2</v>
      </c>
      <c r="Q830" s="123"/>
      <c r="R830" s="122">
        <v>1</v>
      </c>
      <c r="S830" s="123"/>
      <c r="T830" s="123"/>
      <c r="U830" s="123"/>
      <c r="V830" s="123"/>
    </row>
    <row r="831" ht="15.75" customHeight="1" spans="1:22" x14ac:dyDescent="0.25">
      <c r="A831" s="122" t="s">
        <v>2345</v>
      </c>
      <c r="B831" s="123"/>
      <c r="C831" s="123"/>
      <c r="D831" s="122" t="s">
        <v>2346</v>
      </c>
      <c r="E831" s="123"/>
      <c r="F831" s="122" t="s">
        <v>779</v>
      </c>
      <c r="G831" s="122" t="s">
        <v>2209</v>
      </c>
      <c r="H831" s="122" t="s">
        <v>2210</v>
      </c>
      <c r="I831" s="122" t="s">
        <v>733</v>
      </c>
      <c r="J831" s="122">
        <v>1000</v>
      </c>
      <c r="K831" s="122">
        <v>1000</v>
      </c>
      <c r="L831" s="122">
        <v>1000</v>
      </c>
      <c r="M831" s="122">
        <v>999</v>
      </c>
      <c r="N831" s="122">
        <v>1000</v>
      </c>
      <c r="O831" s="122">
        <v>1000</v>
      </c>
      <c r="P831" s="122">
        <v>5</v>
      </c>
      <c r="Q831" s="123"/>
      <c r="R831" s="122">
        <v>1</v>
      </c>
      <c r="S831" s="123"/>
      <c r="T831" s="123"/>
      <c r="U831" s="123"/>
      <c r="V831" s="123"/>
    </row>
    <row r="832" ht="15.75" customHeight="1" spans="1:22" x14ac:dyDescent="0.25">
      <c r="A832" s="122" t="s">
        <v>2347</v>
      </c>
      <c r="B832" s="123"/>
      <c r="C832" s="123"/>
      <c r="D832" s="122" t="s">
        <v>2348</v>
      </c>
      <c r="E832" s="123"/>
      <c r="F832" s="122" t="s">
        <v>779</v>
      </c>
      <c r="G832" s="122" t="s">
        <v>2209</v>
      </c>
      <c r="H832" s="122" t="s">
        <v>2210</v>
      </c>
      <c r="I832" s="122" t="s">
        <v>733</v>
      </c>
      <c r="J832" s="122">
        <v>100</v>
      </c>
      <c r="K832" s="122">
        <v>100</v>
      </c>
      <c r="L832" s="122">
        <v>100</v>
      </c>
      <c r="M832" s="122">
        <v>289</v>
      </c>
      <c r="N832" s="122">
        <v>100</v>
      </c>
      <c r="O832" s="122">
        <v>100</v>
      </c>
      <c r="P832" s="122">
        <v>2</v>
      </c>
      <c r="Q832" s="123"/>
      <c r="R832" s="122">
        <v>1</v>
      </c>
      <c r="S832" s="123"/>
      <c r="T832" s="123"/>
      <c r="U832" s="123"/>
      <c r="V832" s="123"/>
    </row>
    <row r="833" ht="15.75" customHeight="1" spans="1:22" x14ac:dyDescent="0.25">
      <c r="A833" s="122" t="s">
        <v>2349</v>
      </c>
      <c r="B833" s="123"/>
      <c r="C833" s="123"/>
      <c r="D833" s="122" t="s">
        <v>2350</v>
      </c>
      <c r="E833" s="123"/>
      <c r="F833" s="122" t="s">
        <v>779</v>
      </c>
      <c r="G833" s="122" t="s">
        <v>2209</v>
      </c>
      <c r="H833" s="122" t="s">
        <v>2210</v>
      </c>
      <c r="I833" s="122" t="s">
        <v>733</v>
      </c>
      <c r="J833" s="122">
        <v>100</v>
      </c>
      <c r="K833" s="122">
        <v>100</v>
      </c>
      <c r="L833" s="122">
        <v>100</v>
      </c>
      <c r="M833" s="122">
        <v>569</v>
      </c>
      <c r="N833" s="122">
        <v>100</v>
      </c>
      <c r="O833" s="122">
        <v>100</v>
      </c>
      <c r="P833" s="122">
        <v>3</v>
      </c>
      <c r="Q833" s="123"/>
      <c r="R833" s="122">
        <v>1</v>
      </c>
      <c r="S833" s="123"/>
      <c r="T833" s="123"/>
      <c r="U833" s="123"/>
      <c r="V833" s="123"/>
    </row>
    <row r="834" ht="15.75" customHeight="1" spans="1:22" x14ac:dyDescent="0.25">
      <c r="A834" s="122" t="s">
        <v>2351</v>
      </c>
      <c r="B834" s="123"/>
      <c r="C834" s="123"/>
      <c r="D834" s="122" t="s">
        <v>2352</v>
      </c>
      <c r="E834" s="123"/>
      <c r="F834" s="122" t="s">
        <v>779</v>
      </c>
      <c r="G834" s="122" t="s">
        <v>2209</v>
      </c>
      <c r="H834" s="122" t="s">
        <v>2210</v>
      </c>
      <c r="I834" s="122" t="s">
        <v>733</v>
      </c>
      <c r="J834" s="122">
        <v>100</v>
      </c>
      <c r="K834" s="122">
        <v>100</v>
      </c>
      <c r="L834" s="122">
        <v>100</v>
      </c>
      <c r="M834" s="122">
        <v>1150</v>
      </c>
      <c r="N834" s="122">
        <v>100</v>
      </c>
      <c r="O834" s="122">
        <v>100</v>
      </c>
      <c r="P834" s="122">
        <v>5</v>
      </c>
      <c r="Q834" s="123"/>
      <c r="R834" s="122">
        <v>1</v>
      </c>
      <c r="S834" s="123"/>
      <c r="T834" s="123"/>
      <c r="U834" s="123"/>
      <c r="V834" s="123"/>
    </row>
    <row r="835" ht="15.75" customHeight="1" spans="1:22" x14ac:dyDescent="0.25">
      <c r="A835" s="122" t="s">
        <v>117</v>
      </c>
      <c r="B835" s="123"/>
      <c r="C835" s="123"/>
      <c r="D835" s="122" t="s">
        <v>118</v>
      </c>
      <c r="E835" s="123"/>
      <c r="F835" s="122" t="s">
        <v>779</v>
      </c>
      <c r="G835" s="122" t="s">
        <v>780</v>
      </c>
      <c r="H835" s="122" t="s">
        <v>807</v>
      </c>
      <c r="I835" s="122" t="s">
        <v>733</v>
      </c>
      <c r="J835" s="122">
        <v>300</v>
      </c>
      <c r="K835" s="122">
        <v>35</v>
      </c>
      <c r="L835" s="122">
        <v>0</v>
      </c>
      <c r="M835" s="122">
        <v>420</v>
      </c>
      <c r="N835" s="122">
        <v>450</v>
      </c>
      <c r="O835" s="122">
        <v>450</v>
      </c>
      <c r="P835" s="122">
        <v>51</v>
      </c>
      <c r="Q835" s="123"/>
      <c r="R835" s="122">
        <v>1</v>
      </c>
      <c r="S835" s="123"/>
      <c r="T835" s="123"/>
      <c r="U835" s="122" t="s">
        <v>117</v>
      </c>
      <c r="V835" s="122">
        <v>8858890800352</v>
      </c>
    </row>
    <row r="836" ht="15.75" customHeight="1" spans="1:22" x14ac:dyDescent="0.25">
      <c r="A836" s="122" t="s">
        <v>2353</v>
      </c>
      <c r="B836" s="123"/>
      <c r="C836" s="123"/>
      <c r="D836" s="122" t="s">
        <v>2354</v>
      </c>
      <c r="E836" s="123"/>
      <c r="F836" s="122" t="s">
        <v>730</v>
      </c>
      <c r="G836" s="122" t="s">
        <v>731</v>
      </c>
      <c r="H836" s="122" t="s">
        <v>732</v>
      </c>
      <c r="I836" s="122" t="s">
        <v>2355</v>
      </c>
      <c r="J836" s="122">
        <v>15</v>
      </c>
      <c r="K836" s="122">
        <v>20</v>
      </c>
      <c r="L836" s="122">
        <v>0</v>
      </c>
      <c r="M836" s="122">
        <v>0</v>
      </c>
      <c r="N836" s="122">
        <v>59</v>
      </c>
      <c r="O836" s="122">
        <v>59</v>
      </c>
      <c r="P836" s="122">
        <v>27</v>
      </c>
      <c r="Q836" s="123"/>
      <c r="R836" s="122">
        <v>1</v>
      </c>
      <c r="S836" s="123"/>
      <c r="T836" s="123"/>
      <c r="U836" s="123"/>
      <c r="V836" s="123"/>
    </row>
    <row r="837" ht="15.75" customHeight="1" spans="1:22" x14ac:dyDescent="0.25">
      <c r="A837" s="122" t="s">
        <v>2356</v>
      </c>
      <c r="B837" s="123"/>
      <c r="C837" s="123"/>
      <c r="D837" s="122" t="s">
        <v>2354</v>
      </c>
      <c r="E837" s="123"/>
      <c r="F837" s="122" t="s">
        <v>779</v>
      </c>
      <c r="G837" s="122" t="s">
        <v>780</v>
      </c>
      <c r="H837" s="122" t="s">
        <v>1164</v>
      </c>
      <c r="I837" s="122" t="s">
        <v>2355</v>
      </c>
      <c r="J837" s="122">
        <v>15</v>
      </c>
      <c r="K837" s="122">
        <v>15</v>
      </c>
      <c r="L837" s="122">
        <v>0</v>
      </c>
      <c r="M837" s="122">
        <v>0</v>
      </c>
      <c r="N837" s="122">
        <v>15</v>
      </c>
      <c r="O837" s="122">
        <v>15</v>
      </c>
      <c r="P837" s="122">
        <v>48</v>
      </c>
      <c r="Q837" s="123"/>
      <c r="R837" s="122">
        <v>1</v>
      </c>
      <c r="S837" s="123"/>
      <c r="T837" s="123"/>
      <c r="U837" s="123"/>
      <c r="V837" s="123"/>
    </row>
    <row r="838" ht="15.75" customHeight="1" spans="1:22" x14ac:dyDescent="0.25">
      <c r="A838" s="122" t="s">
        <v>2357</v>
      </c>
      <c r="B838" s="123"/>
      <c r="C838" s="123"/>
      <c r="D838" s="122" t="s">
        <v>2354</v>
      </c>
      <c r="E838" s="123"/>
      <c r="F838" s="122" t="s">
        <v>779</v>
      </c>
      <c r="G838" s="122" t="s">
        <v>780</v>
      </c>
      <c r="H838" s="122" t="s">
        <v>1164</v>
      </c>
      <c r="I838" s="122" t="s">
        <v>2355</v>
      </c>
      <c r="J838" s="122">
        <v>15</v>
      </c>
      <c r="K838" s="122">
        <v>15</v>
      </c>
      <c r="L838" s="122">
        <v>0</v>
      </c>
      <c r="M838" s="122">
        <v>0</v>
      </c>
      <c r="N838" s="122">
        <v>15</v>
      </c>
      <c r="O838" s="122">
        <v>15</v>
      </c>
      <c r="P838" s="122">
        <v>88</v>
      </c>
      <c r="Q838" s="123"/>
      <c r="R838" s="122">
        <v>1</v>
      </c>
      <c r="S838" s="123"/>
      <c r="T838" s="123"/>
      <c r="U838" s="123"/>
      <c r="V838" s="123"/>
    </row>
    <row r="839" ht="15.75" customHeight="1" spans="1:22" x14ac:dyDescent="0.25">
      <c r="A839" s="122" t="s">
        <v>2358</v>
      </c>
      <c r="B839" s="123"/>
      <c r="C839" s="123"/>
      <c r="D839" s="122" t="s">
        <v>2359</v>
      </c>
      <c r="E839" s="123"/>
      <c r="F839" s="122" t="s">
        <v>753</v>
      </c>
      <c r="G839" s="122" t="s">
        <v>754</v>
      </c>
      <c r="H839" s="122" t="s">
        <v>1592</v>
      </c>
      <c r="I839" s="122" t="s">
        <v>733</v>
      </c>
      <c r="J839" s="122">
        <v>15</v>
      </c>
      <c r="K839" s="122">
        <v>25</v>
      </c>
      <c r="L839" s="122">
        <v>25</v>
      </c>
      <c r="M839" s="122">
        <v>25</v>
      </c>
      <c r="N839" s="122">
        <v>25</v>
      </c>
      <c r="O839" s="122">
        <v>25</v>
      </c>
      <c r="P839" s="122">
        <v>8</v>
      </c>
      <c r="Q839" s="123"/>
      <c r="R839" s="122">
        <v>1</v>
      </c>
      <c r="S839" s="123"/>
      <c r="T839" s="123"/>
      <c r="U839" s="123"/>
      <c r="V839" s="123"/>
    </row>
    <row r="840" ht="15.75" customHeight="1" spans="1:22" x14ac:dyDescent="0.25">
      <c r="A840" s="122" t="s">
        <v>2360</v>
      </c>
      <c r="B840" s="123"/>
      <c r="C840" s="123"/>
      <c r="D840" s="122" t="s">
        <v>2361</v>
      </c>
      <c r="E840" s="123"/>
      <c r="F840" s="122" t="s">
        <v>753</v>
      </c>
      <c r="G840" s="122" t="s">
        <v>754</v>
      </c>
      <c r="H840" s="122" t="s">
        <v>1592</v>
      </c>
      <c r="I840" s="123"/>
      <c r="J840" s="122">
        <v>15</v>
      </c>
      <c r="K840" s="122">
        <v>28</v>
      </c>
      <c r="L840" s="122">
        <v>28</v>
      </c>
      <c r="M840" s="122">
        <v>28</v>
      </c>
      <c r="N840" s="122">
        <v>28</v>
      </c>
      <c r="O840" s="122">
        <v>28</v>
      </c>
      <c r="P840" s="122">
        <v>0</v>
      </c>
      <c r="Q840" s="123"/>
      <c r="R840" s="122">
        <v>1</v>
      </c>
      <c r="S840" s="123"/>
      <c r="T840" s="123"/>
      <c r="U840" s="123"/>
      <c r="V840" s="123"/>
    </row>
    <row r="841" ht="15.75" customHeight="1" spans="1:22" x14ac:dyDescent="0.25">
      <c r="A841" s="122" t="s">
        <v>2362</v>
      </c>
      <c r="B841" s="123"/>
      <c r="C841" s="123"/>
      <c r="D841" s="122" t="s">
        <v>2363</v>
      </c>
      <c r="E841" s="123"/>
      <c r="F841" s="122" t="s">
        <v>742</v>
      </c>
      <c r="G841" s="122" t="s">
        <v>1495</v>
      </c>
      <c r="H841" s="122" t="s">
        <v>1579</v>
      </c>
      <c r="I841" s="122" t="s">
        <v>733</v>
      </c>
      <c r="J841" s="122">
        <v>50</v>
      </c>
      <c r="K841" s="122">
        <v>0</v>
      </c>
      <c r="L841" s="122">
        <v>0</v>
      </c>
      <c r="M841" s="122">
        <v>0</v>
      </c>
      <c r="N841" s="122">
        <v>150</v>
      </c>
      <c r="O841" s="122">
        <v>150</v>
      </c>
      <c r="P841" s="122">
        <v>9</v>
      </c>
      <c r="Q841" s="123"/>
      <c r="R841" s="122">
        <v>1</v>
      </c>
      <c r="S841" s="123"/>
      <c r="T841" s="123"/>
      <c r="U841" s="123"/>
      <c r="V841" s="122">
        <v>8858890797386</v>
      </c>
    </row>
    <row r="842" spans="1:22" x14ac:dyDescent="0.25">
      <c r="A842" t="s">
        <v>62</v>
      </c>
      <c r="D842" t="s">
        <v>2364</v>
      </c>
      <c r="E842" t="s">
        <v>2365</v>
      </c>
      <c r="F842" t="s">
        <v>241</v>
      </c>
      <c r="G842" t="s">
        <v>731</v>
      </c>
      <c r="K842">
        <v>200</v>
      </c>
      <c r="N842">
        <v>290</v>
      </c>
      <c r="P842">
        <v>45</v>
      </c>
      <c r="V842" t="s">
        <v>2366</v>
      </c>
    </row>
    <row r="843" spans="1:22" x14ac:dyDescent="0.25">
      <c r="A843" t="s">
        <v>683</v>
      </c>
      <c r="D843" t="s">
        <v>2367</v>
      </c>
      <c r="E843" t="s">
        <v>2368</v>
      </c>
      <c r="F843" t="s">
        <v>256</v>
      </c>
      <c r="G843" t="s">
        <v>780</v>
      </c>
      <c r="K843">
        <v>120</v>
      </c>
      <c r="N843">
        <v>180</v>
      </c>
      <c r="P843">
        <v>120</v>
      </c>
      <c r="V843" t="s">
        <v>2369</v>
      </c>
    </row>
    <row r="844" spans="1:22" x14ac:dyDescent="0.25">
      <c r="A844" t="s">
        <v>685</v>
      </c>
      <c r="D844" t="s">
        <v>2370</v>
      </c>
      <c r="E844" t="s">
        <v>2371</v>
      </c>
      <c r="F844" t="s">
        <v>297</v>
      </c>
      <c r="G844" t="s">
        <v>745</v>
      </c>
      <c r="K844">
        <v>990</v>
      </c>
      <c r="N844">
        <v>1450</v>
      </c>
      <c r="P844">
        <v>18</v>
      </c>
      <c r="V844" t="s">
        <v>2372</v>
      </c>
    </row>
    <row r="845" spans="1:22" x14ac:dyDescent="0.25">
      <c r="A845" t="s">
        <v>63</v>
      </c>
      <c r="D845" t="s">
        <v>2373</v>
      </c>
      <c r="E845" t="s">
        <v>2374</v>
      </c>
      <c r="F845" t="s">
        <v>241</v>
      </c>
      <c r="G845" t="s">
        <v>731</v>
      </c>
      <c r="K845">
        <v>220</v>
      </c>
      <c r="N845">
        <v>320</v>
      </c>
      <c r="P845">
        <v>32</v>
      </c>
      <c r="V845" t="s">
        <v>2375</v>
      </c>
    </row>
    <row r="846" spans="1:22" x14ac:dyDescent="0.25">
      <c r="A846" t="s">
        <v>688</v>
      </c>
      <c r="D846" t="s">
        <v>2376</v>
      </c>
      <c r="E846" t="s">
        <v>2377</v>
      </c>
      <c r="F846" t="s">
        <v>256</v>
      </c>
      <c r="G846" t="s">
        <v>784</v>
      </c>
      <c r="K846">
        <v>240</v>
      </c>
      <c r="N846">
        <v>350</v>
      </c>
      <c r="P846">
        <v>0</v>
      </c>
      <c r="V846" t="s">
        <v>2378</v>
      </c>
    </row>
  </sheetData>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108"/>
  <sheetViews>
    <sheetView workbookViewId="0" zoomScale="100" zoomScaleNormal="100"/>
  </sheetViews>
  <sheetFormatPr defaultRowHeight="15.75" outlineLevelRow="0" outlineLevelCol="0" x14ac:dyDescent="0" defaultColWidth="12.63" customHeight="1"/>
  <sheetData>
    <row r="1" ht="15.75" customHeight="1" spans="1:17" x14ac:dyDescent="0.25">
      <c r="A1" s="124" t="s">
        <v>2</v>
      </c>
      <c r="B1" s="125" t="s">
        <v>2379</v>
      </c>
      <c r="C1" s="125" t="s">
        <v>2380</v>
      </c>
      <c r="D1" s="125" t="s">
        <v>2381</v>
      </c>
      <c r="E1" s="126" t="s">
        <v>2382</v>
      </c>
      <c r="F1" s="125" t="s">
        <v>2383</v>
      </c>
      <c r="G1" s="127" t="s">
        <v>2384</v>
      </c>
      <c r="H1" s="124" t="s">
        <v>2385</v>
      </c>
      <c r="I1" s="124" t="s">
        <v>234</v>
      </c>
      <c r="J1" s="125" t="s">
        <v>2386</v>
      </c>
      <c r="K1" s="128" t="s">
        <v>2387</v>
      </c>
      <c r="L1" s="129" t="s">
        <v>2388</v>
      </c>
      <c r="M1" s="129" t="s">
        <v>2389</v>
      </c>
      <c r="N1" s="130"/>
      <c r="O1" s="130"/>
      <c r="P1" s="130"/>
      <c r="Q1" s="130"/>
    </row>
    <row r="2" ht="15.75" customHeight="1" spans="1:17" x14ac:dyDescent="0.25">
      <c r="A2" s="131" t="s">
        <v>319</v>
      </c>
      <c r="B2" s="132" t="s">
        <v>2390</v>
      </c>
      <c r="C2" s="133" t="s">
        <v>2391</v>
      </c>
      <c r="D2" s="134"/>
      <c r="E2" s="135">
        <v>0.5</v>
      </c>
      <c r="F2" s="136">
        <v>0.5</v>
      </c>
      <c r="G2" s="137"/>
      <c r="H2" s="134"/>
      <c r="I2" s="136">
        <v>8858890720599</v>
      </c>
      <c r="J2" s="136" t="s">
        <v>753</v>
      </c>
      <c r="K2" s="138" t="s">
        <v>2392</v>
      </c>
      <c r="L2" s="130"/>
      <c r="M2" s="130"/>
      <c r="N2" s="130"/>
      <c r="O2" s="130"/>
      <c r="P2" s="130"/>
      <c r="Q2" s="130"/>
    </row>
    <row r="3" ht="15.75" customHeight="1" spans="1:17" x14ac:dyDescent="0.25">
      <c r="A3" s="131" t="s">
        <v>2393</v>
      </c>
      <c r="B3" s="132" t="s">
        <v>2394</v>
      </c>
      <c r="C3" s="133" t="s">
        <v>2395</v>
      </c>
      <c r="D3" s="134"/>
      <c r="E3" s="137"/>
      <c r="F3" s="134"/>
      <c r="G3" s="137"/>
      <c r="H3" s="134"/>
      <c r="I3" s="134"/>
      <c r="J3" s="136" t="s">
        <v>753</v>
      </c>
      <c r="K3" s="139"/>
      <c r="L3" s="130"/>
      <c r="M3" s="130"/>
      <c r="N3" s="130"/>
      <c r="O3" s="130"/>
      <c r="P3" s="130"/>
      <c r="Q3" s="130"/>
    </row>
    <row r="4" ht="15.75" customHeight="1" spans="1:17" x14ac:dyDescent="0.25">
      <c r="A4" s="131" t="s">
        <v>2396</v>
      </c>
      <c r="B4" s="132" t="s">
        <v>2397</v>
      </c>
      <c r="C4" s="133" t="s">
        <v>2398</v>
      </c>
      <c r="D4" s="134"/>
      <c r="E4" s="137"/>
      <c r="F4" s="134"/>
      <c r="G4" s="137"/>
      <c r="H4" s="134"/>
      <c r="I4" s="134"/>
      <c r="J4" s="136" t="s">
        <v>753</v>
      </c>
      <c r="K4" s="139"/>
      <c r="L4" s="130"/>
      <c r="M4" s="130"/>
      <c r="N4" s="130"/>
      <c r="O4" s="130"/>
      <c r="P4" s="130"/>
      <c r="Q4" s="130"/>
    </row>
    <row r="5" ht="15.75" customHeight="1" spans="1:17" x14ac:dyDescent="0.25">
      <c r="A5" s="131" t="s">
        <v>2399</v>
      </c>
      <c r="B5" s="132" t="s">
        <v>2400</v>
      </c>
      <c r="C5" s="133" t="s">
        <v>2401</v>
      </c>
      <c r="D5" s="134"/>
      <c r="E5" s="135">
        <v>0.5</v>
      </c>
      <c r="F5" s="136">
        <v>0.5</v>
      </c>
      <c r="G5" s="137"/>
      <c r="H5" s="134"/>
      <c r="I5" s="134"/>
      <c r="J5" s="136" t="s">
        <v>753</v>
      </c>
      <c r="K5" s="140" t="s">
        <v>2402</v>
      </c>
      <c r="L5" s="130"/>
      <c r="M5" s="130"/>
      <c r="N5" s="130"/>
      <c r="O5" s="130"/>
      <c r="P5" s="130"/>
      <c r="Q5" s="130"/>
    </row>
    <row r="6" ht="15.75" customHeight="1" spans="1:17" x14ac:dyDescent="0.25">
      <c r="A6" s="131" t="s">
        <v>255</v>
      </c>
      <c r="B6" s="132" t="s">
        <v>2403</v>
      </c>
      <c r="C6" s="133" t="s">
        <v>2404</v>
      </c>
      <c r="D6" s="136" t="s">
        <v>2405</v>
      </c>
      <c r="E6" s="135">
        <v>0.23</v>
      </c>
      <c r="F6" s="136">
        <f t="shared" ref="F6:F8" si="0">E:E+0.05</f>
        <v>0.28</v>
      </c>
      <c r="G6" s="137"/>
      <c r="H6" s="134"/>
      <c r="I6" s="136">
        <v>8858890710019</v>
      </c>
      <c r="J6" s="136" t="s">
        <v>2406</v>
      </c>
      <c r="K6" s="140" t="s">
        <v>2407</v>
      </c>
      <c r="L6" s="130"/>
      <c r="M6" s="130"/>
      <c r="N6" s="130"/>
      <c r="O6" s="130"/>
      <c r="P6" s="130"/>
      <c r="Q6" s="130"/>
    </row>
    <row r="7" ht="15.75" customHeight="1" spans="1:17" x14ac:dyDescent="0.25">
      <c r="A7" s="131" t="s">
        <v>2408</v>
      </c>
      <c r="B7" s="132" t="s">
        <v>2409</v>
      </c>
      <c r="C7" s="133" t="s">
        <v>2410</v>
      </c>
      <c r="D7" s="136" t="s">
        <v>2405</v>
      </c>
      <c r="E7" s="135">
        <v>0.23</v>
      </c>
      <c r="F7" s="136">
        <f t="shared" si="0"/>
        <v>0.28</v>
      </c>
      <c r="G7" s="137"/>
      <c r="H7" s="134"/>
      <c r="I7" s="136">
        <v>8858890710033</v>
      </c>
      <c r="J7" s="136" t="s">
        <v>2406</v>
      </c>
      <c r="K7" s="139"/>
      <c r="L7" s="130"/>
      <c r="M7" s="130"/>
      <c r="N7" s="130"/>
      <c r="O7" s="130"/>
      <c r="P7" s="130"/>
      <c r="Q7" s="130"/>
    </row>
    <row r="8" ht="15.75" customHeight="1" spans="1:17" x14ac:dyDescent="0.25">
      <c r="A8" s="141" t="s">
        <v>1806</v>
      </c>
      <c r="B8" s="142" t="s">
        <v>2411</v>
      </c>
      <c r="C8" s="143" t="s">
        <v>2412</v>
      </c>
      <c r="D8" s="144" t="s">
        <v>2405</v>
      </c>
      <c r="E8" s="145">
        <v>0.23</v>
      </c>
      <c r="F8" s="144">
        <f t="shared" si="0"/>
        <v>0.28</v>
      </c>
      <c r="G8" s="146"/>
      <c r="H8" s="147"/>
      <c r="I8" s="144">
        <v>8858890710057</v>
      </c>
      <c r="J8" s="144" t="s">
        <v>2406</v>
      </c>
      <c r="K8" s="139"/>
      <c r="L8" s="130"/>
      <c r="M8" s="130"/>
      <c r="N8" s="130"/>
      <c r="O8" s="130"/>
      <c r="P8" s="130"/>
      <c r="Q8" s="130"/>
    </row>
    <row r="9" ht="15.75" customHeight="1" spans="1:17" x14ac:dyDescent="0.25">
      <c r="A9" s="141" t="s">
        <v>1809</v>
      </c>
      <c r="B9" s="142" t="s">
        <v>2413</v>
      </c>
      <c r="C9" s="143" t="s">
        <v>2414</v>
      </c>
      <c r="D9" s="147"/>
      <c r="E9" s="146"/>
      <c r="F9" s="147"/>
      <c r="G9" s="146"/>
      <c r="H9" s="147"/>
      <c r="I9" s="148">
        <v>8858890710064</v>
      </c>
      <c r="J9" s="147"/>
      <c r="K9" s="139"/>
      <c r="L9" s="130"/>
      <c r="M9" s="130"/>
      <c r="N9" s="130"/>
      <c r="O9" s="130"/>
      <c r="P9" s="130"/>
      <c r="Q9" s="130"/>
    </row>
    <row r="10" ht="15.75" customHeight="1" spans="1:17" x14ac:dyDescent="0.25">
      <c r="A10" s="131" t="s">
        <v>1812</v>
      </c>
      <c r="B10" s="132" t="s">
        <v>2415</v>
      </c>
      <c r="C10" s="133" t="s">
        <v>2416</v>
      </c>
      <c r="D10" s="136" t="s">
        <v>2405</v>
      </c>
      <c r="E10" s="135">
        <v>0.23</v>
      </c>
      <c r="F10" s="136">
        <f t="shared" ref="F10:F15" si="1">E:E+0.05</f>
        <v>0.28</v>
      </c>
      <c r="G10" s="137"/>
      <c r="H10" s="134"/>
      <c r="I10" s="136">
        <v>8858890710071</v>
      </c>
      <c r="J10" s="136" t="s">
        <v>2406</v>
      </c>
      <c r="K10" s="139"/>
      <c r="L10" s="130"/>
      <c r="M10" s="130"/>
      <c r="N10" s="130"/>
      <c r="O10" s="130"/>
      <c r="P10" s="130"/>
      <c r="Q10" s="130"/>
    </row>
    <row r="11" ht="15.75" customHeight="1" spans="1:17" x14ac:dyDescent="0.25">
      <c r="A11" s="131" t="s">
        <v>1815</v>
      </c>
      <c r="B11" s="132" t="s">
        <v>2417</v>
      </c>
      <c r="C11" s="133" t="s">
        <v>2418</v>
      </c>
      <c r="D11" s="136" t="s">
        <v>2405</v>
      </c>
      <c r="E11" s="135">
        <v>0.23</v>
      </c>
      <c r="F11" s="136">
        <f t="shared" si="1"/>
        <v>0.28</v>
      </c>
      <c r="G11" s="137"/>
      <c r="H11" s="134"/>
      <c r="I11" s="136">
        <v>8858890710088</v>
      </c>
      <c r="J11" s="136" t="s">
        <v>2406</v>
      </c>
      <c r="K11" s="139"/>
      <c r="L11" s="130"/>
      <c r="M11" s="130"/>
      <c r="N11" s="130"/>
      <c r="O11" s="130"/>
      <c r="P11" s="130"/>
      <c r="Q11" s="130"/>
    </row>
    <row r="12" ht="15.75" customHeight="1" spans="1:17" x14ac:dyDescent="0.25">
      <c r="A12" s="131" t="s">
        <v>1818</v>
      </c>
      <c r="B12" s="132" t="s">
        <v>2419</v>
      </c>
      <c r="C12" s="133" t="s">
        <v>2420</v>
      </c>
      <c r="D12" s="136" t="s">
        <v>2405</v>
      </c>
      <c r="E12" s="135">
        <v>0.23</v>
      </c>
      <c r="F12" s="136">
        <f t="shared" si="1"/>
        <v>0.28</v>
      </c>
      <c r="G12" s="137"/>
      <c r="H12" s="134"/>
      <c r="I12" s="136">
        <v>8858890710095</v>
      </c>
      <c r="J12" s="136" t="s">
        <v>2406</v>
      </c>
      <c r="K12" s="139"/>
      <c r="L12" s="130"/>
      <c r="M12" s="130"/>
      <c r="N12" s="130"/>
      <c r="O12" s="130"/>
      <c r="P12" s="130"/>
      <c r="Q12" s="130"/>
    </row>
    <row r="13" ht="15.75" customHeight="1" spans="1:17" x14ac:dyDescent="0.25">
      <c r="A13" s="131" t="s">
        <v>1821</v>
      </c>
      <c r="B13" s="132" t="s">
        <v>2421</v>
      </c>
      <c r="C13" s="133" t="s">
        <v>2422</v>
      </c>
      <c r="D13" s="136" t="s">
        <v>2405</v>
      </c>
      <c r="E13" s="135">
        <v>0.23</v>
      </c>
      <c r="F13" s="136">
        <f t="shared" si="1"/>
        <v>0.28</v>
      </c>
      <c r="G13" s="137"/>
      <c r="H13" s="134"/>
      <c r="I13" s="136">
        <v>8858890710125</v>
      </c>
      <c r="J13" s="136" t="s">
        <v>2406</v>
      </c>
      <c r="K13" s="139"/>
      <c r="L13" s="130"/>
      <c r="M13" s="130"/>
      <c r="N13" s="130"/>
      <c r="O13" s="130"/>
      <c r="P13" s="130"/>
      <c r="Q13" s="130"/>
    </row>
    <row r="14" ht="15.75" customHeight="1" spans="1:17" x14ac:dyDescent="0.25">
      <c r="A14" s="131" t="s">
        <v>1823</v>
      </c>
      <c r="B14" s="132" t="s">
        <v>2423</v>
      </c>
      <c r="C14" s="133" t="s">
        <v>2424</v>
      </c>
      <c r="D14" s="136" t="s">
        <v>2405</v>
      </c>
      <c r="E14" s="135">
        <v>0.23</v>
      </c>
      <c r="F14" s="136">
        <f t="shared" si="1"/>
        <v>0.28</v>
      </c>
      <c r="G14" s="137"/>
      <c r="H14" s="134"/>
      <c r="I14" s="136">
        <v>8858890710118</v>
      </c>
      <c r="J14" s="136" t="s">
        <v>2406</v>
      </c>
      <c r="K14" s="139"/>
      <c r="L14" s="130"/>
      <c r="M14" s="130"/>
      <c r="N14" s="130"/>
      <c r="O14" s="130"/>
      <c r="P14" s="130"/>
      <c r="Q14" s="130"/>
    </row>
    <row r="15" ht="15.75" customHeight="1" spans="1:17" x14ac:dyDescent="0.25">
      <c r="A15" s="141" t="s">
        <v>257</v>
      </c>
      <c r="B15" s="142" t="s">
        <v>2425</v>
      </c>
      <c r="C15" s="143" t="s">
        <v>2426</v>
      </c>
      <c r="D15" s="144" t="s">
        <v>2405</v>
      </c>
      <c r="E15" s="145">
        <v>0.23</v>
      </c>
      <c r="F15" s="136">
        <f t="shared" si="1"/>
        <v>0.28</v>
      </c>
      <c r="G15" s="146"/>
      <c r="H15" s="147"/>
      <c r="I15" s="144">
        <v>8858890710125</v>
      </c>
      <c r="J15" s="144" t="s">
        <v>2406</v>
      </c>
      <c r="K15" s="139"/>
      <c r="L15" s="130"/>
      <c r="M15" s="130"/>
      <c r="N15" s="130"/>
      <c r="O15" s="130"/>
      <c r="P15" s="130"/>
      <c r="Q15" s="130"/>
    </row>
    <row r="16" ht="15.75" customHeight="1" spans="1:17" x14ac:dyDescent="0.25">
      <c r="A16" s="141" t="s">
        <v>2427</v>
      </c>
      <c r="B16" s="142" t="s">
        <v>2428</v>
      </c>
      <c r="C16" s="143" t="s">
        <v>2429</v>
      </c>
      <c r="D16" s="147"/>
      <c r="E16" s="146"/>
      <c r="F16" s="134"/>
      <c r="G16" s="146"/>
      <c r="H16" s="147"/>
      <c r="I16" s="147"/>
      <c r="J16" s="147"/>
      <c r="K16" s="139"/>
      <c r="L16" s="130"/>
      <c r="M16" s="130"/>
      <c r="N16" s="130"/>
      <c r="O16" s="130"/>
      <c r="P16" s="130"/>
      <c r="Q16" s="130"/>
    </row>
    <row r="17" ht="15.75" customHeight="1" spans="1:17" x14ac:dyDescent="0.25">
      <c r="A17" s="131" t="s">
        <v>1826</v>
      </c>
      <c r="B17" s="132" t="s">
        <v>2430</v>
      </c>
      <c r="C17" s="133" t="s">
        <v>2431</v>
      </c>
      <c r="D17" s="136" t="s">
        <v>2405</v>
      </c>
      <c r="E17" s="135">
        <v>0.23</v>
      </c>
      <c r="F17" s="136">
        <f t="shared" ref="F17:F25" si="2">E:E+0.05</f>
        <v>0.28</v>
      </c>
      <c r="G17" s="137"/>
      <c r="H17" s="134"/>
      <c r="I17" s="136">
        <v>8858890710149</v>
      </c>
      <c r="J17" s="136" t="s">
        <v>2406</v>
      </c>
      <c r="K17" s="139"/>
      <c r="L17" s="130"/>
      <c r="M17" s="130"/>
      <c r="N17" s="130"/>
      <c r="O17" s="130"/>
      <c r="P17" s="130"/>
      <c r="Q17" s="130"/>
    </row>
    <row r="18" ht="15.75" customHeight="1" spans="1:17" x14ac:dyDescent="0.25">
      <c r="A18" s="131" t="s">
        <v>1829</v>
      </c>
      <c r="B18" s="132" t="s">
        <v>2432</v>
      </c>
      <c r="C18" s="133" t="s">
        <v>2433</v>
      </c>
      <c r="D18" s="136" t="s">
        <v>2405</v>
      </c>
      <c r="E18" s="135">
        <v>0.23</v>
      </c>
      <c r="F18" s="136">
        <f t="shared" si="2"/>
        <v>0.28</v>
      </c>
      <c r="G18" s="137"/>
      <c r="H18" s="134"/>
      <c r="I18" s="136">
        <v>8858890710156</v>
      </c>
      <c r="J18" s="136" t="s">
        <v>2406</v>
      </c>
      <c r="K18" s="139"/>
      <c r="L18" s="130"/>
      <c r="M18" s="130"/>
      <c r="N18" s="130"/>
      <c r="O18" s="130"/>
      <c r="P18" s="130"/>
      <c r="Q18" s="130"/>
    </row>
    <row r="19" ht="15.75" customHeight="1" spans="1:17" x14ac:dyDescent="0.25">
      <c r="A19" s="131" t="s">
        <v>1871</v>
      </c>
      <c r="B19" s="132" t="s">
        <v>2434</v>
      </c>
      <c r="C19" s="133" t="s">
        <v>2435</v>
      </c>
      <c r="D19" s="136" t="s">
        <v>2405</v>
      </c>
      <c r="E19" s="135">
        <v>0.23</v>
      </c>
      <c r="F19" s="136">
        <f t="shared" si="2"/>
        <v>0.28</v>
      </c>
      <c r="G19" s="137"/>
      <c r="H19" s="134"/>
      <c r="I19" s="136">
        <v>8858890710163</v>
      </c>
      <c r="J19" s="136" t="s">
        <v>2406</v>
      </c>
      <c r="K19" s="139"/>
      <c r="L19" s="130"/>
      <c r="M19" s="130"/>
      <c r="N19" s="130"/>
      <c r="O19" s="130"/>
      <c r="P19" s="130"/>
      <c r="Q19" s="130"/>
    </row>
    <row r="20" ht="15.75" customHeight="1" spans="1:17" x14ac:dyDescent="0.25">
      <c r="A20" s="131" t="s">
        <v>1832</v>
      </c>
      <c r="B20" s="132" t="s">
        <v>2436</v>
      </c>
      <c r="C20" s="133" t="s">
        <v>2437</v>
      </c>
      <c r="D20" s="136" t="s">
        <v>2405</v>
      </c>
      <c r="E20" s="135">
        <v>0.23</v>
      </c>
      <c r="F20" s="136">
        <f t="shared" si="2"/>
        <v>0.28</v>
      </c>
      <c r="G20" s="137"/>
      <c r="H20" s="134"/>
      <c r="I20" s="136">
        <v>8858890710170</v>
      </c>
      <c r="J20" s="136" t="s">
        <v>2406</v>
      </c>
      <c r="K20" s="139"/>
      <c r="L20" s="130"/>
      <c r="M20" s="130"/>
      <c r="N20" s="130"/>
      <c r="O20" s="130"/>
      <c r="P20" s="130"/>
      <c r="Q20" s="130"/>
    </row>
    <row r="21" ht="15.75" customHeight="1" spans="1:17" x14ac:dyDescent="0.25">
      <c r="A21" s="131" t="s">
        <v>258</v>
      </c>
      <c r="B21" s="132" t="s">
        <v>2438</v>
      </c>
      <c r="C21" s="133" t="s">
        <v>2439</v>
      </c>
      <c r="D21" s="136" t="s">
        <v>2405</v>
      </c>
      <c r="E21" s="135">
        <v>0.23</v>
      </c>
      <c r="F21" s="136">
        <f t="shared" si="2"/>
        <v>0.28</v>
      </c>
      <c r="G21" s="137"/>
      <c r="H21" s="134"/>
      <c r="I21" s="136">
        <v>8858890710187</v>
      </c>
      <c r="J21" s="136" t="s">
        <v>2406</v>
      </c>
      <c r="K21" s="139"/>
      <c r="L21" s="130"/>
      <c r="M21" s="130"/>
      <c r="N21" s="130"/>
      <c r="O21" s="130"/>
      <c r="P21" s="130"/>
      <c r="Q21" s="130"/>
    </row>
    <row r="22" ht="15.75" customHeight="1" spans="1:17" x14ac:dyDescent="0.25">
      <c r="A22" s="131" t="s">
        <v>259</v>
      </c>
      <c r="B22" s="132" t="s">
        <v>2440</v>
      </c>
      <c r="C22" s="133" t="s">
        <v>2441</v>
      </c>
      <c r="D22" s="136" t="s">
        <v>2405</v>
      </c>
      <c r="E22" s="135">
        <v>0.23</v>
      </c>
      <c r="F22" s="136">
        <f t="shared" si="2"/>
        <v>0.28</v>
      </c>
      <c r="G22" s="137"/>
      <c r="H22" s="134"/>
      <c r="I22" s="136">
        <v>8858890710194</v>
      </c>
      <c r="J22" s="136" t="s">
        <v>2406</v>
      </c>
      <c r="K22" s="139"/>
      <c r="L22" s="130"/>
      <c r="M22" s="130"/>
      <c r="N22" s="130"/>
      <c r="O22" s="130"/>
      <c r="P22" s="130"/>
      <c r="Q22" s="130"/>
    </row>
    <row r="23" ht="15.75" customHeight="1" spans="1:17" x14ac:dyDescent="0.25">
      <c r="A23" s="131" t="s">
        <v>2442</v>
      </c>
      <c r="B23" s="132" t="s">
        <v>2443</v>
      </c>
      <c r="C23" s="133" t="s">
        <v>2444</v>
      </c>
      <c r="D23" s="136" t="s">
        <v>2405</v>
      </c>
      <c r="E23" s="135">
        <v>0.23</v>
      </c>
      <c r="F23" s="136">
        <f t="shared" si="2"/>
        <v>0.28</v>
      </c>
      <c r="G23" s="137"/>
      <c r="H23" s="134"/>
      <c r="I23" s="136">
        <v>8858890710200</v>
      </c>
      <c r="J23" s="136" t="s">
        <v>2406</v>
      </c>
      <c r="K23" s="139"/>
      <c r="L23" s="130"/>
      <c r="M23" s="130"/>
      <c r="N23" s="130"/>
      <c r="O23" s="130"/>
      <c r="P23" s="130"/>
      <c r="Q23" s="130"/>
    </row>
    <row r="24" ht="15.75" customHeight="1" spans="1:17" x14ac:dyDescent="0.25">
      <c r="A24" s="131" t="s">
        <v>1837</v>
      </c>
      <c r="B24" s="132" t="s">
        <v>2445</v>
      </c>
      <c r="C24" s="133" t="s">
        <v>2446</v>
      </c>
      <c r="D24" s="136" t="s">
        <v>2405</v>
      </c>
      <c r="E24" s="135">
        <v>0.23</v>
      </c>
      <c r="F24" s="136">
        <f t="shared" si="2"/>
        <v>0.28</v>
      </c>
      <c r="G24" s="137"/>
      <c r="H24" s="134"/>
      <c r="I24" s="136">
        <v>8858890710217</v>
      </c>
      <c r="J24" s="136" t="s">
        <v>2406</v>
      </c>
      <c r="K24" s="139"/>
      <c r="L24" s="130"/>
      <c r="M24" s="130"/>
      <c r="N24" s="130"/>
      <c r="O24" s="130"/>
      <c r="P24" s="130"/>
      <c r="Q24" s="130"/>
    </row>
    <row r="25" ht="15.75" customHeight="1" spans="1:17" x14ac:dyDescent="0.25">
      <c r="A25" s="131" t="s">
        <v>2447</v>
      </c>
      <c r="B25" s="132" t="s">
        <v>2448</v>
      </c>
      <c r="C25" s="133" t="s">
        <v>2449</v>
      </c>
      <c r="D25" s="136" t="s">
        <v>2405</v>
      </c>
      <c r="E25" s="135">
        <v>0.23</v>
      </c>
      <c r="F25" s="136">
        <f t="shared" si="2"/>
        <v>0.28</v>
      </c>
      <c r="G25" s="137"/>
      <c r="H25" s="134"/>
      <c r="I25" s="136">
        <v>8858890710224</v>
      </c>
      <c r="J25" s="136" t="s">
        <v>2406</v>
      </c>
      <c r="K25" s="139"/>
      <c r="L25" s="130"/>
      <c r="M25" s="130"/>
      <c r="N25" s="130"/>
      <c r="O25" s="130"/>
      <c r="P25" s="130"/>
      <c r="Q25" s="130"/>
    </row>
    <row r="26" ht="15.75" customHeight="1" spans="1:17" x14ac:dyDescent="0.25">
      <c r="A26" s="131" t="s">
        <v>1840</v>
      </c>
      <c r="B26" s="132" t="s">
        <v>2450</v>
      </c>
      <c r="C26" s="133" t="s">
        <v>2451</v>
      </c>
      <c r="D26" s="134"/>
      <c r="E26" s="137"/>
      <c r="F26" s="134"/>
      <c r="G26" s="137"/>
      <c r="H26" s="134"/>
      <c r="I26" s="136">
        <v>8858890710248</v>
      </c>
      <c r="J26" s="134"/>
      <c r="K26" s="139"/>
      <c r="L26" s="130"/>
      <c r="M26" s="130"/>
      <c r="N26" s="130"/>
      <c r="O26" s="130"/>
      <c r="P26" s="130"/>
      <c r="Q26" s="130"/>
    </row>
    <row r="27" ht="15.75" customHeight="1" spans="1:17" x14ac:dyDescent="0.25">
      <c r="A27" s="131" t="s">
        <v>1843</v>
      </c>
      <c r="B27" s="132" t="s">
        <v>2452</v>
      </c>
      <c r="C27" s="133" t="s">
        <v>2453</v>
      </c>
      <c r="D27" s="136" t="s">
        <v>2405</v>
      </c>
      <c r="E27" s="135">
        <v>0.23</v>
      </c>
      <c r="F27" s="136">
        <f t="shared" ref="F27:F35" si="3">E:E+0.05</f>
        <v>0.28</v>
      </c>
      <c r="G27" s="137"/>
      <c r="H27" s="134"/>
      <c r="I27" s="136">
        <v>8858890710255</v>
      </c>
      <c r="J27" s="136" t="s">
        <v>2406</v>
      </c>
      <c r="K27" s="139"/>
      <c r="L27" s="130"/>
      <c r="M27" s="130"/>
      <c r="N27" s="130"/>
      <c r="O27" s="130"/>
      <c r="P27" s="130"/>
      <c r="Q27" s="130"/>
    </row>
    <row r="28" ht="15.75" customHeight="1" spans="1:17" x14ac:dyDescent="0.25">
      <c r="A28" s="131" t="s">
        <v>1846</v>
      </c>
      <c r="B28" s="132" t="s">
        <v>2454</v>
      </c>
      <c r="C28" s="133" t="s">
        <v>2455</v>
      </c>
      <c r="D28" s="136" t="s">
        <v>2405</v>
      </c>
      <c r="E28" s="135">
        <v>0.23</v>
      </c>
      <c r="F28" s="136">
        <f t="shared" si="3"/>
        <v>0.28</v>
      </c>
      <c r="G28" s="137"/>
      <c r="H28" s="134"/>
      <c r="I28" s="136">
        <v>8858890710293</v>
      </c>
      <c r="J28" s="136" t="s">
        <v>2406</v>
      </c>
      <c r="K28" s="139"/>
      <c r="L28" s="130"/>
      <c r="M28" s="130"/>
      <c r="N28" s="130"/>
      <c r="O28" s="130"/>
      <c r="P28" s="130"/>
      <c r="Q28" s="130"/>
    </row>
    <row r="29" ht="15.75" customHeight="1" spans="1:17" x14ac:dyDescent="0.25">
      <c r="A29" s="131" t="s">
        <v>1849</v>
      </c>
      <c r="B29" s="132" t="s">
        <v>2456</v>
      </c>
      <c r="C29" s="133" t="s">
        <v>2457</v>
      </c>
      <c r="D29" s="136" t="s">
        <v>2405</v>
      </c>
      <c r="E29" s="135">
        <v>0.23</v>
      </c>
      <c r="F29" s="136">
        <f t="shared" si="3"/>
        <v>0.28</v>
      </c>
      <c r="G29" s="137"/>
      <c r="H29" s="134"/>
      <c r="I29" s="136">
        <v>8858890710415</v>
      </c>
      <c r="J29" s="136" t="s">
        <v>2406</v>
      </c>
      <c r="K29" s="139"/>
      <c r="L29" s="130"/>
      <c r="M29" s="130"/>
      <c r="N29" s="130"/>
      <c r="O29" s="130"/>
      <c r="P29" s="130"/>
      <c r="Q29" s="130"/>
    </row>
    <row r="30" ht="15.75" customHeight="1" spans="1:17" x14ac:dyDescent="0.25">
      <c r="A30" s="131" t="s">
        <v>1852</v>
      </c>
      <c r="B30" s="132" t="s">
        <v>2458</v>
      </c>
      <c r="C30" s="133" t="s">
        <v>2459</v>
      </c>
      <c r="D30" s="136" t="s">
        <v>2405</v>
      </c>
      <c r="E30" s="135">
        <v>0.23</v>
      </c>
      <c r="F30" s="136">
        <f t="shared" si="3"/>
        <v>0.28</v>
      </c>
      <c r="G30" s="137"/>
      <c r="H30" s="134"/>
      <c r="I30" s="136">
        <v>8858890719439</v>
      </c>
      <c r="J30" s="136" t="s">
        <v>2406</v>
      </c>
      <c r="K30" s="139"/>
      <c r="L30" s="130"/>
      <c r="M30" s="130"/>
      <c r="N30" s="130"/>
      <c r="O30" s="130"/>
      <c r="P30" s="130"/>
      <c r="Q30" s="130"/>
    </row>
    <row r="31" ht="15.75" customHeight="1" spans="1:17" x14ac:dyDescent="0.25">
      <c r="A31" s="131" t="s">
        <v>1855</v>
      </c>
      <c r="B31" s="132" t="s">
        <v>2460</v>
      </c>
      <c r="C31" s="133" t="s">
        <v>2461</v>
      </c>
      <c r="D31" s="136" t="s">
        <v>2405</v>
      </c>
      <c r="E31" s="135">
        <v>0.23</v>
      </c>
      <c r="F31" s="136">
        <f t="shared" si="3"/>
        <v>0.28</v>
      </c>
      <c r="G31" s="137"/>
      <c r="H31" s="134"/>
      <c r="I31" s="136">
        <v>885889071446</v>
      </c>
      <c r="J31" s="136" t="s">
        <v>2406</v>
      </c>
      <c r="K31" s="139"/>
      <c r="L31" s="130"/>
      <c r="M31" s="130"/>
      <c r="N31" s="130"/>
      <c r="O31" s="130"/>
      <c r="P31" s="130"/>
      <c r="Q31" s="130"/>
    </row>
    <row r="32" ht="15.75" customHeight="1" spans="1:17" x14ac:dyDescent="0.25">
      <c r="A32" s="131" t="s">
        <v>1858</v>
      </c>
      <c r="B32" s="132" t="s">
        <v>2462</v>
      </c>
      <c r="C32" s="133" t="s">
        <v>2463</v>
      </c>
      <c r="D32" s="136" t="s">
        <v>2405</v>
      </c>
      <c r="E32" s="135">
        <v>0.23</v>
      </c>
      <c r="F32" s="136">
        <f t="shared" si="3"/>
        <v>0.28</v>
      </c>
      <c r="G32" s="137"/>
      <c r="H32" s="134"/>
      <c r="I32" s="136">
        <v>8858890710460</v>
      </c>
      <c r="J32" s="136" t="s">
        <v>2406</v>
      </c>
      <c r="K32" s="139"/>
      <c r="L32" s="130"/>
      <c r="M32" s="130"/>
      <c r="N32" s="130"/>
      <c r="O32" s="130"/>
      <c r="P32" s="130"/>
      <c r="Q32" s="130"/>
    </row>
    <row r="33" ht="15.75" customHeight="1" spans="1:17" x14ac:dyDescent="0.25">
      <c r="A33" s="131" t="s">
        <v>1861</v>
      </c>
      <c r="B33" s="132" t="s">
        <v>2464</v>
      </c>
      <c r="C33" s="133" t="s">
        <v>2465</v>
      </c>
      <c r="D33" s="136" t="s">
        <v>2405</v>
      </c>
      <c r="E33" s="135">
        <v>0.23</v>
      </c>
      <c r="F33" s="136">
        <f t="shared" si="3"/>
        <v>0.28</v>
      </c>
      <c r="G33" s="137"/>
      <c r="H33" s="134"/>
      <c r="I33" s="136">
        <v>8858890710484</v>
      </c>
      <c r="J33" s="136" t="s">
        <v>2406</v>
      </c>
      <c r="K33" s="139"/>
      <c r="L33" s="130"/>
      <c r="M33" s="130"/>
      <c r="N33" s="130"/>
      <c r="O33" s="130"/>
      <c r="P33" s="130"/>
      <c r="Q33" s="130"/>
    </row>
    <row r="34" ht="15.75" customHeight="1" spans="1:17" x14ac:dyDescent="0.25">
      <c r="A34" s="131" t="s">
        <v>2466</v>
      </c>
      <c r="B34" s="132" t="s">
        <v>2467</v>
      </c>
      <c r="C34" s="133" t="s">
        <v>2468</v>
      </c>
      <c r="D34" s="136" t="s">
        <v>2405</v>
      </c>
      <c r="E34" s="135">
        <v>0.23</v>
      </c>
      <c r="F34" s="136">
        <f t="shared" si="3"/>
        <v>0.28</v>
      </c>
      <c r="G34" s="137"/>
      <c r="H34" s="134"/>
      <c r="I34" s="136">
        <v>8858890710484</v>
      </c>
      <c r="J34" s="136" t="s">
        <v>2406</v>
      </c>
      <c r="K34" s="139"/>
      <c r="L34" s="130"/>
      <c r="M34" s="130"/>
      <c r="N34" s="130"/>
      <c r="O34" s="130"/>
      <c r="P34" s="130"/>
      <c r="Q34" s="130"/>
    </row>
    <row r="35" ht="15.75" customHeight="1" spans="1:17" x14ac:dyDescent="0.25">
      <c r="A35" s="131" t="s">
        <v>1864</v>
      </c>
      <c r="B35" s="132" t="s">
        <v>2469</v>
      </c>
      <c r="C35" s="133" t="s">
        <v>2470</v>
      </c>
      <c r="D35" s="136" t="s">
        <v>2405</v>
      </c>
      <c r="E35" s="135">
        <v>0.23</v>
      </c>
      <c r="F35" s="136">
        <f t="shared" si="3"/>
        <v>0.28</v>
      </c>
      <c r="G35" s="137"/>
      <c r="H35" s="134"/>
      <c r="I35" s="136">
        <v>8858890710491</v>
      </c>
      <c r="J35" s="136" t="s">
        <v>2406</v>
      </c>
      <c r="K35" s="139"/>
      <c r="L35" s="130"/>
      <c r="M35" s="130"/>
      <c r="N35" s="130"/>
      <c r="O35" s="130"/>
      <c r="P35" s="130"/>
      <c r="Q35" s="130"/>
    </row>
    <row r="36" ht="15.75" customHeight="1" spans="1:17" x14ac:dyDescent="0.25">
      <c r="A36" s="131" t="s">
        <v>260</v>
      </c>
      <c r="B36" s="132" t="s">
        <v>2471</v>
      </c>
      <c r="C36" s="133" t="s">
        <v>2472</v>
      </c>
      <c r="D36" s="134"/>
      <c r="E36" s="137"/>
      <c r="F36" s="134"/>
      <c r="G36" s="137"/>
      <c r="H36" s="134"/>
      <c r="I36" s="136">
        <v>8858890710705</v>
      </c>
      <c r="J36" s="134"/>
      <c r="K36" s="139"/>
      <c r="L36" s="130"/>
      <c r="M36" s="130"/>
      <c r="N36" s="130"/>
      <c r="O36" s="130"/>
      <c r="P36" s="130"/>
      <c r="Q36" s="130"/>
    </row>
    <row r="37" ht="15.75" customHeight="1" spans="1:17" x14ac:dyDescent="0.25">
      <c r="A37" s="131" t="s">
        <v>261</v>
      </c>
      <c r="B37" s="132" t="s">
        <v>2473</v>
      </c>
      <c r="C37" s="133" t="s">
        <v>2474</v>
      </c>
      <c r="D37" s="136" t="s">
        <v>2405</v>
      </c>
      <c r="E37" s="135">
        <v>0.23</v>
      </c>
      <c r="F37" s="136">
        <f t="shared" ref="F37:F39" si="4">E:E+0.05</f>
        <v>0.28</v>
      </c>
      <c r="G37" s="137"/>
      <c r="H37" s="134"/>
      <c r="I37" s="136">
        <v>8858890710712</v>
      </c>
      <c r="J37" s="136" t="s">
        <v>2406</v>
      </c>
      <c r="K37" s="139"/>
      <c r="L37" s="130"/>
      <c r="M37" s="130"/>
      <c r="N37" s="130"/>
      <c r="O37" s="130"/>
      <c r="P37" s="130"/>
      <c r="Q37" s="130"/>
    </row>
    <row r="38" ht="15.75" customHeight="1" spans="1:17" x14ac:dyDescent="0.25">
      <c r="A38" s="131" t="s">
        <v>123</v>
      </c>
      <c r="B38" s="132" t="s">
        <v>2475</v>
      </c>
      <c r="C38" s="133" t="s">
        <v>2476</v>
      </c>
      <c r="D38" s="136" t="s">
        <v>2477</v>
      </c>
      <c r="E38" s="135">
        <v>0.611</v>
      </c>
      <c r="F38" s="136">
        <f t="shared" si="4"/>
        <v>0.661</v>
      </c>
      <c r="G38" s="137"/>
      <c r="H38" s="134"/>
      <c r="I38" s="136">
        <v>8858890710668</v>
      </c>
      <c r="J38" s="136" t="s">
        <v>2406</v>
      </c>
      <c r="K38" s="138" t="s">
        <v>2478</v>
      </c>
      <c r="L38" s="130"/>
      <c r="M38" s="130"/>
      <c r="N38" s="130"/>
      <c r="O38" s="130"/>
      <c r="P38" s="130"/>
      <c r="Q38" s="130"/>
    </row>
    <row r="39" ht="15.75" customHeight="1" spans="1:17" x14ac:dyDescent="0.25">
      <c r="A39" s="131" t="s">
        <v>129</v>
      </c>
      <c r="B39" s="132" t="s">
        <v>2475</v>
      </c>
      <c r="C39" s="133" t="s">
        <v>2479</v>
      </c>
      <c r="D39" s="136" t="s">
        <v>2477</v>
      </c>
      <c r="E39" s="135">
        <v>0.552</v>
      </c>
      <c r="F39" s="136">
        <f t="shared" si="4"/>
        <v>0.602</v>
      </c>
      <c r="G39" s="137"/>
      <c r="H39" s="134"/>
      <c r="I39" s="136">
        <v>8858890710699</v>
      </c>
      <c r="J39" s="136" t="s">
        <v>2406</v>
      </c>
      <c r="K39" s="140" t="s">
        <v>2480</v>
      </c>
      <c r="L39" s="130"/>
      <c r="M39" s="130"/>
      <c r="N39" s="130"/>
      <c r="O39" s="130"/>
      <c r="P39" s="130"/>
      <c r="Q39" s="130"/>
    </row>
    <row r="40" ht="15.75" customHeight="1" spans="1:17" x14ac:dyDescent="0.25">
      <c r="A40" s="131" t="s">
        <v>262</v>
      </c>
      <c r="B40" s="132" t="s">
        <v>2481</v>
      </c>
      <c r="C40" s="133" t="s">
        <v>2482</v>
      </c>
      <c r="D40" s="134"/>
      <c r="E40" s="137"/>
      <c r="F40" s="134"/>
      <c r="G40" s="137"/>
      <c r="H40" s="134"/>
      <c r="I40" s="148">
        <v>8858890710811</v>
      </c>
      <c r="J40" s="134"/>
      <c r="K40" s="139"/>
      <c r="L40" s="130"/>
      <c r="M40" s="130"/>
      <c r="N40" s="130"/>
      <c r="O40" s="130"/>
      <c r="P40" s="130"/>
      <c r="Q40" s="130"/>
    </row>
    <row r="41" ht="15.75" customHeight="1" spans="1:17" x14ac:dyDescent="0.25">
      <c r="A41" s="131" t="s">
        <v>263</v>
      </c>
      <c r="B41" s="132" t="s">
        <v>2483</v>
      </c>
      <c r="C41" s="133" t="s">
        <v>2484</v>
      </c>
      <c r="D41" s="134"/>
      <c r="E41" s="137"/>
      <c r="F41" s="134"/>
      <c r="G41" s="137"/>
      <c r="H41" s="134"/>
      <c r="I41" s="136">
        <v>8858890710828</v>
      </c>
      <c r="J41" s="134"/>
      <c r="K41" s="139"/>
      <c r="L41" s="130"/>
      <c r="M41" s="130"/>
      <c r="N41" s="130"/>
      <c r="O41" s="130"/>
      <c r="P41" s="130"/>
      <c r="Q41" s="130"/>
    </row>
    <row r="42" ht="15.75" customHeight="1" spans="1:17" x14ac:dyDescent="0.25">
      <c r="A42" s="131" t="s">
        <v>1165</v>
      </c>
      <c r="B42" s="132" t="s">
        <v>2485</v>
      </c>
      <c r="C42" s="133" t="s">
        <v>2486</v>
      </c>
      <c r="D42" s="136" t="s">
        <v>2405</v>
      </c>
      <c r="E42" s="135">
        <v>0.13</v>
      </c>
      <c r="F42" s="136">
        <f t="shared" ref="F42:F44" si="5">E:E+0.05</f>
        <v>0.18</v>
      </c>
      <c r="G42" s="137"/>
      <c r="H42" s="134"/>
      <c r="I42" s="136">
        <v>8858890710835</v>
      </c>
      <c r="J42" s="136" t="s">
        <v>2406</v>
      </c>
      <c r="K42" s="140" t="s">
        <v>2487</v>
      </c>
      <c r="L42" s="130"/>
      <c r="M42" s="130"/>
      <c r="N42" s="130"/>
      <c r="O42" s="130"/>
      <c r="P42" s="130"/>
      <c r="Q42" s="130"/>
    </row>
    <row r="43" ht="15.75" customHeight="1" spans="1:17" x14ac:dyDescent="0.25">
      <c r="A43" s="131" t="s">
        <v>264</v>
      </c>
      <c r="B43" s="132" t="s">
        <v>2488</v>
      </c>
      <c r="C43" s="133" t="s">
        <v>2489</v>
      </c>
      <c r="D43" s="136" t="s">
        <v>2405</v>
      </c>
      <c r="E43" s="135">
        <v>0.13</v>
      </c>
      <c r="F43" s="136">
        <f t="shared" si="5"/>
        <v>0.18</v>
      </c>
      <c r="G43" s="137"/>
      <c r="H43" s="134"/>
      <c r="I43" s="136">
        <v>8858890710842</v>
      </c>
      <c r="J43" s="136" t="s">
        <v>2406</v>
      </c>
      <c r="K43" s="149" t="s">
        <v>2490</v>
      </c>
      <c r="L43" s="130"/>
      <c r="M43" s="130"/>
      <c r="N43" s="130"/>
      <c r="O43" s="130"/>
      <c r="P43" s="130"/>
      <c r="Q43" s="130"/>
    </row>
    <row r="44" ht="15.75" customHeight="1" spans="1:17" x14ac:dyDescent="0.25">
      <c r="A44" s="131" t="s">
        <v>265</v>
      </c>
      <c r="B44" s="132" t="s">
        <v>2491</v>
      </c>
      <c r="C44" s="133" t="s">
        <v>2492</v>
      </c>
      <c r="D44" s="136" t="s">
        <v>2405</v>
      </c>
      <c r="E44" s="135">
        <v>0.13</v>
      </c>
      <c r="F44" s="136">
        <f t="shared" si="5"/>
        <v>0.18</v>
      </c>
      <c r="G44" s="137"/>
      <c r="H44" s="134"/>
      <c r="I44" s="136">
        <v>8858890710859</v>
      </c>
      <c r="J44" s="136" t="s">
        <v>2406</v>
      </c>
      <c r="K44" s="139"/>
      <c r="L44" s="130"/>
      <c r="M44" s="130"/>
      <c r="N44" s="130"/>
      <c r="O44" s="130"/>
      <c r="P44" s="130"/>
      <c r="Q44" s="130"/>
    </row>
    <row r="45" ht="15.75" customHeight="1" spans="1:17" x14ac:dyDescent="0.25">
      <c r="A45" s="131" t="s">
        <v>266</v>
      </c>
      <c r="B45" s="132" t="s">
        <v>2493</v>
      </c>
      <c r="C45" s="133" t="s">
        <v>2494</v>
      </c>
      <c r="D45" s="134"/>
      <c r="E45" s="137"/>
      <c r="F45" s="134"/>
      <c r="G45" s="137"/>
      <c r="H45" s="134"/>
      <c r="I45" s="136">
        <v>88588907108661</v>
      </c>
      <c r="J45" s="134"/>
      <c r="K45" s="139"/>
      <c r="L45" s="130"/>
      <c r="M45" s="130"/>
      <c r="N45" s="130"/>
      <c r="O45" s="130"/>
      <c r="P45" s="130"/>
      <c r="Q45" s="130"/>
    </row>
    <row r="46" ht="15.75" customHeight="1" spans="1:17" x14ac:dyDescent="0.25">
      <c r="A46" s="131" t="s">
        <v>1174</v>
      </c>
      <c r="B46" s="132" t="s">
        <v>2495</v>
      </c>
      <c r="C46" s="133" t="s">
        <v>2496</v>
      </c>
      <c r="D46" s="136" t="s">
        <v>2405</v>
      </c>
      <c r="E46" s="135">
        <v>0.13</v>
      </c>
      <c r="F46" s="136">
        <f t="shared" ref="F46:F87" si="6">E:E+0.05</f>
        <v>0.18</v>
      </c>
      <c r="G46" s="137"/>
      <c r="H46" s="134"/>
      <c r="I46" s="136">
        <v>8858890710873</v>
      </c>
      <c r="J46" s="136" t="s">
        <v>2406</v>
      </c>
      <c r="K46" s="139"/>
      <c r="L46" s="130"/>
      <c r="M46" s="130"/>
      <c r="N46" s="130"/>
      <c r="O46" s="130"/>
      <c r="P46" s="130"/>
      <c r="Q46" s="130"/>
    </row>
    <row r="47" ht="15.75" customHeight="1" spans="1:17" x14ac:dyDescent="0.25">
      <c r="A47" s="131" t="s">
        <v>267</v>
      </c>
      <c r="B47" s="132" t="s">
        <v>2497</v>
      </c>
      <c r="C47" s="133" t="s">
        <v>2498</v>
      </c>
      <c r="D47" s="136" t="s">
        <v>2405</v>
      </c>
      <c r="E47" s="135">
        <v>0.13</v>
      </c>
      <c r="F47" s="136">
        <f t="shared" si="6"/>
        <v>0.18</v>
      </c>
      <c r="G47" s="137"/>
      <c r="H47" s="134"/>
      <c r="I47" s="136">
        <v>8858890710880</v>
      </c>
      <c r="J47" s="136" t="s">
        <v>2406</v>
      </c>
      <c r="K47" s="139"/>
      <c r="L47" s="130"/>
      <c r="M47" s="130"/>
      <c r="N47" s="130"/>
      <c r="O47" s="130"/>
      <c r="P47" s="130"/>
      <c r="Q47" s="130"/>
    </row>
    <row r="48" ht="15.75" customHeight="1" spans="1:17" x14ac:dyDescent="0.25">
      <c r="A48" s="131" t="s">
        <v>268</v>
      </c>
      <c r="B48" s="132" t="s">
        <v>2499</v>
      </c>
      <c r="C48" s="133" t="s">
        <v>2500</v>
      </c>
      <c r="D48" s="136" t="s">
        <v>2405</v>
      </c>
      <c r="E48" s="135">
        <v>0.13</v>
      </c>
      <c r="F48" s="136">
        <f t="shared" si="6"/>
        <v>0.18</v>
      </c>
      <c r="G48" s="137"/>
      <c r="H48" s="134"/>
      <c r="I48" s="136">
        <v>8858890710897</v>
      </c>
      <c r="J48" s="136" t="s">
        <v>2406</v>
      </c>
      <c r="K48" s="139"/>
      <c r="L48" s="130"/>
      <c r="M48" s="130"/>
      <c r="N48" s="130"/>
      <c r="O48" s="130"/>
      <c r="P48" s="130"/>
      <c r="Q48" s="130"/>
    </row>
    <row r="49" ht="15.75" customHeight="1" spans="1:17" x14ac:dyDescent="0.25">
      <c r="A49" s="131" t="s">
        <v>269</v>
      </c>
      <c r="B49" s="132" t="s">
        <v>2501</v>
      </c>
      <c r="C49" s="133" t="s">
        <v>2502</v>
      </c>
      <c r="D49" s="136" t="s">
        <v>2405</v>
      </c>
      <c r="E49" s="135">
        <v>0.13</v>
      </c>
      <c r="F49" s="136">
        <f t="shared" si="6"/>
        <v>0.18</v>
      </c>
      <c r="G49" s="137"/>
      <c r="H49" s="134"/>
      <c r="I49" s="136">
        <v>8858890710903</v>
      </c>
      <c r="J49" s="136" t="s">
        <v>2406</v>
      </c>
      <c r="K49" s="139"/>
      <c r="L49" s="130"/>
      <c r="M49" s="130"/>
      <c r="N49" s="130"/>
      <c r="O49" s="130"/>
      <c r="P49" s="130"/>
      <c r="Q49" s="130"/>
    </row>
    <row r="50" ht="15.75" customHeight="1" spans="1:17" x14ac:dyDescent="0.25">
      <c r="A50" s="131" t="s">
        <v>270</v>
      </c>
      <c r="B50" s="132" t="s">
        <v>2503</v>
      </c>
      <c r="C50" s="133" t="s">
        <v>2504</v>
      </c>
      <c r="D50" s="136" t="s">
        <v>2405</v>
      </c>
      <c r="E50" s="135">
        <v>0.13</v>
      </c>
      <c r="F50" s="136">
        <f t="shared" si="6"/>
        <v>0.18</v>
      </c>
      <c r="G50" s="137"/>
      <c r="H50" s="134"/>
      <c r="I50" s="136">
        <v>8858890710910</v>
      </c>
      <c r="J50" s="136" t="s">
        <v>2406</v>
      </c>
      <c r="K50" s="139"/>
      <c r="L50" s="130"/>
      <c r="M50" s="130"/>
      <c r="N50" s="130"/>
      <c r="O50" s="130"/>
      <c r="P50" s="130"/>
      <c r="Q50" s="130"/>
    </row>
    <row r="51" ht="15.75" customHeight="1" spans="1:17" x14ac:dyDescent="0.25">
      <c r="A51" s="131" t="s">
        <v>1185</v>
      </c>
      <c r="B51" s="132" t="s">
        <v>2505</v>
      </c>
      <c r="C51" s="133" t="s">
        <v>2506</v>
      </c>
      <c r="D51" s="136" t="s">
        <v>2405</v>
      </c>
      <c r="E51" s="135">
        <v>0.13</v>
      </c>
      <c r="F51" s="136">
        <f t="shared" si="6"/>
        <v>0.18</v>
      </c>
      <c r="G51" s="137"/>
      <c r="H51" s="134"/>
      <c r="I51" s="136">
        <v>8858890710927</v>
      </c>
      <c r="J51" s="136" t="s">
        <v>2406</v>
      </c>
      <c r="K51" s="139"/>
      <c r="L51" s="130"/>
      <c r="M51" s="130"/>
      <c r="N51" s="130"/>
      <c r="O51" s="130"/>
      <c r="P51" s="130"/>
      <c r="Q51" s="130"/>
    </row>
    <row r="52" ht="15.75" customHeight="1" spans="1:17" x14ac:dyDescent="0.25">
      <c r="A52" s="131" t="s">
        <v>1188</v>
      </c>
      <c r="B52" s="132" t="s">
        <v>2507</v>
      </c>
      <c r="C52" s="133" t="s">
        <v>2508</v>
      </c>
      <c r="D52" s="136" t="s">
        <v>2405</v>
      </c>
      <c r="E52" s="135">
        <v>0.13</v>
      </c>
      <c r="F52" s="136">
        <f t="shared" si="6"/>
        <v>0.18</v>
      </c>
      <c r="G52" s="137"/>
      <c r="H52" s="134"/>
      <c r="I52" s="136">
        <v>8858890710934</v>
      </c>
      <c r="J52" s="136" t="s">
        <v>2406</v>
      </c>
      <c r="K52" s="139"/>
      <c r="L52" s="130"/>
      <c r="M52" s="130"/>
      <c r="N52" s="130"/>
      <c r="O52" s="130"/>
      <c r="P52" s="130"/>
      <c r="Q52" s="130"/>
    </row>
    <row r="53" ht="15.75" customHeight="1" spans="1:17" x14ac:dyDescent="0.25">
      <c r="A53" s="131" t="s">
        <v>2509</v>
      </c>
      <c r="B53" s="132" t="s">
        <v>2510</v>
      </c>
      <c r="C53" s="133" t="s">
        <v>2511</v>
      </c>
      <c r="D53" s="136" t="s">
        <v>2477</v>
      </c>
      <c r="E53" s="135">
        <v>2.906</v>
      </c>
      <c r="F53" s="136">
        <f t="shared" si="6"/>
        <v>2.956</v>
      </c>
      <c r="G53" s="137"/>
      <c r="H53" s="134"/>
      <c r="I53" s="136">
        <v>8858890711030</v>
      </c>
      <c r="J53" s="136" t="s">
        <v>2406</v>
      </c>
      <c r="K53" s="139"/>
      <c r="L53" s="130"/>
      <c r="M53" s="130"/>
      <c r="N53" s="130"/>
      <c r="O53" s="130"/>
      <c r="P53" s="130"/>
      <c r="Q53" s="130"/>
    </row>
    <row r="54" ht="15.75" customHeight="1" spans="1:17" x14ac:dyDescent="0.25">
      <c r="A54" s="131" t="s">
        <v>194</v>
      </c>
      <c r="B54" s="132" t="s">
        <v>2510</v>
      </c>
      <c r="C54" s="133" t="s">
        <v>2512</v>
      </c>
      <c r="D54" s="136" t="s">
        <v>2477</v>
      </c>
      <c r="E54" s="135">
        <v>1.284</v>
      </c>
      <c r="F54" s="136">
        <f t="shared" si="6"/>
        <v>1.334</v>
      </c>
      <c r="G54" s="137"/>
      <c r="H54" s="134"/>
      <c r="I54" s="136">
        <v>8858890711092</v>
      </c>
      <c r="J54" s="136" t="s">
        <v>2406</v>
      </c>
      <c r="K54" s="139"/>
      <c r="L54" s="130"/>
      <c r="M54" s="130"/>
      <c r="N54" s="130"/>
      <c r="O54" s="130"/>
      <c r="P54" s="130"/>
      <c r="Q54" s="130"/>
    </row>
    <row r="55" ht="15.75" customHeight="1" spans="1:17" x14ac:dyDescent="0.25">
      <c r="A55" s="131" t="s">
        <v>200</v>
      </c>
      <c r="B55" s="132" t="s">
        <v>2510</v>
      </c>
      <c r="C55" s="133" t="s">
        <v>2513</v>
      </c>
      <c r="D55" s="136" t="s">
        <v>2477</v>
      </c>
      <c r="E55" s="135">
        <v>1.284</v>
      </c>
      <c r="F55" s="136">
        <f t="shared" si="6"/>
        <v>1.334</v>
      </c>
      <c r="G55" s="137"/>
      <c r="H55" s="134"/>
      <c r="I55" s="136">
        <v>8858890711108</v>
      </c>
      <c r="J55" s="136" t="s">
        <v>2406</v>
      </c>
      <c r="K55" s="149" t="s">
        <v>2514</v>
      </c>
      <c r="L55" s="130"/>
      <c r="M55" s="130"/>
      <c r="N55" s="130"/>
      <c r="O55" s="130"/>
      <c r="P55" s="130"/>
      <c r="Q55" s="130"/>
    </row>
    <row r="56" ht="15.75" customHeight="1" spans="1:17" x14ac:dyDescent="0.25">
      <c r="A56" s="131" t="s">
        <v>788</v>
      </c>
      <c r="B56" s="132" t="s">
        <v>2515</v>
      </c>
      <c r="C56" s="133" t="s">
        <v>2516</v>
      </c>
      <c r="D56" s="136" t="s">
        <v>2517</v>
      </c>
      <c r="E56" s="135">
        <v>0.33</v>
      </c>
      <c r="F56" s="136">
        <f t="shared" si="6"/>
        <v>0.38</v>
      </c>
      <c r="G56" s="137"/>
      <c r="H56" s="134"/>
      <c r="I56" s="136">
        <v>8858890712082</v>
      </c>
      <c r="J56" s="136" t="s">
        <v>2406</v>
      </c>
      <c r="K56" s="140" t="s">
        <v>2518</v>
      </c>
      <c r="L56" s="130"/>
      <c r="M56" s="130"/>
      <c r="N56" s="130"/>
      <c r="O56" s="130"/>
      <c r="P56" s="130"/>
      <c r="Q56" s="130"/>
    </row>
    <row r="57" ht="15.75" customHeight="1" spans="1:17" x14ac:dyDescent="0.25">
      <c r="A57" s="131" t="s">
        <v>215</v>
      </c>
      <c r="B57" s="132" t="s">
        <v>2519</v>
      </c>
      <c r="C57" s="133" t="s">
        <v>2520</v>
      </c>
      <c r="D57" s="136" t="s">
        <v>2517</v>
      </c>
      <c r="E57" s="135">
        <v>0.564</v>
      </c>
      <c r="F57" s="136">
        <f t="shared" si="6"/>
        <v>0.614</v>
      </c>
      <c r="G57" s="137"/>
      <c r="H57" s="134"/>
      <c r="I57" s="136">
        <v>8858890712099</v>
      </c>
      <c r="J57" s="136" t="s">
        <v>2406</v>
      </c>
      <c r="K57" s="140" t="s">
        <v>2518</v>
      </c>
      <c r="L57" s="130"/>
      <c r="M57" s="130"/>
      <c r="N57" s="130"/>
      <c r="O57" s="130"/>
      <c r="P57" s="130"/>
      <c r="Q57" s="130"/>
    </row>
    <row r="58" ht="15.75" customHeight="1" spans="1:17" x14ac:dyDescent="0.25">
      <c r="A58" s="131" t="s">
        <v>1463</v>
      </c>
      <c r="B58" s="132" t="s">
        <v>2521</v>
      </c>
      <c r="C58" s="133" t="s">
        <v>2522</v>
      </c>
      <c r="D58" s="134"/>
      <c r="E58" s="137"/>
      <c r="F58" s="136">
        <f t="shared" si="6"/>
        <v>0.05</v>
      </c>
      <c r="G58" s="137"/>
      <c r="H58" s="134"/>
      <c r="I58" s="136">
        <v>8858890712204</v>
      </c>
      <c r="J58" s="134"/>
      <c r="K58" s="139"/>
      <c r="L58" s="130"/>
      <c r="M58" s="130"/>
      <c r="N58" s="130"/>
      <c r="O58" s="130"/>
      <c r="P58" s="130"/>
      <c r="Q58" s="130"/>
    </row>
    <row r="59" ht="15.75" customHeight="1" spans="1:17" x14ac:dyDescent="0.25">
      <c r="A59" s="131" t="s">
        <v>796</v>
      </c>
      <c r="B59" s="132" t="s">
        <v>2523</v>
      </c>
      <c r="C59" s="133" t="s">
        <v>2524</v>
      </c>
      <c r="D59" s="136" t="s">
        <v>2517</v>
      </c>
      <c r="E59" s="135">
        <v>0.555</v>
      </c>
      <c r="F59" s="136">
        <f t="shared" si="6"/>
        <v>0.605</v>
      </c>
      <c r="G59" s="137"/>
      <c r="H59" s="134"/>
      <c r="I59" s="136">
        <v>8858890712228</v>
      </c>
      <c r="J59" s="136" t="s">
        <v>2406</v>
      </c>
      <c r="K59" s="140" t="s">
        <v>2525</v>
      </c>
      <c r="L59" s="130"/>
      <c r="M59" s="130"/>
      <c r="N59" s="130"/>
      <c r="O59" s="130"/>
      <c r="P59" s="130"/>
      <c r="Q59" s="130"/>
    </row>
    <row r="60" ht="15.75" customHeight="1" spans="1:17" x14ac:dyDescent="0.25">
      <c r="A60" s="131" t="s">
        <v>291</v>
      </c>
      <c r="B60" s="132" t="s">
        <v>2526</v>
      </c>
      <c r="C60" s="133" t="s">
        <v>2527</v>
      </c>
      <c r="D60" s="136" t="s">
        <v>2517</v>
      </c>
      <c r="E60" s="135">
        <v>0.141</v>
      </c>
      <c r="F60" s="136">
        <f t="shared" si="6"/>
        <v>0.191</v>
      </c>
      <c r="G60" s="137"/>
      <c r="H60" s="134"/>
      <c r="I60" s="136">
        <v>8858890713010</v>
      </c>
      <c r="J60" s="136" t="s">
        <v>2406</v>
      </c>
      <c r="K60" s="140" t="s">
        <v>2528</v>
      </c>
      <c r="L60" s="130"/>
      <c r="M60" s="130"/>
      <c r="N60" s="130"/>
      <c r="O60" s="130"/>
      <c r="P60" s="130"/>
      <c r="Q60" s="130"/>
    </row>
    <row r="61" ht="15.75" customHeight="1" spans="1:17" x14ac:dyDescent="0.25">
      <c r="A61" s="131" t="s">
        <v>221</v>
      </c>
      <c r="B61" s="132" t="s">
        <v>2529</v>
      </c>
      <c r="C61" s="133" t="s">
        <v>2530</v>
      </c>
      <c r="D61" s="136" t="s">
        <v>2517</v>
      </c>
      <c r="E61" s="135">
        <v>0.382</v>
      </c>
      <c r="F61" s="136">
        <f t="shared" si="6"/>
        <v>0.432</v>
      </c>
      <c r="G61" s="137"/>
      <c r="H61" s="134"/>
      <c r="I61" s="136">
        <v>8858890713034</v>
      </c>
      <c r="J61" s="136" t="s">
        <v>2406</v>
      </c>
      <c r="K61" s="140" t="s">
        <v>2531</v>
      </c>
      <c r="L61" s="130"/>
      <c r="M61" s="130"/>
      <c r="N61" s="130"/>
      <c r="O61" s="130"/>
      <c r="P61" s="130"/>
      <c r="Q61" s="130"/>
    </row>
    <row r="62" ht="15.75" customHeight="1" spans="1:17" x14ac:dyDescent="0.25">
      <c r="A62" s="131" t="s">
        <v>226</v>
      </c>
      <c r="B62" s="132" t="s">
        <v>2529</v>
      </c>
      <c r="C62" s="133" t="s">
        <v>2532</v>
      </c>
      <c r="D62" s="136" t="s">
        <v>2517</v>
      </c>
      <c r="E62" s="135">
        <v>0.385</v>
      </c>
      <c r="F62" s="136">
        <f t="shared" si="6"/>
        <v>0.435</v>
      </c>
      <c r="G62" s="137"/>
      <c r="H62" s="134"/>
      <c r="I62" s="136">
        <v>8858890713041</v>
      </c>
      <c r="J62" s="136" t="s">
        <v>2406</v>
      </c>
      <c r="K62" s="140" t="s">
        <v>2531</v>
      </c>
      <c r="L62" s="130"/>
      <c r="M62" s="130"/>
      <c r="N62" s="130"/>
      <c r="O62" s="130"/>
      <c r="P62" s="130"/>
      <c r="Q62" s="130"/>
    </row>
    <row r="63" ht="15.75" customHeight="1" spans="1:17" x14ac:dyDescent="0.25">
      <c r="A63" s="131" t="s">
        <v>228</v>
      </c>
      <c r="B63" s="132" t="s">
        <v>2529</v>
      </c>
      <c r="C63" s="133" t="s">
        <v>2533</v>
      </c>
      <c r="D63" s="136" t="s">
        <v>2517</v>
      </c>
      <c r="E63" s="135">
        <v>0.38</v>
      </c>
      <c r="F63" s="136">
        <f t="shared" si="6"/>
        <v>0.43</v>
      </c>
      <c r="G63" s="137"/>
      <c r="H63" s="134"/>
      <c r="I63" s="136">
        <v>8858890713058</v>
      </c>
      <c r="J63" s="136" t="s">
        <v>2406</v>
      </c>
      <c r="K63" s="140" t="s">
        <v>2531</v>
      </c>
      <c r="L63" s="130"/>
      <c r="M63" s="130"/>
      <c r="N63" s="130"/>
      <c r="O63" s="130"/>
      <c r="P63" s="130"/>
      <c r="Q63" s="130"/>
    </row>
    <row r="64" ht="15.75" customHeight="1" spans="1:17" x14ac:dyDescent="0.25">
      <c r="A64" s="131" t="s">
        <v>292</v>
      </c>
      <c r="B64" s="132" t="s">
        <v>2534</v>
      </c>
      <c r="C64" s="133" t="s">
        <v>2535</v>
      </c>
      <c r="D64" s="136" t="s">
        <v>2536</v>
      </c>
      <c r="E64" s="135">
        <v>0.314</v>
      </c>
      <c r="F64" s="136">
        <f t="shared" si="6"/>
        <v>0.364</v>
      </c>
      <c r="G64" s="137"/>
      <c r="H64" s="134"/>
      <c r="I64" s="136">
        <v>6933004194502</v>
      </c>
      <c r="J64" s="136" t="s">
        <v>2406</v>
      </c>
      <c r="K64" s="140" t="s">
        <v>2537</v>
      </c>
      <c r="L64" s="130"/>
      <c r="M64" s="130"/>
      <c r="N64" s="130"/>
      <c r="O64" s="130"/>
      <c r="P64" s="130"/>
      <c r="Q64" s="130"/>
    </row>
    <row r="65" ht="15.75" customHeight="1" spans="1:17" x14ac:dyDescent="0.25">
      <c r="A65" s="131" t="s">
        <v>1194</v>
      </c>
      <c r="B65" s="132" t="s">
        <v>2538</v>
      </c>
      <c r="C65" s="133" t="s">
        <v>2539</v>
      </c>
      <c r="D65" s="136" t="s">
        <v>2536</v>
      </c>
      <c r="E65" s="135">
        <v>0.099</v>
      </c>
      <c r="F65" s="136">
        <f t="shared" si="6"/>
        <v>0.149</v>
      </c>
      <c r="G65" s="137"/>
      <c r="H65" s="134"/>
      <c r="I65" s="136">
        <v>8854052553036</v>
      </c>
      <c r="J65" s="136" t="s">
        <v>2406</v>
      </c>
      <c r="K65" s="140" t="s">
        <v>2540</v>
      </c>
      <c r="L65" s="130"/>
      <c r="M65" s="130"/>
      <c r="N65" s="130"/>
      <c r="O65" s="130"/>
      <c r="P65" s="130"/>
      <c r="Q65" s="130"/>
    </row>
    <row r="66" ht="15.75" customHeight="1" spans="1:17" x14ac:dyDescent="0.25">
      <c r="A66" s="131" t="s">
        <v>791</v>
      </c>
      <c r="B66" s="132" t="s">
        <v>2541</v>
      </c>
      <c r="C66" s="133" t="s">
        <v>2542</v>
      </c>
      <c r="D66" s="136" t="s">
        <v>2517</v>
      </c>
      <c r="E66" s="135">
        <v>0.215</v>
      </c>
      <c r="F66" s="136">
        <f t="shared" si="6"/>
        <v>0.265</v>
      </c>
      <c r="G66" s="137"/>
      <c r="H66" s="134"/>
      <c r="I66" s="136">
        <v>8858890714093</v>
      </c>
      <c r="J66" s="136" t="s">
        <v>2406</v>
      </c>
      <c r="K66" s="140" t="s">
        <v>2518</v>
      </c>
      <c r="L66" s="130"/>
      <c r="M66" s="130"/>
      <c r="N66" s="130"/>
      <c r="O66" s="130"/>
      <c r="P66" s="130"/>
      <c r="Q66" s="130"/>
    </row>
    <row r="67" ht="15.75" customHeight="1" spans="1:17" x14ac:dyDescent="0.25">
      <c r="A67" s="131" t="s">
        <v>171</v>
      </c>
      <c r="B67" s="132" t="s">
        <v>2543</v>
      </c>
      <c r="C67" s="133" t="s">
        <v>2544</v>
      </c>
      <c r="D67" s="136" t="s">
        <v>2517</v>
      </c>
      <c r="E67" s="135">
        <v>0.93</v>
      </c>
      <c r="F67" s="136">
        <f t="shared" si="6"/>
        <v>0.98</v>
      </c>
      <c r="G67" s="137"/>
      <c r="H67" s="134"/>
      <c r="I67" s="136">
        <v>8858890714109</v>
      </c>
      <c r="J67" s="136" t="s">
        <v>2406</v>
      </c>
      <c r="K67" s="150" t="s">
        <v>2545</v>
      </c>
      <c r="L67" s="130"/>
      <c r="M67" s="130"/>
      <c r="N67" s="130"/>
      <c r="O67" s="130"/>
      <c r="P67" s="130"/>
      <c r="Q67" s="130"/>
    </row>
    <row r="68" ht="15.75" customHeight="1" spans="1:17" x14ac:dyDescent="0.25">
      <c r="A68" s="131" t="s">
        <v>2546</v>
      </c>
      <c r="B68" s="132" t="s">
        <v>2547</v>
      </c>
      <c r="C68" s="133" t="s">
        <v>2548</v>
      </c>
      <c r="D68" s="136" t="s">
        <v>2517</v>
      </c>
      <c r="E68" s="135">
        <v>1.239</v>
      </c>
      <c r="F68" s="136">
        <f t="shared" si="6"/>
        <v>1.289</v>
      </c>
      <c r="G68" s="137"/>
      <c r="H68" s="134"/>
      <c r="I68" s="136">
        <v>885889071410902</v>
      </c>
      <c r="J68" s="136" t="s">
        <v>2406</v>
      </c>
      <c r="K68" s="139"/>
      <c r="L68" s="130"/>
      <c r="M68" s="130"/>
      <c r="N68" s="130"/>
      <c r="O68" s="130"/>
      <c r="P68" s="130"/>
      <c r="Q68" s="130"/>
    </row>
    <row r="69" ht="15.75" customHeight="1" spans="1:17" x14ac:dyDescent="0.25">
      <c r="A69" s="131" t="s">
        <v>803</v>
      </c>
      <c r="B69" s="132" t="s">
        <v>2549</v>
      </c>
      <c r="C69" s="133" t="s">
        <v>2550</v>
      </c>
      <c r="D69" s="136" t="s">
        <v>2517</v>
      </c>
      <c r="E69" s="135">
        <v>0.309</v>
      </c>
      <c r="F69" s="136">
        <f t="shared" si="6"/>
        <v>0.359</v>
      </c>
      <c r="G69" s="137"/>
      <c r="H69" s="134"/>
      <c r="I69" s="136">
        <v>8858890714116</v>
      </c>
      <c r="J69" s="136" t="s">
        <v>2406</v>
      </c>
      <c r="K69" s="139"/>
      <c r="L69" s="130"/>
      <c r="M69" s="130"/>
      <c r="N69" s="130"/>
      <c r="O69" s="130"/>
      <c r="P69" s="130"/>
      <c r="Q69" s="130"/>
    </row>
    <row r="70" ht="15.75" customHeight="1" spans="1:17" x14ac:dyDescent="0.25">
      <c r="A70" s="131" t="s">
        <v>210</v>
      </c>
      <c r="B70" s="132" t="s">
        <v>2515</v>
      </c>
      <c r="C70" s="133" t="s">
        <v>2551</v>
      </c>
      <c r="D70" s="136" t="s">
        <v>2517</v>
      </c>
      <c r="E70" s="135">
        <v>0.335</v>
      </c>
      <c r="F70" s="136">
        <f t="shared" si="6"/>
        <v>0.385</v>
      </c>
      <c r="G70" s="137"/>
      <c r="H70" s="134"/>
      <c r="I70" s="136">
        <v>8858890716066</v>
      </c>
      <c r="J70" s="136" t="s">
        <v>2406</v>
      </c>
      <c r="K70" s="140" t="s">
        <v>2552</v>
      </c>
      <c r="L70" s="130"/>
      <c r="M70" s="130"/>
      <c r="N70" s="130"/>
      <c r="O70" s="130"/>
      <c r="P70" s="130"/>
      <c r="Q70" s="130"/>
    </row>
    <row r="71" ht="15.75" customHeight="1" spans="1:17" x14ac:dyDescent="0.25">
      <c r="A71" s="131" t="s">
        <v>2553</v>
      </c>
      <c r="B71" s="132" t="s">
        <v>2554</v>
      </c>
      <c r="C71" s="133" t="s">
        <v>2555</v>
      </c>
      <c r="D71" s="136" t="s">
        <v>2517</v>
      </c>
      <c r="E71" s="135">
        <v>0.665</v>
      </c>
      <c r="F71" s="136">
        <f t="shared" si="6"/>
        <v>0.715</v>
      </c>
      <c r="G71" s="137"/>
      <c r="H71" s="134"/>
      <c r="I71" s="136">
        <v>885889071606602</v>
      </c>
      <c r="J71" s="136" t="s">
        <v>2406</v>
      </c>
      <c r="K71" s="140" t="s">
        <v>2552</v>
      </c>
      <c r="L71" s="130"/>
      <c r="M71" s="130"/>
      <c r="N71" s="130"/>
      <c r="O71" s="130"/>
      <c r="P71" s="130"/>
      <c r="Q71" s="130"/>
    </row>
    <row r="72" ht="15.75" customHeight="1" spans="1:17" x14ac:dyDescent="0.25">
      <c r="A72" s="131" t="s">
        <v>2556</v>
      </c>
      <c r="B72" s="132" t="s">
        <v>2557</v>
      </c>
      <c r="C72" s="133" t="s">
        <v>2558</v>
      </c>
      <c r="D72" s="136" t="s">
        <v>2559</v>
      </c>
      <c r="E72" s="135">
        <v>1.218</v>
      </c>
      <c r="F72" s="136">
        <f t="shared" si="6"/>
        <v>1.268</v>
      </c>
      <c r="G72" s="137"/>
      <c r="H72" s="134"/>
      <c r="I72" s="151" t="s">
        <v>2560</v>
      </c>
      <c r="J72" s="136" t="s">
        <v>2406</v>
      </c>
      <c r="K72" s="140" t="s">
        <v>2561</v>
      </c>
      <c r="L72" s="130"/>
      <c r="M72" s="130"/>
      <c r="N72" s="130"/>
      <c r="O72" s="130"/>
      <c r="P72" s="130"/>
      <c r="Q72" s="130"/>
    </row>
    <row r="73" ht="15.75" customHeight="1" spans="1:17" x14ac:dyDescent="0.25">
      <c r="A73" s="131" t="s">
        <v>202</v>
      </c>
      <c r="B73" s="132" t="s">
        <v>2562</v>
      </c>
      <c r="C73" s="133" t="s">
        <v>2563</v>
      </c>
      <c r="D73" s="136" t="s">
        <v>2517</v>
      </c>
      <c r="E73" s="135">
        <v>0.611</v>
      </c>
      <c r="F73" s="136">
        <f t="shared" si="6"/>
        <v>0.661</v>
      </c>
      <c r="G73" s="137"/>
      <c r="H73" s="134"/>
      <c r="I73" s="136">
        <v>8858890716080</v>
      </c>
      <c r="J73" s="136" t="s">
        <v>2406</v>
      </c>
      <c r="K73" s="140" t="s">
        <v>2564</v>
      </c>
      <c r="L73" s="130"/>
      <c r="M73" s="130"/>
      <c r="N73" s="130"/>
      <c r="O73" s="130"/>
      <c r="P73" s="130"/>
      <c r="Q73" s="130"/>
    </row>
    <row r="74" ht="15.75" customHeight="1" spans="1:17" x14ac:dyDescent="0.25">
      <c r="A74" s="131" t="s">
        <v>799</v>
      </c>
      <c r="B74" s="132" t="s">
        <v>2565</v>
      </c>
      <c r="C74" s="133" t="s">
        <v>2566</v>
      </c>
      <c r="D74" s="136" t="s">
        <v>2517</v>
      </c>
      <c r="E74" s="135">
        <v>0.212</v>
      </c>
      <c r="F74" s="136">
        <f t="shared" si="6"/>
        <v>0.262</v>
      </c>
      <c r="G74" s="137"/>
      <c r="H74" s="134"/>
      <c r="I74" s="136">
        <v>8858890716097</v>
      </c>
      <c r="J74" s="136" t="s">
        <v>2406</v>
      </c>
      <c r="K74" s="139"/>
      <c r="L74" s="130"/>
      <c r="M74" s="130"/>
      <c r="N74" s="130"/>
      <c r="O74" s="130"/>
      <c r="P74" s="130"/>
      <c r="Q74" s="130"/>
    </row>
    <row r="75" ht="15.75" customHeight="1" spans="1:17" x14ac:dyDescent="0.25">
      <c r="A75" s="131" t="s">
        <v>290</v>
      </c>
      <c r="B75" s="132" t="s">
        <v>2567</v>
      </c>
      <c r="C75" s="133" t="s">
        <v>2568</v>
      </c>
      <c r="D75" s="136" t="s">
        <v>2517</v>
      </c>
      <c r="E75" s="135">
        <v>0.302</v>
      </c>
      <c r="F75" s="136">
        <f t="shared" si="6"/>
        <v>0.352</v>
      </c>
      <c r="G75" s="137"/>
      <c r="H75" s="134"/>
      <c r="I75" s="136">
        <v>8858890716103</v>
      </c>
      <c r="J75" s="136" t="s">
        <v>2406</v>
      </c>
      <c r="K75" s="149" t="s">
        <v>2569</v>
      </c>
      <c r="L75" s="130"/>
      <c r="M75" s="130"/>
      <c r="N75" s="130"/>
      <c r="O75" s="130"/>
      <c r="P75" s="130"/>
      <c r="Q75" s="130"/>
    </row>
    <row r="76" ht="15.75" customHeight="1" spans="1:17" x14ac:dyDescent="0.25">
      <c r="A76" s="131" t="s">
        <v>187</v>
      </c>
      <c r="B76" s="132" t="s">
        <v>2570</v>
      </c>
      <c r="C76" s="133" t="s">
        <v>2571</v>
      </c>
      <c r="D76" s="136" t="s">
        <v>2477</v>
      </c>
      <c r="E76" s="135">
        <v>0.6</v>
      </c>
      <c r="F76" s="136">
        <f t="shared" si="6"/>
        <v>0.65</v>
      </c>
      <c r="G76" s="137"/>
      <c r="H76" s="134"/>
      <c r="I76" s="136">
        <v>8858890716134</v>
      </c>
      <c r="J76" s="136" t="s">
        <v>2406</v>
      </c>
      <c r="K76" s="149" t="s">
        <v>2572</v>
      </c>
      <c r="L76" s="130"/>
      <c r="M76" s="130"/>
      <c r="N76" s="130"/>
      <c r="O76" s="130"/>
      <c r="P76" s="130"/>
      <c r="Q76" s="130"/>
    </row>
    <row r="77" ht="15.75" customHeight="1" spans="1:17" x14ac:dyDescent="0.25">
      <c r="A77" s="131" t="s">
        <v>2573</v>
      </c>
      <c r="B77" s="132" t="s">
        <v>2574</v>
      </c>
      <c r="C77" s="152" t="s">
        <v>2575</v>
      </c>
      <c r="D77" s="136" t="s">
        <v>2559</v>
      </c>
      <c r="E77" s="135">
        <v>1.211</v>
      </c>
      <c r="F77" s="136">
        <f t="shared" si="6"/>
        <v>1.261</v>
      </c>
      <c r="G77" s="137"/>
      <c r="H77" s="134"/>
      <c r="I77" s="151" t="s">
        <v>2576</v>
      </c>
      <c r="J77" s="136" t="s">
        <v>2406</v>
      </c>
      <c r="K77" s="139"/>
      <c r="L77" s="130"/>
      <c r="M77" s="130"/>
      <c r="N77" s="130"/>
      <c r="O77" s="130"/>
      <c r="P77" s="130"/>
      <c r="Q77" s="130"/>
    </row>
    <row r="78" ht="15.75" customHeight="1" spans="1:17" x14ac:dyDescent="0.25">
      <c r="A78" s="131" t="s">
        <v>295</v>
      </c>
      <c r="B78" s="132" t="s">
        <v>2577</v>
      </c>
      <c r="C78" s="133" t="s">
        <v>2578</v>
      </c>
      <c r="D78" s="134"/>
      <c r="E78" s="137"/>
      <c r="F78" s="136">
        <f t="shared" si="6"/>
        <v>0.05</v>
      </c>
      <c r="G78" s="153" t="s">
        <v>2579</v>
      </c>
      <c r="H78" s="134"/>
      <c r="I78" s="136">
        <v>8858890790370</v>
      </c>
      <c r="J78" s="136" t="s">
        <v>2406</v>
      </c>
      <c r="K78" s="139"/>
      <c r="L78" s="130"/>
      <c r="M78" s="130"/>
      <c r="N78" s="130"/>
      <c r="O78" s="130"/>
      <c r="P78" s="130"/>
      <c r="Q78" s="130"/>
    </row>
    <row r="79" ht="15.75" customHeight="1" spans="1:17" x14ac:dyDescent="0.25">
      <c r="A79" s="131" t="s">
        <v>26</v>
      </c>
      <c r="B79" s="132" t="s">
        <v>2580</v>
      </c>
      <c r="C79" s="133" t="s">
        <v>2581</v>
      </c>
      <c r="D79" s="134"/>
      <c r="E79" s="137"/>
      <c r="F79" s="136">
        <f t="shared" si="6"/>
        <v>0.05</v>
      </c>
      <c r="G79" s="137"/>
      <c r="H79" s="134"/>
      <c r="I79" s="136">
        <v>8858890721077</v>
      </c>
      <c r="J79" s="136" t="s">
        <v>2582</v>
      </c>
      <c r="K79" s="140" t="s">
        <v>2583</v>
      </c>
      <c r="L79" s="130"/>
      <c r="M79" s="130"/>
      <c r="N79" s="130"/>
      <c r="O79" s="130"/>
      <c r="P79" s="130"/>
      <c r="Q79" s="130"/>
    </row>
    <row r="80" ht="15.75" customHeight="1" spans="1:17" x14ac:dyDescent="0.25">
      <c r="A80" s="131" t="s">
        <v>27</v>
      </c>
      <c r="B80" s="132" t="s">
        <v>2584</v>
      </c>
      <c r="C80" s="133" t="s">
        <v>2585</v>
      </c>
      <c r="D80" s="134"/>
      <c r="E80" s="137"/>
      <c r="F80" s="136">
        <f t="shared" si="6"/>
        <v>0.05</v>
      </c>
      <c r="G80" s="153" t="s">
        <v>2586</v>
      </c>
      <c r="H80" s="134"/>
      <c r="I80" s="136">
        <v>8858890796501</v>
      </c>
      <c r="J80" s="136" t="s">
        <v>2582</v>
      </c>
      <c r="K80" s="140" t="s">
        <v>2587</v>
      </c>
      <c r="L80" s="130"/>
      <c r="M80" s="130"/>
      <c r="N80" s="130"/>
      <c r="O80" s="130"/>
      <c r="P80" s="130"/>
      <c r="Q80" s="130"/>
    </row>
    <row r="81" ht="15.75" customHeight="1" spans="1:17" x14ac:dyDescent="0.25">
      <c r="A81" s="131" t="s">
        <v>29</v>
      </c>
      <c r="B81" s="132" t="s">
        <v>2588</v>
      </c>
      <c r="C81" s="133" t="s">
        <v>2589</v>
      </c>
      <c r="D81" s="134"/>
      <c r="E81" s="137"/>
      <c r="F81" s="136">
        <f t="shared" si="6"/>
        <v>0.05</v>
      </c>
      <c r="G81" s="153" t="s">
        <v>2590</v>
      </c>
      <c r="H81" s="134"/>
      <c r="I81" s="136">
        <v>8858890793364</v>
      </c>
      <c r="J81" s="136" t="s">
        <v>2582</v>
      </c>
      <c r="K81" s="140" t="s">
        <v>2591</v>
      </c>
      <c r="L81" s="130"/>
      <c r="M81" s="130"/>
      <c r="N81" s="130"/>
      <c r="O81" s="130"/>
      <c r="P81" s="130"/>
      <c r="Q81" s="130"/>
    </row>
    <row r="82" ht="15.75" customHeight="1" spans="1:17" x14ac:dyDescent="0.25">
      <c r="A82" s="131" t="s">
        <v>2592</v>
      </c>
      <c r="B82" s="132" t="s">
        <v>2593</v>
      </c>
      <c r="C82" s="133" t="s">
        <v>2594</v>
      </c>
      <c r="D82" s="136" t="s">
        <v>2595</v>
      </c>
      <c r="E82" s="135">
        <v>0.017</v>
      </c>
      <c r="F82" s="136">
        <f t="shared" si="6"/>
        <v>0.067</v>
      </c>
      <c r="G82" s="153" t="s">
        <v>2596</v>
      </c>
      <c r="H82" s="134"/>
      <c r="I82" s="136">
        <v>8858890782290</v>
      </c>
      <c r="J82" s="136" t="s">
        <v>753</v>
      </c>
      <c r="K82" s="139"/>
      <c r="L82" s="130"/>
      <c r="M82" s="130"/>
      <c r="N82" s="130"/>
      <c r="O82" s="130"/>
      <c r="P82" s="130"/>
      <c r="Q82" s="130"/>
    </row>
    <row r="83" ht="15.75" customHeight="1" spans="1:17" x14ac:dyDescent="0.25">
      <c r="A83" s="131" t="s">
        <v>2597</v>
      </c>
      <c r="B83" s="132" t="s">
        <v>2593</v>
      </c>
      <c r="C83" s="133" t="s">
        <v>2598</v>
      </c>
      <c r="D83" s="136" t="s">
        <v>2595</v>
      </c>
      <c r="E83" s="135">
        <v>0.017</v>
      </c>
      <c r="F83" s="136">
        <f t="shared" si="6"/>
        <v>0.067</v>
      </c>
      <c r="G83" s="153" t="s">
        <v>2596</v>
      </c>
      <c r="H83" s="134"/>
      <c r="I83" s="136">
        <v>8858890782306</v>
      </c>
      <c r="J83" s="136" t="s">
        <v>753</v>
      </c>
      <c r="K83" s="139"/>
      <c r="L83" s="130"/>
      <c r="M83" s="130"/>
      <c r="N83" s="130"/>
      <c r="O83" s="130"/>
      <c r="P83" s="130"/>
      <c r="Q83" s="130"/>
    </row>
    <row r="84" ht="15.75" customHeight="1" spans="1:17" x14ac:dyDescent="0.25">
      <c r="A84" s="131" t="s">
        <v>2599</v>
      </c>
      <c r="B84" s="132" t="s">
        <v>2593</v>
      </c>
      <c r="C84" s="133" t="s">
        <v>2600</v>
      </c>
      <c r="D84" s="136" t="s">
        <v>2595</v>
      </c>
      <c r="E84" s="135">
        <v>0.017</v>
      </c>
      <c r="F84" s="136">
        <f t="shared" si="6"/>
        <v>0.067</v>
      </c>
      <c r="G84" s="153" t="s">
        <v>2596</v>
      </c>
      <c r="H84" s="134"/>
      <c r="I84" s="136">
        <v>8858890782276</v>
      </c>
      <c r="J84" s="136" t="s">
        <v>753</v>
      </c>
      <c r="K84" s="139"/>
      <c r="L84" s="130"/>
      <c r="M84" s="130"/>
      <c r="N84" s="130"/>
      <c r="O84" s="130"/>
      <c r="P84" s="130"/>
      <c r="Q84" s="130"/>
    </row>
    <row r="85" ht="15.75" customHeight="1" spans="1:17" x14ac:dyDescent="0.25">
      <c r="A85" s="141" t="s">
        <v>2601</v>
      </c>
      <c r="B85" s="142" t="s">
        <v>2593</v>
      </c>
      <c r="C85" s="143" t="s">
        <v>2602</v>
      </c>
      <c r="D85" s="144" t="s">
        <v>2595</v>
      </c>
      <c r="E85" s="145">
        <v>0.017</v>
      </c>
      <c r="F85" s="136">
        <f t="shared" si="6"/>
        <v>0.067</v>
      </c>
      <c r="G85" s="153" t="s">
        <v>2596</v>
      </c>
      <c r="H85" s="134"/>
      <c r="I85" s="136">
        <v>8858890782269</v>
      </c>
      <c r="J85" s="144" t="s">
        <v>753</v>
      </c>
      <c r="K85" s="139"/>
      <c r="L85" s="130"/>
      <c r="M85" s="130"/>
      <c r="N85" s="130"/>
      <c r="O85" s="130"/>
      <c r="P85" s="130"/>
      <c r="Q85" s="130"/>
    </row>
    <row r="86" ht="15.75" customHeight="1" spans="1:17" x14ac:dyDescent="0.25">
      <c r="A86" s="141" t="s">
        <v>2603</v>
      </c>
      <c r="B86" s="142" t="s">
        <v>2593</v>
      </c>
      <c r="C86" s="143" t="s">
        <v>2604</v>
      </c>
      <c r="D86" s="144" t="s">
        <v>2595</v>
      </c>
      <c r="E86" s="145">
        <v>0.017</v>
      </c>
      <c r="F86" s="136">
        <f t="shared" si="6"/>
        <v>0.067</v>
      </c>
      <c r="G86" s="153" t="s">
        <v>2596</v>
      </c>
      <c r="H86" s="134"/>
      <c r="I86" s="136">
        <v>8858890782283</v>
      </c>
      <c r="J86" s="136" t="s">
        <v>753</v>
      </c>
      <c r="K86" s="139"/>
      <c r="L86" s="130"/>
      <c r="M86" s="130"/>
      <c r="N86" s="130"/>
      <c r="O86" s="130"/>
      <c r="P86" s="130"/>
      <c r="Q86" s="130"/>
    </row>
    <row r="87" ht="15.75" customHeight="1" spans="1:17" x14ac:dyDescent="0.25">
      <c r="A87" s="131" t="s">
        <v>2605</v>
      </c>
      <c r="B87" s="132" t="s">
        <v>2593</v>
      </c>
      <c r="C87" s="133" t="s">
        <v>2606</v>
      </c>
      <c r="D87" s="136" t="s">
        <v>2595</v>
      </c>
      <c r="E87" s="135">
        <v>0.017</v>
      </c>
      <c r="F87" s="136">
        <f t="shared" si="6"/>
        <v>0.067</v>
      </c>
      <c r="G87" s="153" t="s">
        <v>2596</v>
      </c>
      <c r="H87" s="134"/>
      <c r="I87" s="136">
        <v>8858890782252</v>
      </c>
      <c r="J87" s="136" t="s">
        <v>753</v>
      </c>
      <c r="K87" s="139"/>
      <c r="L87" s="130"/>
      <c r="M87" s="130"/>
      <c r="N87" s="130"/>
      <c r="O87" s="130"/>
      <c r="P87" s="130"/>
      <c r="Q87" s="130"/>
    </row>
    <row r="88" ht="15.75" customHeight="1" spans="1:17" x14ac:dyDescent="0.25">
      <c r="A88" s="131" t="s">
        <v>2607</v>
      </c>
      <c r="B88" s="132" t="s">
        <v>2608</v>
      </c>
      <c r="C88" s="133" t="s">
        <v>2609</v>
      </c>
      <c r="D88" s="134"/>
      <c r="E88" s="137"/>
      <c r="F88" s="134"/>
      <c r="G88" s="137"/>
      <c r="H88" s="134"/>
      <c r="I88" s="134"/>
      <c r="J88" s="134"/>
      <c r="K88" s="139"/>
      <c r="L88" s="130"/>
      <c r="M88" s="130"/>
      <c r="N88" s="130"/>
      <c r="O88" s="130"/>
      <c r="P88" s="130"/>
      <c r="Q88" s="130"/>
    </row>
    <row r="89" ht="15.75" customHeight="1" spans="1:17" x14ac:dyDescent="0.25">
      <c r="A89" s="131" t="s">
        <v>1139</v>
      </c>
      <c r="B89" s="132" t="s">
        <v>2610</v>
      </c>
      <c r="C89" s="133" t="s">
        <v>2611</v>
      </c>
      <c r="D89" s="134"/>
      <c r="E89" s="135" t="s">
        <v>2612</v>
      </c>
      <c r="F89" s="136" t="str">
        <f t="shared" ref="F89:F96" si="7">E:E+0.05</f>
        <v>#VALUE!</v>
      </c>
      <c r="G89" s="137"/>
      <c r="H89" s="134"/>
      <c r="I89" s="136">
        <v>8858890721169</v>
      </c>
      <c r="J89" s="134"/>
      <c r="K89" s="154" t="s">
        <v>2613</v>
      </c>
      <c r="L89" s="130"/>
      <c r="M89" s="130"/>
      <c r="N89" s="130"/>
      <c r="O89" s="130"/>
      <c r="P89" s="130"/>
      <c r="Q89" s="130"/>
    </row>
    <row r="90" ht="15.75" customHeight="1" spans="1:17" x14ac:dyDescent="0.25">
      <c r="A90" s="131" t="s">
        <v>24</v>
      </c>
      <c r="B90" s="132" t="s">
        <v>2614</v>
      </c>
      <c r="C90" s="133" t="s">
        <v>2615</v>
      </c>
      <c r="D90" s="134"/>
      <c r="E90" s="137"/>
      <c r="F90" s="136">
        <f t="shared" si="7"/>
        <v>0.05</v>
      </c>
      <c r="G90" s="137"/>
      <c r="H90" s="134"/>
      <c r="I90" s="136">
        <v>8858890721172</v>
      </c>
      <c r="J90" s="136" t="s">
        <v>2582</v>
      </c>
      <c r="K90" s="154" t="s">
        <v>2616</v>
      </c>
      <c r="L90" s="130"/>
      <c r="M90" s="130"/>
      <c r="N90" s="130"/>
      <c r="O90" s="130"/>
      <c r="P90" s="130"/>
      <c r="Q90" s="130"/>
    </row>
    <row r="91" ht="15.75" customHeight="1" spans="1:17" x14ac:dyDescent="0.25">
      <c r="A91" s="131" t="s">
        <v>1459</v>
      </c>
      <c r="B91" s="132" t="s">
        <v>2617</v>
      </c>
      <c r="C91" s="133" t="s">
        <v>2618</v>
      </c>
      <c r="D91" s="134"/>
      <c r="E91" s="137"/>
      <c r="F91" s="136">
        <f t="shared" si="7"/>
        <v>0.05</v>
      </c>
      <c r="G91" s="137"/>
      <c r="H91" s="134"/>
      <c r="I91" s="136">
        <v>8858890721190</v>
      </c>
      <c r="J91" s="136" t="s">
        <v>2582</v>
      </c>
      <c r="K91" s="154" t="s">
        <v>2619</v>
      </c>
      <c r="L91" s="130"/>
      <c r="M91" s="130"/>
      <c r="N91" s="130"/>
      <c r="O91" s="130"/>
      <c r="P91" s="130"/>
      <c r="Q91" s="130"/>
    </row>
    <row r="92" ht="15.75" customHeight="1" spans="1:17" x14ac:dyDescent="0.25">
      <c r="A92" s="131" t="s">
        <v>25</v>
      </c>
      <c r="B92" s="132" t="s">
        <v>2620</v>
      </c>
      <c r="C92" s="133" t="s">
        <v>2621</v>
      </c>
      <c r="D92" s="134"/>
      <c r="E92" s="135">
        <v>0.8</v>
      </c>
      <c r="F92" s="136">
        <f t="shared" si="7"/>
        <v>0.85</v>
      </c>
      <c r="G92" s="137"/>
      <c r="H92" s="134"/>
      <c r="I92" s="136">
        <v>8858890721220</v>
      </c>
      <c r="J92" s="136" t="s">
        <v>2582</v>
      </c>
      <c r="K92" s="138" t="s">
        <v>2622</v>
      </c>
      <c r="L92" s="130"/>
      <c r="M92" s="130"/>
      <c r="N92" s="130"/>
      <c r="O92" s="130"/>
      <c r="P92" s="130"/>
      <c r="Q92" s="130"/>
    </row>
    <row r="93" ht="15.75" customHeight="1" spans="1:17" x14ac:dyDescent="0.25">
      <c r="A93" s="131" t="s">
        <v>10</v>
      </c>
      <c r="B93" s="132" t="s">
        <v>2623</v>
      </c>
      <c r="C93" s="133" t="s">
        <v>2624</v>
      </c>
      <c r="D93" s="136" t="s">
        <v>2536</v>
      </c>
      <c r="E93" s="135">
        <v>0.121</v>
      </c>
      <c r="F93" s="136">
        <f t="shared" si="7"/>
        <v>0.171</v>
      </c>
      <c r="G93" s="153" t="s">
        <v>2625</v>
      </c>
      <c r="H93" s="134"/>
      <c r="I93" s="136">
        <v>8858890715038</v>
      </c>
      <c r="J93" s="136" t="s">
        <v>2582</v>
      </c>
      <c r="K93" s="154" t="s">
        <v>2626</v>
      </c>
      <c r="L93" s="130"/>
      <c r="M93" s="130"/>
      <c r="N93" s="130"/>
      <c r="O93" s="130"/>
      <c r="P93" s="130"/>
      <c r="Q93" s="130"/>
    </row>
    <row r="94" ht="15.75" customHeight="1" spans="1:17" x14ac:dyDescent="0.25">
      <c r="A94" s="131" t="s">
        <v>11</v>
      </c>
      <c r="B94" s="132" t="s">
        <v>2627</v>
      </c>
      <c r="C94" s="133" t="s">
        <v>2624</v>
      </c>
      <c r="D94" s="136" t="s">
        <v>2536</v>
      </c>
      <c r="E94" s="135">
        <v>0.121</v>
      </c>
      <c r="F94" s="136">
        <f t="shared" si="7"/>
        <v>0.171</v>
      </c>
      <c r="G94" s="153" t="s">
        <v>2625</v>
      </c>
      <c r="H94" s="134"/>
      <c r="I94" s="136">
        <v>8858890715076</v>
      </c>
      <c r="J94" s="136" t="s">
        <v>2582</v>
      </c>
      <c r="K94" s="154" t="s">
        <v>2626</v>
      </c>
      <c r="L94" s="130"/>
      <c r="M94" s="130"/>
      <c r="N94" s="130"/>
      <c r="O94" s="130"/>
      <c r="P94" s="130"/>
      <c r="Q94" s="130"/>
    </row>
    <row r="95" ht="15.75" customHeight="1" spans="1:17" x14ac:dyDescent="0.25">
      <c r="A95" s="131" t="s">
        <v>810</v>
      </c>
      <c r="B95" s="132" t="s">
        <v>2628</v>
      </c>
      <c r="C95" s="133" t="s">
        <v>2629</v>
      </c>
      <c r="D95" s="136" t="s">
        <v>2536</v>
      </c>
      <c r="E95" s="135">
        <v>0.234</v>
      </c>
      <c r="F95" s="136">
        <f t="shared" si="7"/>
        <v>0.284</v>
      </c>
      <c r="G95" s="153" t="s">
        <v>2625</v>
      </c>
      <c r="H95" s="134"/>
      <c r="I95" s="136">
        <v>8858890715083</v>
      </c>
      <c r="J95" s="136" t="s">
        <v>2582</v>
      </c>
      <c r="K95" s="154" t="s">
        <v>2626</v>
      </c>
      <c r="L95" s="130"/>
      <c r="M95" s="130"/>
      <c r="N95" s="130"/>
      <c r="O95" s="130"/>
      <c r="P95" s="130"/>
      <c r="Q95" s="130"/>
    </row>
    <row r="96" ht="15.75" customHeight="1" spans="1:17" x14ac:dyDescent="0.25">
      <c r="A96" s="131" t="s">
        <v>12</v>
      </c>
      <c r="B96" s="132" t="s">
        <v>2630</v>
      </c>
      <c r="C96" s="133" t="s">
        <v>2631</v>
      </c>
      <c r="D96" s="136" t="s">
        <v>2536</v>
      </c>
      <c r="E96" s="135">
        <v>0.126</v>
      </c>
      <c r="F96" s="136">
        <f t="shared" si="7"/>
        <v>0.176</v>
      </c>
      <c r="G96" s="153" t="s">
        <v>2625</v>
      </c>
      <c r="H96" s="134"/>
      <c r="I96" s="136">
        <v>8858890715090</v>
      </c>
      <c r="J96" s="136" t="s">
        <v>2582</v>
      </c>
      <c r="K96" s="154" t="s">
        <v>2626</v>
      </c>
      <c r="L96" s="130"/>
      <c r="M96" s="130"/>
      <c r="N96" s="130"/>
      <c r="O96" s="130"/>
      <c r="P96" s="130"/>
      <c r="Q96" s="130"/>
    </row>
    <row r="97" ht="15.75" customHeight="1" spans="1:17" x14ac:dyDescent="0.25">
      <c r="A97" s="131" t="s">
        <v>15</v>
      </c>
      <c r="B97" s="132" t="s">
        <v>2632</v>
      </c>
      <c r="C97" s="133" t="s">
        <v>2633</v>
      </c>
      <c r="D97" s="136" t="s">
        <v>2634</v>
      </c>
      <c r="E97" s="135">
        <v>0.14</v>
      </c>
      <c r="F97" s="136">
        <v>0.19</v>
      </c>
      <c r="G97" s="153" t="s">
        <v>2635</v>
      </c>
      <c r="H97" s="134"/>
      <c r="I97" s="136">
        <v>8858890711061</v>
      </c>
      <c r="J97" s="136" t="s">
        <v>2582</v>
      </c>
      <c r="K97" s="154" t="s">
        <v>2636</v>
      </c>
      <c r="L97" s="130"/>
      <c r="M97" s="130"/>
      <c r="N97" s="130"/>
      <c r="O97" s="130"/>
      <c r="P97" s="130"/>
      <c r="Q97" s="130"/>
    </row>
    <row r="98" ht="15.75" customHeight="1" spans="1:17" x14ac:dyDescent="0.25">
      <c r="A98" s="131" t="s">
        <v>1693</v>
      </c>
      <c r="B98" s="132" t="s">
        <v>2637</v>
      </c>
      <c r="C98" s="133" t="s">
        <v>2638</v>
      </c>
      <c r="D98" s="155"/>
      <c r="E98" s="137"/>
      <c r="F98" s="136">
        <f t="shared" ref="F98:F102" si="8">E:E+0.05</f>
        <v>0.05</v>
      </c>
      <c r="G98" s="137"/>
      <c r="H98" s="134"/>
      <c r="I98" s="136">
        <v>8858890795122</v>
      </c>
      <c r="J98" s="136" t="s">
        <v>2582</v>
      </c>
      <c r="K98" s="139"/>
      <c r="L98" s="130"/>
      <c r="M98" s="130"/>
      <c r="N98" s="130"/>
      <c r="O98" s="130"/>
      <c r="P98" s="130"/>
      <c r="Q98" s="130"/>
    </row>
    <row r="99" ht="15.75" customHeight="1" spans="1:17" x14ac:dyDescent="0.25">
      <c r="A99" s="131" t="s">
        <v>13</v>
      </c>
      <c r="B99" s="132" t="s">
        <v>2639</v>
      </c>
      <c r="C99" s="133" t="s">
        <v>2640</v>
      </c>
      <c r="D99" s="136" t="s">
        <v>2517</v>
      </c>
      <c r="E99" s="135">
        <v>0.246</v>
      </c>
      <c r="F99" s="136">
        <f t="shared" si="8"/>
        <v>0.296</v>
      </c>
      <c r="G99" s="153" t="s">
        <v>2641</v>
      </c>
      <c r="H99" s="134"/>
      <c r="I99" s="136">
        <v>8858890717025</v>
      </c>
      <c r="J99" s="136" t="s">
        <v>2582</v>
      </c>
      <c r="K99" s="154" t="s">
        <v>2642</v>
      </c>
      <c r="L99" s="130"/>
      <c r="M99" s="130"/>
      <c r="N99" s="130"/>
      <c r="O99" s="130"/>
      <c r="P99" s="130"/>
      <c r="Q99" s="130"/>
    </row>
    <row r="100" ht="15.75" customHeight="1" spans="1:17" x14ac:dyDescent="0.25">
      <c r="A100" s="131" t="s">
        <v>1149</v>
      </c>
      <c r="B100" s="132" t="s">
        <v>2643</v>
      </c>
      <c r="C100" s="133" t="s">
        <v>2644</v>
      </c>
      <c r="D100" s="134"/>
      <c r="E100" s="137"/>
      <c r="F100" s="136">
        <f t="shared" si="8"/>
        <v>0.05</v>
      </c>
      <c r="G100" s="153" t="s">
        <v>2645</v>
      </c>
      <c r="H100" s="134"/>
      <c r="I100" s="136">
        <v>8858890791346</v>
      </c>
      <c r="J100" s="136" t="s">
        <v>2582</v>
      </c>
      <c r="K100" s="139"/>
      <c r="L100" s="130"/>
      <c r="M100" s="130"/>
      <c r="N100" s="130"/>
      <c r="O100" s="130"/>
      <c r="P100" s="130"/>
      <c r="Q100" s="130"/>
    </row>
    <row r="101" ht="15.75" customHeight="1" spans="1:17" x14ac:dyDescent="0.25">
      <c r="A101" s="131" t="s">
        <v>551</v>
      </c>
      <c r="B101" s="132" t="s">
        <v>2646</v>
      </c>
      <c r="C101" s="133" t="s">
        <v>2647</v>
      </c>
      <c r="D101" s="136" t="s">
        <v>2595</v>
      </c>
      <c r="E101" s="135">
        <v>0.022</v>
      </c>
      <c r="F101" s="136">
        <f t="shared" si="8"/>
        <v>0.072</v>
      </c>
      <c r="G101" s="153" t="s">
        <v>2648</v>
      </c>
      <c r="H101" s="134"/>
      <c r="I101" s="136">
        <v>8858890781262</v>
      </c>
      <c r="J101" s="136" t="s">
        <v>753</v>
      </c>
      <c r="K101" s="138" t="s">
        <v>2649</v>
      </c>
      <c r="L101" s="130"/>
      <c r="M101" s="130"/>
      <c r="N101" s="130"/>
      <c r="O101" s="130"/>
      <c r="P101" s="130"/>
      <c r="Q101" s="130"/>
    </row>
    <row r="102" ht="15.75" customHeight="1" spans="1:17" x14ac:dyDescent="0.25">
      <c r="A102" s="131" t="s">
        <v>571</v>
      </c>
      <c r="B102" s="132" t="s">
        <v>2650</v>
      </c>
      <c r="C102" s="133" t="s">
        <v>2651</v>
      </c>
      <c r="D102" s="136" t="s">
        <v>2595</v>
      </c>
      <c r="E102" s="135">
        <v>0.044</v>
      </c>
      <c r="F102" s="136">
        <f t="shared" si="8"/>
        <v>0.094</v>
      </c>
      <c r="G102" s="137"/>
      <c r="H102" s="134"/>
      <c r="I102" s="136">
        <v>8858890781163</v>
      </c>
      <c r="J102" s="136" t="s">
        <v>753</v>
      </c>
      <c r="K102" s="154" t="s">
        <v>2652</v>
      </c>
      <c r="L102" s="130"/>
      <c r="M102" s="130"/>
      <c r="N102" s="130"/>
      <c r="O102" s="130"/>
      <c r="P102" s="130"/>
      <c r="Q102" s="130"/>
    </row>
    <row r="103" ht="15.75" customHeight="1" spans="1:17" x14ac:dyDescent="0.25">
      <c r="A103" s="131" t="s">
        <v>945</v>
      </c>
      <c r="B103" s="132" t="s">
        <v>946</v>
      </c>
      <c r="C103" s="133" t="s">
        <v>2653</v>
      </c>
      <c r="D103" s="134"/>
      <c r="E103" s="137"/>
      <c r="F103" s="134"/>
      <c r="G103" s="153" t="s">
        <v>2654</v>
      </c>
      <c r="H103" s="134"/>
      <c r="I103" s="136">
        <v>8858890793586</v>
      </c>
      <c r="J103" s="134"/>
      <c r="K103" s="138" t="s">
        <v>2655</v>
      </c>
      <c r="L103" s="130"/>
      <c r="M103" s="130"/>
      <c r="N103" s="130"/>
      <c r="O103" s="130"/>
      <c r="P103" s="130"/>
      <c r="Q103" s="130"/>
    </row>
    <row r="104" ht="15.75" customHeight="1" spans="1:17" x14ac:dyDescent="0.25">
      <c r="A104" s="131" t="s">
        <v>949</v>
      </c>
      <c r="B104" s="132" t="s">
        <v>950</v>
      </c>
      <c r="C104" s="133" t="s">
        <v>2656</v>
      </c>
      <c r="D104" s="134"/>
      <c r="E104" s="137"/>
      <c r="F104" s="134"/>
      <c r="G104" s="153" t="s">
        <v>2657</v>
      </c>
      <c r="H104" s="134"/>
      <c r="I104" s="136">
        <v>8858890793593</v>
      </c>
      <c r="J104" s="134"/>
      <c r="K104" s="154" t="s">
        <v>2658</v>
      </c>
      <c r="L104" s="130"/>
      <c r="M104" s="130"/>
      <c r="N104" s="130"/>
      <c r="O104" s="130"/>
      <c r="P104" s="130"/>
      <c r="Q104" s="130"/>
    </row>
    <row r="105" ht="15.75" customHeight="1" spans="1:17" x14ac:dyDescent="0.25">
      <c r="A105" s="131" t="s">
        <v>952</v>
      </c>
      <c r="B105" s="132" t="s">
        <v>2659</v>
      </c>
      <c r="C105" s="133" t="s">
        <v>2660</v>
      </c>
      <c r="D105" s="134"/>
      <c r="E105" s="137"/>
      <c r="F105" s="134"/>
      <c r="G105" s="153" t="s">
        <v>2661</v>
      </c>
      <c r="H105" s="134"/>
      <c r="I105" s="136">
        <v>8858890793609</v>
      </c>
      <c r="J105" s="134"/>
      <c r="K105" s="138" t="s">
        <v>2662</v>
      </c>
      <c r="L105" s="130"/>
      <c r="M105" s="130"/>
      <c r="N105" s="130"/>
      <c r="O105" s="130"/>
      <c r="P105" s="130"/>
      <c r="Q105" s="130"/>
    </row>
    <row r="106" ht="15.75" customHeight="1" spans="1:17" x14ac:dyDescent="0.25">
      <c r="A106" s="131" t="s">
        <v>955</v>
      </c>
      <c r="B106" s="132" t="s">
        <v>956</v>
      </c>
      <c r="C106" s="133" t="s">
        <v>2663</v>
      </c>
      <c r="D106" s="134"/>
      <c r="E106" s="137"/>
      <c r="F106" s="134"/>
      <c r="G106" s="153" t="s">
        <v>2661</v>
      </c>
      <c r="H106" s="134"/>
      <c r="I106" s="136">
        <v>8858890794026</v>
      </c>
      <c r="J106" s="134"/>
      <c r="K106" s="139"/>
      <c r="L106" s="130"/>
      <c r="M106" s="130"/>
      <c r="N106" s="130"/>
      <c r="O106" s="130"/>
      <c r="P106" s="130"/>
      <c r="Q106" s="130"/>
    </row>
    <row r="107" ht="15.75" customHeight="1" spans="1:17" x14ac:dyDescent="0.25">
      <c r="A107" s="131" t="s">
        <v>2336</v>
      </c>
      <c r="B107" s="132" t="s">
        <v>2664</v>
      </c>
      <c r="C107" s="133" t="s">
        <v>2665</v>
      </c>
      <c r="D107" s="134"/>
      <c r="E107" s="137"/>
      <c r="F107" s="134"/>
      <c r="G107" s="153" t="s">
        <v>2666</v>
      </c>
      <c r="H107" s="134"/>
      <c r="I107" s="134"/>
      <c r="J107" s="134"/>
      <c r="K107" s="139"/>
      <c r="L107" s="130"/>
      <c r="M107" s="130"/>
      <c r="N107" s="130"/>
      <c r="O107" s="130"/>
      <c r="P107" s="130"/>
      <c r="Q107" s="130"/>
    </row>
    <row r="108" ht="15.75" customHeight="1" spans="1:17" x14ac:dyDescent="0.25">
      <c r="A108" s="131" t="s">
        <v>2338</v>
      </c>
      <c r="B108" s="132" t="s">
        <v>2667</v>
      </c>
      <c r="C108" s="133" t="s">
        <v>2668</v>
      </c>
      <c r="D108" s="134"/>
      <c r="E108" s="137"/>
      <c r="F108" s="134"/>
      <c r="G108" s="153" t="s">
        <v>2669</v>
      </c>
      <c r="H108" s="134"/>
      <c r="I108" s="134"/>
      <c r="J108" s="134"/>
      <c r="K108" s="139"/>
      <c r="L108" s="130"/>
      <c r="M108" s="130"/>
      <c r="N108" s="130"/>
      <c r="O108" s="130"/>
      <c r="P108" s="130"/>
      <c r="Q108" s="130"/>
    </row>
    <row r="109" ht="15.75" customHeight="1" spans="1:17" x14ac:dyDescent="0.25">
      <c r="A109" s="131" t="s">
        <v>2670</v>
      </c>
      <c r="B109" s="132" t="s">
        <v>2671</v>
      </c>
      <c r="C109" s="133" t="s">
        <v>2672</v>
      </c>
      <c r="D109" s="134"/>
      <c r="E109" s="137"/>
      <c r="F109" s="134"/>
      <c r="G109" s="153" t="s">
        <v>2666</v>
      </c>
      <c r="H109" s="134"/>
      <c r="I109" s="134"/>
      <c r="J109" s="134"/>
      <c r="K109" s="139"/>
      <c r="L109" s="130"/>
      <c r="M109" s="130"/>
      <c r="N109" s="130"/>
      <c r="O109" s="130"/>
      <c r="P109" s="130"/>
      <c r="Q109" s="130"/>
    </row>
    <row r="110" ht="15.75" customHeight="1" spans="1:17" x14ac:dyDescent="0.25">
      <c r="A110" s="131" t="s">
        <v>2673</v>
      </c>
      <c r="B110" s="132" t="s">
        <v>2674</v>
      </c>
      <c r="C110" s="133" t="s">
        <v>2675</v>
      </c>
      <c r="D110" s="134"/>
      <c r="E110" s="137"/>
      <c r="F110" s="134"/>
      <c r="G110" s="153" t="s">
        <v>2669</v>
      </c>
      <c r="H110" s="134"/>
      <c r="I110" s="134"/>
      <c r="J110" s="134"/>
      <c r="K110" s="139"/>
      <c r="L110" s="130"/>
      <c r="M110" s="130"/>
      <c r="N110" s="130"/>
      <c r="O110" s="130"/>
      <c r="P110" s="130"/>
      <c r="Q110" s="130"/>
    </row>
    <row r="111" ht="15.75" customHeight="1" spans="1:17" x14ac:dyDescent="0.25">
      <c r="A111" s="131" t="s">
        <v>360</v>
      </c>
      <c r="B111" s="132" t="s">
        <v>2676</v>
      </c>
      <c r="C111" s="133" t="s">
        <v>2677</v>
      </c>
      <c r="D111" s="134"/>
      <c r="E111" s="137"/>
      <c r="F111" s="136">
        <f t="shared" ref="F111:F113" si="9">E:E+0.05</f>
        <v>0.05</v>
      </c>
      <c r="G111" s="153" t="s">
        <v>2678</v>
      </c>
      <c r="H111" s="134"/>
      <c r="I111" s="136">
        <v>8858890796440</v>
      </c>
      <c r="J111" s="136" t="s">
        <v>2582</v>
      </c>
      <c r="K111" s="139"/>
      <c r="L111" s="130"/>
      <c r="M111" s="130"/>
      <c r="N111" s="130"/>
      <c r="O111" s="130"/>
      <c r="P111" s="130"/>
      <c r="Q111" s="130"/>
    </row>
    <row r="112" ht="15.75" customHeight="1" spans="1:17" x14ac:dyDescent="0.25">
      <c r="A112" s="131" t="s">
        <v>570</v>
      </c>
      <c r="B112" s="132" t="s">
        <v>2679</v>
      </c>
      <c r="C112" s="133" t="s">
        <v>2680</v>
      </c>
      <c r="D112" s="136" t="s">
        <v>2595</v>
      </c>
      <c r="E112" s="135">
        <v>0.018</v>
      </c>
      <c r="F112" s="136">
        <f t="shared" si="9"/>
        <v>0.068</v>
      </c>
      <c r="G112" s="153" t="s">
        <v>2681</v>
      </c>
      <c r="H112" s="134"/>
      <c r="I112" s="136">
        <v>8858890781859</v>
      </c>
      <c r="J112" s="136" t="s">
        <v>753</v>
      </c>
      <c r="K112" s="139"/>
      <c r="L112" s="130"/>
      <c r="M112" s="130"/>
      <c r="N112" s="130"/>
      <c r="O112" s="130"/>
      <c r="P112" s="130"/>
      <c r="Q112" s="130"/>
    </row>
    <row r="113" ht="15.75" customHeight="1" spans="1:17" x14ac:dyDescent="0.25">
      <c r="A113" s="131" t="s">
        <v>2682</v>
      </c>
      <c r="B113" s="132" t="s">
        <v>2683</v>
      </c>
      <c r="C113" s="133" t="s">
        <v>2684</v>
      </c>
      <c r="D113" s="136" t="s">
        <v>2595</v>
      </c>
      <c r="E113" s="135">
        <v>0.032</v>
      </c>
      <c r="F113" s="136">
        <f t="shared" si="9"/>
        <v>0.082</v>
      </c>
      <c r="G113" s="153" t="s">
        <v>2685</v>
      </c>
      <c r="H113" s="134"/>
      <c r="I113" s="136">
        <v>8858890782184</v>
      </c>
      <c r="J113" s="136" t="s">
        <v>2582</v>
      </c>
      <c r="K113" s="138" t="s">
        <v>2686</v>
      </c>
      <c r="L113" s="130"/>
      <c r="M113" s="130"/>
      <c r="N113" s="130"/>
      <c r="O113" s="130"/>
      <c r="P113" s="130"/>
      <c r="Q113" s="130"/>
    </row>
    <row r="114" ht="15.75" customHeight="1" spans="1:17" x14ac:dyDescent="0.25">
      <c r="A114" s="131" t="s">
        <v>60</v>
      </c>
      <c r="B114" s="132" t="s">
        <v>2687</v>
      </c>
      <c r="C114" s="133" t="s">
        <v>2688</v>
      </c>
      <c r="D114" s="134"/>
      <c r="E114" s="137"/>
      <c r="F114" s="134"/>
      <c r="G114" s="153" t="s">
        <v>2689</v>
      </c>
      <c r="H114" s="134"/>
      <c r="I114" s="134"/>
      <c r="J114" s="134"/>
      <c r="K114" s="154" t="s">
        <v>2686</v>
      </c>
      <c r="L114" s="130"/>
      <c r="M114" s="130"/>
      <c r="N114" s="130"/>
      <c r="O114" s="130"/>
      <c r="P114" s="130"/>
      <c r="Q114" s="130"/>
    </row>
    <row r="115" ht="15.75" customHeight="1" spans="1:17" x14ac:dyDescent="0.25">
      <c r="A115" s="131" t="s">
        <v>61</v>
      </c>
      <c r="B115" s="132" t="s">
        <v>2690</v>
      </c>
      <c r="C115" s="133" t="s">
        <v>2691</v>
      </c>
      <c r="D115" s="134"/>
      <c r="E115" s="137"/>
      <c r="F115" s="134"/>
      <c r="G115" s="153" t="s">
        <v>2692</v>
      </c>
      <c r="H115" s="134"/>
      <c r="I115" s="134"/>
      <c r="J115" s="134"/>
      <c r="K115" s="154" t="s">
        <v>2686</v>
      </c>
      <c r="L115" s="130"/>
      <c r="M115" s="130"/>
      <c r="N115" s="130"/>
      <c r="O115" s="130"/>
      <c r="P115" s="130"/>
      <c r="Q115" s="130"/>
    </row>
    <row r="116" ht="15.75" customHeight="1" spans="1:17" x14ac:dyDescent="0.25">
      <c r="A116" s="131" t="s">
        <v>2693</v>
      </c>
      <c r="B116" s="132" t="s">
        <v>2694</v>
      </c>
      <c r="C116" s="133" t="s">
        <v>2695</v>
      </c>
      <c r="D116" s="134"/>
      <c r="E116" s="137"/>
      <c r="F116" s="134"/>
      <c r="G116" s="137"/>
      <c r="H116" s="134"/>
      <c r="I116" s="134"/>
      <c r="J116" s="134"/>
      <c r="K116" s="154" t="s">
        <v>2686</v>
      </c>
      <c r="L116" s="130"/>
      <c r="M116" s="130"/>
      <c r="N116" s="130"/>
      <c r="O116" s="130"/>
      <c r="P116" s="130"/>
      <c r="Q116" s="130"/>
    </row>
    <row r="117" ht="15.75" customHeight="1" spans="1:17" x14ac:dyDescent="0.25">
      <c r="A117" s="131" t="s">
        <v>593</v>
      </c>
      <c r="B117" s="132" t="s">
        <v>2696</v>
      </c>
      <c r="C117" s="133" t="s">
        <v>2697</v>
      </c>
      <c r="D117" s="136" t="s">
        <v>2595</v>
      </c>
      <c r="E117" s="137"/>
      <c r="F117" s="136">
        <f>E:E+0.05</f>
        <v>0.05</v>
      </c>
      <c r="G117" s="137"/>
      <c r="H117" s="134"/>
      <c r="I117" s="136">
        <v>8858890780395</v>
      </c>
      <c r="J117" s="136" t="s">
        <v>753</v>
      </c>
      <c r="K117" s="154" t="s">
        <v>2698</v>
      </c>
      <c r="L117" s="130"/>
      <c r="M117" s="130"/>
      <c r="N117" s="130"/>
      <c r="O117" s="130"/>
      <c r="P117" s="130"/>
      <c r="Q117" s="130"/>
    </row>
    <row r="118" ht="15.75" customHeight="1" spans="1:17" x14ac:dyDescent="0.25">
      <c r="A118" s="131" t="s">
        <v>2699</v>
      </c>
      <c r="B118" s="132" t="s">
        <v>2700</v>
      </c>
      <c r="C118" s="133" t="s">
        <v>2701</v>
      </c>
      <c r="D118" s="134"/>
      <c r="E118" s="137"/>
      <c r="F118" s="134"/>
      <c r="G118" s="153" t="s">
        <v>2702</v>
      </c>
      <c r="H118" s="134"/>
      <c r="I118" s="134"/>
      <c r="J118" s="134"/>
      <c r="K118" s="139"/>
      <c r="L118" s="130"/>
      <c r="M118" s="130"/>
      <c r="N118" s="130"/>
      <c r="O118" s="130"/>
      <c r="P118" s="130"/>
      <c r="Q118" s="130"/>
    </row>
    <row r="119" ht="15.75" customHeight="1" spans="1:17" x14ac:dyDescent="0.25">
      <c r="A119" s="131" t="s">
        <v>1200</v>
      </c>
      <c r="B119" s="132" t="s">
        <v>1201</v>
      </c>
      <c r="C119" s="133" t="s">
        <v>2703</v>
      </c>
      <c r="D119" s="134"/>
      <c r="E119" s="137"/>
      <c r="F119" s="134"/>
      <c r="G119" s="153" t="s">
        <v>2704</v>
      </c>
      <c r="H119" s="134"/>
      <c r="I119" s="136">
        <v>8858890790158</v>
      </c>
      <c r="J119" s="134"/>
      <c r="K119" s="154" t="s">
        <v>2705</v>
      </c>
      <c r="L119" s="130"/>
      <c r="M119" s="130"/>
      <c r="N119" s="130"/>
      <c r="O119" s="130"/>
      <c r="P119" s="130"/>
      <c r="Q119" s="130"/>
    </row>
    <row r="120" ht="15.75" customHeight="1" spans="1:17" x14ac:dyDescent="0.25">
      <c r="A120" s="131" t="s">
        <v>359</v>
      </c>
      <c r="B120" s="132" t="s">
        <v>2706</v>
      </c>
      <c r="C120" s="133" t="s">
        <v>2707</v>
      </c>
      <c r="D120" s="134"/>
      <c r="E120" s="137"/>
      <c r="F120" s="134"/>
      <c r="G120" s="153" t="s">
        <v>2708</v>
      </c>
      <c r="H120" s="134"/>
      <c r="I120" s="136">
        <v>8858890793494</v>
      </c>
      <c r="J120" s="134"/>
      <c r="K120" s="154" t="s">
        <v>2705</v>
      </c>
      <c r="L120" s="130"/>
      <c r="M120" s="130"/>
      <c r="N120" s="130"/>
      <c r="O120" s="130"/>
      <c r="P120" s="130"/>
      <c r="Q120" s="130"/>
    </row>
    <row r="121" ht="15.75" customHeight="1" spans="1:17" x14ac:dyDescent="0.25">
      <c r="A121" s="131" t="s">
        <v>398</v>
      </c>
      <c r="B121" s="132" t="s">
        <v>2709</v>
      </c>
      <c r="C121" s="133" t="s">
        <v>2710</v>
      </c>
      <c r="D121" s="134"/>
      <c r="E121" s="135">
        <v>0.515</v>
      </c>
      <c r="F121" s="136">
        <f t="shared" ref="F121:F129" si="10">E:E+0.05</f>
        <v>0.565</v>
      </c>
      <c r="G121" s="137"/>
      <c r="H121" s="134"/>
      <c r="I121" s="136">
        <v>8858890794149</v>
      </c>
      <c r="J121" s="136" t="s">
        <v>753</v>
      </c>
      <c r="K121" s="154" t="s">
        <v>2711</v>
      </c>
      <c r="L121" s="130"/>
      <c r="M121" s="130"/>
      <c r="N121" s="130"/>
      <c r="O121" s="130"/>
      <c r="P121" s="130"/>
      <c r="Q121" s="130"/>
    </row>
    <row r="122" ht="15.75" customHeight="1" spans="1:17" x14ac:dyDescent="0.25">
      <c r="A122" s="131" t="s">
        <v>1358</v>
      </c>
      <c r="B122" s="132" t="s">
        <v>2712</v>
      </c>
      <c r="C122" s="133" t="s">
        <v>2713</v>
      </c>
      <c r="D122" s="136" t="s">
        <v>2714</v>
      </c>
      <c r="E122" s="135">
        <v>0.106</v>
      </c>
      <c r="F122" s="136">
        <f t="shared" si="10"/>
        <v>0.156</v>
      </c>
      <c r="G122" s="153" t="s">
        <v>2715</v>
      </c>
      <c r="H122" s="134"/>
      <c r="I122" s="136">
        <v>8858890760915</v>
      </c>
      <c r="J122" s="136" t="s">
        <v>753</v>
      </c>
      <c r="K122" s="154" t="s">
        <v>2716</v>
      </c>
      <c r="L122" s="130"/>
      <c r="M122" s="130"/>
      <c r="N122" s="130"/>
      <c r="O122" s="130"/>
      <c r="P122" s="130"/>
      <c r="Q122" s="130"/>
    </row>
    <row r="123" ht="15.75" customHeight="1" spans="1:17" x14ac:dyDescent="0.25">
      <c r="A123" s="131" t="s">
        <v>2717</v>
      </c>
      <c r="B123" s="132" t="s">
        <v>2712</v>
      </c>
      <c r="C123" s="133" t="s">
        <v>2718</v>
      </c>
      <c r="D123" s="136" t="s">
        <v>2714</v>
      </c>
      <c r="E123" s="135">
        <v>0.202</v>
      </c>
      <c r="F123" s="136">
        <f t="shared" si="10"/>
        <v>0.252</v>
      </c>
      <c r="G123" s="137"/>
      <c r="H123" s="134"/>
      <c r="I123" s="136">
        <v>885889076090802</v>
      </c>
      <c r="J123" s="136" t="s">
        <v>753</v>
      </c>
      <c r="K123" s="154" t="s">
        <v>2716</v>
      </c>
      <c r="L123" s="130"/>
      <c r="M123" s="130"/>
      <c r="N123" s="130"/>
      <c r="O123" s="130"/>
      <c r="P123" s="130"/>
      <c r="Q123" s="130"/>
    </row>
    <row r="124" ht="15.75" customHeight="1" spans="1:17" x14ac:dyDescent="0.25">
      <c r="A124" s="131" t="s">
        <v>1361</v>
      </c>
      <c r="B124" s="132" t="s">
        <v>2712</v>
      </c>
      <c r="C124" s="133" t="s">
        <v>2719</v>
      </c>
      <c r="D124" s="136" t="s">
        <v>2714</v>
      </c>
      <c r="E124" s="135">
        <v>0.096</v>
      </c>
      <c r="F124" s="136">
        <f t="shared" si="10"/>
        <v>0.146</v>
      </c>
      <c r="G124" s="153" t="s">
        <v>2715</v>
      </c>
      <c r="H124" s="134"/>
      <c r="I124" s="136">
        <v>8858890760908</v>
      </c>
      <c r="J124" s="136" t="s">
        <v>753</v>
      </c>
      <c r="K124" s="140" t="s">
        <v>2716</v>
      </c>
      <c r="L124" s="130"/>
      <c r="M124" s="130"/>
      <c r="N124" s="130"/>
      <c r="O124" s="130"/>
      <c r="P124" s="130"/>
      <c r="Q124" s="130"/>
    </row>
    <row r="125" ht="15.75" customHeight="1" spans="1:17" x14ac:dyDescent="0.25">
      <c r="A125" s="131" t="s">
        <v>2720</v>
      </c>
      <c r="B125" s="132" t="s">
        <v>2721</v>
      </c>
      <c r="C125" s="133" t="s">
        <v>2722</v>
      </c>
      <c r="D125" s="134"/>
      <c r="E125" s="137"/>
      <c r="F125" s="136">
        <f t="shared" si="10"/>
        <v>0.05</v>
      </c>
      <c r="G125" s="153" t="s">
        <v>2723</v>
      </c>
      <c r="H125" s="134"/>
      <c r="I125" s="136">
        <v>885889079588701</v>
      </c>
      <c r="J125" s="136" t="s">
        <v>2582</v>
      </c>
      <c r="K125" s="140" t="s">
        <v>2724</v>
      </c>
      <c r="L125" s="130"/>
      <c r="M125" s="130"/>
      <c r="N125" s="130"/>
      <c r="O125" s="130"/>
      <c r="P125" s="130"/>
      <c r="Q125" s="130"/>
    </row>
    <row r="126" ht="15.75" customHeight="1" spans="1:17" x14ac:dyDescent="0.25">
      <c r="A126" s="131" t="s">
        <v>2725</v>
      </c>
      <c r="B126" s="132" t="s">
        <v>2726</v>
      </c>
      <c r="C126" s="133" t="s">
        <v>2727</v>
      </c>
      <c r="D126" s="134"/>
      <c r="E126" s="137"/>
      <c r="F126" s="136">
        <f t="shared" si="10"/>
        <v>0.05</v>
      </c>
      <c r="G126" s="153" t="s">
        <v>2723</v>
      </c>
      <c r="H126" s="134"/>
      <c r="I126" s="136">
        <v>885889079588702</v>
      </c>
      <c r="J126" s="136" t="s">
        <v>2582</v>
      </c>
      <c r="K126" s="140" t="s">
        <v>2724</v>
      </c>
      <c r="L126" s="130"/>
      <c r="M126" s="130"/>
      <c r="N126" s="130"/>
      <c r="O126" s="130"/>
      <c r="P126" s="130"/>
      <c r="Q126" s="130"/>
    </row>
    <row r="127" ht="15.75" customHeight="1" spans="1:17" x14ac:dyDescent="0.25">
      <c r="A127" s="131" t="s">
        <v>727</v>
      </c>
      <c r="B127" s="132" t="s">
        <v>2728</v>
      </c>
      <c r="C127" s="133" t="s">
        <v>2729</v>
      </c>
      <c r="D127" s="136" t="s">
        <v>2536</v>
      </c>
      <c r="E127" s="135">
        <v>0.139</v>
      </c>
      <c r="F127" s="136">
        <f t="shared" si="10"/>
        <v>0.189</v>
      </c>
      <c r="G127" s="153" t="s">
        <v>2625</v>
      </c>
      <c r="H127" s="134"/>
      <c r="I127" s="136">
        <v>8858890715045</v>
      </c>
      <c r="J127" s="136" t="s">
        <v>2582</v>
      </c>
      <c r="K127" s="139"/>
      <c r="L127" s="130"/>
      <c r="M127" s="130"/>
      <c r="N127" s="130"/>
      <c r="O127" s="130"/>
      <c r="P127" s="130"/>
      <c r="Q127" s="130"/>
    </row>
    <row r="128" ht="15.75" customHeight="1" spans="1:17" x14ac:dyDescent="0.25">
      <c r="A128" s="131" t="s">
        <v>734</v>
      </c>
      <c r="B128" s="132" t="s">
        <v>2730</v>
      </c>
      <c r="C128" s="133" t="s">
        <v>2731</v>
      </c>
      <c r="D128" s="136" t="s">
        <v>2536</v>
      </c>
      <c r="E128" s="135">
        <v>0.127</v>
      </c>
      <c r="F128" s="136">
        <f t="shared" si="10"/>
        <v>0.177</v>
      </c>
      <c r="G128" s="153" t="s">
        <v>2625</v>
      </c>
      <c r="H128" s="134"/>
      <c r="I128" s="136">
        <v>8858890715052</v>
      </c>
      <c r="J128" s="136" t="s">
        <v>2582</v>
      </c>
      <c r="K128" s="139"/>
      <c r="L128" s="130"/>
      <c r="M128" s="130"/>
      <c r="N128" s="130"/>
      <c r="O128" s="130"/>
      <c r="P128" s="130"/>
      <c r="Q128" s="130"/>
    </row>
    <row r="129" ht="15.75" customHeight="1" spans="1:17" x14ac:dyDescent="0.25">
      <c r="A129" s="141" t="s">
        <v>737</v>
      </c>
      <c r="B129" s="142" t="s">
        <v>2732</v>
      </c>
      <c r="C129" s="143" t="s">
        <v>2733</v>
      </c>
      <c r="D129" s="144" t="s">
        <v>2536</v>
      </c>
      <c r="E129" s="145">
        <v>0.124</v>
      </c>
      <c r="F129" s="136">
        <f t="shared" si="10"/>
        <v>0.174</v>
      </c>
      <c r="G129" s="156" t="s">
        <v>2625</v>
      </c>
      <c r="H129" s="147"/>
      <c r="I129" s="144">
        <v>8858890715069</v>
      </c>
      <c r="J129" s="144" t="s">
        <v>2582</v>
      </c>
      <c r="K129" s="139"/>
      <c r="L129" s="130"/>
      <c r="M129" s="130"/>
      <c r="N129" s="130"/>
      <c r="O129" s="130"/>
      <c r="P129" s="130"/>
      <c r="Q129" s="130"/>
    </row>
    <row r="130" ht="15.75" customHeight="1" spans="1:17" x14ac:dyDescent="0.25">
      <c r="A130" s="141" t="s">
        <v>465</v>
      </c>
      <c r="B130" s="142" t="s">
        <v>1375</v>
      </c>
      <c r="C130" s="143" t="s">
        <v>2734</v>
      </c>
      <c r="D130" s="147"/>
      <c r="E130" s="146"/>
      <c r="F130" s="134"/>
      <c r="G130" s="156" t="s">
        <v>2735</v>
      </c>
      <c r="H130" s="147"/>
      <c r="I130" s="144">
        <v>8858890793630</v>
      </c>
      <c r="J130" s="147"/>
      <c r="K130" s="140" t="s">
        <v>2736</v>
      </c>
      <c r="L130" s="130"/>
      <c r="M130" s="130"/>
      <c r="N130" s="130"/>
      <c r="O130" s="130"/>
      <c r="P130" s="130"/>
      <c r="Q130" s="130"/>
    </row>
    <row r="131" ht="15.75" customHeight="1" spans="1:17" x14ac:dyDescent="0.25">
      <c r="A131" s="141" t="s">
        <v>441</v>
      </c>
      <c r="B131" s="142" t="s">
        <v>2737</v>
      </c>
      <c r="C131" s="143" t="s">
        <v>2738</v>
      </c>
      <c r="D131" s="147"/>
      <c r="E131" s="146"/>
      <c r="F131" s="134"/>
      <c r="G131" s="156" t="s">
        <v>2739</v>
      </c>
      <c r="H131" s="147"/>
      <c r="I131" s="144">
        <v>8858890792961</v>
      </c>
      <c r="J131" s="147"/>
      <c r="K131" s="140" t="s">
        <v>2740</v>
      </c>
      <c r="L131" s="130"/>
      <c r="M131" s="130"/>
      <c r="N131" s="130"/>
      <c r="O131" s="130"/>
      <c r="P131" s="130"/>
      <c r="Q131" s="130"/>
    </row>
    <row r="132" ht="15.75" customHeight="1" spans="1:17" x14ac:dyDescent="0.25">
      <c r="A132" s="141" t="s">
        <v>362</v>
      </c>
      <c r="B132" s="142" t="s">
        <v>2741</v>
      </c>
      <c r="C132" s="143" t="s">
        <v>2742</v>
      </c>
      <c r="D132" s="147"/>
      <c r="E132" s="146"/>
      <c r="F132" s="134"/>
      <c r="G132" s="156" t="s">
        <v>2743</v>
      </c>
      <c r="H132" s="147"/>
      <c r="I132" s="144">
        <v>8858890793470</v>
      </c>
      <c r="J132" s="147"/>
      <c r="K132" s="139"/>
      <c r="L132" s="130"/>
      <c r="M132" s="130"/>
      <c r="N132" s="130"/>
      <c r="O132" s="130"/>
      <c r="P132" s="130"/>
      <c r="Q132" s="130"/>
    </row>
    <row r="133" ht="15.75" customHeight="1" spans="1:17" x14ac:dyDescent="0.25">
      <c r="A133" s="141" t="s">
        <v>363</v>
      </c>
      <c r="B133" s="142" t="s">
        <v>2744</v>
      </c>
      <c r="C133" s="143" t="s">
        <v>2745</v>
      </c>
      <c r="D133" s="147"/>
      <c r="E133" s="146"/>
      <c r="F133" s="134"/>
      <c r="G133" s="156" t="s">
        <v>2743</v>
      </c>
      <c r="H133" s="147"/>
      <c r="I133" s="144">
        <v>8858890790219</v>
      </c>
      <c r="J133" s="147"/>
      <c r="K133" s="139"/>
      <c r="L133" s="130"/>
      <c r="M133" s="130"/>
      <c r="N133" s="130"/>
      <c r="O133" s="130"/>
      <c r="P133" s="130"/>
      <c r="Q133" s="130"/>
    </row>
    <row r="134" ht="15.75" customHeight="1" spans="1:17" x14ac:dyDescent="0.25">
      <c r="A134" s="141" t="s">
        <v>367</v>
      </c>
      <c r="B134" s="142" t="s">
        <v>2746</v>
      </c>
      <c r="C134" s="143" t="s">
        <v>2747</v>
      </c>
      <c r="D134" s="147"/>
      <c r="E134" s="146"/>
      <c r="F134" s="134"/>
      <c r="G134" s="156" t="s">
        <v>2748</v>
      </c>
      <c r="H134" s="147"/>
      <c r="I134" s="147"/>
      <c r="J134" s="147"/>
      <c r="K134" s="140" t="s">
        <v>2749</v>
      </c>
      <c r="L134" s="130"/>
      <c r="M134" s="130"/>
      <c r="N134" s="130"/>
      <c r="O134" s="130"/>
      <c r="P134" s="130"/>
      <c r="Q134" s="130"/>
    </row>
    <row r="135" ht="15.75" customHeight="1" spans="1:17" x14ac:dyDescent="0.25">
      <c r="A135" s="141" t="s">
        <v>2750</v>
      </c>
      <c r="B135" s="142" t="s">
        <v>2751</v>
      </c>
      <c r="C135" s="143" t="s">
        <v>2752</v>
      </c>
      <c r="D135" s="147"/>
      <c r="E135" s="146"/>
      <c r="F135" s="134"/>
      <c r="G135" s="146"/>
      <c r="H135" s="147"/>
      <c r="I135" s="147"/>
      <c r="J135" s="147"/>
      <c r="K135" s="139"/>
      <c r="L135" s="130"/>
      <c r="M135" s="130"/>
      <c r="N135" s="130"/>
      <c r="O135" s="130"/>
      <c r="P135" s="130"/>
      <c r="Q135" s="130"/>
    </row>
    <row r="136" ht="15.75" customHeight="1" spans="1:17" x14ac:dyDescent="0.25">
      <c r="A136" s="141" t="s">
        <v>1384</v>
      </c>
      <c r="B136" s="142" t="s">
        <v>2753</v>
      </c>
      <c r="C136" s="143" t="s">
        <v>2754</v>
      </c>
      <c r="D136" s="147"/>
      <c r="E136" s="146"/>
      <c r="F136" s="134"/>
      <c r="G136" s="156" t="s">
        <v>2641</v>
      </c>
      <c r="H136" s="147"/>
      <c r="I136" s="144">
        <v>8858890792848</v>
      </c>
      <c r="J136" s="147"/>
      <c r="K136" s="139"/>
      <c r="L136" s="130"/>
      <c r="M136" s="130"/>
      <c r="N136" s="130"/>
      <c r="O136" s="130"/>
      <c r="P136" s="130"/>
      <c r="Q136" s="130"/>
    </row>
    <row r="137" ht="15.75" customHeight="1" spans="1:17" x14ac:dyDescent="0.25">
      <c r="A137" s="141" t="s">
        <v>440</v>
      </c>
      <c r="B137" s="142" t="s">
        <v>2755</v>
      </c>
      <c r="C137" s="143" t="s">
        <v>2756</v>
      </c>
      <c r="D137" s="147"/>
      <c r="E137" s="146"/>
      <c r="F137" s="134"/>
      <c r="G137" s="156" t="s">
        <v>2757</v>
      </c>
      <c r="H137" s="147"/>
      <c r="I137" s="144">
        <v>88588907927630</v>
      </c>
      <c r="J137" s="147"/>
      <c r="K137" s="140" t="s">
        <v>2740</v>
      </c>
      <c r="L137" s="130"/>
      <c r="M137" s="130"/>
      <c r="N137" s="130"/>
      <c r="O137" s="130"/>
      <c r="P137" s="130"/>
      <c r="Q137" s="130"/>
    </row>
    <row r="138" ht="15.75" customHeight="1" spans="1:17" x14ac:dyDescent="0.25">
      <c r="A138" s="141" t="s">
        <v>1388</v>
      </c>
      <c r="B138" s="142" t="s">
        <v>2758</v>
      </c>
      <c r="C138" s="143" t="s">
        <v>2759</v>
      </c>
      <c r="D138" s="147"/>
      <c r="E138" s="146"/>
      <c r="F138" s="134"/>
      <c r="G138" s="156" t="s">
        <v>2760</v>
      </c>
      <c r="H138" s="147"/>
      <c r="I138" s="144">
        <v>8885889079831</v>
      </c>
      <c r="J138" s="147"/>
      <c r="K138" s="139"/>
      <c r="L138" s="130"/>
      <c r="M138" s="130"/>
      <c r="N138" s="130"/>
      <c r="O138" s="130"/>
      <c r="P138" s="130"/>
      <c r="Q138" s="130"/>
    </row>
    <row r="139" ht="15.75" customHeight="1" spans="1:17" x14ac:dyDescent="0.25">
      <c r="A139" s="141" t="s">
        <v>2761</v>
      </c>
      <c r="B139" s="142" t="s">
        <v>2762</v>
      </c>
      <c r="C139" s="143" t="s">
        <v>2763</v>
      </c>
      <c r="D139" s="147"/>
      <c r="E139" s="146"/>
      <c r="F139" s="134"/>
      <c r="G139" s="156" t="s">
        <v>2764</v>
      </c>
      <c r="H139" s="147"/>
      <c r="I139" s="144">
        <v>8858890720612</v>
      </c>
      <c r="J139" s="147"/>
      <c r="K139" s="140" t="s">
        <v>2765</v>
      </c>
      <c r="L139" s="130"/>
      <c r="M139" s="130"/>
      <c r="N139" s="130"/>
      <c r="O139" s="130"/>
      <c r="P139" s="130"/>
      <c r="Q139" s="130"/>
    </row>
    <row r="140" ht="15.75" customHeight="1" spans="1:17" x14ac:dyDescent="0.25">
      <c r="A140" s="141" t="s">
        <v>2766</v>
      </c>
      <c r="B140" s="142" t="s">
        <v>2767</v>
      </c>
      <c r="C140" s="143" t="s">
        <v>2768</v>
      </c>
      <c r="D140" s="147"/>
      <c r="E140" s="146"/>
      <c r="F140" s="134"/>
      <c r="G140" s="156" t="s">
        <v>2769</v>
      </c>
      <c r="H140" s="147"/>
      <c r="I140" s="144">
        <v>8858890728410</v>
      </c>
      <c r="J140" s="147"/>
      <c r="K140" s="140" t="s">
        <v>2765</v>
      </c>
      <c r="L140" s="130"/>
      <c r="M140" s="130"/>
      <c r="N140" s="130"/>
      <c r="O140" s="130"/>
      <c r="P140" s="130"/>
      <c r="Q140" s="130"/>
    </row>
    <row r="141" ht="15.75" customHeight="1" spans="1:17" x14ac:dyDescent="0.25">
      <c r="A141" s="131" t="s">
        <v>1379</v>
      </c>
      <c r="B141" s="132" t="s">
        <v>2770</v>
      </c>
      <c r="C141" s="133" t="s">
        <v>2771</v>
      </c>
      <c r="D141" s="136" t="s">
        <v>2772</v>
      </c>
      <c r="E141" s="135">
        <v>0.885</v>
      </c>
      <c r="F141" s="136">
        <f t="shared" ref="F141:F150" si="11">E:E+0.05</f>
        <v>0.935</v>
      </c>
      <c r="G141" s="153" t="s">
        <v>2769</v>
      </c>
      <c r="H141" s="134"/>
      <c r="I141" s="136">
        <v>8858890721190</v>
      </c>
      <c r="J141" s="136" t="s">
        <v>753</v>
      </c>
      <c r="K141" s="140" t="s">
        <v>2773</v>
      </c>
      <c r="L141" s="130"/>
      <c r="M141" s="130"/>
      <c r="N141" s="130"/>
      <c r="O141" s="130"/>
      <c r="P141" s="130"/>
      <c r="Q141" s="130"/>
    </row>
    <row r="142" ht="15.75" customHeight="1" spans="1:17" x14ac:dyDescent="0.25">
      <c r="A142" s="131" t="s">
        <v>1382</v>
      </c>
      <c r="B142" s="132" t="s">
        <v>2770</v>
      </c>
      <c r="C142" s="133" t="s">
        <v>2774</v>
      </c>
      <c r="D142" s="136" t="s">
        <v>2772</v>
      </c>
      <c r="E142" s="135">
        <v>0.885</v>
      </c>
      <c r="F142" s="136">
        <f t="shared" si="11"/>
        <v>0.935</v>
      </c>
      <c r="G142" s="153" t="s">
        <v>2775</v>
      </c>
      <c r="H142" s="134"/>
      <c r="I142" s="136">
        <v>8858890721152</v>
      </c>
      <c r="J142" s="136" t="s">
        <v>753</v>
      </c>
      <c r="K142" s="140" t="s">
        <v>2773</v>
      </c>
      <c r="L142" s="130"/>
      <c r="M142" s="130"/>
      <c r="N142" s="130"/>
      <c r="O142" s="130"/>
      <c r="P142" s="130"/>
      <c r="Q142" s="130"/>
    </row>
    <row r="143" ht="15.75" customHeight="1" spans="1:17" x14ac:dyDescent="0.25">
      <c r="A143" s="141" t="s">
        <v>311</v>
      </c>
      <c r="B143" s="142" t="s">
        <v>2776</v>
      </c>
      <c r="C143" s="143" t="s">
        <v>2777</v>
      </c>
      <c r="D143" s="144" t="s">
        <v>2772</v>
      </c>
      <c r="E143" s="145">
        <v>0.642</v>
      </c>
      <c r="F143" s="136">
        <f t="shared" si="11"/>
        <v>0.692</v>
      </c>
      <c r="G143" s="146"/>
      <c r="H143" s="147"/>
      <c r="I143" s="144">
        <v>8858890721015</v>
      </c>
      <c r="J143" s="144" t="s">
        <v>753</v>
      </c>
      <c r="K143" s="140" t="s">
        <v>2778</v>
      </c>
      <c r="L143" s="130"/>
      <c r="M143" s="130"/>
      <c r="N143" s="130"/>
      <c r="O143" s="130"/>
      <c r="P143" s="130"/>
      <c r="Q143" s="130"/>
    </row>
    <row r="144" ht="15.75" customHeight="1" spans="1:17" x14ac:dyDescent="0.25">
      <c r="A144" s="131" t="s">
        <v>312</v>
      </c>
      <c r="B144" s="132" t="s">
        <v>2779</v>
      </c>
      <c r="C144" s="133" t="s">
        <v>2780</v>
      </c>
      <c r="D144" s="136" t="s">
        <v>2772</v>
      </c>
      <c r="E144" s="135">
        <v>0.447</v>
      </c>
      <c r="F144" s="136">
        <f t="shared" si="11"/>
        <v>0.497</v>
      </c>
      <c r="G144" s="137"/>
      <c r="H144" s="134"/>
      <c r="I144" s="136">
        <v>8858890721022</v>
      </c>
      <c r="J144" s="144" t="s">
        <v>753</v>
      </c>
      <c r="K144" s="149" t="s">
        <v>2781</v>
      </c>
      <c r="L144" s="130"/>
      <c r="M144" s="130"/>
      <c r="N144" s="130"/>
      <c r="O144" s="130"/>
      <c r="P144" s="130"/>
      <c r="Q144" s="130"/>
    </row>
    <row r="145" ht="15.75" customHeight="1" spans="1:17" x14ac:dyDescent="0.25">
      <c r="A145" s="131" t="s">
        <v>315</v>
      </c>
      <c r="B145" s="132" t="s">
        <v>2782</v>
      </c>
      <c r="C145" s="133" t="s">
        <v>2783</v>
      </c>
      <c r="D145" s="136" t="s">
        <v>2772</v>
      </c>
      <c r="E145" s="135">
        <v>0.897</v>
      </c>
      <c r="F145" s="136">
        <f t="shared" si="11"/>
        <v>0.947</v>
      </c>
      <c r="G145" s="137"/>
      <c r="H145" s="134"/>
      <c r="I145" s="136">
        <v>8858890720827</v>
      </c>
      <c r="J145" s="144" t="s">
        <v>753</v>
      </c>
      <c r="K145" s="149" t="s">
        <v>2784</v>
      </c>
      <c r="L145" s="130"/>
      <c r="M145" s="130"/>
      <c r="N145" s="130"/>
      <c r="O145" s="130"/>
      <c r="P145" s="130"/>
      <c r="Q145" s="130"/>
    </row>
    <row r="146" ht="15.75" customHeight="1" spans="1:17" x14ac:dyDescent="0.25">
      <c r="A146" s="141" t="s">
        <v>313</v>
      </c>
      <c r="B146" s="142" t="s">
        <v>2782</v>
      </c>
      <c r="C146" s="143" t="s">
        <v>2785</v>
      </c>
      <c r="D146" s="144" t="s">
        <v>2772</v>
      </c>
      <c r="E146" s="145">
        <v>1.021</v>
      </c>
      <c r="F146" s="136">
        <f t="shared" si="11"/>
        <v>1.071</v>
      </c>
      <c r="G146" s="146"/>
      <c r="H146" s="147"/>
      <c r="I146" s="144">
        <v>8858890721046</v>
      </c>
      <c r="J146" s="144" t="s">
        <v>753</v>
      </c>
      <c r="K146" s="149" t="s">
        <v>2786</v>
      </c>
      <c r="L146" s="130"/>
      <c r="M146" s="130"/>
      <c r="N146" s="130"/>
      <c r="O146" s="130"/>
      <c r="P146" s="130"/>
      <c r="Q146" s="130"/>
    </row>
    <row r="147" ht="15.75" customHeight="1" spans="1:17" x14ac:dyDescent="0.25">
      <c r="A147" s="131" t="s">
        <v>1209</v>
      </c>
      <c r="B147" s="132" t="s">
        <v>2782</v>
      </c>
      <c r="C147" s="133" t="s">
        <v>2787</v>
      </c>
      <c r="D147" s="136" t="s">
        <v>2772</v>
      </c>
      <c r="E147" s="135">
        <v>1.15</v>
      </c>
      <c r="F147" s="136">
        <f t="shared" si="11"/>
        <v>1.2</v>
      </c>
      <c r="G147" s="137"/>
      <c r="H147" s="134"/>
      <c r="I147" s="136">
        <v>8858890720094</v>
      </c>
      <c r="J147" s="136" t="s">
        <v>753</v>
      </c>
      <c r="K147" s="140" t="s">
        <v>2788</v>
      </c>
      <c r="L147" s="130"/>
      <c r="M147" s="130"/>
      <c r="N147" s="130"/>
      <c r="O147" s="130"/>
      <c r="P147" s="130"/>
      <c r="Q147" s="130"/>
    </row>
    <row r="148" ht="15.75" customHeight="1" spans="1:17" x14ac:dyDescent="0.25">
      <c r="A148" s="131" t="s">
        <v>302</v>
      </c>
      <c r="B148" s="132" t="s">
        <v>2789</v>
      </c>
      <c r="C148" s="133" t="s">
        <v>2790</v>
      </c>
      <c r="D148" s="136" t="s">
        <v>2772</v>
      </c>
      <c r="E148" s="135">
        <v>0.49</v>
      </c>
      <c r="F148" s="136">
        <f t="shared" si="11"/>
        <v>0.54</v>
      </c>
      <c r="G148" s="137"/>
      <c r="H148" s="134"/>
      <c r="I148" s="136">
        <v>8858890720636</v>
      </c>
      <c r="J148" s="136" t="s">
        <v>753</v>
      </c>
      <c r="K148" s="149" t="s">
        <v>2791</v>
      </c>
      <c r="L148" s="130"/>
      <c r="M148" s="130"/>
      <c r="N148" s="130"/>
      <c r="O148" s="130"/>
      <c r="P148" s="130"/>
      <c r="Q148" s="130"/>
    </row>
    <row r="149" ht="15.75" customHeight="1" spans="1:17" x14ac:dyDescent="0.25">
      <c r="A149" s="131" t="s">
        <v>303</v>
      </c>
      <c r="B149" s="132" t="s">
        <v>2789</v>
      </c>
      <c r="C149" s="133" t="s">
        <v>2792</v>
      </c>
      <c r="D149" s="136" t="s">
        <v>2772</v>
      </c>
      <c r="E149" s="135">
        <v>0.665</v>
      </c>
      <c r="F149" s="136">
        <f t="shared" si="11"/>
        <v>0.715</v>
      </c>
      <c r="G149" s="137"/>
      <c r="H149" s="134"/>
      <c r="I149" s="136">
        <v>8858890720827</v>
      </c>
      <c r="J149" s="136" t="s">
        <v>753</v>
      </c>
      <c r="K149" s="140" t="s">
        <v>2793</v>
      </c>
      <c r="L149" s="130"/>
      <c r="M149" s="130"/>
      <c r="N149" s="130"/>
      <c r="O149" s="130"/>
      <c r="P149" s="130"/>
      <c r="Q149" s="130"/>
    </row>
    <row r="150" ht="15.75" customHeight="1" spans="1:17" x14ac:dyDescent="0.25">
      <c r="A150" s="131" t="s">
        <v>1217</v>
      </c>
      <c r="B150" s="132" t="s">
        <v>2794</v>
      </c>
      <c r="C150" s="133" t="s">
        <v>2795</v>
      </c>
      <c r="D150" s="136" t="s">
        <v>2772</v>
      </c>
      <c r="E150" s="135">
        <v>0.501</v>
      </c>
      <c r="F150" s="136">
        <f t="shared" si="11"/>
        <v>0.551</v>
      </c>
      <c r="G150" s="137"/>
      <c r="H150" s="134"/>
      <c r="I150" s="136">
        <v>8858890720643</v>
      </c>
      <c r="J150" s="136" t="s">
        <v>753</v>
      </c>
      <c r="K150" s="138" t="s">
        <v>2796</v>
      </c>
      <c r="L150" s="130"/>
      <c r="M150" s="130"/>
      <c r="N150" s="130"/>
      <c r="O150" s="130"/>
      <c r="P150" s="130"/>
      <c r="Q150" s="130"/>
    </row>
    <row r="151" ht="15.75" customHeight="1" spans="1:17" x14ac:dyDescent="0.25">
      <c r="A151" s="131" t="s">
        <v>336</v>
      </c>
      <c r="B151" s="132" t="s">
        <v>2797</v>
      </c>
      <c r="C151" s="133" t="s">
        <v>2798</v>
      </c>
      <c r="D151" s="134"/>
      <c r="E151" s="137"/>
      <c r="F151" s="134"/>
      <c r="G151" s="153" t="s">
        <v>2799</v>
      </c>
      <c r="H151" s="134"/>
      <c r="I151" s="136">
        <v>88588907937601</v>
      </c>
      <c r="J151" s="134"/>
      <c r="K151" s="139"/>
      <c r="L151" s="130"/>
      <c r="M151" s="130"/>
      <c r="N151" s="130"/>
      <c r="O151" s="130"/>
      <c r="P151" s="130"/>
      <c r="Q151" s="130"/>
    </row>
    <row r="152" ht="15.75" customHeight="1" spans="1:17" x14ac:dyDescent="0.25">
      <c r="A152" s="131" t="s">
        <v>337</v>
      </c>
      <c r="B152" s="132" t="s">
        <v>962</v>
      </c>
      <c r="C152" s="133" t="s">
        <v>2800</v>
      </c>
      <c r="D152" s="134"/>
      <c r="E152" s="137"/>
      <c r="F152" s="134"/>
      <c r="G152" s="153" t="s">
        <v>2801</v>
      </c>
      <c r="H152" s="134"/>
      <c r="I152" s="136">
        <v>88588907945451</v>
      </c>
      <c r="J152" s="134"/>
      <c r="K152" s="140" t="s">
        <v>2802</v>
      </c>
      <c r="L152" s="130"/>
      <c r="M152" s="130"/>
      <c r="N152" s="130"/>
      <c r="O152" s="130"/>
      <c r="P152" s="130"/>
      <c r="Q152" s="130"/>
    </row>
    <row r="153" ht="15.75" customHeight="1" spans="1:17" x14ac:dyDescent="0.25">
      <c r="A153" s="131" t="s">
        <v>964</v>
      </c>
      <c r="B153" s="132" t="s">
        <v>965</v>
      </c>
      <c r="C153" s="133" t="s">
        <v>2803</v>
      </c>
      <c r="D153" s="134"/>
      <c r="E153" s="137"/>
      <c r="F153" s="134"/>
      <c r="G153" s="153" t="s">
        <v>2804</v>
      </c>
      <c r="H153" s="134"/>
      <c r="I153" s="136">
        <v>88588907945381</v>
      </c>
      <c r="J153" s="134"/>
      <c r="K153" s="140" t="s">
        <v>2805</v>
      </c>
      <c r="L153" s="130"/>
      <c r="M153" s="130"/>
      <c r="N153" s="130"/>
      <c r="O153" s="130"/>
      <c r="P153" s="130"/>
      <c r="Q153" s="130"/>
    </row>
    <row r="154" ht="15.75" customHeight="1" spans="1:17" x14ac:dyDescent="0.25">
      <c r="A154" s="141" t="s">
        <v>1076</v>
      </c>
      <c r="B154" s="142" t="s">
        <v>2806</v>
      </c>
      <c r="C154" s="143" t="s">
        <v>2807</v>
      </c>
      <c r="D154" s="144" t="s">
        <v>2595</v>
      </c>
      <c r="E154" s="145">
        <v>0.03</v>
      </c>
      <c r="F154" s="136">
        <f t="shared" ref="F154:F157" si="12">E:E+0.05</f>
        <v>0.08</v>
      </c>
      <c r="G154" s="156" t="s">
        <v>2808</v>
      </c>
      <c r="H154" s="147"/>
      <c r="I154" s="144">
        <v>8858890781965</v>
      </c>
      <c r="J154" s="144" t="s">
        <v>753</v>
      </c>
      <c r="K154" s="139"/>
      <c r="L154" s="130"/>
      <c r="M154" s="130"/>
      <c r="N154" s="130"/>
      <c r="O154" s="130"/>
      <c r="P154" s="130"/>
      <c r="Q154" s="130"/>
    </row>
    <row r="155" ht="15.75" customHeight="1" spans="1:17" x14ac:dyDescent="0.25">
      <c r="A155" s="131" t="s">
        <v>1079</v>
      </c>
      <c r="B155" s="132" t="s">
        <v>2806</v>
      </c>
      <c r="C155" s="133" t="s">
        <v>2809</v>
      </c>
      <c r="D155" s="136" t="s">
        <v>2595</v>
      </c>
      <c r="E155" s="135">
        <v>0.039</v>
      </c>
      <c r="F155" s="136">
        <f t="shared" si="12"/>
        <v>0.089</v>
      </c>
      <c r="G155" s="156" t="s">
        <v>2808</v>
      </c>
      <c r="H155" s="134"/>
      <c r="I155" s="136">
        <v>8858890781972</v>
      </c>
      <c r="J155" s="136" t="s">
        <v>753</v>
      </c>
      <c r="K155" s="139"/>
      <c r="L155" s="130"/>
      <c r="M155" s="130"/>
      <c r="N155" s="130"/>
      <c r="O155" s="130"/>
      <c r="P155" s="130"/>
      <c r="Q155" s="130"/>
    </row>
    <row r="156" ht="15.75" customHeight="1" spans="1:17" x14ac:dyDescent="0.25">
      <c r="A156" s="131" t="s">
        <v>1082</v>
      </c>
      <c r="B156" s="132" t="s">
        <v>2806</v>
      </c>
      <c r="C156" s="133" t="s">
        <v>2810</v>
      </c>
      <c r="D156" s="136" t="s">
        <v>2595</v>
      </c>
      <c r="E156" s="135">
        <v>0.052</v>
      </c>
      <c r="F156" s="136">
        <f t="shared" si="12"/>
        <v>0.102</v>
      </c>
      <c r="G156" s="156" t="s">
        <v>2808</v>
      </c>
      <c r="H156" s="134"/>
      <c r="I156" s="136">
        <v>8858890781989</v>
      </c>
      <c r="J156" s="136" t="s">
        <v>753</v>
      </c>
      <c r="K156" s="139"/>
      <c r="L156" s="130"/>
      <c r="M156" s="130"/>
      <c r="N156" s="130"/>
      <c r="O156" s="130"/>
      <c r="P156" s="130"/>
      <c r="Q156" s="130"/>
    </row>
    <row r="157" ht="15.75" customHeight="1" spans="1:17" x14ac:dyDescent="0.25">
      <c r="A157" s="131" t="s">
        <v>1085</v>
      </c>
      <c r="B157" s="132" t="s">
        <v>2806</v>
      </c>
      <c r="C157" s="133" t="s">
        <v>2811</v>
      </c>
      <c r="D157" s="136" t="s">
        <v>2595</v>
      </c>
      <c r="E157" s="135">
        <v>0.069</v>
      </c>
      <c r="F157" s="136">
        <f t="shared" si="12"/>
        <v>0.119</v>
      </c>
      <c r="G157" s="156" t="s">
        <v>2808</v>
      </c>
      <c r="H157" s="134"/>
      <c r="I157" s="136">
        <v>8858890781927</v>
      </c>
      <c r="J157" s="136" t="s">
        <v>753</v>
      </c>
      <c r="K157" s="139"/>
      <c r="L157" s="130"/>
      <c r="M157" s="130"/>
      <c r="N157" s="130"/>
      <c r="O157" s="130"/>
      <c r="P157" s="130"/>
      <c r="Q157" s="130"/>
    </row>
    <row r="158" ht="15.75" customHeight="1" spans="1:17" x14ac:dyDescent="0.25">
      <c r="A158" s="131" t="s">
        <v>1547</v>
      </c>
      <c r="B158" s="132" t="s">
        <v>2812</v>
      </c>
      <c r="C158" s="133" t="s">
        <v>2813</v>
      </c>
      <c r="D158" s="134"/>
      <c r="E158" s="137"/>
      <c r="F158" s="134"/>
      <c r="G158" s="153" t="s">
        <v>2814</v>
      </c>
      <c r="H158" s="134"/>
      <c r="I158" s="136">
        <v>8858890782705</v>
      </c>
      <c r="J158" s="134"/>
      <c r="K158" s="140" t="s">
        <v>2815</v>
      </c>
      <c r="L158" s="130"/>
      <c r="M158" s="130"/>
      <c r="N158" s="130"/>
      <c r="O158" s="130"/>
      <c r="P158" s="130"/>
      <c r="Q158" s="130"/>
    </row>
    <row r="159" ht="15.75" customHeight="1" spans="1:17" x14ac:dyDescent="0.25">
      <c r="A159" s="131" t="s">
        <v>1550</v>
      </c>
      <c r="B159" s="132" t="s">
        <v>2816</v>
      </c>
      <c r="C159" s="133" t="s">
        <v>2813</v>
      </c>
      <c r="D159" s="134"/>
      <c r="E159" s="137"/>
      <c r="F159" s="134"/>
      <c r="G159" s="153" t="s">
        <v>2817</v>
      </c>
      <c r="H159" s="134"/>
      <c r="I159" s="136">
        <v>8858890782719</v>
      </c>
      <c r="J159" s="134"/>
      <c r="K159" s="140" t="s">
        <v>2815</v>
      </c>
      <c r="L159" s="130"/>
      <c r="M159" s="130"/>
      <c r="N159" s="130"/>
      <c r="O159" s="130"/>
      <c r="P159" s="130"/>
      <c r="Q159" s="130"/>
    </row>
    <row r="160" ht="15.75" customHeight="1" spans="1:17" x14ac:dyDescent="0.25">
      <c r="A160" s="131" t="s">
        <v>1553</v>
      </c>
      <c r="B160" s="132" t="s">
        <v>2818</v>
      </c>
      <c r="C160" s="133" t="s">
        <v>2813</v>
      </c>
      <c r="D160" s="134"/>
      <c r="E160" s="137"/>
      <c r="F160" s="134"/>
      <c r="G160" s="153" t="s">
        <v>2819</v>
      </c>
      <c r="H160" s="134"/>
      <c r="I160" s="136">
        <v>8858890782726</v>
      </c>
      <c r="J160" s="134"/>
      <c r="K160" s="140" t="s">
        <v>2815</v>
      </c>
      <c r="L160" s="130"/>
      <c r="M160" s="130"/>
      <c r="N160" s="130"/>
      <c r="O160" s="130"/>
      <c r="P160" s="130"/>
      <c r="Q160" s="130"/>
    </row>
    <row r="161" ht="15.75" customHeight="1" spans="1:17" x14ac:dyDescent="0.25">
      <c r="A161" s="131" t="s">
        <v>1556</v>
      </c>
      <c r="B161" s="132" t="s">
        <v>2820</v>
      </c>
      <c r="C161" s="133" t="s">
        <v>2813</v>
      </c>
      <c r="D161" s="134"/>
      <c r="E161" s="137"/>
      <c r="F161" s="134"/>
      <c r="G161" s="153" t="s">
        <v>2821</v>
      </c>
      <c r="H161" s="134"/>
      <c r="I161" s="136">
        <v>8858890782733</v>
      </c>
      <c r="J161" s="134"/>
      <c r="K161" s="140" t="s">
        <v>2815</v>
      </c>
      <c r="L161" s="130"/>
      <c r="M161" s="130"/>
      <c r="N161" s="130"/>
      <c r="O161" s="130"/>
      <c r="P161" s="130"/>
      <c r="Q161" s="130"/>
    </row>
    <row r="162" ht="15.75" customHeight="1" spans="1:17" x14ac:dyDescent="0.25">
      <c r="A162" s="131" t="s">
        <v>1442</v>
      </c>
      <c r="B162" s="132" t="s">
        <v>2806</v>
      </c>
      <c r="C162" s="133" t="s">
        <v>2822</v>
      </c>
      <c r="D162" s="136" t="s">
        <v>2595</v>
      </c>
      <c r="E162" s="135">
        <v>0.035</v>
      </c>
      <c r="F162" s="136">
        <f t="shared" ref="F162:F164" si="13">E:E+0.05</f>
        <v>0.085</v>
      </c>
      <c r="G162" s="153" t="s">
        <v>2823</v>
      </c>
      <c r="H162" s="134"/>
      <c r="I162" s="136">
        <v>8858890781880</v>
      </c>
      <c r="J162" s="136" t="s">
        <v>753</v>
      </c>
      <c r="K162" s="139"/>
      <c r="L162" s="130"/>
      <c r="M162" s="130"/>
      <c r="N162" s="130"/>
      <c r="O162" s="130"/>
      <c r="P162" s="130"/>
      <c r="Q162" s="130"/>
    </row>
    <row r="163" ht="15.75" customHeight="1" spans="1:17" x14ac:dyDescent="0.25">
      <c r="A163" s="131" t="s">
        <v>2824</v>
      </c>
      <c r="B163" s="132" t="s">
        <v>2825</v>
      </c>
      <c r="C163" s="133" t="s">
        <v>2826</v>
      </c>
      <c r="D163" s="134"/>
      <c r="E163" s="137"/>
      <c r="F163" s="136">
        <f t="shared" si="13"/>
        <v>0.05</v>
      </c>
      <c r="G163" s="153" t="s">
        <v>2827</v>
      </c>
      <c r="H163" s="134"/>
      <c r="I163" s="136">
        <v>885889079439201</v>
      </c>
      <c r="J163" s="136" t="s">
        <v>753</v>
      </c>
      <c r="K163" s="140" t="s">
        <v>2828</v>
      </c>
      <c r="L163" s="130"/>
      <c r="M163" s="130"/>
      <c r="N163" s="130"/>
      <c r="O163" s="130"/>
      <c r="P163" s="130"/>
      <c r="Q163" s="130"/>
    </row>
    <row r="164" ht="15.75" customHeight="1" spans="1:17" x14ac:dyDescent="0.25">
      <c r="A164" s="131" t="s">
        <v>2829</v>
      </c>
      <c r="B164" s="132" t="s">
        <v>2830</v>
      </c>
      <c r="C164" s="133" t="s">
        <v>2826</v>
      </c>
      <c r="D164" s="134"/>
      <c r="E164" s="137"/>
      <c r="F164" s="136">
        <f t="shared" si="13"/>
        <v>0.05</v>
      </c>
      <c r="G164" s="153" t="s">
        <v>2827</v>
      </c>
      <c r="H164" s="134"/>
      <c r="I164" s="136">
        <v>885889079439202</v>
      </c>
      <c r="J164" s="136" t="s">
        <v>753</v>
      </c>
      <c r="K164" s="140" t="s">
        <v>2828</v>
      </c>
      <c r="L164" s="130"/>
      <c r="M164" s="130"/>
      <c r="N164" s="130"/>
      <c r="O164" s="130"/>
      <c r="P164" s="130"/>
      <c r="Q164" s="130"/>
    </row>
    <row r="165" ht="15.75" customHeight="1" spans="1:17" x14ac:dyDescent="0.25">
      <c r="A165" s="131" t="s">
        <v>294</v>
      </c>
      <c r="B165" s="132" t="s">
        <v>2831</v>
      </c>
      <c r="C165" s="133" t="s">
        <v>2832</v>
      </c>
      <c r="D165" s="134"/>
      <c r="E165" s="137"/>
      <c r="F165" s="134"/>
      <c r="G165" s="153" t="s">
        <v>2833</v>
      </c>
      <c r="H165" s="134"/>
      <c r="I165" s="136">
        <v>88588907903941</v>
      </c>
      <c r="J165" s="134"/>
      <c r="K165" s="140" t="s">
        <v>2705</v>
      </c>
      <c r="L165" s="130"/>
      <c r="M165" s="130"/>
      <c r="N165" s="130"/>
      <c r="O165" s="130"/>
      <c r="P165" s="130"/>
      <c r="Q165" s="130"/>
    </row>
    <row r="166" ht="15.75" customHeight="1" spans="1:17" x14ac:dyDescent="0.25">
      <c r="A166" s="131" t="s">
        <v>2834</v>
      </c>
      <c r="B166" s="132" t="s">
        <v>2835</v>
      </c>
      <c r="C166" s="133" t="s">
        <v>2836</v>
      </c>
      <c r="D166" s="134"/>
      <c r="E166" s="137"/>
      <c r="F166" s="134"/>
      <c r="G166" s="153" t="s">
        <v>2837</v>
      </c>
      <c r="H166" s="134"/>
      <c r="I166" s="134"/>
      <c r="J166" s="134"/>
      <c r="K166" s="139"/>
      <c r="L166" s="130"/>
      <c r="M166" s="130"/>
      <c r="N166" s="130"/>
      <c r="O166" s="130"/>
      <c r="P166" s="130"/>
      <c r="Q166" s="130"/>
    </row>
    <row r="167" ht="15.75" customHeight="1" spans="1:17" x14ac:dyDescent="0.25">
      <c r="A167" s="131" t="s">
        <v>934</v>
      </c>
      <c r="B167" s="132" t="s">
        <v>2712</v>
      </c>
      <c r="C167" s="133" t="s">
        <v>2838</v>
      </c>
      <c r="D167" s="136" t="s">
        <v>2714</v>
      </c>
      <c r="E167" s="135">
        <v>0.212</v>
      </c>
      <c r="F167" s="136">
        <f t="shared" ref="F167:F170" si="14">E:E+0.05</f>
        <v>0.262</v>
      </c>
      <c r="G167" s="153" t="s">
        <v>2715</v>
      </c>
      <c r="H167" s="134"/>
      <c r="I167" s="136">
        <v>8858890760984</v>
      </c>
      <c r="J167" s="136" t="s">
        <v>753</v>
      </c>
      <c r="K167" s="139"/>
      <c r="L167" s="130"/>
      <c r="M167" s="130"/>
      <c r="N167" s="130"/>
      <c r="O167" s="130"/>
      <c r="P167" s="130"/>
      <c r="Q167" s="130"/>
    </row>
    <row r="168" ht="15.75" customHeight="1" spans="1:17" x14ac:dyDescent="0.25">
      <c r="A168" s="131" t="s">
        <v>341</v>
      </c>
      <c r="B168" s="132" t="s">
        <v>2712</v>
      </c>
      <c r="C168" s="133" t="s">
        <v>2839</v>
      </c>
      <c r="D168" s="136" t="s">
        <v>2714</v>
      </c>
      <c r="E168" s="135">
        <v>0.225</v>
      </c>
      <c r="F168" s="136">
        <f t="shared" si="14"/>
        <v>0.275</v>
      </c>
      <c r="G168" s="153" t="s">
        <v>2715</v>
      </c>
      <c r="H168" s="134"/>
      <c r="I168" s="136">
        <v>8858890760991</v>
      </c>
      <c r="J168" s="136" t="s">
        <v>753</v>
      </c>
      <c r="K168" s="140" t="s">
        <v>2840</v>
      </c>
      <c r="L168" s="130"/>
      <c r="M168" s="130"/>
      <c r="N168" s="130"/>
      <c r="O168" s="130"/>
      <c r="P168" s="130"/>
      <c r="Q168" s="130"/>
    </row>
    <row r="169" ht="15.75" customHeight="1" spans="1:17" x14ac:dyDescent="0.25">
      <c r="A169" s="131" t="s">
        <v>589</v>
      </c>
      <c r="B169" s="132" t="s">
        <v>2841</v>
      </c>
      <c r="C169" s="133" t="s">
        <v>2842</v>
      </c>
      <c r="D169" s="136" t="s">
        <v>2595</v>
      </c>
      <c r="E169" s="135">
        <v>0.089</v>
      </c>
      <c r="F169" s="136">
        <f t="shared" si="14"/>
        <v>0.139</v>
      </c>
      <c r="G169" s="153" t="s">
        <v>2843</v>
      </c>
      <c r="H169" s="134"/>
      <c r="I169" s="136">
        <v>8858890781996</v>
      </c>
      <c r="J169" s="136" t="s">
        <v>753</v>
      </c>
      <c r="K169" s="140" t="s">
        <v>2844</v>
      </c>
      <c r="L169" s="130"/>
      <c r="M169" s="130"/>
      <c r="N169" s="130"/>
      <c r="O169" s="130"/>
      <c r="P169" s="130"/>
      <c r="Q169" s="130"/>
    </row>
    <row r="170" ht="15.75" customHeight="1" spans="1:17" x14ac:dyDescent="0.25">
      <c r="A170" s="131" t="s">
        <v>590</v>
      </c>
      <c r="B170" s="132" t="s">
        <v>1368</v>
      </c>
      <c r="C170" s="133" t="s">
        <v>2845</v>
      </c>
      <c r="D170" s="134"/>
      <c r="E170" s="137"/>
      <c r="F170" s="136">
        <f t="shared" si="14"/>
        <v>0.05</v>
      </c>
      <c r="G170" s="153" t="s">
        <v>2846</v>
      </c>
      <c r="H170" s="134"/>
      <c r="I170" s="136">
        <v>8858890782009</v>
      </c>
      <c r="J170" s="134"/>
      <c r="K170" s="140" t="s">
        <v>2844</v>
      </c>
      <c r="L170" s="130"/>
      <c r="M170" s="130"/>
      <c r="N170" s="130"/>
      <c r="O170" s="130"/>
      <c r="P170" s="130"/>
      <c r="Q170" s="130"/>
    </row>
    <row r="171" ht="15.75" customHeight="1" spans="1:17" x14ac:dyDescent="0.25">
      <c r="A171" s="131" t="s">
        <v>1605</v>
      </c>
      <c r="B171" s="132" t="s">
        <v>2847</v>
      </c>
      <c r="C171" s="133" t="s">
        <v>2848</v>
      </c>
      <c r="D171" s="134"/>
      <c r="E171" s="137"/>
      <c r="F171" s="134"/>
      <c r="G171" s="153" t="s">
        <v>2849</v>
      </c>
      <c r="H171" s="134"/>
      <c r="I171" s="134"/>
      <c r="J171" s="134"/>
      <c r="K171" s="139"/>
      <c r="L171" s="130"/>
      <c r="M171" s="130"/>
      <c r="N171" s="130"/>
      <c r="O171" s="130"/>
      <c r="P171" s="130"/>
      <c r="Q171" s="130"/>
    </row>
    <row r="172" ht="15.75" customHeight="1" spans="1:17" x14ac:dyDescent="0.25">
      <c r="A172" s="131" t="s">
        <v>2850</v>
      </c>
      <c r="B172" s="132" t="s">
        <v>2851</v>
      </c>
      <c r="C172" s="133" t="s">
        <v>2852</v>
      </c>
      <c r="D172" s="134"/>
      <c r="E172" s="137"/>
      <c r="F172" s="136">
        <f t="shared" ref="F172:F177" si="15">E:E+0.05</f>
        <v>0.05</v>
      </c>
      <c r="G172" s="153" t="s">
        <v>2853</v>
      </c>
      <c r="H172" s="134"/>
      <c r="I172" s="136">
        <v>8858890782009</v>
      </c>
      <c r="J172" s="136" t="s">
        <v>2406</v>
      </c>
      <c r="K172" s="139"/>
      <c r="L172" s="130"/>
      <c r="M172" s="130"/>
      <c r="N172" s="130"/>
      <c r="O172" s="130"/>
      <c r="P172" s="130"/>
      <c r="Q172" s="130"/>
    </row>
    <row r="173" ht="15.75" customHeight="1" spans="1:17" x14ac:dyDescent="0.25">
      <c r="A173" s="131" t="s">
        <v>2854</v>
      </c>
      <c r="B173" s="132" t="s">
        <v>2855</v>
      </c>
      <c r="C173" s="133" t="s">
        <v>2856</v>
      </c>
      <c r="D173" s="134"/>
      <c r="E173" s="137"/>
      <c r="F173" s="136">
        <f t="shared" si="15"/>
        <v>0.05</v>
      </c>
      <c r="G173" s="153" t="s">
        <v>2853</v>
      </c>
      <c r="H173" s="134"/>
      <c r="I173" s="136">
        <v>8858890790493</v>
      </c>
      <c r="J173" s="136" t="s">
        <v>2406</v>
      </c>
      <c r="K173" s="139"/>
      <c r="L173" s="130"/>
      <c r="M173" s="130"/>
      <c r="N173" s="130"/>
      <c r="O173" s="130"/>
      <c r="P173" s="130"/>
      <c r="Q173" s="130"/>
    </row>
    <row r="174" ht="15.75" customHeight="1" spans="1:17" x14ac:dyDescent="0.25">
      <c r="A174" s="131" t="s">
        <v>369</v>
      </c>
      <c r="B174" s="132" t="s">
        <v>2857</v>
      </c>
      <c r="C174" s="133" t="s">
        <v>2858</v>
      </c>
      <c r="D174" s="134"/>
      <c r="E174" s="137"/>
      <c r="F174" s="136">
        <f t="shared" si="15"/>
        <v>0.05</v>
      </c>
      <c r="G174" s="153" t="s">
        <v>2853</v>
      </c>
      <c r="H174" s="134"/>
      <c r="I174" s="136">
        <v>8858890790509</v>
      </c>
      <c r="J174" s="136" t="s">
        <v>2406</v>
      </c>
      <c r="K174" s="139"/>
      <c r="L174" s="130"/>
      <c r="M174" s="130"/>
      <c r="N174" s="130"/>
      <c r="O174" s="130"/>
      <c r="P174" s="130"/>
      <c r="Q174" s="130"/>
    </row>
    <row r="175" ht="15.75" customHeight="1" spans="1:17" x14ac:dyDescent="0.25">
      <c r="A175" s="131" t="s">
        <v>2859</v>
      </c>
      <c r="B175" s="132" t="s">
        <v>2860</v>
      </c>
      <c r="C175" s="133" t="s">
        <v>2861</v>
      </c>
      <c r="D175" s="134"/>
      <c r="E175" s="137"/>
      <c r="F175" s="136">
        <f t="shared" si="15"/>
        <v>0.05</v>
      </c>
      <c r="G175" s="153" t="s">
        <v>2862</v>
      </c>
      <c r="H175" s="134"/>
      <c r="I175" s="136">
        <v>885889079425502</v>
      </c>
      <c r="J175" s="136" t="s">
        <v>753</v>
      </c>
      <c r="K175" s="140" t="s">
        <v>2863</v>
      </c>
      <c r="L175" s="130"/>
      <c r="M175" s="130"/>
      <c r="N175" s="130"/>
      <c r="O175" s="130"/>
      <c r="P175" s="130"/>
      <c r="Q175" s="130"/>
    </row>
    <row r="176" ht="15.75" customHeight="1" spans="1:17" x14ac:dyDescent="0.25">
      <c r="A176" s="131" t="s">
        <v>2864</v>
      </c>
      <c r="B176" s="132" t="s">
        <v>2865</v>
      </c>
      <c r="C176" s="133" t="s">
        <v>2861</v>
      </c>
      <c r="D176" s="134"/>
      <c r="E176" s="137"/>
      <c r="F176" s="136">
        <f t="shared" si="15"/>
        <v>0.05</v>
      </c>
      <c r="G176" s="153" t="s">
        <v>2862</v>
      </c>
      <c r="H176" s="134"/>
      <c r="I176" s="136">
        <v>885889079425504</v>
      </c>
      <c r="J176" s="136" t="s">
        <v>753</v>
      </c>
      <c r="K176" s="154" t="s">
        <v>2863</v>
      </c>
      <c r="L176" s="130"/>
      <c r="M176" s="130"/>
      <c r="N176" s="130"/>
      <c r="O176" s="130"/>
      <c r="P176" s="130"/>
      <c r="Q176" s="130"/>
    </row>
    <row r="177" ht="15.75" customHeight="1" spans="1:17" x14ac:dyDescent="0.25">
      <c r="A177" s="131" t="s">
        <v>2866</v>
      </c>
      <c r="B177" s="132" t="s">
        <v>2867</v>
      </c>
      <c r="C177" s="133" t="s">
        <v>2861</v>
      </c>
      <c r="D177" s="134"/>
      <c r="E177" s="137"/>
      <c r="F177" s="136">
        <f t="shared" si="15"/>
        <v>0.05</v>
      </c>
      <c r="G177" s="153" t="s">
        <v>2862</v>
      </c>
      <c r="H177" s="134"/>
      <c r="I177" s="136">
        <v>885889079425503</v>
      </c>
      <c r="J177" s="136" t="s">
        <v>753</v>
      </c>
      <c r="K177" s="154" t="s">
        <v>2863</v>
      </c>
      <c r="L177" s="130"/>
      <c r="M177" s="130"/>
      <c r="N177" s="130"/>
      <c r="O177" s="130"/>
      <c r="P177" s="130"/>
      <c r="Q177" s="130"/>
    </row>
    <row r="178" ht="15.75" customHeight="1" spans="1:17" x14ac:dyDescent="0.25">
      <c r="A178" s="131" t="s">
        <v>2868</v>
      </c>
      <c r="B178" s="132" t="s">
        <v>2869</v>
      </c>
      <c r="C178" s="133" t="s">
        <v>2861</v>
      </c>
      <c r="D178" s="134"/>
      <c r="E178" s="137"/>
      <c r="F178" s="134"/>
      <c r="G178" s="153" t="s">
        <v>2862</v>
      </c>
      <c r="H178" s="134"/>
      <c r="I178" s="136">
        <v>885889079425508</v>
      </c>
      <c r="J178" s="134"/>
      <c r="K178" s="154" t="s">
        <v>2863</v>
      </c>
      <c r="L178" s="130"/>
      <c r="M178" s="130"/>
      <c r="N178" s="130"/>
      <c r="O178" s="130"/>
      <c r="P178" s="130"/>
      <c r="Q178" s="130"/>
    </row>
    <row r="179" ht="15.75" customHeight="1" spans="1:17" x14ac:dyDescent="0.25">
      <c r="A179" s="131" t="s">
        <v>2870</v>
      </c>
      <c r="B179" s="132" t="s">
        <v>2871</v>
      </c>
      <c r="C179" s="133" t="s">
        <v>2861</v>
      </c>
      <c r="D179" s="134"/>
      <c r="E179" s="137"/>
      <c r="F179" s="136">
        <f t="shared" ref="F179:F185" si="16">E:E+0.05</f>
        <v>0.05</v>
      </c>
      <c r="G179" s="153" t="s">
        <v>2862</v>
      </c>
      <c r="H179" s="134"/>
      <c r="I179" s="136">
        <v>885889079425505</v>
      </c>
      <c r="J179" s="136" t="s">
        <v>753</v>
      </c>
      <c r="K179" s="138" t="s">
        <v>2863</v>
      </c>
      <c r="L179" s="130"/>
      <c r="M179" s="130"/>
      <c r="N179" s="130"/>
      <c r="O179" s="130"/>
      <c r="P179" s="130"/>
      <c r="Q179" s="130"/>
    </row>
    <row r="180" ht="15.75" customHeight="1" spans="1:17" x14ac:dyDescent="0.25">
      <c r="A180" s="131" t="s">
        <v>2872</v>
      </c>
      <c r="B180" s="132" t="s">
        <v>2873</v>
      </c>
      <c r="C180" s="133" t="s">
        <v>2874</v>
      </c>
      <c r="D180" s="134"/>
      <c r="E180" s="137"/>
      <c r="F180" s="136">
        <f t="shared" si="16"/>
        <v>0.05</v>
      </c>
      <c r="G180" s="153" t="s">
        <v>2875</v>
      </c>
      <c r="H180" s="134"/>
      <c r="I180" s="136">
        <v>885889079420001</v>
      </c>
      <c r="J180" s="136" t="s">
        <v>2406</v>
      </c>
      <c r="K180" s="139"/>
      <c r="L180" s="130"/>
      <c r="M180" s="130"/>
      <c r="N180" s="130"/>
      <c r="O180" s="130"/>
      <c r="P180" s="130"/>
      <c r="Q180" s="130"/>
    </row>
    <row r="181" ht="15.75" customHeight="1" spans="1:17" x14ac:dyDescent="0.25">
      <c r="A181" s="131" t="s">
        <v>2876</v>
      </c>
      <c r="B181" s="132" t="s">
        <v>2877</v>
      </c>
      <c r="C181" s="133" t="s">
        <v>2874</v>
      </c>
      <c r="D181" s="134"/>
      <c r="E181" s="137"/>
      <c r="F181" s="136">
        <f t="shared" si="16"/>
        <v>0.05</v>
      </c>
      <c r="G181" s="153" t="s">
        <v>2875</v>
      </c>
      <c r="H181" s="134"/>
      <c r="I181" s="136">
        <v>885889079420002</v>
      </c>
      <c r="J181" s="136" t="s">
        <v>2406</v>
      </c>
      <c r="K181" s="139"/>
      <c r="L181" s="130"/>
      <c r="M181" s="130"/>
      <c r="N181" s="130"/>
      <c r="O181" s="130"/>
      <c r="P181" s="130"/>
      <c r="Q181" s="130"/>
    </row>
    <row r="182" ht="15.75" customHeight="1" spans="1:17" x14ac:dyDescent="0.25">
      <c r="A182" s="131" t="s">
        <v>2878</v>
      </c>
      <c r="B182" s="132" t="s">
        <v>2879</v>
      </c>
      <c r="C182" s="133" t="s">
        <v>2874</v>
      </c>
      <c r="D182" s="134"/>
      <c r="E182" s="137"/>
      <c r="F182" s="136">
        <f t="shared" si="16"/>
        <v>0.05</v>
      </c>
      <c r="G182" s="153" t="s">
        <v>2875</v>
      </c>
      <c r="H182" s="134"/>
      <c r="I182" s="136">
        <v>885889079420004</v>
      </c>
      <c r="J182" s="136" t="s">
        <v>2406</v>
      </c>
      <c r="K182" s="139"/>
      <c r="L182" s="130"/>
      <c r="M182" s="130"/>
      <c r="N182" s="130"/>
      <c r="O182" s="130"/>
      <c r="P182" s="130"/>
      <c r="Q182" s="130"/>
    </row>
    <row r="183" ht="15.75" customHeight="1" spans="1:17" x14ac:dyDescent="0.25">
      <c r="A183" s="131" t="s">
        <v>2880</v>
      </c>
      <c r="B183" s="132" t="s">
        <v>2881</v>
      </c>
      <c r="C183" s="133" t="s">
        <v>2874</v>
      </c>
      <c r="D183" s="134"/>
      <c r="E183" s="137"/>
      <c r="F183" s="136">
        <f t="shared" si="16"/>
        <v>0.05</v>
      </c>
      <c r="G183" s="153" t="s">
        <v>2875</v>
      </c>
      <c r="H183" s="134"/>
      <c r="I183" s="136">
        <v>885889079420005</v>
      </c>
      <c r="J183" s="136" t="s">
        <v>2406</v>
      </c>
      <c r="K183" s="139"/>
      <c r="L183" s="130"/>
      <c r="M183" s="130"/>
      <c r="N183" s="130"/>
      <c r="O183" s="130"/>
      <c r="P183" s="130"/>
      <c r="Q183" s="130"/>
    </row>
    <row r="184" ht="15.75" customHeight="1" spans="1:17" x14ac:dyDescent="0.25">
      <c r="A184" s="131" t="s">
        <v>2882</v>
      </c>
      <c r="B184" s="132" t="s">
        <v>2883</v>
      </c>
      <c r="C184" s="133" t="s">
        <v>2884</v>
      </c>
      <c r="D184" s="134"/>
      <c r="E184" s="137"/>
      <c r="F184" s="136">
        <f t="shared" si="16"/>
        <v>0.05</v>
      </c>
      <c r="G184" s="153" t="s">
        <v>2885</v>
      </c>
      <c r="H184" s="134"/>
      <c r="I184" s="136">
        <v>8858890795764</v>
      </c>
      <c r="J184" s="136" t="s">
        <v>2406</v>
      </c>
      <c r="K184" s="139"/>
      <c r="L184" s="130"/>
      <c r="M184" s="130"/>
      <c r="N184" s="130"/>
      <c r="O184" s="130"/>
      <c r="P184" s="130"/>
      <c r="Q184" s="130"/>
    </row>
    <row r="185" ht="15.75" customHeight="1" spans="1:17" x14ac:dyDescent="0.25">
      <c r="A185" s="131" t="s">
        <v>2886</v>
      </c>
      <c r="B185" s="132" t="s">
        <v>2887</v>
      </c>
      <c r="C185" s="133" t="s">
        <v>2884</v>
      </c>
      <c r="D185" s="134"/>
      <c r="E185" s="137"/>
      <c r="F185" s="136">
        <f t="shared" si="16"/>
        <v>0.05</v>
      </c>
      <c r="G185" s="153" t="s">
        <v>2885</v>
      </c>
      <c r="H185" s="134"/>
      <c r="I185" s="136">
        <v>8858890795771</v>
      </c>
      <c r="J185" s="136" t="s">
        <v>2406</v>
      </c>
      <c r="K185" s="139"/>
      <c r="L185" s="130"/>
      <c r="M185" s="130"/>
      <c r="N185" s="130"/>
      <c r="O185" s="130"/>
      <c r="P185" s="130"/>
      <c r="Q185" s="130"/>
    </row>
    <row r="186" ht="15.75" customHeight="1" spans="1:17" x14ac:dyDescent="0.25">
      <c r="A186" s="131" t="s">
        <v>1768</v>
      </c>
      <c r="B186" s="132" t="s">
        <v>2888</v>
      </c>
      <c r="C186" s="133" t="s">
        <v>2889</v>
      </c>
      <c r="D186" s="134"/>
      <c r="E186" s="137"/>
      <c r="F186" s="134"/>
      <c r="G186" s="137"/>
      <c r="H186" s="134"/>
      <c r="I186" s="136">
        <v>8858890791162</v>
      </c>
      <c r="J186" s="134"/>
      <c r="K186" s="154" t="s">
        <v>2890</v>
      </c>
      <c r="L186" s="130"/>
      <c r="M186" s="130"/>
      <c r="N186" s="130"/>
      <c r="O186" s="130"/>
      <c r="P186" s="130"/>
      <c r="Q186" s="130"/>
    </row>
    <row r="187" ht="15.75" customHeight="1" spans="1:17" x14ac:dyDescent="0.25">
      <c r="A187" s="131" t="s">
        <v>435</v>
      </c>
      <c r="B187" s="132" t="s">
        <v>2891</v>
      </c>
      <c r="C187" s="133" t="s">
        <v>2889</v>
      </c>
      <c r="D187" s="134"/>
      <c r="E187" s="137"/>
      <c r="F187" s="134"/>
      <c r="G187" s="153" t="s">
        <v>2892</v>
      </c>
      <c r="H187" s="134"/>
      <c r="I187" s="136">
        <v>8858890791100</v>
      </c>
      <c r="J187" s="134"/>
      <c r="K187" s="154" t="s">
        <v>2893</v>
      </c>
      <c r="L187" s="130"/>
      <c r="M187" s="130"/>
      <c r="N187" s="130"/>
      <c r="O187" s="130"/>
      <c r="P187" s="130"/>
      <c r="Q187" s="130"/>
    </row>
    <row r="188" ht="15.75" customHeight="1" spans="1:17" x14ac:dyDescent="0.25">
      <c r="A188" s="131" t="s">
        <v>587</v>
      </c>
      <c r="B188" s="132" t="s">
        <v>2894</v>
      </c>
      <c r="C188" s="133" t="s">
        <v>2895</v>
      </c>
      <c r="D188" s="134"/>
      <c r="E188" s="137"/>
      <c r="F188" s="134"/>
      <c r="G188" s="153" t="s">
        <v>2896</v>
      </c>
      <c r="H188" s="134"/>
      <c r="I188" s="136">
        <v>8858890780265</v>
      </c>
      <c r="J188" s="134"/>
      <c r="K188" s="154" t="s">
        <v>2897</v>
      </c>
      <c r="L188" s="130"/>
      <c r="M188" s="130"/>
      <c r="N188" s="130"/>
      <c r="O188" s="130"/>
      <c r="P188" s="130"/>
      <c r="Q188" s="130"/>
    </row>
    <row r="189" ht="15.75" customHeight="1" spans="1:17" x14ac:dyDescent="0.25">
      <c r="A189" s="131" t="s">
        <v>1120</v>
      </c>
      <c r="B189" s="132" t="s">
        <v>2898</v>
      </c>
      <c r="C189" s="133" t="s">
        <v>2899</v>
      </c>
      <c r="D189" s="134"/>
      <c r="E189" s="137"/>
      <c r="F189" s="134"/>
      <c r="G189" s="153" t="s">
        <v>2900</v>
      </c>
      <c r="H189" s="134"/>
      <c r="I189" s="134"/>
      <c r="J189" s="134"/>
      <c r="K189" s="154" t="s">
        <v>2901</v>
      </c>
      <c r="L189" s="130"/>
      <c r="M189" s="130"/>
      <c r="N189" s="130"/>
      <c r="O189" s="130"/>
      <c r="P189" s="130"/>
      <c r="Q189" s="130"/>
    </row>
    <row r="190" ht="15.75" customHeight="1" spans="1:17" x14ac:dyDescent="0.25">
      <c r="A190" s="131" t="s">
        <v>927</v>
      </c>
      <c r="B190" s="132" t="s">
        <v>2902</v>
      </c>
      <c r="C190" s="133" t="s">
        <v>2903</v>
      </c>
      <c r="D190" s="134"/>
      <c r="E190" s="137"/>
      <c r="F190" s="136">
        <f t="shared" ref="F190:F195" si="17">E:E+0.05</f>
        <v>0.05</v>
      </c>
      <c r="G190" s="137"/>
      <c r="H190" s="134"/>
      <c r="I190" s="136">
        <v>8858890795870</v>
      </c>
      <c r="J190" s="136" t="s">
        <v>2582</v>
      </c>
      <c r="K190" s="154" t="s">
        <v>2904</v>
      </c>
      <c r="L190" s="130"/>
      <c r="M190" s="130"/>
      <c r="N190" s="130"/>
      <c r="O190" s="130"/>
      <c r="P190" s="130"/>
      <c r="Q190" s="130"/>
    </row>
    <row r="191" ht="15.75" customHeight="1" spans="1:17" x14ac:dyDescent="0.25">
      <c r="A191" s="131" t="s">
        <v>761</v>
      </c>
      <c r="B191" s="132" t="s">
        <v>2905</v>
      </c>
      <c r="C191" s="133" t="s">
        <v>2906</v>
      </c>
      <c r="D191" s="136" t="s">
        <v>2907</v>
      </c>
      <c r="E191" s="135">
        <v>0.144</v>
      </c>
      <c r="F191" s="136">
        <f t="shared" si="17"/>
        <v>0.194</v>
      </c>
      <c r="G191" s="153" t="s">
        <v>2908</v>
      </c>
      <c r="H191" s="134"/>
      <c r="I191" s="136">
        <v>8858890732264</v>
      </c>
      <c r="J191" s="136" t="s">
        <v>753</v>
      </c>
      <c r="K191" s="139"/>
      <c r="L191" s="130"/>
      <c r="M191" s="130"/>
      <c r="N191" s="130"/>
      <c r="O191" s="130"/>
      <c r="P191" s="130"/>
      <c r="Q191" s="130"/>
    </row>
    <row r="192" ht="15.75" customHeight="1" spans="1:17" x14ac:dyDescent="0.25">
      <c r="A192" s="131" t="s">
        <v>1224</v>
      </c>
      <c r="B192" s="132" t="s">
        <v>2909</v>
      </c>
      <c r="C192" s="133" t="s">
        <v>2910</v>
      </c>
      <c r="D192" s="136" t="s">
        <v>2907</v>
      </c>
      <c r="E192" s="135">
        <v>0.066</v>
      </c>
      <c r="F192" s="136">
        <f t="shared" si="17"/>
        <v>0.116</v>
      </c>
      <c r="G192" s="153" t="s">
        <v>2911</v>
      </c>
      <c r="H192" s="134"/>
      <c r="I192" s="136">
        <v>8858890731212</v>
      </c>
      <c r="J192" s="136" t="s">
        <v>753</v>
      </c>
      <c r="K192" s="139"/>
      <c r="L192" s="130"/>
      <c r="M192" s="130"/>
      <c r="N192" s="130"/>
      <c r="O192" s="130"/>
      <c r="P192" s="130"/>
      <c r="Q192" s="130"/>
    </row>
    <row r="193" ht="15.75" customHeight="1" spans="1:17" x14ac:dyDescent="0.25">
      <c r="A193" s="131" t="s">
        <v>1723</v>
      </c>
      <c r="B193" s="132" t="s">
        <v>2912</v>
      </c>
      <c r="C193" s="133" t="s">
        <v>2913</v>
      </c>
      <c r="D193" s="136" t="s">
        <v>2907</v>
      </c>
      <c r="E193" s="135">
        <v>0.016</v>
      </c>
      <c r="F193" s="136">
        <f t="shared" si="17"/>
        <v>0.066</v>
      </c>
      <c r="G193" s="137"/>
      <c r="H193" s="134"/>
      <c r="I193" s="136">
        <v>8858890730598</v>
      </c>
      <c r="J193" s="136" t="s">
        <v>753</v>
      </c>
      <c r="K193" s="139"/>
      <c r="L193" s="130"/>
      <c r="M193" s="130"/>
      <c r="N193" s="130"/>
      <c r="O193" s="130"/>
      <c r="P193" s="130"/>
      <c r="Q193" s="130"/>
    </row>
    <row r="194" ht="15.75" customHeight="1" spans="1:17" x14ac:dyDescent="0.25">
      <c r="A194" s="131" t="s">
        <v>1725</v>
      </c>
      <c r="B194" s="132" t="s">
        <v>2914</v>
      </c>
      <c r="C194" s="133" t="s">
        <v>2915</v>
      </c>
      <c r="D194" s="136" t="s">
        <v>2907</v>
      </c>
      <c r="E194" s="135">
        <v>0.015</v>
      </c>
      <c r="F194" s="136">
        <f t="shared" si="17"/>
        <v>0.065</v>
      </c>
      <c r="G194" s="137"/>
      <c r="H194" s="134"/>
      <c r="I194" s="136">
        <v>8858890730604</v>
      </c>
      <c r="J194" s="136" t="s">
        <v>753</v>
      </c>
      <c r="K194" s="139"/>
      <c r="L194" s="130"/>
      <c r="M194" s="130"/>
      <c r="N194" s="130"/>
      <c r="O194" s="130"/>
      <c r="P194" s="130"/>
      <c r="Q194" s="130"/>
    </row>
    <row r="195" ht="15.75" customHeight="1" spans="1:17" x14ac:dyDescent="0.25">
      <c r="A195" s="131" t="s">
        <v>1228</v>
      </c>
      <c r="B195" s="132" t="s">
        <v>2916</v>
      </c>
      <c r="C195" s="133" t="s">
        <v>2917</v>
      </c>
      <c r="D195" s="136" t="s">
        <v>2907</v>
      </c>
      <c r="E195" s="135">
        <v>0.031</v>
      </c>
      <c r="F195" s="136">
        <f t="shared" si="17"/>
        <v>0.081</v>
      </c>
      <c r="G195" s="137"/>
      <c r="H195" s="134"/>
      <c r="I195" s="136">
        <v>8858890731212</v>
      </c>
      <c r="J195" s="136" t="s">
        <v>753</v>
      </c>
      <c r="K195" s="139"/>
      <c r="L195" s="130"/>
      <c r="M195" s="130"/>
      <c r="N195" s="130"/>
      <c r="O195" s="130"/>
      <c r="P195" s="130"/>
      <c r="Q195" s="130"/>
    </row>
    <row r="196" ht="15.75" customHeight="1" spans="1:17" x14ac:dyDescent="0.25">
      <c r="A196" s="131" t="s">
        <v>1232</v>
      </c>
      <c r="B196" s="132" t="s">
        <v>2918</v>
      </c>
      <c r="C196" s="133" t="s">
        <v>2918</v>
      </c>
      <c r="D196" s="134"/>
      <c r="E196" s="137"/>
      <c r="F196" s="134"/>
      <c r="G196" s="153" t="s">
        <v>2919</v>
      </c>
      <c r="H196" s="134"/>
      <c r="I196" s="136">
        <v>8858890730017</v>
      </c>
      <c r="J196" s="134"/>
      <c r="K196" s="139"/>
      <c r="L196" s="130"/>
      <c r="M196" s="130"/>
      <c r="N196" s="130"/>
      <c r="O196" s="130"/>
      <c r="P196" s="130"/>
      <c r="Q196" s="130"/>
    </row>
    <row r="197" ht="15.75" customHeight="1" spans="1:17" x14ac:dyDescent="0.25">
      <c r="A197" s="131" t="s">
        <v>2920</v>
      </c>
      <c r="B197" s="132" t="s">
        <v>2921</v>
      </c>
      <c r="C197" s="133" t="s">
        <v>2922</v>
      </c>
      <c r="D197" s="136" t="s">
        <v>2907</v>
      </c>
      <c r="E197" s="135">
        <v>0.008</v>
      </c>
      <c r="F197" s="136">
        <f>E:E+0.05</f>
        <v>0.058</v>
      </c>
      <c r="G197" s="153" t="s">
        <v>2923</v>
      </c>
      <c r="H197" s="134"/>
      <c r="I197" s="136">
        <v>8858890730987</v>
      </c>
      <c r="J197" s="136" t="s">
        <v>753</v>
      </c>
      <c r="K197" s="139"/>
      <c r="L197" s="130"/>
      <c r="M197" s="130"/>
      <c r="N197" s="130"/>
      <c r="O197" s="130"/>
      <c r="P197" s="130"/>
      <c r="Q197" s="130"/>
    </row>
    <row r="198" ht="15.75" customHeight="1" spans="1:17" x14ac:dyDescent="0.25">
      <c r="A198" s="131" t="s">
        <v>2924</v>
      </c>
      <c r="B198" s="132" t="s">
        <v>2925</v>
      </c>
      <c r="C198" s="133" t="s">
        <v>2926</v>
      </c>
      <c r="D198" s="134"/>
      <c r="E198" s="137"/>
      <c r="F198" s="134"/>
      <c r="G198" s="153" t="s">
        <v>2927</v>
      </c>
      <c r="H198" s="134"/>
      <c r="I198" s="134"/>
      <c r="J198" s="134"/>
      <c r="K198" s="139"/>
      <c r="L198" s="130"/>
      <c r="M198" s="130"/>
      <c r="N198" s="130"/>
      <c r="O198" s="130"/>
      <c r="P198" s="130"/>
      <c r="Q198" s="130"/>
    </row>
    <row r="199" ht="15.75" customHeight="1" spans="1:17" x14ac:dyDescent="0.25">
      <c r="A199" s="131" t="s">
        <v>2928</v>
      </c>
      <c r="B199" s="132" t="s">
        <v>2929</v>
      </c>
      <c r="C199" s="133" t="s">
        <v>2930</v>
      </c>
      <c r="D199" s="136" t="s">
        <v>2907</v>
      </c>
      <c r="E199" s="135">
        <v>0.009</v>
      </c>
      <c r="F199" s="136">
        <f t="shared" ref="F199:F207" si="18">E:E+0.05</f>
        <v>0.059</v>
      </c>
      <c r="G199" s="153" t="s">
        <v>2931</v>
      </c>
      <c r="H199" s="134"/>
      <c r="I199" s="136">
        <v>8858890732295</v>
      </c>
      <c r="J199" s="136" t="s">
        <v>753</v>
      </c>
      <c r="K199" s="139"/>
      <c r="L199" s="130"/>
      <c r="M199" s="130"/>
      <c r="N199" s="130"/>
      <c r="O199" s="130"/>
      <c r="P199" s="130"/>
      <c r="Q199" s="130"/>
    </row>
    <row r="200" ht="15.75" customHeight="1" spans="1:17" x14ac:dyDescent="0.25">
      <c r="A200" s="131" t="s">
        <v>2932</v>
      </c>
      <c r="B200" s="132" t="s">
        <v>2933</v>
      </c>
      <c r="C200" s="133" t="s">
        <v>2934</v>
      </c>
      <c r="D200" s="136" t="s">
        <v>2907</v>
      </c>
      <c r="E200" s="135">
        <v>0.013</v>
      </c>
      <c r="F200" s="136">
        <f t="shared" si="18"/>
        <v>0.063</v>
      </c>
      <c r="G200" s="137"/>
      <c r="H200" s="134"/>
      <c r="I200" s="136">
        <v>8858890730215</v>
      </c>
      <c r="J200" s="136" t="s">
        <v>753</v>
      </c>
      <c r="K200" s="139"/>
      <c r="L200" s="130"/>
      <c r="M200" s="130"/>
      <c r="N200" s="130"/>
      <c r="O200" s="130"/>
      <c r="P200" s="130"/>
      <c r="Q200" s="130"/>
    </row>
    <row r="201" ht="15.75" customHeight="1" spans="1:17" x14ac:dyDescent="0.25">
      <c r="A201" s="131" t="s">
        <v>1733</v>
      </c>
      <c r="B201" s="132" t="s">
        <v>2935</v>
      </c>
      <c r="C201" s="133" t="s">
        <v>2936</v>
      </c>
      <c r="D201" s="136" t="s">
        <v>2907</v>
      </c>
      <c r="E201" s="135">
        <v>0.263</v>
      </c>
      <c r="F201" s="136">
        <f t="shared" si="18"/>
        <v>0.313</v>
      </c>
      <c r="G201" s="153" t="s">
        <v>2927</v>
      </c>
      <c r="H201" s="134"/>
      <c r="I201" s="136">
        <v>8858890730024</v>
      </c>
      <c r="J201" s="136" t="s">
        <v>753</v>
      </c>
      <c r="K201" s="139"/>
      <c r="L201" s="130"/>
      <c r="M201" s="130"/>
      <c r="N201" s="130"/>
      <c r="O201" s="130"/>
      <c r="P201" s="130"/>
      <c r="Q201" s="130"/>
    </row>
    <row r="202" ht="15.75" customHeight="1" spans="1:17" x14ac:dyDescent="0.25">
      <c r="A202" s="131" t="s">
        <v>1238</v>
      </c>
      <c r="B202" s="132" t="s">
        <v>2909</v>
      </c>
      <c r="C202" s="133" t="s">
        <v>2937</v>
      </c>
      <c r="D202" s="136" t="s">
        <v>2907</v>
      </c>
      <c r="E202" s="135">
        <v>0.029</v>
      </c>
      <c r="F202" s="136">
        <f t="shared" si="18"/>
        <v>0.079</v>
      </c>
      <c r="G202" s="153" t="s">
        <v>2938</v>
      </c>
      <c r="H202" s="134"/>
      <c r="I202" s="136">
        <v>8858890730970</v>
      </c>
      <c r="J202" s="136" t="s">
        <v>753</v>
      </c>
      <c r="K202" s="139"/>
      <c r="L202" s="130"/>
      <c r="M202" s="130"/>
      <c r="N202" s="130"/>
      <c r="O202" s="130"/>
      <c r="P202" s="130"/>
      <c r="Q202" s="130"/>
    </row>
    <row r="203" ht="15.75" customHeight="1" spans="1:17" x14ac:dyDescent="0.25">
      <c r="A203" s="131" t="s">
        <v>2939</v>
      </c>
      <c r="B203" s="132" t="s">
        <v>2940</v>
      </c>
      <c r="C203" s="133" t="s">
        <v>2941</v>
      </c>
      <c r="D203" s="136" t="s">
        <v>2907</v>
      </c>
      <c r="E203" s="135">
        <v>0.05</v>
      </c>
      <c r="F203" s="136">
        <f t="shared" si="18"/>
        <v>0.1</v>
      </c>
      <c r="G203" s="137"/>
      <c r="H203" s="134"/>
      <c r="I203" s="136">
        <v>8858890730185</v>
      </c>
      <c r="J203" s="136" t="s">
        <v>753</v>
      </c>
      <c r="K203" s="139"/>
      <c r="L203" s="130"/>
      <c r="M203" s="130"/>
      <c r="N203" s="130"/>
      <c r="O203" s="130"/>
      <c r="P203" s="130"/>
      <c r="Q203" s="130"/>
    </row>
    <row r="204" ht="15.75" customHeight="1" spans="1:17" x14ac:dyDescent="0.25">
      <c r="A204" s="131" t="s">
        <v>1482</v>
      </c>
      <c r="B204" s="132" t="s">
        <v>2942</v>
      </c>
      <c r="C204" s="133" t="s">
        <v>2943</v>
      </c>
      <c r="D204" s="136" t="s">
        <v>2907</v>
      </c>
      <c r="E204" s="135">
        <v>0.0003</v>
      </c>
      <c r="F204" s="136">
        <f t="shared" si="18"/>
        <v>0.0503</v>
      </c>
      <c r="G204" s="153" t="s">
        <v>2944</v>
      </c>
      <c r="H204" s="134"/>
      <c r="I204" s="136">
        <v>8858890730154</v>
      </c>
      <c r="J204" s="136" t="s">
        <v>753</v>
      </c>
      <c r="K204" s="139"/>
      <c r="L204" s="130"/>
      <c r="M204" s="130"/>
      <c r="N204" s="130"/>
      <c r="O204" s="130"/>
      <c r="P204" s="130"/>
      <c r="Q204" s="130"/>
    </row>
    <row r="205" ht="15.75" customHeight="1" spans="1:17" x14ac:dyDescent="0.25">
      <c r="A205" s="131" t="s">
        <v>1736</v>
      </c>
      <c r="B205" s="132" t="s">
        <v>2945</v>
      </c>
      <c r="C205" s="133" t="s">
        <v>2946</v>
      </c>
      <c r="D205" s="136" t="s">
        <v>2907</v>
      </c>
      <c r="E205" s="135">
        <v>0.03</v>
      </c>
      <c r="F205" s="136">
        <f t="shared" si="18"/>
        <v>0.08</v>
      </c>
      <c r="G205" s="137"/>
      <c r="H205" s="134"/>
      <c r="I205" s="136">
        <v>8858890731601</v>
      </c>
      <c r="J205" s="136" t="s">
        <v>753</v>
      </c>
      <c r="K205" s="139"/>
      <c r="L205" s="130"/>
      <c r="M205" s="130"/>
      <c r="N205" s="130"/>
      <c r="O205" s="130"/>
      <c r="P205" s="130"/>
      <c r="Q205" s="130"/>
    </row>
    <row r="206" ht="15.75" customHeight="1" spans="1:17" x14ac:dyDescent="0.25">
      <c r="A206" s="131" t="s">
        <v>1738</v>
      </c>
      <c r="B206" s="132" t="s">
        <v>2947</v>
      </c>
      <c r="C206" s="133" t="s">
        <v>2948</v>
      </c>
      <c r="D206" s="136" t="s">
        <v>2907</v>
      </c>
      <c r="E206" s="135">
        <v>0.003</v>
      </c>
      <c r="F206" s="136">
        <f t="shared" si="18"/>
        <v>0.053</v>
      </c>
      <c r="G206" s="153" t="s">
        <v>2944</v>
      </c>
      <c r="H206" s="134"/>
      <c r="I206" s="136">
        <v>8858890730147</v>
      </c>
      <c r="J206" s="136" t="s">
        <v>753</v>
      </c>
      <c r="K206" s="139"/>
      <c r="L206" s="130"/>
      <c r="M206" s="130"/>
      <c r="N206" s="130"/>
      <c r="O206" s="130"/>
      <c r="P206" s="130"/>
      <c r="Q206" s="130"/>
    </row>
    <row r="207" ht="15.75" customHeight="1" spans="1:17" x14ac:dyDescent="0.25">
      <c r="A207" s="131" t="s">
        <v>1241</v>
      </c>
      <c r="B207" s="132" t="s">
        <v>2949</v>
      </c>
      <c r="C207" s="133" t="s">
        <v>2950</v>
      </c>
      <c r="D207" s="136" t="s">
        <v>2907</v>
      </c>
      <c r="E207" s="135">
        <v>0.032</v>
      </c>
      <c r="F207" s="136">
        <f t="shared" si="18"/>
        <v>0.082</v>
      </c>
      <c r="G207" s="153" t="s">
        <v>2641</v>
      </c>
      <c r="H207" s="134"/>
      <c r="I207" s="136">
        <v>8858890730192</v>
      </c>
      <c r="J207" s="136" t="s">
        <v>753</v>
      </c>
      <c r="K207" s="139"/>
      <c r="L207" s="130"/>
      <c r="M207" s="130"/>
      <c r="N207" s="130"/>
      <c r="O207" s="130"/>
      <c r="P207" s="130"/>
      <c r="Q207" s="130"/>
    </row>
    <row r="208" ht="15.75" customHeight="1" spans="1:17" x14ac:dyDescent="0.25">
      <c r="A208" s="131" t="s">
        <v>1109</v>
      </c>
      <c r="B208" s="132" t="s">
        <v>2951</v>
      </c>
      <c r="C208" s="133" t="s">
        <v>2952</v>
      </c>
      <c r="D208" s="134"/>
      <c r="E208" s="137"/>
      <c r="F208" s="134"/>
      <c r="G208" s="153" t="s">
        <v>2953</v>
      </c>
      <c r="H208" s="134"/>
      <c r="I208" s="134"/>
      <c r="J208" s="134"/>
      <c r="K208" s="139"/>
      <c r="L208" s="130"/>
      <c r="M208" s="130"/>
      <c r="N208" s="130"/>
      <c r="O208" s="130"/>
      <c r="P208" s="130"/>
      <c r="Q208" s="130"/>
    </row>
    <row r="209" ht="15.75" customHeight="1" spans="1:17" x14ac:dyDescent="0.25">
      <c r="A209" s="131" t="s">
        <v>2954</v>
      </c>
      <c r="B209" s="132" t="s">
        <v>2955</v>
      </c>
      <c r="C209" s="133" t="s">
        <v>2956</v>
      </c>
      <c r="D209" s="136" t="s">
        <v>2907</v>
      </c>
      <c r="E209" s="135">
        <v>0.013</v>
      </c>
      <c r="F209" s="136">
        <f t="shared" ref="F209:F214" si="19">E:E+0.05</f>
        <v>0.063</v>
      </c>
      <c r="G209" s="153" t="s">
        <v>2957</v>
      </c>
      <c r="H209" s="134"/>
      <c r="I209" s="136">
        <v>8858890730130</v>
      </c>
      <c r="J209" s="136" t="s">
        <v>753</v>
      </c>
      <c r="K209" s="139"/>
      <c r="L209" s="130"/>
      <c r="M209" s="130"/>
      <c r="N209" s="130"/>
      <c r="O209" s="130"/>
      <c r="P209" s="130"/>
      <c r="Q209" s="130"/>
    </row>
    <row r="210" ht="15.75" customHeight="1" spans="1:17" x14ac:dyDescent="0.25">
      <c r="A210" s="131" t="s">
        <v>1244</v>
      </c>
      <c r="B210" s="132" t="s">
        <v>2958</v>
      </c>
      <c r="C210" s="133" t="s">
        <v>2959</v>
      </c>
      <c r="D210" s="136" t="s">
        <v>2907</v>
      </c>
      <c r="E210" s="135">
        <v>0.007</v>
      </c>
      <c r="F210" s="136">
        <f t="shared" si="19"/>
        <v>0.057</v>
      </c>
      <c r="G210" s="153" t="s">
        <v>2960</v>
      </c>
      <c r="H210" s="134"/>
      <c r="I210" s="136">
        <v>8858890732196</v>
      </c>
      <c r="J210" s="136" t="s">
        <v>753</v>
      </c>
      <c r="K210" s="139"/>
      <c r="L210" s="130"/>
      <c r="M210" s="130"/>
      <c r="N210" s="130"/>
      <c r="O210" s="130"/>
      <c r="P210" s="130"/>
      <c r="Q210" s="130"/>
    </row>
    <row r="211" ht="15.75" customHeight="1" spans="1:17" x14ac:dyDescent="0.25">
      <c r="A211" s="131" t="s">
        <v>393</v>
      </c>
      <c r="B211" s="132" t="s">
        <v>1132</v>
      </c>
      <c r="C211" s="133" t="s">
        <v>2961</v>
      </c>
      <c r="D211" s="134"/>
      <c r="E211" s="137"/>
      <c r="F211" s="136">
        <f t="shared" si="19"/>
        <v>0.05</v>
      </c>
      <c r="G211" s="153" t="s">
        <v>2962</v>
      </c>
      <c r="H211" s="134"/>
      <c r="I211" s="136">
        <v>8858890795894</v>
      </c>
      <c r="J211" s="136" t="s">
        <v>2582</v>
      </c>
      <c r="K211" s="154" t="s">
        <v>2963</v>
      </c>
      <c r="L211" s="130"/>
      <c r="M211" s="130"/>
      <c r="N211" s="130"/>
      <c r="O211" s="130"/>
      <c r="P211" s="130"/>
      <c r="Q211" s="130"/>
    </row>
    <row r="212" ht="15.75" customHeight="1" spans="1:17" x14ac:dyDescent="0.25">
      <c r="A212" s="131" t="s">
        <v>2964</v>
      </c>
      <c r="B212" s="132" t="s">
        <v>2965</v>
      </c>
      <c r="C212" s="133" t="s">
        <v>2966</v>
      </c>
      <c r="D212" s="134"/>
      <c r="E212" s="137"/>
      <c r="F212" s="136">
        <f t="shared" si="19"/>
        <v>0.05</v>
      </c>
      <c r="G212" s="153" t="s">
        <v>2967</v>
      </c>
      <c r="H212" s="134"/>
      <c r="I212" s="136">
        <v>885889079579501</v>
      </c>
      <c r="J212" s="136" t="s">
        <v>2582</v>
      </c>
      <c r="K212" s="154" t="s">
        <v>2968</v>
      </c>
      <c r="L212" s="130"/>
      <c r="M212" s="130"/>
      <c r="N212" s="130"/>
      <c r="O212" s="130"/>
      <c r="P212" s="130"/>
      <c r="Q212" s="130"/>
    </row>
    <row r="213" ht="15.75" customHeight="1" spans="1:17" x14ac:dyDescent="0.25">
      <c r="A213" s="131" t="s">
        <v>2969</v>
      </c>
      <c r="B213" s="132" t="s">
        <v>2970</v>
      </c>
      <c r="C213" s="133" t="s">
        <v>2966</v>
      </c>
      <c r="D213" s="134"/>
      <c r="E213" s="137"/>
      <c r="F213" s="136">
        <f t="shared" si="19"/>
        <v>0.05</v>
      </c>
      <c r="G213" s="153" t="s">
        <v>2967</v>
      </c>
      <c r="H213" s="134"/>
      <c r="I213" s="136">
        <v>885889079579502</v>
      </c>
      <c r="J213" s="136" t="s">
        <v>2582</v>
      </c>
      <c r="K213" s="154" t="s">
        <v>2968</v>
      </c>
      <c r="L213" s="130"/>
      <c r="M213" s="130"/>
      <c r="N213" s="130"/>
      <c r="O213" s="130"/>
      <c r="P213" s="130"/>
      <c r="Q213" s="130"/>
    </row>
    <row r="214" ht="15.75" customHeight="1" spans="1:17" x14ac:dyDescent="0.25">
      <c r="A214" s="131" t="s">
        <v>2971</v>
      </c>
      <c r="B214" s="132" t="s">
        <v>2972</v>
      </c>
      <c r="C214" s="133" t="s">
        <v>2966</v>
      </c>
      <c r="D214" s="134"/>
      <c r="E214" s="137"/>
      <c r="F214" s="136">
        <f t="shared" si="19"/>
        <v>0.05</v>
      </c>
      <c r="G214" s="153" t="s">
        <v>2967</v>
      </c>
      <c r="H214" s="134"/>
      <c r="I214" s="136">
        <v>885889079579503</v>
      </c>
      <c r="J214" s="136" t="s">
        <v>2582</v>
      </c>
      <c r="K214" s="154" t="s">
        <v>2968</v>
      </c>
      <c r="L214" s="130"/>
      <c r="M214" s="130"/>
      <c r="N214" s="130"/>
      <c r="O214" s="130"/>
      <c r="P214" s="130"/>
      <c r="Q214" s="130"/>
    </row>
    <row r="215" ht="15.75" customHeight="1" spans="1:17" x14ac:dyDescent="0.25">
      <c r="A215" s="131" t="s">
        <v>749</v>
      </c>
      <c r="B215" s="132" t="s">
        <v>751</v>
      </c>
      <c r="C215" s="133" t="s">
        <v>2973</v>
      </c>
      <c r="D215" s="134"/>
      <c r="E215" s="137"/>
      <c r="F215" s="134"/>
      <c r="G215" s="153" t="s">
        <v>2974</v>
      </c>
      <c r="H215" s="134"/>
      <c r="I215" s="134"/>
      <c r="J215" s="134"/>
      <c r="K215" s="154" t="s">
        <v>2975</v>
      </c>
      <c r="L215" s="130"/>
      <c r="M215" s="130"/>
      <c r="N215" s="130"/>
      <c r="O215" s="130"/>
      <c r="P215" s="130"/>
      <c r="Q215" s="130"/>
    </row>
    <row r="216" ht="15.75" customHeight="1" spans="1:17" x14ac:dyDescent="0.25">
      <c r="A216" s="131" t="s">
        <v>421</v>
      </c>
      <c r="B216" s="132" t="s">
        <v>2976</v>
      </c>
      <c r="C216" s="133" t="s">
        <v>2977</v>
      </c>
      <c r="D216" s="134"/>
      <c r="E216" s="137"/>
      <c r="F216" s="134"/>
      <c r="G216" s="153" t="s">
        <v>2978</v>
      </c>
      <c r="H216" s="134"/>
      <c r="I216" s="136">
        <v>8858890790325</v>
      </c>
      <c r="J216" s="134"/>
      <c r="K216" s="154" t="s">
        <v>2979</v>
      </c>
      <c r="L216" s="130"/>
      <c r="M216" s="130"/>
      <c r="N216" s="130"/>
      <c r="O216" s="130"/>
      <c r="P216" s="130"/>
      <c r="Q216" s="130"/>
    </row>
    <row r="217" ht="15.75" customHeight="1" spans="1:17" x14ac:dyDescent="0.25">
      <c r="A217" s="131" t="s">
        <v>1246</v>
      </c>
      <c r="B217" s="132" t="s">
        <v>2980</v>
      </c>
      <c r="C217" s="133" t="s">
        <v>2981</v>
      </c>
      <c r="D217" s="134"/>
      <c r="E217" s="137"/>
      <c r="F217" s="134"/>
      <c r="G217" s="137"/>
      <c r="H217" s="134"/>
      <c r="I217" s="136">
        <v>8858890790547</v>
      </c>
      <c r="J217" s="134"/>
      <c r="K217" s="139"/>
      <c r="L217" s="130"/>
      <c r="M217" s="130"/>
      <c r="N217" s="130"/>
      <c r="O217" s="130"/>
      <c r="P217" s="130"/>
      <c r="Q217" s="130"/>
    </row>
    <row r="218" ht="15.75" customHeight="1" spans="1:17" x14ac:dyDescent="0.25">
      <c r="A218" s="131" t="s">
        <v>2982</v>
      </c>
      <c r="B218" s="132" t="s">
        <v>2983</v>
      </c>
      <c r="C218" s="133" t="s">
        <v>2984</v>
      </c>
      <c r="D218" s="134"/>
      <c r="E218" s="137"/>
      <c r="F218" s="134"/>
      <c r="G218" s="153" t="s">
        <v>2985</v>
      </c>
      <c r="H218" s="134"/>
      <c r="I218" s="136">
        <v>8858890791926</v>
      </c>
      <c r="J218" s="134"/>
      <c r="K218" s="154" t="s">
        <v>2986</v>
      </c>
      <c r="L218" s="130"/>
      <c r="M218" s="130"/>
      <c r="N218" s="130"/>
      <c r="O218" s="130"/>
      <c r="P218" s="130"/>
      <c r="Q218" s="130"/>
    </row>
    <row r="219" ht="15.75" customHeight="1" spans="1:17" x14ac:dyDescent="0.25">
      <c r="A219" s="131" t="s">
        <v>2987</v>
      </c>
      <c r="B219" s="132" t="s">
        <v>2988</v>
      </c>
      <c r="C219" s="133" t="s">
        <v>2989</v>
      </c>
      <c r="D219" s="134"/>
      <c r="E219" s="137"/>
      <c r="F219" s="134"/>
      <c r="G219" s="153" t="s">
        <v>2990</v>
      </c>
      <c r="H219" s="134"/>
      <c r="I219" s="136">
        <v>8858890791537</v>
      </c>
      <c r="J219" s="134"/>
      <c r="K219" s="154" t="s">
        <v>2986</v>
      </c>
      <c r="L219" s="130"/>
      <c r="M219" s="130"/>
      <c r="N219" s="130"/>
      <c r="O219" s="130"/>
      <c r="P219" s="130"/>
      <c r="Q219" s="130"/>
    </row>
    <row r="220" ht="15.75" customHeight="1" spans="1:17" x14ac:dyDescent="0.25">
      <c r="A220" s="131" t="s">
        <v>2991</v>
      </c>
      <c r="B220" s="132" t="s">
        <v>2992</v>
      </c>
      <c r="C220" s="133" t="s">
        <v>2993</v>
      </c>
      <c r="D220" s="134"/>
      <c r="E220" s="137"/>
      <c r="F220" s="134"/>
      <c r="G220" s="153" t="s">
        <v>2994</v>
      </c>
      <c r="H220" s="134"/>
      <c r="I220" s="157">
        <v>8858890791544</v>
      </c>
      <c r="J220" s="134"/>
      <c r="K220" s="154" t="s">
        <v>2986</v>
      </c>
      <c r="L220" s="130"/>
      <c r="M220" s="130"/>
      <c r="N220" s="130"/>
      <c r="O220" s="130"/>
      <c r="P220" s="130"/>
      <c r="Q220" s="130"/>
    </row>
    <row r="221" ht="15.75" customHeight="1" spans="1:17" x14ac:dyDescent="0.25">
      <c r="A221" s="131" t="s">
        <v>2995</v>
      </c>
      <c r="B221" s="132" t="s">
        <v>2996</v>
      </c>
      <c r="C221" s="133" t="s">
        <v>2997</v>
      </c>
      <c r="D221" s="134"/>
      <c r="E221" s="137"/>
      <c r="F221" s="134"/>
      <c r="G221" s="153" t="s">
        <v>2998</v>
      </c>
      <c r="H221" s="134"/>
      <c r="I221" s="136">
        <v>8858890791520</v>
      </c>
      <c r="J221" s="134"/>
      <c r="K221" s="154" t="s">
        <v>2986</v>
      </c>
      <c r="L221" s="130"/>
      <c r="M221" s="130"/>
      <c r="N221" s="130"/>
      <c r="O221" s="130"/>
      <c r="P221" s="130"/>
      <c r="Q221" s="130"/>
    </row>
    <row r="222" ht="15.75" customHeight="1" spans="1:17" x14ac:dyDescent="0.25">
      <c r="A222" s="131" t="s">
        <v>2999</v>
      </c>
      <c r="B222" s="132" t="s">
        <v>3000</v>
      </c>
      <c r="C222" s="133" t="s">
        <v>3001</v>
      </c>
      <c r="D222" s="134"/>
      <c r="E222" s="137"/>
      <c r="F222" s="134"/>
      <c r="G222" s="153" t="s">
        <v>3002</v>
      </c>
      <c r="H222" s="134"/>
      <c r="I222" s="136">
        <v>8858890791483</v>
      </c>
      <c r="J222" s="134"/>
      <c r="K222" s="154" t="s">
        <v>2986</v>
      </c>
      <c r="L222" s="130"/>
      <c r="M222" s="130"/>
      <c r="N222" s="130"/>
      <c r="O222" s="130"/>
      <c r="P222" s="130"/>
      <c r="Q222" s="130"/>
    </row>
    <row r="223" ht="15.75" customHeight="1" spans="1:17" x14ac:dyDescent="0.25">
      <c r="A223" s="131" t="s">
        <v>3003</v>
      </c>
      <c r="B223" s="132" t="s">
        <v>3004</v>
      </c>
      <c r="C223" s="133" t="s">
        <v>3005</v>
      </c>
      <c r="D223" s="134"/>
      <c r="E223" s="137"/>
      <c r="F223" s="134"/>
      <c r="G223" s="153" t="s">
        <v>3006</v>
      </c>
      <c r="H223" s="134"/>
      <c r="I223" s="136">
        <v>8858890791513</v>
      </c>
      <c r="J223" s="134"/>
      <c r="K223" s="154" t="s">
        <v>2986</v>
      </c>
      <c r="L223" s="130"/>
      <c r="M223" s="130"/>
      <c r="N223" s="130"/>
      <c r="O223" s="130"/>
      <c r="P223" s="130"/>
      <c r="Q223" s="130"/>
    </row>
    <row r="224" ht="15.75" customHeight="1" spans="1:17" x14ac:dyDescent="0.25">
      <c r="A224" s="131" t="s">
        <v>3007</v>
      </c>
      <c r="B224" s="132" t="s">
        <v>3008</v>
      </c>
      <c r="C224" s="133" t="s">
        <v>3009</v>
      </c>
      <c r="D224" s="134"/>
      <c r="E224" s="137"/>
      <c r="F224" s="134"/>
      <c r="G224" s="153" t="s">
        <v>3010</v>
      </c>
      <c r="H224" s="134"/>
      <c r="I224" s="136">
        <v>8858890791919</v>
      </c>
      <c r="J224" s="134"/>
      <c r="K224" s="154" t="s">
        <v>2986</v>
      </c>
      <c r="L224" s="130"/>
      <c r="M224" s="130"/>
      <c r="N224" s="130"/>
      <c r="O224" s="130"/>
      <c r="P224" s="130"/>
      <c r="Q224" s="130"/>
    </row>
    <row r="225" ht="15.75" customHeight="1" spans="1:17" x14ac:dyDescent="0.25">
      <c r="A225" s="131" t="s">
        <v>3011</v>
      </c>
      <c r="B225" s="132" t="s">
        <v>3012</v>
      </c>
      <c r="C225" s="133" t="s">
        <v>3013</v>
      </c>
      <c r="D225" s="134"/>
      <c r="E225" s="137"/>
      <c r="F225" s="134"/>
      <c r="G225" s="153" t="s">
        <v>3014</v>
      </c>
      <c r="H225" s="134"/>
      <c r="I225" s="136">
        <v>8858890791490</v>
      </c>
      <c r="J225" s="134"/>
      <c r="K225" s="154" t="s">
        <v>2986</v>
      </c>
      <c r="L225" s="130"/>
      <c r="M225" s="130"/>
      <c r="N225" s="130"/>
      <c r="O225" s="130"/>
      <c r="P225" s="130"/>
      <c r="Q225" s="130"/>
    </row>
    <row r="226" ht="15.75" customHeight="1" spans="1:17" x14ac:dyDescent="0.25">
      <c r="A226" s="131" t="s">
        <v>3015</v>
      </c>
      <c r="B226" s="132" t="s">
        <v>3016</v>
      </c>
      <c r="C226" s="133" t="s">
        <v>3017</v>
      </c>
      <c r="D226" s="134"/>
      <c r="E226" s="137"/>
      <c r="F226" s="134"/>
      <c r="G226" s="153" t="s">
        <v>3018</v>
      </c>
      <c r="H226" s="134"/>
      <c r="I226" s="136">
        <v>885889079150604</v>
      </c>
      <c r="J226" s="134"/>
      <c r="K226" s="154" t="s">
        <v>2986</v>
      </c>
      <c r="L226" s="130"/>
      <c r="M226" s="130"/>
      <c r="N226" s="130"/>
      <c r="O226" s="130"/>
      <c r="P226" s="130"/>
      <c r="Q226" s="130"/>
    </row>
    <row r="227" ht="15.75" customHeight="1" spans="1:17" x14ac:dyDescent="0.25">
      <c r="A227" s="131" t="s">
        <v>3019</v>
      </c>
      <c r="B227" s="132" t="s">
        <v>3020</v>
      </c>
      <c r="C227" s="133" t="s">
        <v>3021</v>
      </c>
      <c r="D227" s="134"/>
      <c r="E227" s="137"/>
      <c r="F227" s="134"/>
      <c r="G227" s="153" t="s">
        <v>3022</v>
      </c>
      <c r="H227" s="134"/>
      <c r="I227" s="136">
        <v>8858890793180</v>
      </c>
      <c r="J227" s="134"/>
      <c r="K227" s="154" t="s">
        <v>2986</v>
      </c>
      <c r="L227" s="130"/>
      <c r="M227" s="130"/>
      <c r="N227" s="130"/>
      <c r="O227" s="130"/>
      <c r="P227" s="130"/>
      <c r="Q227" s="130"/>
    </row>
    <row r="228" ht="15.75" customHeight="1" spans="1:17" x14ac:dyDescent="0.25">
      <c r="A228" s="131" t="s">
        <v>1393</v>
      </c>
      <c r="B228" s="132" t="s">
        <v>3023</v>
      </c>
      <c r="C228" s="133" t="s">
        <v>3024</v>
      </c>
      <c r="D228" s="134"/>
      <c r="E228" s="137"/>
      <c r="F228" s="134"/>
      <c r="G228" s="153" t="s">
        <v>3025</v>
      </c>
      <c r="H228" s="134"/>
      <c r="I228" s="136">
        <v>8858890793858</v>
      </c>
      <c r="J228" s="134"/>
      <c r="K228" s="154" t="s">
        <v>3026</v>
      </c>
      <c r="L228" s="130"/>
      <c r="M228" s="130"/>
      <c r="N228" s="130"/>
      <c r="O228" s="130"/>
      <c r="P228" s="130"/>
      <c r="Q228" s="130"/>
    </row>
    <row r="229" ht="15.75" customHeight="1" spans="1:17" x14ac:dyDescent="0.25">
      <c r="A229" s="131" t="s">
        <v>432</v>
      </c>
      <c r="B229" s="132" t="s">
        <v>3027</v>
      </c>
      <c r="C229" s="133" t="s">
        <v>3028</v>
      </c>
      <c r="D229" s="134"/>
      <c r="E229" s="137"/>
      <c r="F229" s="134"/>
      <c r="G229" s="153" t="s">
        <v>3029</v>
      </c>
      <c r="H229" s="134"/>
      <c r="I229" s="136">
        <v>8858890794033</v>
      </c>
      <c r="J229" s="134"/>
      <c r="K229" s="154" t="s">
        <v>3030</v>
      </c>
      <c r="L229" s="130"/>
      <c r="M229" s="130"/>
      <c r="N229" s="130"/>
      <c r="O229" s="130"/>
      <c r="P229" s="130"/>
      <c r="Q229" s="130"/>
    </row>
    <row r="230" ht="15.75" customHeight="1" spans="1:17" x14ac:dyDescent="0.25">
      <c r="A230" s="131" t="s">
        <v>443</v>
      </c>
      <c r="B230" s="132" t="s">
        <v>3031</v>
      </c>
      <c r="C230" s="133" t="s">
        <v>3032</v>
      </c>
      <c r="D230" s="134"/>
      <c r="E230" s="137"/>
      <c r="F230" s="134"/>
      <c r="G230" s="153" t="s">
        <v>3033</v>
      </c>
      <c r="H230" s="134"/>
      <c r="I230" s="136">
        <v>8858890794453</v>
      </c>
      <c r="J230" s="134"/>
      <c r="K230" s="154" t="s">
        <v>3030</v>
      </c>
      <c r="L230" s="130"/>
      <c r="M230" s="130"/>
      <c r="N230" s="130"/>
      <c r="O230" s="130"/>
      <c r="P230" s="130"/>
      <c r="Q230" s="130"/>
    </row>
    <row r="231" ht="15.75" customHeight="1" spans="1:17" x14ac:dyDescent="0.25">
      <c r="A231" s="131" t="s">
        <v>596</v>
      </c>
      <c r="B231" s="132" t="s">
        <v>3034</v>
      </c>
      <c r="C231" s="133" t="s">
        <v>3035</v>
      </c>
      <c r="D231" s="136" t="s">
        <v>2595</v>
      </c>
      <c r="E231" s="135">
        <v>0.109</v>
      </c>
      <c r="F231" s="136">
        <f>E:E+0.05</f>
        <v>0.159</v>
      </c>
      <c r="G231" s="153" t="s">
        <v>3036</v>
      </c>
      <c r="H231" s="134"/>
      <c r="I231" s="136">
        <v>8858890781811</v>
      </c>
      <c r="J231" s="136" t="s">
        <v>753</v>
      </c>
      <c r="K231" s="139"/>
      <c r="L231" s="130"/>
      <c r="M231" s="130"/>
      <c r="N231" s="130"/>
      <c r="O231" s="130"/>
      <c r="P231" s="130"/>
      <c r="Q231" s="130"/>
    </row>
    <row r="232" ht="15.75" customHeight="1" spans="1:17" x14ac:dyDescent="0.25">
      <c r="A232" s="131" t="s">
        <v>1129</v>
      </c>
      <c r="B232" s="132" t="s">
        <v>3037</v>
      </c>
      <c r="C232" s="133" t="s">
        <v>3038</v>
      </c>
      <c r="D232" s="134"/>
      <c r="E232" s="137"/>
      <c r="F232" s="134"/>
      <c r="G232" s="153" t="s">
        <v>3039</v>
      </c>
      <c r="H232" s="134"/>
      <c r="I232" s="134"/>
      <c r="J232" s="134"/>
      <c r="K232" s="139"/>
      <c r="L232" s="130"/>
      <c r="M232" s="130"/>
      <c r="N232" s="130"/>
      <c r="O232" s="130"/>
      <c r="P232" s="130"/>
      <c r="Q232" s="130"/>
    </row>
    <row r="233" ht="15.75" customHeight="1" spans="1:17" x14ac:dyDescent="0.25">
      <c r="A233" s="131" t="s">
        <v>756</v>
      </c>
      <c r="B233" s="132" t="s">
        <v>2712</v>
      </c>
      <c r="C233" s="133" t="s">
        <v>3040</v>
      </c>
      <c r="D233" s="136" t="s">
        <v>2714</v>
      </c>
      <c r="E233" s="135">
        <v>0.203</v>
      </c>
      <c r="F233" s="136">
        <f t="shared" ref="F233:F244" si="20">E:E+0.05</f>
        <v>0.253</v>
      </c>
      <c r="G233" s="153" t="s">
        <v>3041</v>
      </c>
      <c r="H233" s="134"/>
      <c r="I233" s="136">
        <v>8858890760946</v>
      </c>
      <c r="J233" s="136" t="s">
        <v>753</v>
      </c>
      <c r="K233" s="139"/>
      <c r="L233" s="130"/>
      <c r="M233" s="130"/>
      <c r="N233" s="130"/>
      <c r="O233" s="130"/>
      <c r="P233" s="130"/>
      <c r="Q233" s="130"/>
    </row>
    <row r="234" ht="15.75" customHeight="1" spans="1:17" x14ac:dyDescent="0.25">
      <c r="A234" s="131" t="s">
        <v>3042</v>
      </c>
      <c r="B234" s="132" t="s">
        <v>3043</v>
      </c>
      <c r="C234" s="133" t="s">
        <v>3044</v>
      </c>
      <c r="D234" s="136" t="s">
        <v>2714</v>
      </c>
      <c r="E234" s="135">
        <v>0.101</v>
      </c>
      <c r="F234" s="136">
        <f t="shared" si="20"/>
        <v>0.151</v>
      </c>
      <c r="G234" s="153" t="s">
        <v>3041</v>
      </c>
      <c r="H234" s="134"/>
      <c r="I234" s="136">
        <v>885889076094601</v>
      </c>
      <c r="J234" s="136" t="s">
        <v>753</v>
      </c>
      <c r="K234" s="139"/>
      <c r="L234" s="130"/>
      <c r="M234" s="130"/>
      <c r="N234" s="130"/>
      <c r="O234" s="130"/>
      <c r="P234" s="130"/>
      <c r="Q234" s="130"/>
    </row>
    <row r="235" ht="15.75" customHeight="1" spans="1:17" x14ac:dyDescent="0.25">
      <c r="A235" s="131" t="s">
        <v>3045</v>
      </c>
      <c r="B235" s="132" t="s">
        <v>3046</v>
      </c>
      <c r="C235" s="133" t="s">
        <v>3047</v>
      </c>
      <c r="D235" s="136" t="s">
        <v>2714</v>
      </c>
      <c r="E235" s="135">
        <v>0.101</v>
      </c>
      <c r="F235" s="136">
        <f t="shared" si="20"/>
        <v>0.151</v>
      </c>
      <c r="G235" s="153" t="s">
        <v>3041</v>
      </c>
      <c r="H235" s="134"/>
      <c r="I235" s="136">
        <v>885889076094602</v>
      </c>
      <c r="J235" s="136" t="s">
        <v>753</v>
      </c>
      <c r="K235" s="139"/>
      <c r="L235" s="130"/>
      <c r="M235" s="130"/>
      <c r="N235" s="130"/>
      <c r="O235" s="130"/>
      <c r="P235" s="130"/>
      <c r="Q235" s="130"/>
    </row>
    <row r="236" ht="15.75" customHeight="1" spans="1:17" x14ac:dyDescent="0.25">
      <c r="A236" s="131" t="s">
        <v>1427</v>
      </c>
      <c r="B236" s="132" t="s">
        <v>2712</v>
      </c>
      <c r="C236" s="133" t="s">
        <v>3048</v>
      </c>
      <c r="D236" s="136" t="s">
        <v>2714</v>
      </c>
      <c r="E236" s="135">
        <v>0.062</v>
      </c>
      <c r="F236" s="136">
        <f t="shared" si="20"/>
        <v>0.112</v>
      </c>
      <c r="G236" s="153" t="s">
        <v>3049</v>
      </c>
      <c r="H236" s="134"/>
      <c r="I236" s="136">
        <v>8858890760953</v>
      </c>
      <c r="J236" s="136" t="s">
        <v>753</v>
      </c>
      <c r="K236" s="139"/>
      <c r="L236" s="130"/>
      <c r="M236" s="130"/>
      <c r="N236" s="130"/>
      <c r="O236" s="130"/>
      <c r="P236" s="130"/>
      <c r="Q236" s="130"/>
    </row>
    <row r="237" ht="15.75" customHeight="1" spans="1:17" x14ac:dyDescent="0.25">
      <c r="A237" s="131" t="s">
        <v>3050</v>
      </c>
      <c r="B237" s="132" t="s">
        <v>3051</v>
      </c>
      <c r="C237" s="133" t="s">
        <v>3052</v>
      </c>
      <c r="D237" s="134"/>
      <c r="E237" s="137"/>
      <c r="F237" s="136">
        <f t="shared" si="20"/>
        <v>0.05</v>
      </c>
      <c r="G237" s="153" t="s">
        <v>2760</v>
      </c>
      <c r="H237" s="134"/>
      <c r="I237" s="136">
        <v>885889079505404</v>
      </c>
      <c r="J237" s="136" t="s">
        <v>753</v>
      </c>
      <c r="K237" s="154" t="s">
        <v>3053</v>
      </c>
      <c r="L237" s="130"/>
      <c r="M237" s="130"/>
      <c r="N237" s="130"/>
      <c r="O237" s="130"/>
      <c r="P237" s="130"/>
      <c r="Q237" s="130"/>
    </row>
    <row r="238" ht="15.75" customHeight="1" spans="1:17" x14ac:dyDescent="0.25">
      <c r="A238" s="131" t="s">
        <v>3054</v>
      </c>
      <c r="B238" s="132" t="s">
        <v>3055</v>
      </c>
      <c r="C238" s="133" t="s">
        <v>3056</v>
      </c>
      <c r="D238" s="136" t="s">
        <v>2595</v>
      </c>
      <c r="E238" s="135">
        <v>0.01</v>
      </c>
      <c r="F238" s="136">
        <f t="shared" si="20"/>
        <v>0.06</v>
      </c>
      <c r="G238" s="153" t="s">
        <v>3057</v>
      </c>
      <c r="H238" s="134"/>
      <c r="I238" s="136">
        <v>8858890780128</v>
      </c>
      <c r="J238" s="136" t="s">
        <v>753</v>
      </c>
      <c r="K238" s="139"/>
      <c r="L238" s="130"/>
      <c r="M238" s="130"/>
      <c r="N238" s="130"/>
      <c r="O238" s="130"/>
      <c r="P238" s="130"/>
      <c r="Q238" s="130"/>
    </row>
    <row r="239" ht="15.75" customHeight="1" spans="1:17" x14ac:dyDescent="0.25">
      <c r="A239" s="131" t="s">
        <v>611</v>
      </c>
      <c r="B239" s="132" t="s">
        <v>3058</v>
      </c>
      <c r="C239" s="133" t="s">
        <v>3059</v>
      </c>
      <c r="D239" s="134"/>
      <c r="E239" s="137"/>
      <c r="F239" s="136">
        <f t="shared" si="20"/>
        <v>0.05</v>
      </c>
      <c r="G239" s="153" t="s">
        <v>3060</v>
      </c>
      <c r="H239" s="134"/>
      <c r="I239" s="136">
        <v>8858890790035</v>
      </c>
      <c r="J239" s="136" t="s">
        <v>753</v>
      </c>
      <c r="K239" s="154" t="s">
        <v>3061</v>
      </c>
      <c r="L239" s="130"/>
      <c r="M239" s="130"/>
      <c r="N239" s="130"/>
      <c r="O239" s="130"/>
      <c r="P239" s="130"/>
      <c r="Q239" s="130"/>
    </row>
    <row r="240" ht="15.75" customHeight="1" spans="1:17" x14ac:dyDescent="0.25">
      <c r="A240" s="131" t="s">
        <v>612</v>
      </c>
      <c r="B240" s="132" t="s">
        <v>3062</v>
      </c>
      <c r="C240" s="133" t="s">
        <v>3059</v>
      </c>
      <c r="D240" s="134"/>
      <c r="E240" s="137"/>
      <c r="F240" s="136">
        <f t="shared" si="20"/>
        <v>0.05</v>
      </c>
      <c r="G240" s="153" t="s">
        <v>3063</v>
      </c>
      <c r="H240" s="134"/>
      <c r="I240" s="136">
        <v>8858890790042</v>
      </c>
      <c r="J240" s="136" t="s">
        <v>753</v>
      </c>
      <c r="K240" s="154" t="s">
        <v>3061</v>
      </c>
      <c r="L240" s="130"/>
      <c r="M240" s="130"/>
      <c r="N240" s="130"/>
      <c r="O240" s="130"/>
      <c r="P240" s="130"/>
      <c r="Q240" s="130"/>
    </row>
    <row r="241" ht="15.75" customHeight="1" spans="1:17" x14ac:dyDescent="0.25">
      <c r="A241" s="131" t="s">
        <v>613</v>
      </c>
      <c r="B241" s="132" t="s">
        <v>3064</v>
      </c>
      <c r="C241" s="133" t="s">
        <v>3059</v>
      </c>
      <c r="D241" s="134"/>
      <c r="E241" s="137"/>
      <c r="F241" s="136">
        <f t="shared" si="20"/>
        <v>0.05</v>
      </c>
      <c r="G241" s="153" t="s">
        <v>3065</v>
      </c>
      <c r="H241" s="134"/>
      <c r="I241" s="136">
        <v>8858890790059</v>
      </c>
      <c r="J241" s="136" t="s">
        <v>753</v>
      </c>
      <c r="K241" s="154" t="s">
        <v>3061</v>
      </c>
      <c r="L241" s="130"/>
      <c r="M241" s="130"/>
      <c r="N241" s="130"/>
      <c r="O241" s="130"/>
      <c r="P241" s="130"/>
      <c r="Q241" s="130"/>
    </row>
    <row r="242" ht="15.75" customHeight="1" spans="1:17" x14ac:dyDescent="0.25">
      <c r="A242" s="131" t="s">
        <v>3066</v>
      </c>
      <c r="B242" s="132" t="s">
        <v>3067</v>
      </c>
      <c r="C242" s="133" t="s">
        <v>3059</v>
      </c>
      <c r="D242" s="134"/>
      <c r="E242" s="137"/>
      <c r="F242" s="136">
        <f t="shared" si="20"/>
        <v>0.05</v>
      </c>
      <c r="G242" s="153" t="s">
        <v>3068</v>
      </c>
      <c r="H242" s="134"/>
      <c r="I242" s="136">
        <v>8858890790066</v>
      </c>
      <c r="J242" s="136" t="s">
        <v>753</v>
      </c>
      <c r="K242" s="154" t="s">
        <v>3061</v>
      </c>
      <c r="L242" s="130"/>
      <c r="M242" s="130"/>
      <c r="N242" s="130"/>
      <c r="O242" s="130"/>
      <c r="P242" s="130"/>
      <c r="Q242" s="130"/>
    </row>
    <row r="243" ht="15.75" customHeight="1" spans="1:17" x14ac:dyDescent="0.25">
      <c r="A243" s="131" t="s">
        <v>614</v>
      </c>
      <c r="B243" s="132" t="s">
        <v>3069</v>
      </c>
      <c r="C243" s="133" t="s">
        <v>3059</v>
      </c>
      <c r="D243" s="134"/>
      <c r="E243" s="137"/>
      <c r="F243" s="136">
        <f t="shared" si="20"/>
        <v>0.05</v>
      </c>
      <c r="G243" s="153" t="s">
        <v>3070</v>
      </c>
      <c r="H243" s="134"/>
      <c r="I243" s="136">
        <v>8858890790073</v>
      </c>
      <c r="J243" s="136" t="s">
        <v>753</v>
      </c>
      <c r="K243" s="154" t="s">
        <v>3061</v>
      </c>
      <c r="L243" s="130"/>
      <c r="M243" s="130"/>
      <c r="N243" s="130"/>
      <c r="O243" s="130"/>
      <c r="P243" s="130"/>
      <c r="Q243" s="130"/>
    </row>
    <row r="244" ht="15.75" customHeight="1" spans="1:17" x14ac:dyDescent="0.25">
      <c r="A244" s="131" t="s">
        <v>1747</v>
      </c>
      <c r="B244" s="132" t="s">
        <v>3071</v>
      </c>
      <c r="C244" s="133" t="s">
        <v>3059</v>
      </c>
      <c r="D244" s="134"/>
      <c r="E244" s="137"/>
      <c r="F244" s="136">
        <f t="shared" si="20"/>
        <v>0.05</v>
      </c>
      <c r="G244" s="153" t="s">
        <v>3072</v>
      </c>
      <c r="H244" s="134"/>
      <c r="I244" s="136">
        <v>8858890790080</v>
      </c>
      <c r="J244" s="136" t="s">
        <v>753</v>
      </c>
      <c r="K244" s="154" t="s">
        <v>3061</v>
      </c>
      <c r="L244" s="130"/>
      <c r="M244" s="130"/>
      <c r="N244" s="130"/>
      <c r="O244" s="130"/>
      <c r="P244" s="130"/>
      <c r="Q244" s="130"/>
    </row>
    <row r="245" ht="15.75" customHeight="1" spans="1:17" x14ac:dyDescent="0.25">
      <c r="A245" s="131" t="s">
        <v>1589</v>
      </c>
      <c r="B245" s="132" t="s">
        <v>1592</v>
      </c>
      <c r="C245" s="133" t="s">
        <v>3073</v>
      </c>
      <c r="D245" s="134"/>
      <c r="E245" s="137"/>
      <c r="F245" s="134"/>
      <c r="G245" s="153" t="s">
        <v>3074</v>
      </c>
      <c r="H245" s="134"/>
      <c r="I245" s="136">
        <v>8858890794439</v>
      </c>
      <c r="J245" s="134"/>
      <c r="K245" s="139"/>
      <c r="L245" s="130"/>
      <c r="M245" s="130"/>
      <c r="N245" s="130"/>
      <c r="O245" s="130"/>
      <c r="P245" s="130"/>
      <c r="Q245" s="130"/>
    </row>
    <row r="246" ht="15.75" customHeight="1" spans="1:17" x14ac:dyDescent="0.25">
      <c r="A246" s="131" t="s">
        <v>1583</v>
      </c>
      <c r="B246" s="132" t="s">
        <v>3075</v>
      </c>
      <c r="C246" s="133" t="s">
        <v>3076</v>
      </c>
      <c r="D246" s="134"/>
      <c r="E246" s="137"/>
      <c r="F246" s="134"/>
      <c r="G246" s="153" t="s">
        <v>3077</v>
      </c>
      <c r="H246" s="134"/>
      <c r="I246" s="136">
        <v>8858890782351</v>
      </c>
      <c r="J246" s="134"/>
      <c r="K246" s="139"/>
      <c r="L246" s="130"/>
      <c r="M246" s="130"/>
      <c r="N246" s="130"/>
      <c r="O246" s="130"/>
      <c r="P246" s="130"/>
      <c r="Q246" s="130"/>
    </row>
    <row r="247" ht="15.75" customHeight="1" spans="1:17" x14ac:dyDescent="0.25">
      <c r="A247" s="131" t="s">
        <v>1421</v>
      </c>
      <c r="B247" s="132" t="s">
        <v>3078</v>
      </c>
      <c r="C247" s="133" t="s">
        <v>3079</v>
      </c>
      <c r="D247" s="136" t="s">
        <v>2595</v>
      </c>
      <c r="E247" s="135">
        <v>0.028</v>
      </c>
      <c r="F247" s="136">
        <f t="shared" ref="F247:F248" si="21">E:E+0.05</f>
        <v>0.078</v>
      </c>
      <c r="G247" s="153" t="s">
        <v>3077</v>
      </c>
      <c r="H247" s="134"/>
      <c r="I247" s="136">
        <v>8858890782344</v>
      </c>
      <c r="J247" s="136" t="s">
        <v>753</v>
      </c>
      <c r="K247" s="139"/>
      <c r="L247" s="130"/>
      <c r="M247" s="130"/>
      <c r="N247" s="130"/>
      <c r="O247" s="130"/>
      <c r="P247" s="130"/>
      <c r="Q247" s="130"/>
    </row>
    <row r="248" ht="15.75" customHeight="1" spans="1:17" x14ac:dyDescent="0.25">
      <c r="A248" s="131" t="s">
        <v>394</v>
      </c>
      <c r="B248" s="132" t="s">
        <v>882</v>
      </c>
      <c r="C248" s="133" t="s">
        <v>3080</v>
      </c>
      <c r="D248" s="134"/>
      <c r="E248" s="137"/>
      <c r="F248" s="136">
        <f t="shared" si="21"/>
        <v>0.05</v>
      </c>
      <c r="G248" s="153" t="s">
        <v>3081</v>
      </c>
      <c r="H248" s="134"/>
      <c r="I248" s="136">
        <v>8858890793319</v>
      </c>
      <c r="J248" s="136" t="s">
        <v>2582</v>
      </c>
      <c r="K248" s="138" t="s">
        <v>3082</v>
      </c>
      <c r="L248" s="130"/>
      <c r="M248" s="130"/>
      <c r="N248" s="130"/>
      <c r="O248" s="130"/>
      <c r="P248" s="130"/>
      <c r="Q248" s="130"/>
    </row>
    <row r="249" ht="15.75" customHeight="1" spans="1:17" x14ac:dyDescent="0.25">
      <c r="A249" s="131" t="s">
        <v>414</v>
      </c>
      <c r="B249" s="132" t="s">
        <v>3083</v>
      </c>
      <c r="C249" s="133" t="s">
        <v>3084</v>
      </c>
      <c r="D249" s="134"/>
      <c r="E249" s="135" t="s">
        <v>3085</v>
      </c>
      <c r="F249" s="134"/>
      <c r="G249" s="153" t="s">
        <v>3086</v>
      </c>
      <c r="H249" s="134"/>
      <c r="I249" s="136">
        <v>8858890793883</v>
      </c>
      <c r="J249" s="134"/>
      <c r="K249" s="154" t="s">
        <v>3087</v>
      </c>
      <c r="L249" s="130"/>
      <c r="M249" s="130"/>
      <c r="N249" s="130"/>
      <c r="O249" s="130"/>
      <c r="P249" s="130"/>
      <c r="Q249" s="130"/>
    </row>
    <row r="250" ht="15.75" customHeight="1" spans="1:17" x14ac:dyDescent="0.25">
      <c r="A250" s="131" t="s">
        <v>366</v>
      </c>
      <c r="B250" s="132" t="s">
        <v>3088</v>
      </c>
      <c r="C250" s="133" t="s">
        <v>3089</v>
      </c>
      <c r="D250" s="134"/>
      <c r="E250" s="137"/>
      <c r="F250" s="134"/>
      <c r="G250" s="153" t="s">
        <v>3090</v>
      </c>
      <c r="H250" s="134"/>
      <c r="I250" s="136">
        <v>8858890794385</v>
      </c>
      <c r="J250" s="134"/>
      <c r="K250" s="139"/>
      <c r="L250" s="130"/>
      <c r="M250" s="130"/>
      <c r="N250" s="130"/>
      <c r="O250" s="130"/>
      <c r="P250" s="130"/>
      <c r="Q250" s="130"/>
    </row>
    <row r="251" ht="15.75" customHeight="1" spans="1:17" x14ac:dyDescent="0.25">
      <c r="A251" s="131" t="s">
        <v>3091</v>
      </c>
      <c r="B251" s="132" t="s">
        <v>3092</v>
      </c>
      <c r="C251" s="133" t="s">
        <v>3093</v>
      </c>
      <c r="D251" s="134"/>
      <c r="E251" s="137"/>
      <c r="F251" s="134"/>
      <c r="G251" s="153" t="s">
        <v>3094</v>
      </c>
      <c r="H251" s="134"/>
      <c r="I251" s="134"/>
      <c r="J251" s="134"/>
      <c r="K251" s="139"/>
      <c r="L251" s="130"/>
      <c r="M251" s="130"/>
      <c r="N251" s="130"/>
      <c r="O251" s="130"/>
      <c r="P251" s="130"/>
      <c r="Q251" s="130"/>
    </row>
    <row r="252" ht="15.75" customHeight="1" spans="1:17" x14ac:dyDescent="0.25">
      <c r="A252" s="131" t="s">
        <v>1750</v>
      </c>
      <c r="B252" s="132" t="s">
        <v>3095</v>
      </c>
      <c r="C252" s="133" t="s">
        <v>3096</v>
      </c>
      <c r="D252" s="136" t="s">
        <v>2595</v>
      </c>
      <c r="E252" s="135">
        <v>0.102</v>
      </c>
      <c r="F252" s="136">
        <f t="shared" ref="F252:F257" si="22">E:E+0.05</f>
        <v>0.152</v>
      </c>
      <c r="G252" s="137"/>
      <c r="H252" s="134"/>
      <c r="I252" s="136">
        <v>5060173372019</v>
      </c>
      <c r="J252" s="136" t="s">
        <v>753</v>
      </c>
      <c r="K252" s="139"/>
      <c r="L252" s="130"/>
      <c r="M252" s="130"/>
      <c r="N252" s="130"/>
      <c r="O252" s="130"/>
      <c r="P252" s="130"/>
      <c r="Q252" s="130"/>
    </row>
    <row r="253" ht="15.75" customHeight="1" spans="1:17" x14ac:dyDescent="0.25">
      <c r="A253" s="131" t="s">
        <v>1261</v>
      </c>
      <c r="B253" s="132" t="s">
        <v>3097</v>
      </c>
      <c r="C253" s="133" t="s">
        <v>3098</v>
      </c>
      <c r="D253" s="136" t="s">
        <v>2517</v>
      </c>
      <c r="E253" s="135">
        <v>0.044</v>
      </c>
      <c r="F253" s="136">
        <f t="shared" si="22"/>
        <v>0.094</v>
      </c>
      <c r="G253" s="153" t="s">
        <v>3099</v>
      </c>
      <c r="H253" s="134"/>
      <c r="I253" s="136">
        <v>8858890720452</v>
      </c>
      <c r="J253" s="136" t="s">
        <v>753</v>
      </c>
      <c r="K253" s="139"/>
      <c r="L253" s="130"/>
      <c r="M253" s="130"/>
      <c r="N253" s="130"/>
      <c r="O253" s="130"/>
      <c r="P253" s="130"/>
      <c r="Q253" s="130"/>
    </row>
    <row r="254" ht="15.75" customHeight="1" spans="1:17" x14ac:dyDescent="0.25">
      <c r="A254" s="131" t="s">
        <v>514</v>
      </c>
      <c r="B254" s="132" t="s">
        <v>2806</v>
      </c>
      <c r="C254" s="133" t="s">
        <v>3100</v>
      </c>
      <c r="D254" s="136" t="s">
        <v>2595</v>
      </c>
      <c r="E254" s="135">
        <v>0.036</v>
      </c>
      <c r="F254" s="136">
        <f t="shared" si="22"/>
        <v>0.086</v>
      </c>
      <c r="G254" s="153" t="s">
        <v>3101</v>
      </c>
      <c r="H254" s="134"/>
      <c r="I254" s="136">
        <v>8858890781675</v>
      </c>
      <c r="J254" s="136" t="s">
        <v>753</v>
      </c>
      <c r="K254" s="154" t="s">
        <v>3102</v>
      </c>
      <c r="L254" s="130"/>
      <c r="M254" s="130"/>
      <c r="N254" s="130"/>
      <c r="O254" s="130"/>
      <c r="P254" s="130"/>
      <c r="Q254" s="130"/>
    </row>
    <row r="255" ht="15.75" customHeight="1" spans="1:17" x14ac:dyDescent="0.25">
      <c r="A255" s="131" t="s">
        <v>515</v>
      </c>
      <c r="B255" s="132" t="s">
        <v>2806</v>
      </c>
      <c r="C255" s="133" t="s">
        <v>3103</v>
      </c>
      <c r="D255" s="136" t="s">
        <v>2595</v>
      </c>
      <c r="E255" s="135">
        <v>0.042</v>
      </c>
      <c r="F255" s="136">
        <f t="shared" si="22"/>
        <v>0.092</v>
      </c>
      <c r="G255" s="153" t="s">
        <v>3101</v>
      </c>
      <c r="H255" s="134"/>
      <c r="I255" s="136">
        <v>8858890781682</v>
      </c>
      <c r="J255" s="136" t="s">
        <v>753</v>
      </c>
      <c r="K255" s="154" t="s">
        <v>3102</v>
      </c>
      <c r="L255" s="130"/>
      <c r="M255" s="130"/>
      <c r="N255" s="130"/>
      <c r="O255" s="130"/>
      <c r="P255" s="130"/>
      <c r="Q255" s="130"/>
    </row>
    <row r="256" ht="15.75" customHeight="1" spans="1:17" x14ac:dyDescent="0.25">
      <c r="A256" s="131" t="s">
        <v>516</v>
      </c>
      <c r="B256" s="132" t="s">
        <v>2806</v>
      </c>
      <c r="C256" s="133" t="s">
        <v>3104</v>
      </c>
      <c r="D256" s="136" t="s">
        <v>2595</v>
      </c>
      <c r="E256" s="135">
        <v>0.06</v>
      </c>
      <c r="F256" s="136">
        <f t="shared" si="22"/>
        <v>0.11</v>
      </c>
      <c r="G256" s="153" t="s">
        <v>3101</v>
      </c>
      <c r="H256" s="134"/>
      <c r="I256" s="136">
        <v>8858890781699</v>
      </c>
      <c r="J256" s="136" t="s">
        <v>753</v>
      </c>
      <c r="K256" s="154" t="s">
        <v>3102</v>
      </c>
      <c r="L256" s="130"/>
      <c r="M256" s="130"/>
      <c r="N256" s="130"/>
      <c r="O256" s="130"/>
      <c r="P256" s="130"/>
      <c r="Q256" s="130"/>
    </row>
    <row r="257" ht="15.75" customHeight="1" spans="1:17" x14ac:dyDescent="0.25">
      <c r="A257" s="131" t="s">
        <v>517</v>
      </c>
      <c r="B257" s="132" t="s">
        <v>2806</v>
      </c>
      <c r="C257" s="133" t="s">
        <v>3105</v>
      </c>
      <c r="D257" s="136" t="s">
        <v>2595</v>
      </c>
      <c r="E257" s="135">
        <v>0.064</v>
      </c>
      <c r="F257" s="136">
        <f t="shared" si="22"/>
        <v>0.114</v>
      </c>
      <c r="G257" s="153" t="s">
        <v>3106</v>
      </c>
      <c r="H257" s="134"/>
      <c r="I257" s="136">
        <v>8858890781705</v>
      </c>
      <c r="J257" s="136" t="s">
        <v>753</v>
      </c>
      <c r="K257" s="154" t="s">
        <v>3102</v>
      </c>
      <c r="L257" s="130"/>
      <c r="M257" s="130"/>
      <c r="N257" s="130"/>
      <c r="O257" s="130"/>
      <c r="P257" s="130"/>
      <c r="Q257" s="130"/>
    </row>
    <row r="258" ht="15.75" customHeight="1" spans="1:17" x14ac:dyDescent="0.25">
      <c r="A258" s="131" t="s">
        <v>3107</v>
      </c>
      <c r="B258" s="132" t="s">
        <v>3108</v>
      </c>
      <c r="C258" s="133" t="s">
        <v>3109</v>
      </c>
      <c r="D258" s="134"/>
      <c r="E258" s="137"/>
      <c r="F258" s="134"/>
      <c r="G258" s="153" t="s">
        <v>3110</v>
      </c>
      <c r="H258" s="134"/>
      <c r="I258" s="136">
        <v>8858890792275</v>
      </c>
      <c r="J258" s="134"/>
      <c r="K258" s="139"/>
      <c r="L258" s="130"/>
      <c r="M258" s="130"/>
      <c r="N258" s="130"/>
      <c r="O258" s="130"/>
      <c r="P258" s="130"/>
      <c r="Q258" s="130"/>
    </row>
    <row r="259" ht="15.75" customHeight="1" spans="1:17" x14ac:dyDescent="0.25">
      <c r="A259" s="131" t="s">
        <v>3111</v>
      </c>
      <c r="B259" s="132" t="s">
        <v>3112</v>
      </c>
      <c r="C259" s="152" t="s">
        <v>3113</v>
      </c>
      <c r="D259" s="134"/>
      <c r="E259" s="137"/>
      <c r="F259" s="134"/>
      <c r="G259" s="153" t="s">
        <v>3114</v>
      </c>
      <c r="H259" s="134"/>
      <c r="I259" s="136">
        <v>8858890792282</v>
      </c>
      <c r="J259" s="134"/>
      <c r="K259" s="139"/>
      <c r="L259" s="130"/>
      <c r="M259" s="130"/>
      <c r="N259" s="130"/>
      <c r="O259" s="130"/>
      <c r="P259" s="130"/>
      <c r="Q259" s="130"/>
    </row>
    <row r="260" ht="15.75" customHeight="1" spans="1:17" x14ac:dyDescent="0.25">
      <c r="A260" s="131" t="s">
        <v>3115</v>
      </c>
      <c r="B260" s="132" t="s">
        <v>3116</v>
      </c>
      <c r="C260" s="152" t="s">
        <v>3113</v>
      </c>
      <c r="D260" s="134"/>
      <c r="E260" s="137"/>
      <c r="F260" s="134"/>
      <c r="G260" s="153" t="s">
        <v>3117</v>
      </c>
      <c r="H260" s="134"/>
      <c r="I260" s="136">
        <v>88588907922991</v>
      </c>
      <c r="J260" s="134"/>
      <c r="K260" s="139"/>
      <c r="L260" s="130"/>
      <c r="M260" s="130"/>
      <c r="N260" s="130"/>
      <c r="O260" s="130"/>
      <c r="P260" s="130"/>
      <c r="Q260" s="130"/>
    </row>
    <row r="261" ht="15.75" customHeight="1" spans="1:17" x14ac:dyDescent="0.25">
      <c r="A261" s="131" t="s">
        <v>3118</v>
      </c>
      <c r="B261" s="132" t="s">
        <v>3119</v>
      </c>
      <c r="C261" s="152" t="s">
        <v>3113</v>
      </c>
      <c r="D261" s="134"/>
      <c r="E261" s="137"/>
      <c r="F261" s="134"/>
      <c r="G261" s="153" t="s">
        <v>3120</v>
      </c>
      <c r="H261" s="134"/>
      <c r="I261" s="136">
        <v>88588907923051</v>
      </c>
      <c r="J261" s="134"/>
      <c r="K261" s="139"/>
      <c r="L261" s="130"/>
      <c r="M261" s="130"/>
      <c r="N261" s="130"/>
      <c r="O261" s="130"/>
      <c r="P261" s="130"/>
      <c r="Q261" s="130"/>
    </row>
    <row r="262" ht="15.75" customHeight="1" spans="1:17" x14ac:dyDescent="0.25">
      <c r="A262" s="131" t="s">
        <v>3121</v>
      </c>
      <c r="B262" s="132" t="s">
        <v>3122</v>
      </c>
      <c r="C262" s="152" t="s">
        <v>3113</v>
      </c>
      <c r="D262" s="134"/>
      <c r="E262" s="137"/>
      <c r="F262" s="134"/>
      <c r="G262" s="153" t="s">
        <v>3123</v>
      </c>
      <c r="H262" s="134"/>
      <c r="I262" s="136">
        <v>88588907923121</v>
      </c>
      <c r="J262" s="134"/>
      <c r="K262" s="139"/>
      <c r="L262" s="130"/>
      <c r="M262" s="130"/>
      <c r="N262" s="130"/>
      <c r="O262" s="130"/>
      <c r="P262" s="130"/>
      <c r="Q262" s="130"/>
    </row>
    <row r="263" ht="15.75" customHeight="1" spans="1:17" x14ac:dyDescent="0.25">
      <c r="A263" s="131" t="s">
        <v>317</v>
      </c>
      <c r="B263" s="132" t="s">
        <v>3124</v>
      </c>
      <c r="C263" s="133" t="s">
        <v>3125</v>
      </c>
      <c r="D263" s="134"/>
      <c r="E263" s="137"/>
      <c r="F263" s="134"/>
      <c r="G263" s="153" t="s">
        <v>3126</v>
      </c>
      <c r="H263" s="134"/>
      <c r="I263" s="136">
        <v>8858890720582</v>
      </c>
      <c r="J263" s="134"/>
      <c r="K263" s="154" t="s">
        <v>3127</v>
      </c>
      <c r="L263" s="130"/>
      <c r="M263" s="130"/>
      <c r="N263" s="130"/>
      <c r="O263" s="130"/>
      <c r="P263" s="130"/>
      <c r="Q263" s="130"/>
    </row>
    <row r="264" ht="15.75" customHeight="1" spans="1:17" x14ac:dyDescent="0.25">
      <c r="A264" s="131" t="s">
        <v>3128</v>
      </c>
      <c r="B264" s="132" t="s">
        <v>3129</v>
      </c>
      <c r="C264" s="133" t="s">
        <v>3130</v>
      </c>
      <c r="D264" s="136" t="s">
        <v>2595</v>
      </c>
      <c r="E264" s="135">
        <v>0.018</v>
      </c>
      <c r="F264" s="136">
        <f t="shared" ref="F264:F269" si="23">E:E+0.05</f>
        <v>0.068</v>
      </c>
      <c r="G264" s="153" t="s">
        <v>2843</v>
      </c>
      <c r="H264" s="134"/>
      <c r="I264" s="136">
        <v>885889078198901</v>
      </c>
      <c r="J264" s="136" t="s">
        <v>753</v>
      </c>
      <c r="K264" s="154" t="s">
        <v>3131</v>
      </c>
      <c r="L264" s="130"/>
      <c r="M264" s="130"/>
      <c r="N264" s="130"/>
      <c r="O264" s="130"/>
      <c r="P264" s="130"/>
      <c r="Q264" s="130"/>
    </row>
    <row r="265" ht="15.75" customHeight="1" spans="1:17" x14ac:dyDescent="0.25">
      <c r="A265" s="131" t="s">
        <v>3132</v>
      </c>
      <c r="B265" s="132" t="s">
        <v>3133</v>
      </c>
      <c r="C265" s="133" t="s">
        <v>3130</v>
      </c>
      <c r="D265" s="136" t="s">
        <v>2595</v>
      </c>
      <c r="E265" s="135">
        <v>0.018</v>
      </c>
      <c r="F265" s="136">
        <f t="shared" si="23"/>
        <v>0.068</v>
      </c>
      <c r="G265" s="153" t="s">
        <v>2843</v>
      </c>
      <c r="H265" s="134"/>
      <c r="I265" s="136">
        <v>885889078198902</v>
      </c>
      <c r="J265" s="136" t="s">
        <v>753</v>
      </c>
      <c r="K265" s="154" t="s">
        <v>3131</v>
      </c>
      <c r="L265" s="130"/>
      <c r="M265" s="130"/>
      <c r="N265" s="130"/>
      <c r="O265" s="130"/>
      <c r="P265" s="130"/>
      <c r="Q265" s="130"/>
    </row>
    <row r="266" ht="15.75" customHeight="1" spans="1:17" x14ac:dyDescent="0.25">
      <c r="A266" s="131" t="s">
        <v>3134</v>
      </c>
      <c r="B266" s="132" t="s">
        <v>3135</v>
      </c>
      <c r="C266" s="133" t="s">
        <v>3130</v>
      </c>
      <c r="D266" s="136" t="s">
        <v>2595</v>
      </c>
      <c r="E266" s="135">
        <v>0.018</v>
      </c>
      <c r="F266" s="136">
        <f t="shared" si="23"/>
        <v>0.068</v>
      </c>
      <c r="G266" s="153" t="s">
        <v>2843</v>
      </c>
      <c r="H266" s="134"/>
      <c r="I266" s="136">
        <v>885889078198904</v>
      </c>
      <c r="J266" s="136" t="s">
        <v>753</v>
      </c>
      <c r="K266" s="154" t="s">
        <v>3131</v>
      </c>
      <c r="L266" s="130"/>
      <c r="M266" s="130"/>
      <c r="N266" s="130"/>
      <c r="O266" s="130"/>
      <c r="P266" s="130"/>
      <c r="Q266" s="130"/>
    </row>
    <row r="267" ht="15.75" customHeight="1" spans="1:17" x14ac:dyDescent="0.25">
      <c r="A267" s="131" t="s">
        <v>3136</v>
      </c>
      <c r="B267" s="132" t="s">
        <v>3137</v>
      </c>
      <c r="C267" s="133" t="s">
        <v>3130</v>
      </c>
      <c r="D267" s="136" t="s">
        <v>2595</v>
      </c>
      <c r="E267" s="135">
        <v>0.018</v>
      </c>
      <c r="F267" s="136">
        <f t="shared" si="23"/>
        <v>0.068</v>
      </c>
      <c r="G267" s="153" t="s">
        <v>2843</v>
      </c>
      <c r="H267" s="134"/>
      <c r="I267" s="136">
        <v>885889078198905</v>
      </c>
      <c r="J267" s="136" t="s">
        <v>753</v>
      </c>
      <c r="K267" s="154" t="s">
        <v>3131</v>
      </c>
      <c r="L267" s="130"/>
      <c r="M267" s="130"/>
      <c r="N267" s="130"/>
      <c r="O267" s="130"/>
      <c r="P267" s="130"/>
      <c r="Q267" s="130"/>
    </row>
    <row r="268" ht="15.75" customHeight="1" spans="1:17" x14ac:dyDescent="0.25">
      <c r="A268" s="131" t="s">
        <v>3138</v>
      </c>
      <c r="B268" s="132" t="s">
        <v>3139</v>
      </c>
      <c r="C268" s="133" t="s">
        <v>3130</v>
      </c>
      <c r="D268" s="136" t="s">
        <v>2595</v>
      </c>
      <c r="E268" s="135">
        <v>0.018</v>
      </c>
      <c r="F268" s="136">
        <f t="shared" si="23"/>
        <v>0.068</v>
      </c>
      <c r="G268" s="153" t="s">
        <v>2843</v>
      </c>
      <c r="H268" s="134"/>
      <c r="I268" s="136">
        <v>885889078198903</v>
      </c>
      <c r="J268" s="136" t="s">
        <v>753</v>
      </c>
      <c r="K268" s="154" t="s">
        <v>3131</v>
      </c>
      <c r="L268" s="130"/>
      <c r="M268" s="130"/>
      <c r="N268" s="130"/>
      <c r="O268" s="130"/>
      <c r="P268" s="130"/>
      <c r="Q268" s="130"/>
    </row>
    <row r="269" ht="15.75" customHeight="1" spans="1:17" x14ac:dyDescent="0.25">
      <c r="A269" s="131" t="s">
        <v>3140</v>
      </c>
      <c r="B269" s="132" t="s">
        <v>3141</v>
      </c>
      <c r="C269" s="133" t="s">
        <v>3130</v>
      </c>
      <c r="D269" s="136" t="s">
        <v>2595</v>
      </c>
      <c r="E269" s="135">
        <v>0.018</v>
      </c>
      <c r="F269" s="136">
        <f t="shared" si="23"/>
        <v>0.068</v>
      </c>
      <c r="G269" s="153" t="s">
        <v>2843</v>
      </c>
      <c r="H269" s="134"/>
      <c r="I269" s="136">
        <v>885889078198906</v>
      </c>
      <c r="J269" s="136" t="s">
        <v>753</v>
      </c>
      <c r="K269" s="154" t="s">
        <v>3131</v>
      </c>
      <c r="L269" s="130"/>
      <c r="M269" s="130"/>
      <c r="N269" s="130"/>
      <c r="O269" s="130"/>
      <c r="P269" s="130"/>
      <c r="Q269" s="130"/>
    </row>
    <row r="270" ht="15.75" customHeight="1" spans="1:17" x14ac:dyDescent="0.25">
      <c r="A270" s="131" t="s">
        <v>449</v>
      </c>
      <c r="B270" s="132" t="s">
        <v>3142</v>
      </c>
      <c r="C270" s="133" t="s">
        <v>3143</v>
      </c>
      <c r="D270" s="134"/>
      <c r="E270" s="137"/>
      <c r="F270" s="134"/>
      <c r="G270" s="153" t="s">
        <v>3144</v>
      </c>
      <c r="H270" s="134"/>
      <c r="I270" s="134"/>
      <c r="J270" s="134"/>
      <c r="K270" s="154" t="s">
        <v>3145</v>
      </c>
      <c r="L270" s="130"/>
      <c r="M270" s="130"/>
      <c r="N270" s="130"/>
      <c r="O270" s="130"/>
      <c r="P270" s="130"/>
      <c r="Q270" s="130"/>
    </row>
    <row r="271" ht="15.75" customHeight="1" spans="1:17" x14ac:dyDescent="0.25">
      <c r="A271" s="131" t="s">
        <v>573</v>
      </c>
      <c r="B271" s="132" t="s">
        <v>3146</v>
      </c>
      <c r="C271" s="133" t="s">
        <v>3147</v>
      </c>
      <c r="D271" s="134"/>
      <c r="E271" s="137"/>
      <c r="F271" s="136">
        <f t="shared" ref="F271:F274" si="24">E:E+0.05</f>
        <v>0.05</v>
      </c>
      <c r="G271" s="153" t="s">
        <v>3148</v>
      </c>
      <c r="H271" s="134"/>
      <c r="I271" s="136">
        <v>8858890781361</v>
      </c>
      <c r="J271" s="136" t="s">
        <v>753</v>
      </c>
      <c r="K271" s="138" t="s">
        <v>3149</v>
      </c>
      <c r="L271" s="130"/>
      <c r="M271" s="130"/>
      <c r="N271" s="130"/>
      <c r="O271" s="130"/>
      <c r="P271" s="130"/>
      <c r="Q271" s="130"/>
    </row>
    <row r="272" ht="15.75" customHeight="1" spans="1:17" x14ac:dyDescent="0.25">
      <c r="A272" s="131" t="s">
        <v>574</v>
      </c>
      <c r="B272" s="132" t="s">
        <v>979</v>
      </c>
      <c r="C272" s="133" t="s">
        <v>3150</v>
      </c>
      <c r="D272" s="134"/>
      <c r="E272" s="137"/>
      <c r="F272" s="136">
        <f t="shared" si="24"/>
        <v>0.05</v>
      </c>
      <c r="G272" s="153" t="s">
        <v>3151</v>
      </c>
      <c r="H272" s="134"/>
      <c r="I272" s="136">
        <v>8858890782214</v>
      </c>
      <c r="J272" s="136" t="s">
        <v>753</v>
      </c>
      <c r="K272" s="138" t="s">
        <v>3152</v>
      </c>
      <c r="L272" s="130"/>
      <c r="M272" s="130"/>
      <c r="N272" s="130"/>
      <c r="O272" s="130"/>
      <c r="P272" s="130"/>
      <c r="Q272" s="130"/>
    </row>
    <row r="273" ht="15.75" customHeight="1" spans="1:17" x14ac:dyDescent="0.25">
      <c r="A273" s="131" t="s">
        <v>556</v>
      </c>
      <c r="B273" s="132" t="s">
        <v>3153</v>
      </c>
      <c r="C273" s="133" t="s">
        <v>3154</v>
      </c>
      <c r="D273" s="136" t="s">
        <v>2595</v>
      </c>
      <c r="E273" s="135">
        <v>0.012</v>
      </c>
      <c r="F273" s="136">
        <f t="shared" si="24"/>
        <v>0.062</v>
      </c>
      <c r="G273" s="153" t="s">
        <v>3155</v>
      </c>
      <c r="H273" s="134"/>
      <c r="I273" s="136">
        <v>8858890781149</v>
      </c>
      <c r="J273" s="136" t="s">
        <v>753</v>
      </c>
      <c r="K273" s="154" t="s">
        <v>3156</v>
      </c>
      <c r="L273" s="130"/>
      <c r="M273" s="130"/>
      <c r="N273" s="130"/>
      <c r="O273" s="130"/>
      <c r="P273" s="130"/>
      <c r="Q273" s="130"/>
    </row>
    <row r="274" ht="15.75" customHeight="1" spans="1:17" x14ac:dyDescent="0.25">
      <c r="A274" s="131" t="s">
        <v>59</v>
      </c>
      <c r="B274" s="132" t="s">
        <v>1419</v>
      </c>
      <c r="C274" s="133" t="s">
        <v>3157</v>
      </c>
      <c r="D274" s="134"/>
      <c r="E274" s="137"/>
      <c r="F274" s="136">
        <f t="shared" si="24"/>
        <v>0.05</v>
      </c>
      <c r="G274" s="153" t="s">
        <v>3158</v>
      </c>
      <c r="H274" s="134"/>
      <c r="I274" s="136">
        <v>8858890782511</v>
      </c>
      <c r="J274" s="136" t="s">
        <v>2582</v>
      </c>
      <c r="K274" s="154" t="s">
        <v>3159</v>
      </c>
      <c r="L274" s="130"/>
      <c r="M274" s="130"/>
      <c r="N274" s="130"/>
      <c r="O274" s="130"/>
      <c r="P274" s="130"/>
      <c r="Q274" s="130"/>
    </row>
    <row r="275" ht="15.75" customHeight="1" spans="1:17" x14ac:dyDescent="0.25">
      <c r="A275" s="131" t="s">
        <v>430</v>
      </c>
      <c r="B275" s="132" t="s">
        <v>3160</v>
      </c>
      <c r="C275" s="133" t="s">
        <v>3161</v>
      </c>
      <c r="D275" s="134"/>
      <c r="E275" s="137"/>
      <c r="F275" s="134"/>
      <c r="G275" s="153" t="s">
        <v>3162</v>
      </c>
      <c r="H275" s="134"/>
      <c r="I275" s="136">
        <v>8858890791247</v>
      </c>
      <c r="J275" s="134"/>
      <c r="K275" s="154" t="s">
        <v>2901</v>
      </c>
      <c r="L275" s="130"/>
      <c r="M275" s="130"/>
      <c r="N275" s="130"/>
      <c r="O275" s="130"/>
      <c r="P275" s="130"/>
      <c r="Q275" s="130"/>
    </row>
    <row r="276" ht="15.75" customHeight="1" spans="1:17" x14ac:dyDescent="0.25">
      <c r="A276" s="131" t="s">
        <v>431</v>
      </c>
      <c r="B276" s="132" t="s">
        <v>3163</v>
      </c>
      <c r="C276" s="133" t="s">
        <v>3164</v>
      </c>
      <c r="D276" s="134"/>
      <c r="E276" s="137"/>
      <c r="F276" s="134"/>
      <c r="G276" s="153" t="s">
        <v>3165</v>
      </c>
      <c r="H276" s="134"/>
      <c r="I276" s="136">
        <v>8858890790585</v>
      </c>
      <c r="J276" s="134"/>
      <c r="K276" s="154" t="s">
        <v>2901</v>
      </c>
      <c r="L276" s="130"/>
      <c r="M276" s="130"/>
      <c r="N276" s="130"/>
      <c r="O276" s="130"/>
      <c r="P276" s="130"/>
      <c r="Q276" s="130"/>
    </row>
    <row r="277" ht="15.75" customHeight="1" spans="1:17" x14ac:dyDescent="0.25">
      <c r="A277" s="131" t="s">
        <v>3166</v>
      </c>
      <c r="B277" s="132" t="s">
        <v>3167</v>
      </c>
      <c r="C277" s="133" t="s">
        <v>3168</v>
      </c>
      <c r="D277" s="134"/>
      <c r="E277" s="137"/>
      <c r="F277" s="134"/>
      <c r="G277" s="153" t="s">
        <v>2900</v>
      </c>
      <c r="H277" s="134"/>
      <c r="I277" s="136">
        <v>8858890791605</v>
      </c>
      <c r="J277" s="134"/>
      <c r="K277" s="154" t="s">
        <v>2901</v>
      </c>
      <c r="L277" s="130"/>
      <c r="M277" s="130"/>
      <c r="N277" s="130"/>
      <c r="O277" s="130"/>
      <c r="P277" s="130"/>
      <c r="Q277" s="130"/>
    </row>
    <row r="278" ht="15.75" customHeight="1" spans="1:17" x14ac:dyDescent="0.25">
      <c r="A278" s="131" t="s">
        <v>1279</v>
      </c>
      <c r="B278" s="132" t="s">
        <v>2712</v>
      </c>
      <c r="C278" s="133" t="s">
        <v>3169</v>
      </c>
      <c r="D278" s="136" t="s">
        <v>2714</v>
      </c>
      <c r="E278" s="135">
        <v>0.035</v>
      </c>
      <c r="F278" s="136">
        <f t="shared" ref="F278:F293" si="25">E:E+0.05</f>
        <v>0.085</v>
      </c>
      <c r="G278" s="153" t="s">
        <v>3170</v>
      </c>
      <c r="H278" s="134"/>
      <c r="I278" s="136">
        <v>8858890760809</v>
      </c>
      <c r="J278" s="136" t="s">
        <v>753</v>
      </c>
      <c r="K278" s="154" t="s">
        <v>3171</v>
      </c>
      <c r="L278" s="130"/>
      <c r="M278" s="130"/>
      <c r="N278" s="130"/>
      <c r="O278" s="130"/>
      <c r="P278" s="130"/>
      <c r="Q278" s="130"/>
    </row>
    <row r="279" ht="15.75" customHeight="1" spans="1:17" x14ac:dyDescent="0.25">
      <c r="A279" s="131" t="s">
        <v>3172</v>
      </c>
      <c r="B279" s="132" t="s">
        <v>3173</v>
      </c>
      <c r="C279" s="133" t="s">
        <v>3174</v>
      </c>
      <c r="D279" s="136" t="s">
        <v>2595</v>
      </c>
      <c r="E279" s="135">
        <v>0.012</v>
      </c>
      <c r="F279" s="136">
        <f t="shared" si="25"/>
        <v>0.062</v>
      </c>
      <c r="G279" s="153" t="s">
        <v>3175</v>
      </c>
      <c r="H279" s="134"/>
      <c r="I279" s="136">
        <v>8858890780043</v>
      </c>
      <c r="J279" s="136" t="s">
        <v>753</v>
      </c>
      <c r="K279" s="139"/>
      <c r="L279" s="130"/>
      <c r="M279" s="130"/>
      <c r="N279" s="130"/>
      <c r="O279" s="130"/>
      <c r="P279" s="130"/>
      <c r="Q279" s="130"/>
    </row>
    <row r="280" ht="15.75" customHeight="1" spans="1:17" x14ac:dyDescent="0.25">
      <c r="A280" s="131" t="s">
        <v>45</v>
      </c>
      <c r="B280" s="132" t="s">
        <v>3176</v>
      </c>
      <c r="C280" s="133" t="s">
        <v>3177</v>
      </c>
      <c r="D280" s="134"/>
      <c r="E280" s="158">
        <v>0.5</v>
      </c>
      <c r="F280" s="136">
        <f t="shared" si="25"/>
        <v>0.55</v>
      </c>
      <c r="G280" s="153" t="s">
        <v>3178</v>
      </c>
      <c r="H280" s="134"/>
      <c r="I280" s="136">
        <v>8858890794576</v>
      </c>
      <c r="J280" s="136" t="s">
        <v>2582</v>
      </c>
      <c r="K280" s="154" t="s">
        <v>3179</v>
      </c>
      <c r="L280" s="130"/>
      <c r="M280" s="130"/>
      <c r="N280" s="130"/>
      <c r="O280" s="130"/>
      <c r="P280" s="130"/>
      <c r="Q280" s="130"/>
    </row>
    <row r="281" ht="15.75" customHeight="1" spans="1:17" x14ac:dyDescent="0.25">
      <c r="A281" s="131" t="s">
        <v>44</v>
      </c>
      <c r="B281" s="132" t="s">
        <v>3180</v>
      </c>
      <c r="C281" s="133" t="s">
        <v>3181</v>
      </c>
      <c r="D281" s="134"/>
      <c r="E281" s="158">
        <v>0.5</v>
      </c>
      <c r="F281" s="136">
        <f t="shared" si="25"/>
        <v>0.55</v>
      </c>
      <c r="G281" s="153" t="s">
        <v>3182</v>
      </c>
      <c r="H281" s="134"/>
      <c r="I281" s="136">
        <v>885889075917</v>
      </c>
      <c r="J281" s="136" t="s">
        <v>2582</v>
      </c>
      <c r="K281" s="154" t="s">
        <v>3183</v>
      </c>
      <c r="L281" s="130"/>
      <c r="M281" s="130"/>
      <c r="N281" s="130"/>
      <c r="O281" s="130"/>
      <c r="P281" s="130"/>
      <c r="Q281" s="130"/>
    </row>
    <row r="282" ht="15.75" customHeight="1" spans="1:17" x14ac:dyDescent="0.25">
      <c r="A282" s="131" t="s">
        <v>3184</v>
      </c>
      <c r="B282" s="132" t="s">
        <v>3185</v>
      </c>
      <c r="C282" s="133" t="s">
        <v>3186</v>
      </c>
      <c r="D282" s="134"/>
      <c r="E282" s="158">
        <v>0.5</v>
      </c>
      <c r="F282" s="136">
        <f t="shared" si="25"/>
        <v>0.55</v>
      </c>
      <c r="G282" s="153" t="s">
        <v>3187</v>
      </c>
      <c r="H282" s="134"/>
      <c r="I282" s="136">
        <v>8858890795917</v>
      </c>
      <c r="J282" s="136" t="s">
        <v>2582</v>
      </c>
      <c r="K282" s="154" t="s">
        <v>3188</v>
      </c>
      <c r="L282" s="130"/>
      <c r="M282" s="130"/>
      <c r="N282" s="130"/>
      <c r="O282" s="130"/>
      <c r="P282" s="130"/>
      <c r="Q282" s="130"/>
    </row>
    <row r="283" ht="15.75" customHeight="1" spans="1:17" x14ac:dyDescent="0.25">
      <c r="A283" s="131" t="s">
        <v>43</v>
      </c>
      <c r="B283" s="132" t="s">
        <v>3189</v>
      </c>
      <c r="C283" s="133" t="s">
        <v>3177</v>
      </c>
      <c r="D283" s="134"/>
      <c r="E283" s="158">
        <v>0.5</v>
      </c>
      <c r="F283" s="136">
        <f t="shared" si="25"/>
        <v>0.55</v>
      </c>
      <c r="G283" s="137"/>
      <c r="H283" s="134"/>
      <c r="I283" s="136">
        <v>8858890794583</v>
      </c>
      <c r="J283" s="136" t="s">
        <v>2582</v>
      </c>
      <c r="K283" s="154" t="s">
        <v>3190</v>
      </c>
      <c r="L283" s="130"/>
      <c r="M283" s="130"/>
      <c r="N283" s="130"/>
      <c r="O283" s="130"/>
      <c r="P283" s="130"/>
      <c r="Q283" s="130"/>
    </row>
    <row r="284" ht="15.75" customHeight="1" spans="1:17" x14ac:dyDescent="0.25">
      <c r="A284" s="131" t="s">
        <v>42</v>
      </c>
      <c r="B284" s="132" t="s">
        <v>3191</v>
      </c>
      <c r="C284" s="133" t="s">
        <v>3192</v>
      </c>
      <c r="D284" s="134"/>
      <c r="E284" s="158">
        <v>0.5</v>
      </c>
      <c r="F284" s="136">
        <f t="shared" si="25"/>
        <v>0.55</v>
      </c>
      <c r="G284" s="153" t="s">
        <v>3193</v>
      </c>
      <c r="H284" s="134"/>
      <c r="I284" s="136">
        <v>8858890795900</v>
      </c>
      <c r="J284" s="136" t="s">
        <v>2582</v>
      </c>
      <c r="K284" s="154" t="s">
        <v>3194</v>
      </c>
      <c r="L284" s="130"/>
      <c r="M284" s="130"/>
      <c r="N284" s="130"/>
      <c r="O284" s="130"/>
      <c r="P284" s="130"/>
      <c r="Q284" s="130"/>
    </row>
    <row r="285" ht="15.75" customHeight="1" spans="1:17" x14ac:dyDescent="0.25">
      <c r="A285" s="131" t="s">
        <v>374</v>
      </c>
      <c r="B285" s="132" t="s">
        <v>3195</v>
      </c>
      <c r="C285" s="133" t="s">
        <v>3196</v>
      </c>
      <c r="D285" s="134"/>
      <c r="E285" s="158">
        <v>0.5</v>
      </c>
      <c r="F285" s="136">
        <f t="shared" si="25"/>
        <v>0.55</v>
      </c>
      <c r="G285" s="153" t="s">
        <v>3178</v>
      </c>
      <c r="H285" s="134"/>
      <c r="I285" s="136">
        <v>8858890795900</v>
      </c>
      <c r="J285" s="136" t="s">
        <v>2582</v>
      </c>
      <c r="K285" s="154" t="s">
        <v>3197</v>
      </c>
      <c r="L285" s="130"/>
      <c r="M285" s="130"/>
      <c r="N285" s="130"/>
      <c r="O285" s="130"/>
      <c r="P285" s="130"/>
      <c r="Q285" s="130"/>
    </row>
    <row r="286" ht="15.75" customHeight="1" spans="1:17" x14ac:dyDescent="0.25">
      <c r="A286" s="131" t="s">
        <v>47</v>
      </c>
      <c r="B286" s="132" t="s">
        <v>3198</v>
      </c>
      <c r="C286" s="133" t="s">
        <v>3199</v>
      </c>
      <c r="D286" s="134"/>
      <c r="E286" s="158">
        <v>0.5</v>
      </c>
      <c r="F286" s="136">
        <f t="shared" si="25"/>
        <v>0.55</v>
      </c>
      <c r="G286" s="153" t="s">
        <v>3200</v>
      </c>
      <c r="H286" s="134"/>
      <c r="I286" s="136">
        <v>8858890795740</v>
      </c>
      <c r="J286" s="136" t="s">
        <v>2582</v>
      </c>
      <c r="K286" s="139"/>
      <c r="L286" s="130"/>
      <c r="M286" s="130"/>
      <c r="N286" s="130"/>
      <c r="O286" s="130"/>
      <c r="P286" s="130"/>
      <c r="Q286" s="130"/>
    </row>
    <row r="287" ht="15.75" customHeight="1" spans="1:17" x14ac:dyDescent="0.25">
      <c r="A287" s="131" t="s">
        <v>3201</v>
      </c>
      <c r="B287" s="132" t="s">
        <v>3202</v>
      </c>
      <c r="C287" s="143" t="s">
        <v>3203</v>
      </c>
      <c r="D287" s="134"/>
      <c r="E287" s="158">
        <v>0.5</v>
      </c>
      <c r="F287" s="136">
        <f t="shared" si="25"/>
        <v>0.55</v>
      </c>
      <c r="G287" s="153" t="s">
        <v>3178</v>
      </c>
      <c r="H287" s="134"/>
      <c r="I287" s="136">
        <v>8858890795955</v>
      </c>
      <c r="J287" s="136" t="s">
        <v>2582</v>
      </c>
      <c r="K287" s="139"/>
      <c r="L287" s="130"/>
      <c r="M287" s="130"/>
      <c r="N287" s="130"/>
      <c r="O287" s="130"/>
      <c r="P287" s="130"/>
      <c r="Q287" s="130"/>
    </row>
    <row r="288" ht="15.75" customHeight="1" spans="1:17" x14ac:dyDescent="0.25">
      <c r="A288" s="131" t="s">
        <v>3204</v>
      </c>
      <c r="B288" s="132" t="s">
        <v>3205</v>
      </c>
      <c r="C288" s="159" t="s">
        <v>3206</v>
      </c>
      <c r="D288" s="134"/>
      <c r="E288" s="158">
        <v>0.5</v>
      </c>
      <c r="F288" s="136">
        <f t="shared" si="25"/>
        <v>0.55</v>
      </c>
      <c r="G288" s="153" t="s">
        <v>3207</v>
      </c>
      <c r="H288" s="134"/>
      <c r="I288" s="136">
        <v>8858890795917</v>
      </c>
      <c r="J288" s="136" t="s">
        <v>2582</v>
      </c>
      <c r="K288" s="154" t="s">
        <v>3208</v>
      </c>
      <c r="L288" s="130"/>
      <c r="M288" s="130"/>
      <c r="N288" s="130"/>
      <c r="O288" s="130"/>
      <c r="P288" s="130"/>
      <c r="Q288" s="130"/>
    </row>
    <row r="289" ht="15.75" customHeight="1" spans="1:17" x14ac:dyDescent="0.25">
      <c r="A289" s="131" t="s">
        <v>3209</v>
      </c>
      <c r="B289" s="132" t="s">
        <v>853</v>
      </c>
      <c r="C289" s="159" t="s">
        <v>3206</v>
      </c>
      <c r="D289" s="134"/>
      <c r="E289" s="158">
        <v>0.5</v>
      </c>
      <c r="F289" s="136">
        <f t="shared" si="25"/>
        <v>0.55</v>
      </c>
      <c r="G289" s="153" t="s">
        <v>3207</v>
      </c>
      <c r="H289" s="134"/>
      <c r="I289" s="136">
        <v>8858890795030</v>
      </c>
      <c r="J289" s="136" t="s">
        <v>2582</v>
      </c>
      <c r="K289" s="154" t="s">
        <v>3208</v>
      </c>
      <c r="L289" s="130"/>
      <c r="M289" s="130"/>
      <c r="N289" s="130"/>
      <c r="O289" s="130"/>
      <c r="P289" s="130"/>
      <c r="Q289" s="130"/>
    </row>
    <row r="290" ht="15.75" customHeight="1" spans="1:17" x14ac:dyDescent="0.25">
      <c r="A290" s="131" t="s">
        <v>41</v>
      </c>
      <c r="B290" s="132" t="s">
        <v>3210</v>
      </c>
      <c r="C290" s="160" t="s">
        <v>3211</v>
      </c>
      <c r="D290" s="134"/>
      <c r="E290" s="158">
        <v>0.5</v>
      </c>
      <c r="F290" s="136">
        <f t="shared" si="25"/>
        <v>0.55</v>
      </c>
      <c r="G290" s="153" t="s">
        <v>3212</v>
      </c>
      <c r="H290" s="134"/>
      <c r="I290" s="136">
        <v>8858890795856</v>
      </c>
      <c r="J290" s="136" t="s">
        <v>2582</v>
      </c>
      <c r="K290" s="154" t="s">
        <v>3213</v>
      </c>
      <c r="L290" s="130"/>
      <c r="M290" s="130"/>
      <c r="N290" s="130"/>
      <c r="O290" s="130"/>
      <c r="P290" s="130"/>
      <c r="Q290" s="130"/>
    </row>
    <row r="291" ht="15.75" customHeight="1" spans="1:17" x14ac:dyDescent="0.25">
      <c r="A291" s="131" t="s">
        <v>855</v>
      </c>
      <c r="B291" s="132" t="s">
        <v>3214</v>
      </c>
      <c r="C291" s="133" t="s">
        <v>3215</v>
      </c>
      <c r="D291" s="134"/>
      <c r="E291" s="158">
        <v>0.5</v>
      </c>
      <c r="F291" s="136">
        <f t="shared" si="25"/>
        <v>0.55</v>
      </c>
      <c r="G291" s="153" t="s">
        <v>3216</v>
      </c>
      <c r="H291" s="134"/>
      <c r="I291" s="136">
        <v>8858890795061</v>
      </c>
      <c r="J291" s="136" t="s">
        <v>2582</v>
      </c>
      <c r="K291" s="154" t="s">
        <v>3217</v>
      </c>
      <c r="L291" s="130"/>
      <c r="M291" s="130"/>
      <c r="N291" s="130"/>
      <c r="O291" s="130"/>
      <c r="P291" s="130"/>
      <c r="Q291" s="130"/>
    </row>
    <row r="292" ht="15.75" customHeight="1" spans="1:17" x14ac:dyDescent="0.25">
      <c r="A292" s="131" t="s">
        <v>3218</v>
      </c>
      <c r="B292" s="132" t="s">
        <v>3219</v>
      </c>
      <c r="C292" s="133" t="s">
        <v>3220</v>
      </c>
      <c r="D292" s="134"/>
      <c r="E292" s="158">
        <v>0.5</v>
      </c>
      <c r="F292" s="136">
        <f t="shared" si="25"/>
        <v>0.55</v>
      </c>
      <c r="G292" s="153" t="s">
        <v>3216</v>
      </c>
      <c r="H292" s="134"/>
      <c r="I292" s="136">
        <v>8858890795733</v>
      </c>
      <c r="J292" s="136" t="s">
        <v>2582</v>
      </c>
      <c r="K292" s="139"/>
      <c r="L292" s="130"/>
      <c r="M292" s="130"/>
      <c r="N292" s="130"/>
      <c r="O292" s="130"/>
      <c r="P292" s="130"/>
      <c r="Q292" s="130"/>
    </row>
    <row r="293" ht="15.75" customHeight="1" spans="1:17" x14ac:dyDescent="0.25">
      <c r="A293" s="131" t="s">
        <v>368</v>
      </c>
      <c r="B293" s="132" t="s">
        <v>3221</v>
      </c>
      <c r="C293" s="133" t="s">
        <v>3222</v>
      </c>
      <c r="D293" s="134"/>
      <c r="E293" s="158">
        <v>0.5</v>
      </c>
      <c r="F293" s="136">
        <f t="shared" si="25"/>
        <v>0.55</v>
      </c>
      <c r="G293" s="153" t="s">
        <v>3216</v>
      </c>
      <c r="H293" s="134"/>
      <c r="I293" s="136">
        <v>8858890795726</v>
      </c>
      <c r="J293" s="136" t="s">
        <v>2582</v>
      </c>
      <c r="K293" s="139"/>
      <c r="L293" s="130"/>
      <c r="M293" s="130"/>
      <c r="N293" s="130"/>
      <c r="O293" s="130"/>
      <c r="P293" s="130"/>
      <c r="Q293" s="130"/>
    </row>
    <row r="294" ht="15.75" customHeight="1" spans="1:17" x14ac:dyDescent="0.25">
      <c r="A294" s="131" t="s">
        <v>3223</v>
      </c>
      <c r="B294" s="132" t="s">
        <v>3224</v>
      </c>
      <c r="C294" s="133" t="s">
        <v>3225</v>
      </c>
      <c r="D294" s="134"/>
      <c r="E294" s="137"/>
      <c r="F294" s="134"/>
      <c r="G294" s="153" t="s">
        <v>3041</v>
      </c>
      <c r="H294" s="134"/>
      <c r="I294" s="134"/>
      <c r="J294" s="134"/>
      <c r="K294" s="154" t="s">
        <v>3226</v>
      </c>
      <c r="L294" s="130"/>
      <c r="M294" s="130"/>
      <c r="N294" s="130"/>
      <c r="O294" s="130"/>
      <c r="P294" s="130"/>
      <c r="Q294" s="130"/>
    </row>
    <row r="295" ht="15.75" customHeight="1" spans="1:17" x14ac:dyDescent="0.25">
      <c r="A295" s="131" t="s">
        <v>448</v>
      </c>
      <c r="B295" s="132" t="s">
        <v>3227</v>
      </c>
      <c r="C295" s="133" t="s">
        <v>3228</v>
      </c>
      <c r="D295" s="134"/>
      <c r="E295" s="137"/>
      <c r="F295" s="134"/>
      <c r="G295" s="153" t="s">
        <v>3229</v>
      </c>
      <c r="H295" s="134"/>
      <c r="I295" s="134"/>
      <c r="J295" s="134"/>
      <c r="K295" s="154" t="s">
        <v>3230</v>
      </c>
      <c r="L295" s="130"/>
      <c r="M295" s="130"/>
      <c r="N295" s="130"/>
      <c r="O295" s="130"/>
      <c r="P295" s="130"/>
      <c r="Q295" s="130"/>
    </row>
    <row r="296" ht="15.75" customHeight="1" spans="1:17" x14ac:dyDescent="0.25">
      <c r="A296" s="131" t="s">
        <v>3231</v>
      </c>
      <c r="B296" s="132" t="s">
        <v>3232</v>
      </c>
      <c r="C296" s="133" t="s">
        <v>3233</v>
      </c>
      <c r="D296" s="136" t="s">
        <v>2772</v>
      </c>
      <c r="E296" s="135">
        <v>0.738</v>
      </c>
      <c r="F296" s="136">
        <f t="shared" ref="F296:F307" si="26">E:E+0.05</f>
        <v>0.788</v>
      </c>
      <c r="G296" s="153" t="s">
        <v>3234</v>
      </c>
      <c r="H296" s="134"/>
      <c r="I296" s="136">
        <v>885889072013101</v>
      </c>
      <c r="J296" s="136" t="s">
        <v>753</v>
      </c>
      <c r="K296" s="154" t="s">
        <v>3235</v>
      </c>
      <c r="L296" s="130"/>
      <c r="M296" s="130"/>
      <c r="N296" s="130"/>
      <c r="O296" s="130"/>
      <c r="P296" s="130"/>
      <c r="Q296" s="130"/>
    </row>
    <row r="297" ht="15.75" customHeight="1" spans="1:17" x14ac:dyDescent="0.25">
      <c r="A297" s="131" t="s">
        <v>3236</v>
      </c>
      <c r="B297" s="132" t="s">
        <v>3237</v>
      </c>
      <c r="C297" s="133" t="s">
        <v>3233</v>
      </c>
      <c r="D297" s="136" t="s">
        <v>2772</v>
      </c>
      <c r="E297" s="135">
        <v>0.738</v>
      </c>
      <c r="F297" s="136">
        <f t="shared" si="26"/>
        <v>0.788</v>
      </c>
      <c r="G297" s="153" t="s">
        <v>3234</v>
      </c>
      <c r="H297" s="134"/>
      <c r="I297" s="136">
        <v>885889072013102</v>
      </c>
      <c r="J297" s="136" t="s">
        <v>753</v>
      </c>
      <c r="K297" s="154" t="s">
        <v>3235</v>
      </c>
      <c r="L297" s="130"/>
      <c r="M297" s="130"/>
      <c r="N297" s="130"/>
      <c r="O297" s="130"/>
      <c r="P297" s="130"/>
      <c r="Q297" s="130"/>
    </row>
    <row r="298" ht="15.75" customHeight="1" spans="1:17" x14ac:dyDescent="0.25">
      <c r="A298" s="131" t="s">
        <v>3238</v>
      </c>
      <c r="B298" s="132" t="s">
        <v>3239</v>
      </c>
      <c r="C298" s="133" t="s">
        <v>3233</v>
      </c>
      <c r="D298" s="136" t="s">
        <v>2772</v>
      </c>
      <c r="E298" s="135">
        <v>0.738</v>
      </c>
      <c r="F298" s="136">
        <f t="shared" si="26"/>
        <v>0.788</v>
      </c>
      <c r="G298" s="153" t="s">
        <v>3234</v>
      </c>
      <c r="H298" s="134"/>
      <c r="I298" s="136">
        <v>885889072013103</v>
      </c>
      <c r="J298" s="136" t="s">
        <v>753</v>
      </c>
      <c r="K298" s="154" t="s">
        <v>3235</v>
      </c>
      <c r="L298" s="130"/>
      <c r="M298" s="130"/>
      <c r="N298" s="130"/>
      <c r="O298" s="130"/>
      <c r="P298" s="130"/>
      <c r="Q298" s="130"/>
    </row>
    <row r="299" ht="15.75" customHeight="1" spans="1:17" x14ac:dyDescent="0.25">
      <c r="A299" s="131" t="s">
        <v>1285</v>
      </c>
      <c r="B299" s="132" t="s">
        <v>3240</v>
      </c>
      <c r="C299" s="133" t="s">
        <v>3241</v>
      </c>
      <c r="D299" s="136" t="s">
        <v>2595</v>
      </c>
      <c r="E299" s="135">
        <v>0.006</v>
      </c>
      <c r="F299" s="136">
        <f t="shared" si="26"/>
        <v>0.056</v>
      </c>
      <c r="G299" s="153" t="s">
        <v>3242</v>
      </c>
      <c r="H299" s="134"/>
      <c r="I299" s="136">
        <v>8858890782313</v>
      </c>
      <c r="J299" s="136" t="s">
        <v>753</v>
      </c>
      <c r="K299" s="139"/>
      <c r="L299" s="130"/>
      <c r="M299" s="130"/>
      <c r="N299" s="130"/>
      <c r="O299" s="130"/>
      <c r="P299" s="130"/>
      <c r="Q299" s="130"/>
    </row>
    <row r="300" ht="15.75" customHeight="1" spans="1:17" x14ac:dyDescent="0.25">
      <c r="A300" s="131" t="s">
        <v>1288</v>
      </c>
      <c r="B300" s="132" t="s">
        <v>3243</v>
      </c>
      <c r="C300" s="133" t="s">
        <v>3244</v>
      </c>
      <c r="D300" s="136" t="s">
        <v>2595</v>
      </c>
      <c r="E300" s="135">
        <v>0.01</v>
      </c>
      <c r="F300" s="136">
        <f t="shared" si="26"/>
        <v>0.06</v>
      </c>
      <c r="G300" s="153" t="s">
        <v>3245</v>
      </c>
      <c r="H300" s="134"/>
      <c r="I300" s="136">
        <v>8858890782320</v>
      </c>
      <c r="J300" s="136" t="s">
        <v>753</v>
      </c>
      <c r="K300" s="139"/>
      <c r="L300" s="130"/>
      <c r="M300" s="130"/>
      <c r="N300" s="130"/>
      <c r="O300" s="130"/>
      <c r="P300" s="130"/>
      <c r="Q300" s="130"/>
    </row>
    <row r="301" ht="15.75" customHeight="1" spans="1:17" x14ac:dyDescent="0.25">
      <c r="A301" s="131" t="s">
        <v>563</v>
      </c>
      <c r="B301" s="132" t="s">
        <v>3246</v>
      </c>
      <c r="C301" s="133" t="s">
        <v>3247</v>
      </c>
      <c r="D301" s="134"/>
      <c r="E301" s="137"/>
      <c r="F301" s="136">
        <f t="shared" si="26"/>
        <v>0.05</v>
      </c>
      <c r="G301" s="153" t="s">
        <v>3248</v>
      </c>
      <c r="H301" s="134"/>
      <c r="I301" s="136">
        <v>8858890720414</v>
      </c>
      <c r="J301" s="136" t="s">
        <v>753</v>
      </c>
      <c r="K301" s="154" t="s">
        <v>3249</v>
      </c>
      <c r="L301" s="130"/>
      <c r="M301" s="130"/>
      <c r="N301" s="130"/>
      <c r="O301" s="130"/>
      <c r="P301" s="130"/>
      <c r="Q301" s="130"/>
    </row>
    <row r="302" ht="15.75" customHeight="1" spans="1:17" x14ac:dyDescent="0.25">
      <c r="A302" s="131" t="s">
        <v>3250</v>
      </c>
      <c r="B302" s="132" t="s">
        <v>3173</v>
      </c>
      <c r="C302" s="133" t="s">
        <v>3251</v>
      </c>
      <c r="D302" s="136" t="s">
        <v>2595</v>
      </c>
      <c r="E302" s="135">
        <v>0.011</v>
      </c>
      <c r="F302" s="136">
        <f t="shared" si="26"/>
        <v>0.061</v>
      </c>
      <c r="G302" s="153" t="s">
        <v>3252</v>
      </c>
      <c r="H302" s="134"/>
      <c r="I302" s="136">
        <v>8858890780678</v>
      </c>
      <c r="J302" s="136" t="s">
        <v>753</v>
      </c>
      <c r="K302" s="139"/>
      <c r="L302" s="130"/>
      <c r="M302" s="130"/>
      <c r="N302" s="130"/>
      <c r="O302" s="130"/>
      <c r="P302" s="130"/>
      <c r="Q302" s="130"/>
    </row>
    <row r="303" ht="15.75" customHeight="1" spans="1:17" x14ac:dyDescent="0.25">
      <c r="A303" s="131" t="s">
        <v>564</v>
      </c>
      <c r="B303" s="132" t="s">
        <v>3173</v>
      </c>
      <c r="C303" s="133" t="s">
        <v>3253</v>
      </c>
      <c r="D303" s="136" t="s">
        <v>2595</v>
      </c>
      <c r="E303" s="135">
        <v>0.011</v>
      </c>
      <c r="F303" s="136">
        <f t="shared" si="26"/>
        <v>0.061</v>
      </c>
      <c r="G303" s="153" t="s">
        <v>3252</v>
      </c>
      <c r="H303" s="134"/>
      <c r="I303" s="136">
        <v>8858890780685</v>
      </c>
      <c r="J303" s="136" t="s">
        <v>753</v>
      </c>
      <c r="K303" s="154" t="s">
        <v>3249</v>
      </c>
      <c r="L303" s="130"/>
      <c r="M303" s="130"/>
      <c r="N303" s="130"/>
      <c r="O303" s="130"/>
      <c r="P303" s="130"/>
      <c r="Q303" s="130"/>
    </row>
    <row r="304" ht="15.75" customHeight="1" spans="1:17" x14ac:dyDescent="0.25">
      <c r="A304" s="131" t="s">
        <v>565</v>
      </c>
      <c r="B304" s="132" t="s">
        <v>3173</v>
      </c>
      <c r="C304" s="133" t="s">
        <v>3254</v>
      </c>
      <c r="D304" s="134"/>
      <c r="E304" s="137"/>
      <c r="F304" s="136">
        <f t="shared" si="26"/>
        <v>0.05</v>
      </c>
      <c r="G304" s="153" t="s">
        <v>3255</v>
      </c>
      <c r="H304" s="134"/>
      <c r="I304" s="136">
        <v>8858890780692</v>
      </c>
      <c r="J304" s="136" t="s">
        <v>753</v>
      </c>
      <c r="K304" s="139"/>
      <c r="L304" s="130"/>
      <c r="M304" s="130"/>
      <c r="N304" s="130"/>
      <c r="O304" s="130"/>
      <c r="P304" s="130"/>
      <c r="Q304" s="130"/>
    </row>
    <row r="305" ht="15.75" customHeight="1" spans="1:17" x14ac:dyDescent="0.25">
      <c r="A305" s="131" t="s">
        <v>566</v>
      </c>
      <c r="B305" s="132" t="s">
        <v>3173</v>
      </c>
      <c r="C305" s="133" t="s">
        <v>3256</v>
      </c>
      <c r="D305" s="136" t="s">
        <v>2595</v>
      </c>
      <c r="E305" s="135">
        <v>0.017</v>
      </c>
      <c r="F305" s="136">
        <f t="shared" si="26"/>
        <v>0.067</v>
      </c>
      <c r="G305" s="153" t="s">
        <v>3255</v>
      </c>
      <c r="H305" s="134"/>
      <c r="I305" s="136">
        <v>8858890780647</v>
      </c>
      <c r="J305" s="136" t="s">
        <v>753</v>
      </c>
      <c r="K305" s="154" t="s">
        <v>3249</v>
      </c>
      <c r="L305" s="130"/>
      <c r="M305" s="130"/>
      <c r="N305" s="130"/>
      <c r="O305" s="130"/>
      <c r="P305" s="130"/>
      <c r="Q305" s="130"/>
    </row>
    <row r="306" ht="15.75" customHeight="1" spans="1:17" x14ac:dyDescent="0.25">
      <c r="A306" s="131" t="s">
        <v>3257</v>
      </c>
      <c r="B306" s="132" t="s">
        <v>3173</v>
      </c>
      <c r="C306" s="133" t="s">
        <v>3258</v>
      </c>
      <c r="D306" s="136" t="s">
        <v>2595</v>
      </c>
      <c r="E306" s="135">
        <v>0.013</v>
      </c>
      <c r="F306" s="136">
        <f t="shared" si="26"/>
        <v>0.063</v>
      </c>
      <c r="G306" s="153" t="s">
        <v>3259</v>
      </c>
      <c r="H306" s="134"/>
      <c r="I306" s="136">
        <v>8858890780715</v>
      </c>
      <c r="J306" s="136" t="s">
        <v>753</v>
      </c>
      <c r="K306" s="139"/>
      <c r="L306" s="130"/>
      <c r="M306" s="130"/>
      <c r="N306" s="130"/>
      <c r="O306" s="130"/>
      <c r="P306" s="130"/>
      <c r="Q306" s="130"/>
    </row>
    <row r="307" ht="15.75" customHeight="1" spans="1:17" x14ac:dyDescent="0.25">
      <c r="A307" s="131" t="s">
        <v>567</v>
      </c>
      <c r="B307" s="132" t="s">
        <v>3173</v>
      </c>
      <c r="C307" s="133" t="s">
        <v>3260</v>
      </c>
      <c r="D307" s="136" t="s">
        <v>2595</v>
      </c>
      <c r="E307" s="135">
        <v>0.013</v>
      </c>
      <c r="F307" s="136">
        <f t="shared" si="26"/>
        <v>0.063</v>
      </c>
      <c r="G307" s="153" t="s">
        <v>3261</v>
      </c>
      <c r="H307" s="134"/>
      <c r="I307" s="136">
        <v>8858890780722</v>
      </c>
      <c r="J307" s="136" t="s">
        <v>753</v>
      </c>
      <c r="K307" s="154" t="s">
        <v>3249</v>
      </c>
      <c r="L307" s="130"/>
      <c r="M307" s="130"/>
      <c r="N307" s="130"/>
      <c r="O307" s="130"/>
      <c r="P307" s="130"/>
      <c r="Q307" s="130"/>
    </row>
    <row r="308" ht="15.75" customHeight="1" spans="1:17" x14ac:dyDescent="0.25">
      <c r="A308" s="131" t="s">
        <v>3262</v>
      </c>
      <c r="B308" s="132" t="s">
        <v>3263</v>
      </c>
      <c r="C308" s="133" t="s">
        <v>3264</v>
      </c>
      <c r="D308" s="134"/>
      <c r="E308" s="137"/>
      <c r="F308" s="134"/>
      <c r="G308" s="153" t="s">
        <v>3265</v>
      </c>
      <c r="H308" s="134"/>
      <c r="I308" s="136">
        <v>885889079379102</v>
      </c>
      <c r="J308" s="134"/>
      <c r="K308" s="154" t="s">
        <v>3266</v>
      </c>
      <c r="L308" s="130"/>
      <c r="M308" s="130"/>
      <c r="N308" s="130"/>
      <c r="O308" s="130"/>
      <c r="P308" s="130"/>
      <c r="Q308" s="130"/>
    </row>
    <row r="309" ht="15.75" customHeight="1" spans="1:17" x14ac:dyDescent="0.25">
      <c r="A309" s="131" t="s">
        <v>3267</v>
      </c>
      <c r="B309" s="132" t="s">
        <v>3268</v>
      </c>
      <c r="C309" s="133" t="s">
        <v>3264</v>
      </c>
      <c r="D309" s="134"/>
      <c r="E309" s="137"/>
      <c r="F309" s="134"/>
      <c r="G309" s="153" t="s">
        <v>3265</v>
      </c>
      <c r="H309" s="134"/>
      <c r="I309" s="136">
        <v>885889079379101</v>
      </c>
      <c r="J309" s="134"/>
      <c r="K309" s="154" t="s">
        <v>3266</v>
      </c>
      <c r="L309" s="130"/>
      <c r="M309" s="130"/>
      <c r="N309" s="130"/>
      <c r="O309" s="130"/>
      <c r="P309" s="130"/>
      <c r="Q309" s="130"/>
    </row>
    <row r="310" ht="15.75" customHeight="1" spans="1:17" x14ac:dyDescent="0.25">
      <c r="A310" s="131" t="s">
        <v>1297</v>
      </c>
      <c r="B310" s="132" t="s">
        <v>3269</v>
      </c>
      <c r="C310" s="133" t="s">
        <v>3270</v>
      </c>
      <c r="D310" s="136" t="s">
        <v>2595</v>
      </c>
      <c r="E310" s="135">
        <v>0.022</v>
      </c>
      <c r="F310" s="136">
        <f t="shared" ref="F310:F322" si="27">E:E+0.05</f>
        <v>0.072</v>
      </c>
      <c r="G310" s="153" t="s">
        <v>3271</v>
      </c>
      <c r="H310" s="134"/>
      <c r="I310" s="136">
        <v>8858890782337</v>
      </c>
      <c r="J310" s="136" t="s">
        <v>753</v>
      </c>
      <c r="K310" s="139"/>
      <c r="L310" s="130"/>
      <c r="M310" s="130"/>
      <c r="N310" s="130"/>
      <c r="O310" s="130"/>
      <c r="P310" s="130"/>
      <c r="Q310" s="130"/>
    </row>
    <row r="311" ht="15.75" customHeight="1" spans="1:17" x14ac:dyDescent="0.25">
      <c r="A311" s="131" t="s">
        <v>3272</v>
      </c>
      <c r="B311" s="132" t="s">
        <v>3273</v>
      </c>
      <c r="C311" s="133" t="s">
        <v>3274</v>
      </c>
      <c r="D311" s="136" t="s">
        <v>2772</v>
      </c>
      <c r="E311" s="135">
        <v>0.654</v>
      </c>
      <c r="F311" s="136">
        <f t="shared" si="27"/>
        <v>0.704</v>
      </c>
      <c r="G311" s="153" t="s">
        <v>3234</v>
      </c>
      <c r="H311" s="134"/>
      <c r="I311" s="136">
        <v>8858890720155</v>
      </c>
      <c r="J311" s="136" t="s">
        <v>753</v>
      </c>
      <c r="K311" s="154" t="s">
        <v>3275</v>
      </c>
      <c r="L311" s="130"/>
      <c r="M311" s="130"/>
      <c r="N311" s="130"/>
      <c r="O311" s="130"/>
      <c r="P311" s="130"/>
      <c r="Q311" s="130"/>
    </row>
    <row r="312" ht="15.75" customHeight="1" spans="1:17" x14ac:dyDescent="0.25">
      <c r="A312" s="131" t="s">
        <v>3276</v>
      </c>
      <c r="B312" s="132" t="s">
        <v>3232</v>
      </c>
      <c r="C312" s="133" t="s">
        <v>3274</v>
      </c>
      <c r="D312" s="136" t="s">
        <v>2772</v>
      </c>
      <c r="E312" s="135">
        <v>0.654</v>
      </c>
      <c r="F312" s="136">
        <f t="shared" si="27"/>
        <v>0.704</v>
      </c>
      <c r="G312" s="153" t="s">
        <v>3234</v>
      </c>
      <c r="H312" s="134"/>
      <c r="I312" s="136">
        <v>8858890720155</v>
      </c>
      <c r="J312" s="136" t="s">
        <v>753</v>
      </c>
      <c r="K312" s="154" t="s">
        <v>3275</v>
      </c>
      <c r="L312" s="130"/>
      <c r="M312" s="130"/>
      <c r="N312" s="130"/>
      <c r="O312" s="130"/>
      <c r="P312" s="130"/>
      <c r="Q312" s="130"/>
    </row>
    <row r="313" ht="15.75" customHeight="1" spans="1:17" x14ac:dyDescent="0.25">
      <c r="A313" s="131" t="s">
        <v>3277</v>
      </c>
      <c r="B313" s="132" t="s">
        <v>3237</v>
      </c>
      <c r="C313" s="133" t="s">
        <v>3274</v>
      </c>
      <c r="D313" s="136" t="s">
        <v>2772</v>
      </c>
      <c r="E313" s="135">
        <v>0.654</v>
      </c>
      <c r="F313" s="136">
        <f t="shared" si="27"/>
        <v>0.704</v>
      </c>
      <c r="G313" s="153" t="s">
        <v>3234</v>
      </c>
      <c r="H313" s="134"/>
      <c r="I313" s="136">
        <v>885889072015503</v>
      </c>
      <c r="J313" s="136" t="s">
        <v>753</v>
      </c>
      <c r="K313" s="154" t="s">
        <v>3275</v>
      </c>
      <c r="L313" s="130"/>
      <c r="M313" s="130"/>
      <c r="N313" s="130"/>
      <c r="O313" s="130"/>
      <c r="P313" s="130"/>
      <c r="Q313" s="130"/>
    </row>
    <row r="314" ht="15.75" customHeight="1" spans="1:17" x14ac:dyDescent="0.25">
      <c r="A314" s="131" t="s">
        <v>3278</v>
      </c>
      <c r="B314" s="132" t="s">
        <v>3279</v>
      </c>
      <c r="C314" s="133" t="s">
        <v>3280</v>
      </c>
      <c r="D314" s="155"/>
      <c r="E314" s="137"/>
      <c r="F314" s="136">
        <f t="shared" si="27"/>
        <v>0.05</v>
      </c>
      <c r="G314" s="153" t="s">
        <v>3234</v>
      </c>
      <c r="H314" s="134"/>
      <c r="I314" s="136">
        <v>885889072015503</v>
      </c>
      <c r="J314" s="136" t="s">
        <v>753</v>
      </c>
      <c r="K314" s="154" t="s">
        <v>3275</v>
      </c>
      <c r="L314" s="130"/>
      <c r="M314" s="130"/>
      <c r="N314" s="130"/>
      <c r="O314" s="130"/>
      <c r="P314" s="130"/>
      <c r="Q314" s="130"/>
    </row>
    <row r="315" ht="15.75" customHeight="1" spans="1:17" x14ac:dyDescent="0.25">
      <c r="A315" s="131" t="s">
        <v>554</v>
      </c>
      <c r="B315" s="132" t="s">
        <v>3281</v>
      </c>
      <c r="C315" s="133" t="s">
        <v>3282</v>
      </c>
      <c r="D315" s="136" t="s">
        <v>2595</v>
      </c>
      <c r="E315" s="135">
        <v>0.011</v>
      </c>
      <c r="F315" s="136">
        <f t="shared" si="27"/>
        <v>0.061</v>
      </c>
      <c r="G315" s="153" t="s">
        <v>3283</v>
      </c>
      <c r="H315" s="134"/>
      <c r="I315" s="136">
        <v>8858890780777</v>
      </c>
      <c r="J315" s="136" t="s">
        <v>753</v>
      </c>
      <c r="K315" s="139"/>
      <c r="L315" s="130"/>
      <c r="M315" s="130"/>
      <c r="N315" s="130"/>
      <c r="O315" s="130"/>
      <c r="P315" s="130"/>
      <c r="Q315" s="130"/>
    </row>
    <row r="316" ht="15.75" customHeight="1" spans="1:17" x14ac:dyDescent="0.25">
      <c r="A316" s="131" t="s">
        <v>545</v>
      </c>
      <c r="B316" s="132" t="s">
        <v>3281</v>
      </c>
      <c r="C316" s="133" t="s">
        <v>3282</v>
      </c>
      <c r="D316" s="136" t="s">
        <v>2595</v>
      </c>
      <c r="E316" s="135">
        <v>0.011</v>
      </c>
      <c r="F316" s="136">
        <f t="shared" si="27"/>
        <v>0.061</v>
      </c>
      <c r="G316" s="153" t="s">
        <v>3283</v>
      </c>
      <c r="H316" s="134"/>
      <c r="I316" s="136">
        <v>8858890780784</v>
      </c>
      <c r="J316" s="136" t="s">
        <v>753</v>
      </c>
      <c r="K316" s="139"/>
      <c r="L316" s="130"/>
      <c r="M316" s="130"/>
      <c r="N316" s="130"/>
      <c r="O316" s="130"/>
      <c r="P316" s="130"/>
      <c r="Q316" s="130"/>
    </row>
    <row r="317" ht="15.75" customHeight="1" spans="1:17" x14ac:dyDescent="0.25">
      <c r="A317" s="131" t="s">
        <v>3284</v>
      </c>
      <c r="B317" s="132" t="s">
        <v>3285</v>
      </c>
      <c r="C317" s="133" t="s">
        <v>3286</v>
      </c>
      <c r="D317" s="134"/>
      <c r="E317" s="135">
        <v>0.0483</v>
      </c>
      <c r="F317" s="136">
        <f t="shared" si="27"/>
        <v>0.0983</v>
      </c>
      <c r="G317" s="153" t="s">
        <v>2944</v>
      </c>
      <c r="H317" s="134"/>
      <c r="I317" s="136">
        <v>885889079605103</v>
      </c>
      <c r="J317" s="136" t="s">
        <v>2582</v>
      </c>
      <c r="K317" s="154" t="s">
        <v>3287</v>
      </c>
      <c r="L317" s="130"/>
      <c r="M317" s="130"/>
      <c r="N317" s="130"/>
      <c r="O317" s="130"/>
      <c r="P317" s="130"/>
      <c r="Q317" s="130"/>
    </row>
    <row r="318" ht="15.75" customHeight="1" spans="1:17" x14ac:dyDescent="0.25">
      <c r="A318" s="131" t="s">
        <v>3288</v>
      </c>
      <c r="B318" s="132" t="s">
        <v>3289</v>
      </c>
      <c r="C318" s="133" t="s">
        <v>3286</v>
      </c>
      <c r="D318" s="134"/>
      <c r="E318" s="135">
        <v>0.0483</v>
      </c>
      <c r="F318" s="136">
        <f t="shared" si="27"/>
        <v>0.0983</v>
      </c>
      <c r="G318" s="153" t="s">
        <v>2944</v>
      </c>
      <c r="H318" s="134"/>
      <c r="I318" s="136">
        <v>885889079605102</v>
      </c>
      <c r="J318" s="136" t="s">
        <v>2582</v>
      </c>
      <c r="K318" s="154" t="s">
        <v>3287</v>
      </c>
      <c r="L318" s="130"/>
      <c r="M318" s="130"/>
      <c r="N318" s="130"/>
      <c r="O318" s="130"/>
      <c r="P318" s="130"/>
      <c r="Q318" s="130"/>
    </row>
    <row r="319" ht="15.75" customHeight="1" spans="1:17" x14ac:dyDescent="0.25">
      <c r="A319" s="131" t="s">
        <v>3290</v>
      </c>
      <c r="B319" s="132" t="s">
        <v>3291</v>
      </c>
      <c r="C319" s="133" t="s">
        <v>3286</v>
      </c>
      <c r="D319" s="134"/>
      <c r="E319" s="135">
        <v>0.0483</v>
      </c>
      <c r="F319" s="136">
        <f t="shared" si="27"/>
        <v>0.0983</v>
      </c>
      <c r="G319" s="153" t="s">
        <v>2944</v>
      </c>
      <c r="H319" s="134"/>
      <c r="I319" s="136">
        <v>885889079605101</v>
      </c>
      <c r="J319" s="136" t="s">
        <v>2582</v>
      </c>
      <c r="K319" s="154" t="s">
        <v>3287</v>
      </c>
      <c r="L319" s="130"/>
      <c r="M319" s="130"/>
      <c r="N319" s="130"/>
      <c r="O319" s="130"/>
      <c r="P319" s="130"/>
      <c r="Q319" s="130"/>
    </row>
    <row r="320" ht="15.75" customHeight="1" spans="1:17" x14ac:dyDescent="0.25">
      <c r="A320" s="131" t="s">
        <v>841</v>
      </c>
      <c r="B320" s="132" t="s">
        <v>3292</v>
      </c>
      <c r="C320" s="133" t="s">
        <v>3293</v>
      </c>
      <c r="D320" s="134"/>
      <c r="E320" s="137"/>
      <c r="F320" s="136">
        <f t="shared" si="27"/>
        <v>0.05</v>
      </c>
      <c r="G320" s="153" t="s">
        <v>3294</v>
      </c>
      <c r="H320" s="134"/>
      <c r="I320" s="136">
        <v>8858890725983</v>
      </c>
      <c r="J320" s="136" t="s">
        <v>2582</v>
      </c>
      <c r="K320" s="154" t="s">
        <v>3295</v>
      </c>
      <c r="L320" s="130"/>
      <c r="M320" s="130"/>
      <c r="N320" s="130"/>
      <c r="O320" s="130"/>
      <c r="P320" s="130"/>
      <c r="Q320" s="130"/>
    </row>
    <row r="321" ht="15.75" customHeight="1" spans="1:17" x14ac:dyDescent="0.25">
      <c r="A321" s="131" t="s">
        <v>864</v>
      </c>
      <c r="B321" s="132" t="s">
        <v>3292</v>
      </c>
      <c r="C321" s="133" t="s">
        <v>3296</v>
      </c>
      <c r="D321" s="134"/>
      <c r="E321" s="137"/>
      <c r="F321" s="136">
        <f t="shared" si="27"/>
        <v>0.05</v>
      </c>
      <c r="G321" s="153" t="s">
        <v>3297</v>
      </c>
      <c r="H321" s="134"/>
      <c r="I321" s="136">
        <v>8858890725990</v>
      </c>
      <c r="J321" s="136" t="s">
        <v>2582</v>
      </c>
      <c r="K321" s="139"/>
      <c r="L321" s="130"/>
      <c r="M321" s="130"/>
      <c r="N321" s="130"/>
      <c r="O321" s="130"/>
      <c r="P321" s="130"/>
      <c r="Q321" s="130"/>
    </row>
    <row r="322" ht="15.75" customHeight="1" spans="1:17" x14ac:dyDescent="0.25">
      <c r="A322" s="131" t="s">
        <v>867</v>
      </c>
      <c r="B322" s="132" t="s">
        <v>3292</v>
      </c>
      <c r="C322" s="133" t="s">
        <v>3298</v>
      </c>
      <c r="D322" s="134"/>
      <c r="E322" s="137"/>
      <c r="F322" s="136">
        <f t="shared" si="27"/>
        <v>0.05</v>
      </c>
      <c r="G322" s="153" t="s">
        <v>3299</v>
      </c>
      <c r="H322" s="134"/>
      <c r="I322" s="136">
        <v>8858890726003</v>
      </c>
      <c r="J322" s="136" t="s">
        <v>2582</v>
      </c>
      <c r="K322" s="139"/>
      <c r="L322" s="130"/>
      <c r="M322" s="130"/>
      <c r="N322" s="130"/>
      <c r="O322" s="130"/>
      <c r="P322" s="130"/>
      <c r="Q322" s="130"/>
    </row>
    <row r="323" ht="15.75" customHeight="1" spans="1:17" x14ac:dyDescent="0.25">
      <c r="A323" s="131" t="s">
        <v>3300</v>
      </c>
      <c r="B323" s="132" t="s">
        <v>3301</v>
      </c>
      <c r="C323" s="160" t="s">
        <v>3302</v>
      </c>
      <c r="D323" s="134"/>
      <c r="E323" s="137"/>
      <c r="F323" s="134"/>
      <c r="G323" s="137"/>
      <c r="H323" s="134"/>
      <c r="I323" s="134"/>
      <c r="J323" s="134"/>
      <c r="K323" s="139"/>
      <c r="L323" s="130"/>
      <c r="M323" s="130"/>
      <c r="N323" s="130"/>
      <c r="O323" s="130"/>
      <c r="P323" s="130"/>
      <c r="Q323" s="130"/>
    </row>
    <row r="324" ht="15.75" customHeight="1" spans="1:17" x14ac:dyDescent="0.25">
      <c r="A324" s="131" t="s">
        <v>561</v>
      </c>
      <c r="B324" s="132" t="s">
        <v>3303</v>
      </c>
      <c r="C324" s="160" t="s">
        <v>3302</v>
      </c>
      <c r="D324" s="134"/>
      <c r="E324" s="135" t="s">
        <v>3304</v>
      </c>
      <c r="F324" s="134"/>
      <c r="G324" s="153" t="s">
        <v>3305</v>
      </c>
      <c r="H324" s="134"/>
      <c r="I324" s="136">
        <v>8858890782542</v>
      </c>
      <c r="J324" s="134"/>
      <c r="K324" s="139"/>
      <c r="L324" s="130"/>
      <c r="M324" s="130"/>
      <c r="N324" s="130"/>
      <c r="O324" s="130"/>
      <c r="P324" s="130"/>
      <c r="Q324" s="130"/>
    </row>
    <row r="325" ht="15.75" customHeight="1" spans="1:17" x14ac:dyDescent="0.25">
      <c r="A325" s="131" t="s">
        <v>560</v>
      </c>
      <c r="B325" s="132" t="s">
        <v>3306</v>
      </c>
      <c r="C325" s="160" t="s">
        <v>3302</v>
      </c>
      <c r="D325" s="134"/>
      <c r="E325" s="135" t="s">
        <v>3307</v>
      </c>
      <c r="F325" s="134"/>
      <c r="G325" s="153" t="s">
        <v>3308</v>
      </c>
      <c r="H325" s="134"/>
      <c r="I325" s="136">
        <v>8858890782559</v>
      </c>
      <c r="J325" s="134"/>
      <c r="K325" s="139"/>
      <c r="L325" s="130"/>
      <c r="M325" s="130"/>
      <c r="N325" s="130"/>
      <c r="O325" s="130"/>
      <c r="P325" s="130"/>
      <c r="Q325" s="130"/>
    </row>
    <row r="326" ht="15.75" customHeight="1" spans="1:17" x14ac:dyDescent="0.25">
      <c r="A326" s="131" t="s">
        <v>3309</v>
      </c>
      <c r="B326" s="132" t="s">
        <v>3310</v>
      </c>
      <c r="C326" s="160" t="s">
        <v>3311</v>
      </c>
      <c r="D326" s="136" t="s">
        <v>2714</v>
      </c>
      <c r="E326" s="135">
        <v>0.023</v>
      </c>
      <c r="F326" s="136">
        <f t="shared" ref="F326:F339" si="28">E:E+0.05</f>
        <v>0.073</v>
      </c>
      <c r="G326" s="153" t="s">
        <v>3312</v>
      </c>
      <c r="H326" s="134"/>
      <c r="I326" s="136">
        <v>8858890760069</v>
      </c>
      <c r="J326" s="136" t="s">
        <v>753</v>
      </c>
      <c r="K326" s="139"/>
      <c r="L326" s="130"/>
      <c r="M326" s="130"/>
      <c r="N326" s="130"/>
      <c r="O326" s="130"/>
      <c r="P326" s="130"/>
      <c r="Q326" s="130"/>
    </row>
    <row r="327" ht="15.75" customHeight="1" spans="1:17" x14ac:dyDescent="0.25">
      <c r="A327" s="131" t="s">
        <v>352</v>
      </c>
      <c r="B327" s="132" t="s">
        <v>2712</v>
      </c>
      <c r="C327" s="133" t="s">
        <v>3313</v>
      </c>
      <c r="D327" s="136" t="s">
        <v>2714</v>
      </c>
      <c r="E327" s="135">
        <v>0.065</v>
      </c>
      <c r="F327" s="136">
        <f t="shared" si="28"/>
        <v>0.115</v>
      </c>
      <c r="G327" s="153" t="s">
        <v>3049</v>
      </c>
      <c r="H327" s="134"/>
      <c r="I327" s="136">
        <v>8858890760823</v>
      </c>
      <c r="J327" s="136" t="s">
        <v>753</v>
      </c>
      <c r="K327" s="154" t="s">
        <v>3314</v>
      </c>
      <c r="L327" s="130"/>
      <c r="M327" s="130"/>
      <c r="N327" s="130"/>
      <c r="O327" s="130"/>
      <c r="P327" s="130"/>
      <c r="Q327" s="130"/>
    </row>
    <row r="328" ht="15.75" customHeight="1" spans="1:17" x14ac:dyDescent="0.25">
      <c r="A328" s="131" t="s">
        <v>3315</v>
      </c>
      <c r="B328" s="132" t="s">
        <v>3310</v>
      </c>
      <c r="C328" s="133" t="s">
        <v>3316</v>
      </c>
      <c r="D328" s="136" t="s">
        <v>2714</v>
      </c>
      <c r="E328" s="135">
        <v>0.026</v>
      </c>
      <c r="F328" s="136">
        <f t="shared" si="28"/>
        <v>0.076</v>
      </c>
      <c r="G328" s="153" t="s">
        <v>3317</v>
      </c>
      <c r="H328" s="134"/>
      <c r="I328" s="136">
        <v>8858890760687</v>
      </c>
      <c r="J328" s="136" t="s">
        <v>753</v>
      </c>
      <c r="K328" s="139"/>
      <c r="L328" s="130"/>
      <c r="M328" s="130"/>
      <c r="N328" s="130"/>
      <c r="O328" s="130"/>
      <c r="P328" s="130"/>
      <c r="Q328" s="130"/>
    </row>
    <row r="329" ht="15.75" customHeight="1" spans="1:17" x14ac:dyDescent="0.25">
      <c r="A329" s="131" t="s">
        <v>885</v>
      </c>
      <c r="B329" s="132" t="s">
        <v>3318</v>
      </c>
      <c r="C329" s="133" t="s">
        <v>3319</v>
      </c>
      <c r="D329" s="134"/>
      <c r="E329" s="135" t="s">
        <v>3320</v>
      </c>
      <c r="F329" s="136" t="str">
        <f t="shared" si="28"/>
        <v>#VALUE!</v>
      </c>
      <c r="G329" s="153" t="s">
        <v>3321</v>
      </c>
      <c r="H329" s="134"/>
      <c r="I329" s="136">
        <v>8858890782382</v>
      </c>
      <c r="J329" s="136" t="s">
        <v>2582</v>
      </c>
      <c r="K329" s="154" t="s">
        <v>3322</v>
      </c>
      <c r="L329" s="130"/>
      <c r="M329" s="130"/>
      <c r="N329" s="130"/>
      <c r="O329" s="130"/>
      <c r="P329" s="130"/>
      <c r="Q329" s="130"/>
    </row>
    <row r="330" ht="15.75" customHeight="1" spans="1:17" x14ac:dyDescent="0.25">
      <c r="A330" s="131" t="s">
        <v>896</v>
      </c>
      <c r="B330" s="132" t="s">
        <v>3323</v>
      </c>
      <c r="C330" s="133" t="s">
        <v>3324</v>
      </c>
      <c r="D330" s="134"/>
      <c r="E330" s="137"/>
      <c r="F330" s="136">
        <f t="shared" si="28"/>
        <v>0.05</v>
      </c>
      <c r="G330" s="153" t="s">
        <v>3321</v>
      </c>
      <c r="H330" s="134"/>
      <c r="I330" s="136">
        <v>8858890782245</v>
      </c>
      <c r="J330" s="136" t="s">
        <v>2582</v>
      </c>
      <c r="K330" s="154" t="s">
        <v>3325</v>
      </c>
      <c r="L330" s="130"/>
      <c r="M330" s="130"/>
      <c r="N330" s="130"/>
      <c r="O330" s="130"/>
      <c r="P330" s="130"/>
      <c r="Q330" s="130"/>
    </row>
    <row r="331" ht="15.75" customHeight="1" spans="1:17" x14ac:dyDescent="0.25">
      <c r="A331" s="131" t="s">
        <v>48</v>
      </c>
      <c r="B331" s="132" t="s">
        <v>3318</v>
      </c>
      <c r="C331" s="133" t="s">
        <v>3326</v>
      </c>
      <c r="D331" s="134"/>
      <c r="E331" s="135" t="s">
        <v>3327</v>
      </c>
      <c r="F331" s="136" t="str">
        <f t="shared" si="28"/>
        <v>#VALUE!</v>
      </c>
      <c r="G331" s="153" t="s">
        <v>3328</v>
      </c>
      <c r="H331" s="134"/>
      <c r="I331" s="136">
        <v>8858890782399</v>
      </c>
      <c r="J331" s="136" t="s">
        <v>2582</v>
      </c>
      <c r="K331" s="154" t="s">
        <v>3329</v>
      </c>
      <c r="L331" s="130"/>
      <c r="M331" s="130"/>
      <c r="N331" s="130"/>
      <c r="O331" s="130"/>
      <c r="P331" s="130"/>
      <c r="Q331" s="130"/>
    </row>
    <row r="332" ht="15.75" customHeight="1" spans="1:17" x14ac:dyDescent="0.25">
      <c r="A332" s="131" t="s">
        <v>49</v>
      </c>
      <c r="B332" s="132" t="s">
        <v>3323</v>
      </c>
      <c r="C332" s="133" t="s">
        <v>3330</v>
      </c>
      <c r="D332" s="134"/>
      <c r="E332" s="137"/>
      <c r="F332" s="136">
        <f t="shared" si="28"/>
        <v>0.05</v>
      </c>
      <c r="G332" s="153" t="s">
        <v>3328</v>
      </c>
      <c r="H332" s="134"/>
      <c r="I332" s="136">
        <v>8858890782429</v>
      </c>
      <c r="J332" s="136" t="s">
        <v>2582</v>
      </c>
      <c r="K332" s="154" t="s">
        <v>3331</v>
      </c>
      <c r="L332" s="130"/>
      <c r="M332" s="130"/>
      <c r="N332" s="130"/>
      <c r="O332" s="130"/>
      <c r="P332" s="130"/>
      <c r="Q332" s="130"/>
    </row>
    <row r="333" ht="15.75" customHeight="1" spans="1:17" x14ac:dyDescent="0.25">
      <c r="A333" s="131" t="s">
        <v>384</v>
      </c>
      <c r="B333" s="132" t="s">
        <v>3332</v>
      </c>
      <c r="C333" s="133" t="s">
        <v>3333</v>
      </c>
      <c r="D333" s="134"/>
      <c r="E333" s="137"/>
      <c r="F333" s="136">
        <f t="shared" si="28"/>
        <v>0.05</v>
      </c>
      <c r="G333" s="153" t="s">
        <v>3328</v>
      </c>
      <c r="H333" s="134"/>
      <c r="I333" s="136">
        <v>8858890782221</v>
      </c>
      <c r="J333" s="136" t="s">
        <v>2582</v>
      </c>
      <c r="K333" s="139"/>
      <c r="L333" s="130"/>
      <c r="M333" s="130"/>
      <c r="N333" s="130"/>
      <c r="O333" s="130"/>
      <c r="P333" s="130"/>
      <c r="Q333" s="130"/>
    </row>
    <row r="334" ht="15.75" customHeight="1" spans="1:17" x14ac:dyDescent="0.25">
      <c r="A334" s="131" t="s">
        <v>890</v>
      </c>
      <c r="B334" s="132" t="s">
        <v>3318</v>
      </c>
      <c r="C334" s="133" t="s">
        <v>3334</v>
      </c>
      <c r="D334" s="134"/>
      <c r="E334" s="135" t="s">
        <v>3335</v>
      </c>
      <c r="F334" s="136" t="str">
        <f t="shared" si="28"/>
        <v>#VALUE!</v>
      </c>
      <c r="G334" s="153" t="s">
        <v>3336</v>
      </c>
      <c r="H334" s="134"/>
      <c r="I334" s="136">
        <v>8858890782405</v>
      </c>
      <c r="J334" s="136" t="s">
        <v>2582</v>
      </c>
      <c r="K334" s="154" t="s">
        <v>3337</v>
      </c>
      <c r="L334" s="130"/>
      <c r="M334" s="130"/>
      <c r="N334" s="130"/>
      <c r="O334" s="130"/>
      <c r="P334" s="130"/>
      <c r="Q334" s="130"/>
    </row>
    <row r="335" ht="15.75" customHeight="1" spans="1:17" x14ac:dyDescent="0.25">
      <c r="A335" s="131" t="s">
        <v>50</v>
      </c>
      <c r="B335" s="132" t="s">
        <v>3323</v>
      </c>
      <c r="C335" s="133" t="s">
        <v>3338</v>
      </c>
      <c r="D335" s="134"/>
      <c r="E335" s="137"/>
      <c r="F335" s="136">
        <f t="shared" si="28"/>
        <v>0.05</v>
      </c>
      <c r="G335" s="153" t="s">
        <v>3336</v>
      </c>
      <c r="H335" s="134"/>
      <c r="I335" s="136">
        <v>8858890782436</v>
      </c>
      <c r="J335" s="136" t="s">
        <v>2582</v>
      </c>
      <c r="K335" s="139"/>
      <c r="L335" s="130"/>
      <c r="M335" s="130"/>
      <c r="N335" s="130"/>
      <c r="O335" s="130"/>
      <c r="P335" s="130"/>
      <c r="Q335" s="130"/>
    </row>
    <row r="336" ht="15.75" customHeight="1" spans="1:17" x14ac:dyDescent="0.25">
      <c r="A336" s="131" t="s">
        <v>893</v>
      </c>
      <c r="B336" s="132" t="s">
        <v>3318</v>
      </c>
      <c r="C336" s="133" t="s">
        <v>3339</v>
      </c>
      <c r="D336" s="134"/>
      <c r="E336" s="135" t="s">
        <v>3340</v>
      </c>
      <c r="F336" s="136" t="str">
        <f t="shared" si="28"/>
        <v>#VALUE!</v>
      </c>
      <c r="G336" s="153" t="s">
        <v>3341</v>
      </c>
      <c r="H336" s="134"/>
      <c r="I336" s="136">
        <v>8858890782412</v>
      </c>
      <c r="J336" s="136" t="s">
        <v>2582</v>
      </c>
      <c r="K336" s="154" t="s">
        <v>3342</v>
      </c>
      <c r="L336" s="130"/>
      <c r="M336" s="130"/>
      <c r="N336" s="130"/>
      <c r="O336" s="130"/>
      <c r="P336" s="130"/>
      <c r="Q336" s="130"/>
    </row>
    <row r="337" ht="15.75" customHeight="1" spans="1:17" x14ac:dyDescent="0.25">
      <c r="A337" s="131" t="s">
        <v>905</v>
      </c>
      <c r="B337" s="132" t="s">
        <v>3332</v>
      </c>
      <c r="C337" s="133" t="s">
        <v>3343</v>
      </c>
      <c r="D337" s="134"/>
      <c r="E337" s="137"/>
      <c r="F337" s="136">
        <f t="shared" si="28"/>
        <v>0.05</v>
      </c>
      <c r="G337" s="153" t="s">
        <v>3341</v>
      </c>
      <c r="H337" s="134"/>
      <c r="I337" s="136">
        <v>8858890782238</v>
      </c>
      <c r="J337" s="136" t="s">
        <v>2582</v>
      </c>
      <c r="K337" s="139"/>
      <c r="L337" s="130"/>
      <c r="M337" s="130"/>
      <c r="N337" s="130"/>
      <c r="O337" s="130"/>
      <c r="P337" s="130"/>
      <c r="Q337" s="130"/>
    </row>
    <row r="338" ht="15.75" customHeight="1" spans="1:17" x14ac:dyDescent="0.25">
      <c r="A338" s="131" t="s">
        <v>597</v>
      </c>
      <c r="B338" s="132" t="s">
        <v>3344</v>
      </c>
      <c r="C338" s="133" t="s">
        <v>3345</v>
      </c>
      <c r="D338" s="136" t="s">
        <v>2595</v>
      </c>
      <c r="E338" s="135">
        <v>0.158</v>
      </c>
      <c r="F338" s="136">
        <f t="shared" si="28"/>
        <v>0.208</v>
      </c>
      <c r="G338" s="153" t="s">
        <v>3346</v>
      </c>
      <c r="H338" s="134"/>
      <c r="I338" s="136">
        <v>8858890781842</v>
      </c>
      <c r="J338" s="136" t="s">
        <v>753</v>
      </c>
      <c r="K338" s="154" t="s">
        <v>3347</v>
      </c>
      <c r="L338" s="130"/>
      <c r="M338" s="130"/>
      <c r="N338" s="130"/>
      <c r="O338" s="130"/>
      <c r="P338" s="130"/>
      <c r="Q338" s="130"/>
    </row>
    <row r="339" ht="15.75" customHeight="1" spans="1:17" x14ac:dyDescent="0.25">
      <c r="A339" s="131" t="s">
        <v>338</v>
      </c>
      <c r="B339" s="132" t="s">
        <v>3348</v>
      </c>
      <c r="C339" s="133" t="s">
        <v>3349</v>
      </c>
      <c r="D339" s="136" t="s">
        <v>2714</v>
      </c>
      <c r="E339" s="135">
        <v>0.198</v>
      </c>
      <c r="F339" s="136">
        <f t="shared" si="28"/>
        <v>0.248</v>
      </c>
      <c r="G339" s="137"/>
      <c r="H339" s="134"/>
      <c r="I339" s="136">
        <v>8858890760557</v>
      </c>
      <c r="J339" s="136" t="s">
        <v>753</v>
      </c>
      <c r="K339" s="139"/>
      <c r="L339" s="130"/>
      <c r="M339" s="130"/>
      <c r="N339" s="130"/>
      <c r="O339" s="130"/>
      <c r="P339" s="130"/>
      <c r="Q339" s="130"/>
    </row>
    <row r="340" ht="15.75" customHeight="1" spans="1:17" x14ac:dyDescent="0.25">
      <c r="A340" s="131" t="s">
        <v>3350</v>
      </c>
      <c r="B340" s="132" t="s">
        <v>3348</v>
      </c>
      <c r="C340" s="133" t="s">
        <v>3351</v>
      </c>
      <c r="D340" s="134"/>
      <c r="E340" s="137"/>
      <c r="F340" s="134"/>
      <c r="G340" s="153" t="s">
        <v>3041</v>
      </c>
      <c r="H340" s="134"/>
      <c r="I340" s="136">
        <v>885889076055701</v>
      </c>
      <c r="J340" s="134"/>
      <c r="K340" s="139"/>
      <c r="L340" s="130"/>
      <c r="M340" s="130"/>
      <c r="N340" s="130"/>
      <c r="O340" s="130"/>
      <c r="P340" s="130"/>
      <c r="Q340" s="130"/>
    </row>
    <row r="341" ht="15.75" customHeight="1" spans="1:17" x14ac:dyDescent="0.25">
      <c r="A341" s="131" t="s">
        <v>3352</v>
      </c>
      <c r="B341" s="132" t="s">
        <v>3348</v>
      </c>
      <c r="C341" s="133" t="s">
        <v>3353</v>
      </c>
      <c r="D341" s="134"/>
      <c r="E341" s="137"/>
      <c r="F341" s="134"/>
      <c r="G341" s="153" t="s">
        <v>3041</v>
      </c>
      <c r="H341" s="134"/>
      <c r="I341" s="136">
        <v>885889076055702</v>
      </c>
      <c r="J341" s="134"/>
      <c r="K341" s="139"/>
      <c r="L341" s="130"/>
      <c r="M341" s="130"/>
      <c r="N341" s="130"/>
      <c r="O341" s="130"/>
      <c r="P341" s="130"/>
      <c r="Q341" s="130"/>
    </row>
    <row r="342" ht="15.75" customHeight="1" spans="1:17" x14ac:dyDescent="0.25">
      <c r="A342" s="131" t="s">
        <v>3354</v>
      </c>
      <c r="B342" s="132" t="s">
        <v>3355</v>
      </c>
      <c r="C342" s="133" t="s">
        <v>3356</v>
      </c>
      <c r="D342" s="136" t="s">
        <v>2595</v>
      </c>
      <c r="E342" s="135">
        <v>0.126</v>
      </c>
      <c r="F342" s="136">
        <f t="shared" ref="F342:F355" si="29">E:E+0.05</f>
        <v>0.176</v>
      </c>
      <c r="G342" s="153" t="s">
        <v>3357</v>
      </c>
      <c r="H342" s="134"/>
      <c r="I342" s="136">
        <v>8858890781828</v>
      </c>
      <c r="J342" s="136" t="s">
        <v>753</v>
      </c>
      <c r="K342" s="139"/>
      <c r="L342" s="130"/>
      <c r="M342" s="130"/>
      <c r="N342" s="130"/>
      <c r="O342" s="130"/>
      <c r="P342" s="130"/>
      <c r="Q342" s="130"/>
    </row>
    <row r="343" ht="15.75" customHeight="1" spans="1:17" x14ac:dyDescent="0.25">
      <c r="A343" s="131" t="s">
        <v>3358</v>
      </c>
      <c r="B343" s="132" t="s">
        <v>3355</v>
      </c>
      <c r="C343" s="133" t="s">
        <v>3359</v>
      </c>
      <c r="D343" s="136" t="s">
        <v>2595</v>
      </c>
      <c r="E343" s="135">
        <v>0.096</v>
      </c>
      <c r="F343" s="136">
        <f t="shared" si="29"/>
        <v>0.146</v>
      </c>
      <c r="G343" s="153" t="s">
        <v>3360</v>
      </c>
      <c r="H343" s="134"/>
      <c r="I343" s="136">
        <v>8858890781934</v>
      </c>
      <c r="J343" s="136" t="s">
        <v>753</v>
      </c>
      <c r="K343" s="139"/>
      <c r="L343" s="130"/>
      <c r="M343" s="130"/>
      <c r="N343" s="130"/>
      <c r="O343" s="130"/>
      <c r="P343" s="130"/>
      <c r="Q343" s="130"/>
    </row>
    <row r="344" ht="15.75" customHeight="1" spans="1:17" x14ac:dyDescent="0.25">
      <c r="A344" s="131" t="s">
        <v>342</v>
      </c>
      <c r="B344" s="132" t="s">
        <v>2712</v>
      </c>
      <c r="C344" s="133" t="s">
        <v>3361</v>
      </c>
      <c r="D344" s="136" t="s">
        <v>2714</v>
      </c>
      <c r="E344" s="135">
        <v>0.091</v>
      </c>
      <c r="F344" s="136">
        <f t="shared" si="29"/>
        <v>0.141</v>
      </c>
      <c r="G344" s="153" t="s">
        <v>3049</v>
      </c>
      <c r="H344" s="134"/>
      <c r="I344" s="136">
        <v>8858890760267</v>
      </c>
      <c r="J344" s="136" t="s">
        <v>753</v>
      </c>
      <c r="K344" s="154" t="s">
        <v>3362</v>
      </c>
      <c r="L344" s="130"/>
      <c r="M344" s="130"/>
      <c r="N344" s="130"/>
      <c r="O344" s="130"/>
      <c r="P344" s="130"/>
      <c r="Q344" s="130"/>
    </row>
    <row r="345" ht="15.75" customHeight="1" spans="1:17" x14ac:dyDescent="0.25">
      <c r="A345" s="131" t="s">
        <v>3363</v>
      </c>
      <c r="B345" s="132" t="s">
        <v>2712</v>
      </c>
      <c r="C345" s="133" t="s">
        <v>3364</v>
      </c>
      <c r="D345" s="136" t="s">
        <v>2714</v>
      </c>
      <c r="E345" s="135">
        <v>0.182</v>
      </c>
      <c r="F345" s="136">
        <f t="shared" si="29"/>
        <v>0.232</v>
      </c>
      <c r="G345" s="137"/>
      <c r="H345" s="134"/>
      <c r="I345" s="136">
        <v>885889076026702</v>
      </c>
      <c r="J345" s="136" t="s">
        <v>753</v>
      </c>
      <c r="K345" s="154" t="s">
        <v>3362</v>
      </c>
      <c r="L345" s="130"/>
      <c r="M345" s="130"/>
      <c r="N345" s="130"/>
      <c r="O345" s="130"/>
      <c r="P345" s="130"/>
      <c r="Q345" s="130"/>
    </row>
    <row r="346" ht="15.75" customHeight="1" spans="1:17" x14ac:dyDescent="0.25">
      <c r="A346" s="131" t="s">
        <v>343</v>
      </c>
      <c r="B346" s="132" t="s">
        <v>2712</v>
      </c>
      <c r="C346" s="133" t="s">
        <v>3365</v>
      </c>
      <c r="D346" s="136" t="s">
        <v>2714</v>
      </c>
      <c r="E346" s="135">
        <v>0.091</v>
      </c>
      <c r="F346" s="136">
        <f t="shared" si="29"/>
        <v>0.141</v>
      </c>
      <c r="G346" s="153" t="s">
        <v>2715</v>
      </c>
      <c r="H346" s="134"/>
      <c r="I346" s="136">
        <v>8858890760250</v>
      </c>
      <c r="J346" s="136" t="s">
        <v>753</v>
      </c>
      <c r="K346" s="154" t="s">
        <v>3362</v>
      </c>
      <c r="L346" s="130"/>
      <c r="M346" s="130"/>
      <c r="N346" s="130"/>
      <c r="O346" s="130"/>
      <c r="P346" s="130"/>
      <c r="Q346" s="130"/>
    </row>
    <row r="347" ht="15.75" customHeight="1" spans="1:17" x14ac:dyDescent="0.25">
      <c r="A347" s="131" t="s">
        <v>591</v>
      </c>
      <c r="B347" s="132" t="s">
        <v>3366</v>
      </c>
      <c r="C347" s="133" t="s">
        <v>3367</v>
      </c>
      <c r="D347" s="136" t="s">
        <v>2595</v>
      </c>
      <c r="E347" s="135">
        <v>0.13</v>
      </c>
      <c r="F347" s="136">
        <f t="shared" si="29"/>
        <v>0.18</v>
      </c>
      <c r="G347" s="153" t="s">
        <v>3368</v>
      </c>
      <c r="H347" s="134"/>
      <c r="I347" s="136">
        <v>8858890781835</v>
      </c>
      <c r="J347" s="136" t="s">
        <v>753</v>
      </c>
      <c r="K347" s="139"/>
      <c r="L347" s="130"/>
      <c r="M347" s="130"/>
      <c r="N347" s="130"/>
      <c r="O347" s="130"/>
      <c r="P347" s="130"/>
      <c r="Q347" s="130"/>
    </row>
    <row r="348" ht="15.75" customHeight="1" spans="1:17" x14ac:dyDescent="0.25">
      <c r="A348" s="131" t="s">
        <v>3369</v>
      </c>
      <c r="B348" s="132" t="s">
        <v>3370</v>
      </c>
      <c r="C348" s="133" t="s">
        <v>3371</v>
      </c>
      <c r="D348" s="136" t="s">
        <v>2595</v>
      </c>
      <c r="E348" s="135">
        <v>0.11</v>
      </c>
      <c r="F348" s="136">
        <f t="shared" si="29"/>
        <v>0.16</v>
      </c>
      <c r="G348" s="153" t="s">
        <v>3368</v>
      </c>
      <c r="H348" s="134"/>
      <c r="I348" s="136">
        <v>8858890781545</v>
      </c>
      <c r="J348" s="136" t="s">
        <v>753</v>
      </c>
      <c r="K348" s="139"/>
      <c r="L348" s="130"/>
      <c r="M348" s="130"/>
      <c r="N348" s="130"/>
      <c r="O348" s="130"/>
      <c r="P348" s="130"/>
      <c r="Q348" s="130"/>
    </row>
    <row r="349" ht="15.75" customHeight="1" spans="1:17" x14ac:dyDescent="0.25">
      <c r="A349" s="131" t="s">
        <v>1336</v>
      </c>
      <c r="B349" s="132" t="s">
        <v>2916</v>
      </c>
      <c r="C349" s="133" t="s">
        <v>3372</v>
      </c>
      <c r="D349" s="136" t="s">
        <v>2907</v>
      </c>
      <c r="E349" s="135">
        <v>0.04</v>
      </c>
      <c r="F349" s="136">
        <f t="shared" si="29"/>
        <v>0.09</v>
      </c>
      <c r="G349" s="153" t="s">
        <v>3373</v>
      </c>
      <c r="H349" s="134"/>
      <c r="I349" s="136">
        <v>8858890795863</v>
      </c>
      <c r="J349" s="136" t="s">
        <v>753</v>
      </c>
      <c r="K349" s="139"/>
      <c r="L349" s="130"/>
      <c r="M349" s="130"/>
      <c r="N349" s="130"/>
      <c r="O349" s="130"/>
      <c r="P349" s="130"/>
      <c r="Q349" s="130"/>
    </row>
    <row r="350" ht="15.75" customHeight="1" spans="1:17" x14ac:dyDescent="0.25">
      <c r="A350" s="131" t="s">
        <v>31</v>
      </c>
      <c r="B350" s="132" t="s">
        <v>2712</v>
      </c>
      <c r="C350" s="133" t="s">
        <v>3374</v>
      </c>
      <c r="D350" s="136" t="s">
        <v>2714</v>
      </c>
      <c r="E350" s="135">
        <v>0.095</v>
      </c>
      <c r="F350" s="136">
        <f t="shared" si="29"/>
        <v>0.145</v>
      </c>
      <c r="G350" s="153" t="s">
        <v>3049</v>
      </c>
      <c r="H350" s="134"/>
      <c r="I350" s="136">
        <v>8858890761042</v>
      </c>
      <c r="J350" s="136" t="s">
        <v>2582</v>
      </c>
      <c r="K350" s="154" t="s">
        <v>3375</v>
      </c>
      <c r="L350" s="130"/>
      <c r="M350" s="130"/>
      <c r="N350" s="130"/>
      <c r="O350" s="130"/>
      <c r="P350" s="130"/>
      <c r="Q350" s="130"/>
    </row>
    <row r="351" ht="15.75" customHeight="1" spans="1:17" x14ac:dyDescent="0.25">
      <c r="A351" s="131" t="s">
        <v>3376</v>
      </c>
      <c r="B351" s="132" t="s">
        <v>2712</v>
      </c>
      <c r="C351" s="133" t="s">
        <v>3377</v>
      </c>
      <c r="D351" s="136" t="s">
        <v>2714</v>
      </c>
      <c r="E351" s="135">
        <v>0.19</v>
      </c>
      <c r="F351" s="136">
        <f t="shared" si="29"/>
        <v>0.24</v>
      </c>
      <c r="G351" s="137"/>
      <c r="H351" s="134"/>
      <c r="I351" s="136">
        <v>885889076104202</v>
      </c>
      <c r="J351" s="136" t="s">
        <v>2582</v>
      </c>
      <c r="K351" s="154" t="s">
        <v>3375</v>
      </c>
      <c r="L351" s="130"/>
      <c r="M351" s="130"/>
      <c r="N351" s="130"/>
      <c r="O351" s="130"/>
      <c r="P351" s="130"/>
      <c r="Q351" s="130"/>
    </row>
    <row r="352" ht="15.75" customHeight="1" spans="1:17" x14ac:dyDescent="0.25">
      <c r="A352" s="131" t="s">
        <v>1025</v>
      </c>
      <c r="B352" s="132" t="s">
        <v>3378</v>
      </c>
      <c r="C352" s="133" t="s">
        <v>3379</v>
      </c>
      <c r="D352" s="136" t="s">
        <v>2595</v>
      </c>
      <c r="E352" s="135">
        <v>0.038</v>
      </c>
      <c r="F352" s="136">
        <f t="shared" si="29"/>
        <v>0.088</v>
      </c>
      <c r="G352" s="153" t="s">
        <v>3380</v>
      </c>
      <c r="H352" s="134"/>
      <c r="I352" s="136">
        <v>8858890781521</v>
      </c>
      <c r="J352" s="136" t="s">
        <v>753</v>
      </c>
      <c r="K352" s="139"/>
      <c r="L352" s="130"/>
      <c r="M352" s="130"/>
      <c r="N352" s="130"/>
      <c r="O352" s="130"/>
      <c r="P352" s="130"/>
      <c r="Q352" s="130"/>
    </row>
    <row r="353" ht="15.75" customHeight="1" spans="1:17" x14ac:dyDescent="0.25">
      <c r="A353" s="131" t="s">
        <v>1028</v>
      </c>
      <c r="B353" s="132" t="s">
        <v>3378</v>
      </c>
      <c r="C353" s="133" t="s">
        <v>3381</v>
      </c>
      <c r="D353" s="136" t="s">
        <v>2595</v>
      </c>
      <c r="E353" s="135">
        <v>0.039</v>
      </c>
      <c r="F353" s="136">
        <f t="shared" si="29"/>
        <v>0.089</v>
      </c>
      <c r="G353" s="153" t="s">
        <v>3382</v>
      </c>
      <c r="H353" s="134"/>
      <c r="I353" s="136">
        <v>8858890781415</v>
      </c>
      <c r="J353" s="136" t="s">
        <v>753</v>
      </c>
      <c r="K353" s="139"/>
      <c r="L353" s="130"/>
      <c r="M353" s="130"/>
      <c r="N353" s="130"/>
      <c r="O353" s="130"/>
      <c r="P353" s="130"/>
      <c r="Q353" s="130"/>
    </row>
    <row r="354" ht="15.75" customHeight="1" spans="1:17" x14ac:dyDescent="0.25">
      <c r="A354" s="131" t="s">
        <v>3383</v>
      </c>
      <c r="B354" s="132" t="s">
        <v>3384</v>
      </c>
      <c r="C354" s="133" t="s">
        <v>3385</v>
      </c>
      <c r="D354" s="136" t="s">
        <v>2595</v>
      </c>
      <c r="E354" s="135">
        <v>0.028</v>
      </c>
      <c r="F354" s="136">
        <f t="shared" si="29"/>
        <v>0.078</v>
      </c>
      <c r="G354" s="153" t="s">
        <v>3386</v>
      </c>
      <c r="H354" s="134"/>
      <c r="I354" s="136">
        <v>8858890782054</v>
      </c>
      <c r="J354" s="136" t="s">
        <v>753</v>
      </c>
      <c r="K354" s="139"/>
      <c r="L354" s="130"/>
      <c r="M354" s="130"/>
      <c r="N354" s="130"/>
      <c r="O354" s="130"/>
      <c r="P354" s="130"/>
      <c r="Q354" s="130"/>
    </row>
    <row r="355" ht="15.75" customHeight="1" spans="1:17" x14ac:dyDescent="0.25">
      <c r="A355" s="131" t="s">
        <v>3387</v>
      </c>
      <c r="B355" s="132" t="s">
        <v>3388</v>
      </c>
      <c r="C355" s="133" t="s">
        <v>3389</v>
      </c>
      <c r="D355" s="136" t="s">
        <v>2595</v>
      </c>
      <c r="E355" s="135">
        <v>0.028</v>
      </c>
      <c r="F355" s="136">
        <f t="shared" si="29"/>
        <v>0.078</v>
      </c>
      <c r="G355" s="153" t="s">
        <v>3386</v>
      </c>
      <c r="H355" s="134"/>
      <c r="I355" s="136">
        <v>8858890782061</v>
      </c>
      <c r="J355" s="136" t="s">
        <v>753</v>
      </c>
      <c r="K355" s="139"/>
      <c r="L355" s="130"/>
      <c r="M355" s="130"/>
      <c r="N355" s="130"/>
      <c r="O355" s="130"/>
      <c r="P355" s="130"/>
      <c r="Q355" s="130"/>
    </row>
    <row r="356" ht="15.75" customHeight="1" spans="1:17" x14ac:dyDescent="0.25">
      <c r="A356" s="131" t="s">
        <v>1599</v>
      </c>
      <c r="B356" s="132" t="s">
        <v>3390</v>
      </c>
      <c r="C356" s="133" t="s">
        <v>3391</v>
      </c>
      <c r="D356" s="134"/>
      <c r="E356" s="137"/>
      <c r="F356" s="134"/>
      <c r="G356" s="153" t="s">
        <v>3392</v>
      </c>
      <c r="H356" s="134"/>
      <c r="I356" s="134"/>
      <c r="J356" s="134"/>
      <c r="K356" s="154" t="s">
        <v>3393</v>
      </c>
      <c r="L356" s="130"/>
      <c r="M356" s="130"/>
      <c r="N356" s="130"/>
      <c r="O356" s="130"/>
      <c r="P356" s="130"/>
      <c r="Q356" s="130"/>
    </row>
    <row r="357" ht="15.75" customHeight="1" spans="1:17" x14ac:dyDescent="0.25">
      <c r="A357" s="131" t="s">
        <v>1603</v>
      </c>
      <c r="B357" s="132" t="s">
        <v>3394</v>
      </c>
      <c r="C357" s="133" t="s">
        <v>3395</v>
      </c>
      <c r="D357" s="134"/>
      <c r="E357" s="137"/>
      <c r="F357" s="134"/>
      <c r="G357" s="153" t="s">
        <v>3392</v>
      </c>
      <c r="H357" s="134"/>
      <c r="I357" s="134"/>
      <c r="J357" s="134"/>
      <c r="K357" s="154" t="s">
        <v>3393</v>
      </c>
      <c r="L357" s="130"/>
      <c r="M357" s="130"/>
      <c r="N357" s="130"/>
      <c r="O357" s="130"/>
      <c r="P357" s="130"/>
      <c r="Q357" s="130"/>
    </row>
    <row r="358" ht="15.75" customHeight="1" spans="1:17" x14ac:dyDescent="0.25">
      <c r="A358" s="131" t="s">
        <v>32</v>
      </c>
      <c r="B358" s="132" t="s">
        <v>2712</v>
      </c>
      <c r="C358" s="133" t="s">
        <v>3396</v>
      </c>
      <c r="D358" s="136" t="s">
        <v>2714</v>
      </c>
      <c r="E358" s="135">
        <v>0.095</v>
      </c>
      <c r="F358" s="136">
        <f t="shared" ref="F358:F363" si="30">E:E+0.05</f>
        <v>0.145</v>
      </c>
      <c r="G358" s="153" t="s">
        <v>3049</v>
      </c>
      <c r="H358" s="134"/>
      <c r="I358" s="136">
        <v>8858890761059</v>
      </c>
      <c r="J358" s="136" t="s">
        <v>2582</v>
      </c>
      <c r="K358" s="154" t="s">
        <v>3397</v>
      </c>
      <c r="L358" s="130"/>
      <c r="M358" s="130"/>
      <c r="N358" s="130"/>
      <c r="O358" s="130"/>
      <c r="P358" s="130"/>
      <c r="Q358" s="130"/>
    </row>
    <row r="359" ht="15.75" customHeight="1" spans="1:17" x14ac:dyDescent="0.25">
      <c r="A359" s="131" t="s">
        <v>33</v>
      </c>
      <c r="B359" s="132" t="s">
        <v>2712</v>
      </c>
      <c r="C359" s="133" t="s">
        <v>3398</v>
      </c>
      <c r="D359" s="136" t="s">
        <v>2047</v>
      </c>
      <c r="E359" s="135">
        <v>0.09</v>
      </c>
      <c r="F359" s="136">
        <f t="shared" si="30"/>
        <v>0.14</v>
      </c>
      <c r="G359" s="153" t="s">
        <v>2715</v>
      </c>
      <c r="H359" s="134"/>
      <c r="I359" s="136">
        <v>8858890761066</v>
      </c>
      <c r="J359" s="136" t="s">
        <v>753</v>
      </c>
      <c r="K359" s="154" t="s">
        <v>3399</v>
      </c>
      <c r="L359" s="130"/>
      <c r="M359" s="130"/>
      <c r="N359" s="130"/>
      <c r="O359" s="130"/>
      <c r="P359" s="130"/>
      <c r="Q359" s="130"/>
    </row>
    <row r="360" ht="15.75" customHeight="1" spans="1:17" x14ac:dyDescent="0.25">
      <c r="A360" s="131" t="s">
        <v>3400</v>
      </c>
      <c r="B360" s="132" t="s">
        <v>2712</v>
      </c>
      <c r="C360" s="133" t="s">
        <v>3401</v>
      </c>
      <c r="D360" s="136" t="s">
        <v>2714</v>
      </c>
      <c r="E360" s="135">
        <v>0.175</v>
      </c>
      <c r="F360" s="136">
        <f t="shared" si="30"/>
        <v>0.225</v>
      </c>
      <c r="G360" s="137"/>
      <c r="H360" s="134"/>
      <c r="I360" s="136">
        <v>885889076106602</v>
      </c>
      <c r="J360" s="136" t="s">
        <v>753</v>
      </c>
      <c r="K360" s="154" t="s">
        <v>3399</v>
      </c>
      <c r="L360" s="130"/>
      <c r="M360" s="130"/>
      <c r="N360" s="130"/>
      <c r="O360" s="130"/>
      <c r="P360" s="130"/>
      <c r="Q360" s="130"/>
    </row>
    <row r="361" ht="15.75" customHeight="1" spans="1:17" x14ac:dyDescent="0.25">
      <c r="A361" s="131" t="s">
        <v>34</v>
      </c>
      <c r="B361" s="132" t="s">
        <v>2712</v>
      </c>
      <c r="C361" s="133" t="s">
        <v>3402</v>
      </c>
      <c r="D361" s="136" t="s">
        <v>3403</v>
      </c>
      <c r="E361" s="135">
        <v>0.085</v>
      </c>
      <c r="F361" s="136">
        <f t="shared" si="30"/>
        <v>0.135</v>
      </c>
      <c r="G361" s="153" t="s">
        <v>2715</v>
      </c>
      <c r="H361" s="134"/>
      <c r="I361" s="136">
        <v>8858890761073</v>
      </c>
      <c r="J361" s="136" t="s">
        <v>753</v>
      </c>
      <c r="K361" s="139"/>
      <c r="L361" s="130"/>
      <c r="M361" s="130"/>
      <c r="N361" s="130"/>
      <c r="O361" s="130"/>
      <c r="P361" s="130"/>
      <c r="Q361" s="130"/>
    </row>
    <row r="362" ht="15.75" customHeight="1" spans="1:17" x14ac:dyDescent="0.25">
      <c r="A362" s="131" t="s">
        <v>3404</v>
      </c>
      <c r="B362" s="132" t="s">
        <v>3405</v>
      </c>
      <c r="C362" s="133" t="s">
        <v>3406</v>
      </c>
      <c r="D362" s="134"/>
      <c r="E362" s="137"/>
      <c r="F362" s="136">
        <f t="shared" si="30"/>
        <v>0.05</v>
      </c>
      <c r="G362" s="153" t="s">
        <v>3407</v>
      </c>
      <c r="H362" s="134"/>
      <c r="I362" s="136">
        <v>8858890794798</v>
      </c>
      <c r="J362" s="136" t="s">
        <v>753</v>
      </c>
      <c r="K362" s="154" t="s">
        <v>3408</v>
      </c>
      <c r="L362" s="130"/>
      <c r="M362" s="130"/>
      <c r="N362" s="130"/>
      <c r="O362" s="130"/>
      <c r="P362" s="130"/>
      <c r="Q362" s="130"/>
    </row>
    <row r="363" ht="15.75" customHeight="1" spans="1:17" x14ac:dyDescent="0.25">
      <c r="A363" s="131" t="s">
        <v>3409</v>
      </c>
      <c r="B363" s="132" t="s">
        <v>3348</v>
      </c>
      <c r="C363" s="133" t="s">
        <v>3410</v>
      </c>
      <c r="D363" s="136" t="s">
        <v>2714</v>
      </c>
      <c r="E363" s="135">
        <v>0.229</v>
      </c>
      <c r="F363" s="136">
        <f t="shared" si="30"/>
        <v>0.279</v>
      </c>
      <c r="G363" s="137"/>
      <c r="H363" s="134"/>
      <c r="I363" s="136">
        <v>8858890760618</v>
      </c>
      <c r="J363" s="136" t="s">
        <v>753</v>
      </c>
      <c r="K363" s="139"/>
      <c r="L363" s="130"/>
      <c r="M363" s="130"/>
      <c r="N363" s="130"/>
      <c r="O363" s="130"/>
      <c r="P363" s="130"/>
      <c r="Q363" s="130"/>
    </row>
    <row r="364" ht="15.75" customHeight="1" spans="1:17" x14ac:dyDescent="0.25">
      <c r="A364" s="131" t="s">
        <v>3411</v>
      </c>
      <c r="B364" s="132" t="s">
        <v>3348</v>
      </c>
      <c r="C364" s="133" t="s">
        <v>3412</v>
      </c>
      <c r="D364" s="134"/>
      <c r="E364" s="137"/>
      <c r="F364" s="134"/>
      <c r="G364" s="153" t="s">
        <v>3041</v>
      </c>
      <c r="H364" s="134"/>
      <c r="I364" s="136">
        <v>885889076061801</v>
      </c>
      <c r="J364" s="134"/>
      <c r="K364" s="139"/>
      <c r="L364" s="130"/>
      <c r="M364" s="130"/>
      <c r="N364" s="130"/>
      <c r="O364" s="130"/>
      <c r="P364" s="130"/>
      <c r="Q364" s="130"/>
    </row>
    <row r="365" ht="15.75" customHeight="1" spans="1:17" x14ac:dyDescent="0.25">
      <c r="A365" s="131" t="s">
        <v>3413</v>
      </c>
      <c r="B365" s="132" t="s">
        <v>3348</v>
      </c>
      <c r="C365" s="133" t="s">
        <v>3414</v>
      </c>
      <c r="D365" s="134"/>
      <c r="E365" s="137"/>
      <c r="F365" s="134"/>
      <c r="G365" s="153" t="s">
        <v>3041</v>
      </c>
      <c r="H365" s="134"/>
      <c r="I365" s="136">
        <v>885889076061802</v>
      </c>
      <c r="J365" s="134"/>
      <c r="K365" s="139"/>
      <c r="L365" s="130"/>
      <c r="M365" s="130"/>
      <c r="N365" s="130"/>
      <c r="O365" s="130"/>
      <c r="P365" s="130"/>
      <c r="Q365" s="130"/>
    </row>
    <row r="366" ht="15.75" customHeight="1" spans="1:17" x14ac:dyDescent="0.25">
      <c r="A366" s="131" t="s">
        <v>3415</v>
      </c>
      <c r="B366" s="132" t="s">
        <v>3416</v>
      </c>
      <c r="C366" s="133" t="s">
        <v>3417</v>
      </c>
      <c r="D366" s="134"/>
      <c r="E366" s="137"/>
      <c r="F366" s="134"/>
      <c r="G366" s="153" t="s">
        <v>3170</v>
      </c>
      <c r="H366" s="134"/>
      <c r="I366" s="134"/>
      <c r="J366" s="134"/>
      <c r="K366" s="154" t="s">
        <v>3418</v>
      </c>
      <c r="L366" s="130"/>
      <c r="M366" s="130"/>
      <c r="N366" s="130"/>
      <c r="O366" s="130"/>
      <c r="P366" s="130"/>
      <c r="Q366" s="130"/>
    </row>
    <row r="367" ht="15.75" customHeight="1" spans="1:17" x14ac:dyDescent="0.25">
      <c r="A367" s="131" t="s">
        <v>3419</v>
      </c>
      <c r="B367" s="132" t="s">
        <v>3420</v>
      </c>
      <c r="C367" s="133" t="s">
        <v>3421</v>
      </c>
      <c r="D367" s="134"/>
      <c r="E367" s="137"/>
      <c r="F367" s="134"/>
      <c r="G367" s="153" t="s">
        <v>2715</v>
      </c>
      <c r="H367" s="134"/>
      <c r="I367" s="134"/>
      <c r="J367" s="134"/>
      <c r="K367" s="154" t="s">
        <v>3422</v>
      </c>
      <c r="L367" s="130"/>
      <c r="M367" s="130"/>
      <c r="N367" s="130"/>
      <c r="O367" s="130"/>
      <c r="P367" s="130"/>
      <c r="Q367" s="130"/>
    </row>
    <row r="368" ht="15.75" customHeight="1" spans="1:17" x14ac:dyDescent="0.25">
      <c r="A368" s="131" t="s">
        <v>1512</v>
      </c>
      <c r="B368" s="132" t="s">
        <v>3423</v>
      </c>
      <c r="C368" s="133" t="s">
        <v>3424</v>
      </c>
      <c r="D368" s="136" t="s">
        <v>2714</v>
      </c>
      <c r="E368" s="135">
        <v>0.043</v>
      </c>
      <c r="F368" s="136">
        <f t="shared" ref="F368:F369" si="31">E:E+0.05</f>
        <v>0.093</v>
      </c>
      <c r="G368" s="153" t="s">
        <v>3049</v>
      </c>
      <c r="H368" s="134"/>
      <c r="I368" s="136">
        <v>8858890760786</v>
      </c>
      <c r="J368" s="136" t="s">
        <v>753</v>
      </c>
      <c r="K368" s="139"/>
      <c r="L368" s="130"/>
      <c r="M368" s="130"/>
      <c r="N368" s="130"/>
      <c r="O368" s="130"/>
      <c r="P368" s="130"/>
      <c r="Q368" s="130"/>
    </row>
    <row r="369" ht="15.75" customHeight="1" spans="1:17" x14ac:dyDescent="0.25">
      <c r="A369" s="131" t="s">
        <v>1339</v>
      </c>
      <c r="B369" s="132" t="s">
        <v>3043</v>
      </c>
      <c r="C369" s="133" t="s">
        <v>3425</v>
      </c>
      <c r="D369" s="136" t="s">
        <v>2714</v>
      </c>
      <c r="E369" s="135">
        <v>0.039</v>
      </c>
      <c r="F369" s="136">
        <f t="shared" si="31"/>
        <v>0.089</v>
      </c>
      <c r="G369" s="153" t="s">
        <v>3170</v>
      </c>
      <c r="H369" s="134"/>
      <c r="I369" s="136">
        <v>8858890766816</v>
      </c>
      <c r="J369" s="136" t="s">
        <v>753</v>
      </c>
      <c r="K369" s="139"/>
      <c r="L369" s="130"/>
      <c r="M369" s="130"/>
      <c r="N369" s="130"/>
      <c r="O369" s="130"/>
      <c r="P369" s="130"/>
      <c r="Q369" s="130"/>
    </row>
    <row r="370" ht="15.75" customHeight="1" spans="1:17" x14ac:dyDescent="0.25">
      <c r="A370" s="131" t="s">
        <v>3426</v>
      </c>
      <c r="B370" s="132" t="s">
        <v>3427</v>
      </c>
      <c r="C370" s="133" t="s">
        <v>3428</v>
      </c>
      <c r="D370" s="134"/>
      <c r="E370" s="137"/>
      <c r="F370" s="134"/>
      <c r="G370" s="153" t="s">
        <v>3429</v>
      </c>
      <c r="H370" s="134"/>
      <c r="I370" s="136">
        <v>8858890794446</v>
      </c>
      <c r="J370" s="134"/>
      <c r="K370" s="139"/>
      <c r="L370" s="130"/>
      <c r="M370" s="130"/>
      <c r="N370" s="130"/>
      <c r="O370" s="130"/>
      <c r="P370" s="130"/>
      <c r="Q370" s="130"/>
    </row>
    <row r="371" ht="15.75" customHeight="1" spans="1:17" x14ac:dyDescent="0.25">
      <c r="A371" s="131" t="s">
        <v>3430</v>
      </c>
      <c r="B371" s="132" t="s">
        <v>3431</v>
      </c>
      <c r="C371" s="133" t="s">
        <v>3432</v>
      </c>
      <c r="D371" s="134"/>
      <c r="E371" s="137"/>
      <c r="F371" s="134"/>
      <c r="G371" s="153" t="s">
        <v>3429</v>
      </c>
      <c r="H371" s="134"/>
      <c r="I371" s="136">
        <v>8858890792664</v>
      </c>
      <c r="J371" s="134"/>
      <c r="K371" s="139"/>
      <c r="L371" s="130"/>
      <c r="M371" s="130"/>
      <c r="N371" s="130"/>
      <c r="O371" s="130"/>
      <c r="P371" s="130"/>
      <c r="Q371" s="130"/>
    </row>
    <row r="372" ht="15.75" customHeight="1" spans="1:17" x14ac:dyDescent="0.25">
      <c r="A372" s="131" t="s">
        <v>3433</v>
      </c>
      <c r="B372" s="132" t="s">
        <v>3434</v>
      </c>
      <c r="C372" s="133" t="s">
        <v>3435</v>
      </c>
      <c r="D372" s="134"/>
      <c r="E372" s="137"/>
      <c r="F372" s="134"/>
      <c r="G372" s="153" t="s">
        <v>3436</v>
      </c>
      <c r="H372" s="134"/>
      <c r="I372" s="136">
        <v>8858890796495</v>
      </c>
      <c r="J372" s="134"/>
      <c r="K372" s="139"/>
      <c r="L372" s="130"/>
      <c r="M372" s="130"/>
      <c r="N372" s="130"/>
      <c r="O372" s="130"/>
      <c r="P372" s="130"/>
      <c r="Q372" s="130"/>
    </row>
    <row r="373" ht="15.75" customHeight="1" spans="1:17" x14ac:dyDescent="0.25">
      <c r="A373" s="131" t="s">
        <v>387</v>
      </c>
      <c r="B373" s="132" t="s">
        <v>3437</v>
      </c>
      <c r="C373" s="133" t="s">
        <v>3438</v>
      </c>
      <c r="D373" s="134"/>
      <c r="E373" s="137"/>
      <c r="F373" s="136">
        <f>E:E+0.05</f>
        <v>0.05</v>
      </c>
      <c r="G373" s="153" t="s">
        <v>3439</v>
      </c>
      <c r="H373" s="134"/>
      <c r="I373" s="136">
        <v>8858890793777</v>
      </c>
      <c r="J373" s="136" t="s">
        <v>2582</v>
      </c>
      <c r="K373" s="154" t="s">
        <v>3440</v>
      </c>
      <c r="L373" s="130"/>
      <c r="M373" s="130"/>
      <c r="N373" s="130"/>
      <c r="O373" s="130"/>
      <c r="P373" s="130"/>
      <c r="Q373" s="130"/>
    </row>
    <row r="374" ht="15.75" customHeight="1" spans="1:17" x14ac:dyDescent="0.25">
      <c r="A374" s="131" t="s">
        <v>457</v>
      </c>
      <c r="B374" s="132" t="s">
        <v>3441</v>
      </c>
      <c r="C374" s="133" t="s">
        <v>3442</v>
      </c>
      <c r="D374" s="134"/>
      <c r="E374" s="137"/>
      <c r="F374" s="134"/>
      <c r="G374" s="153" t="s">
        <v>3443</v>
      </c>
      <c r="H374" s="134"/>
      <c r="I374" s="136">
        <v>8858890790554</v>
      </c>
      <c r="J374" s="134"/>
      <c r="K374" s="154" t="s">
        <v>3444</v>
      </c>
      <c r="L374" s="130"/>
      <c r="M374" s="130"/>
      <c r="N374" s="130"/>
      <c r="O374" s="130"/>
      <c r="P374" s="130"/>
      <c r="Q374" s="130"/>
    </row>
    <row r="375" ht="15.75" customHeight="1" spans="1:17" x14ac:dyDescent="0.25">
      <c r="A375" s="131" t="s">
        <v>506</v>
      </c>
      <c r="B375" s="132" t="s">
        <v>2806</v>
      </c>
      <c r="C375" s="133" t="s">
        <v>3445</v>
      </c>
      <c r="D375" s="136" t="s">
        <v>2595</v>
      </c>
      <c r="E375" s="135">
        <v>0.029</v>
      </c>
      <c r="F375" s="136">
        <f t="shared" ref="F375:F424" si="32">E:E+0.05</f>
        <v>0.079</v>
      </c>
      <c r="G375" s="153" t="s">
        <v>3446</v>
      </c>
      <c r="H375" s="134"/>
      <c r="I375" s="136">
        <v>8858890780852</v>
      </c>
      <c r="J375" s="136" t="s">
        <v>753</v>
      </c>
      <c r="K375" s="154" t="s">
        <v>3447</v>
      </c>
      <c r="L375" s="130"/>
      <c r="M375" s="130"/>
      <c r="N375" s="130"/>
      <c r="O375" s="130"/>
      <c r="P375" s="130"/>
      <c r="Q375" s="130"/>
    </row>
    <row r="376" ht="15.75" customHeight="1" spans="1:17" x14ac:dyDescent="0.25">
      <c r="A376" s="131" t="s">
        <v>510</v>
      </c>
      <c r="B376" s="132" t="s">
        <v>2806</v>
      </c>
      <c r="C376" s="133" t="s">
        <v>3448</v>
      </c>
      <c r="D376" s="136" t="s">
        <v>2595</v>
      </c>
      <c r="E376" s="135">
        <v>0.027</v>
      </c>
      <c r="F376" s="136">
        <f t="shared" si="32"/>
        <v>0.077</v>
      </c>
      <c r="G376" s="137"/>
      <c r="H376" s="134"/>
      <c r="I376" s="136">
        <v>8858890780869</v>
      </c>
      <c r="J376" s="136" t="s">
        <v>753</v>
      </c>
      <c r="K376" s="154" t="s">
        <v>3447</v>
      </c>
      <c r="L376" s="130"/>
      <c r="M376" s="130"/>
      <c r="N376" s="130"/>
      <c r="O376" s="130"/>
      <c r="P376" s="130"/>
      <c r="Q376" s="130"/>
    </row>
    <row r="377" ht="15.75" customHeight="1" spans="1:17" x14ac:dyDescent="0.25">
      <c r="A377" s="131" t="s">
        <v>507</v>
      </c>
      <c r="B377" s="132" t="s">
        <v>2806</v>
      </c>
      <c r="C377" s="133" t="s">
        <v>3449</v>
      </c>
      <c r="D377" s="136" t="s">
        <v>2595</v>
      </c>
      <c r="E377" s="135">
        <v>0.037</v>
      </c>
      <c r="F377" s="136">
        <f t="shared" si="32"/>
        <v>0.087</v>
      </c>
      <c r="G377" s="153" t="s">
        <v>3446</v>
      </c>
      <c r="H377" s="134"/>
      <c r="I377" s="136">
        <v>8858890780876</v>
      </c>
      <c r="J377" s="136" t="s">
        <v>753</v>
      </c>
      <c r="K377" s="154" t="s">
        <v>3447</v>
      </c>
      <c r="L377" s="130"/>
      <c r="M377" s="130"/>
      <c r="N377" s="130"/>
      <c r="O377" s="130"/>
      <c r="P377" s="130"/>
      <c r="Q377" s="130"/>
    </row>
    <row r="378" ht="15.75" customHeight="1" spans="1:17" x14ac:dyDescent="0.25">
      <c r="A378" s="131" t="s">
        <v>511</v>
      </c>
      <c r="B378" s="132" t="s">
        <v>2806</v>
      </c>
      <c r="C378" s="133" t="s">
        <v>3450</v>
      </c>
      <c r="D378" s="136" t="s">
        <v>2595</v>
      </c>
      <c r="E378" s="135">
        <v>0.033</v>
      </c>
      <c r="F378" s="136">
        <f t="shared" si="32"/>
        <v>0.083</v>
      </c>
      <c r="G378" s="137"/>
      <c r="H378" s="134"/>
      <c r="I378" s="136">
        <v>8858890780883</v>
      </c>
      <c r="J378" s="136" t="s">
        <v>753</v>
      </c>
      <c r="K378" s="154" t="s">
        <v>3447</v>
      </c>
      <c r="L378" s="130"/>
      <c r="M378" s="130"/>
      <c r="N378" s="130"/>
      <c r="O378" s="130"/>
      <c r="P378" s="130"/>
      <c r="Q378" s="130"/>
    </row>
    <row r="379" ht="15.75" customHeight="1" spans="1:17" x14ac:dyDescent="0.25">
      <c r="A379" s="131" t="s">
        <v>508</v>
      </c>
      <c r="B379" s="132" t="s">
        <v>2806</v>
      </c>
      <c r="C379" s="133" t="s">
        <v>3451</v>
      </c>
      <c r="D379" s="136" t="s">
        <v>2595</v>
      </c>
      <c r="E379" s="135">
        <v>0.049</v>
      </c>
      <c r="F379" s="136">
        <f t="shared" si="32"/>
        <v>0.099</v>
      </c>
      <c r="G379" s="153" t="s">
        <v>3452</v>
      </c>
      <c r="H379" s="134"/>
      <c r="I379" s="136">
        <v>8858890780890</v>
      </c>
      <c r="J379" s="136" t="s">
        <v>753</v>
      </c>
      <c r="K379" s="154" t="s">
        <v>3447</v>
      </c>
      <c r="L379" s="130"/>
      <c r="M379" s="130"/>
      <c r="N379" s="130"/>
      <c r="O379" s="130"/>
      <c r="P379" s="130"/>
      <c r="Q379" s="130"/>
    </row>
    <row r="380" ht="15.75" customHeight="1" spans="1:17" x14ac:dyDescent="0.25">
      <c r="A380" s="131" t="s">
        <v>512</v>
      </c>
      <c r="B380" s="132" t="s">
        <v>2806</v>
      </c>
      <c r="C380" s="133" t="s">
        <v>3450</v>
      </c>
      <c r="D380" s="136" t="s">
        <v>2595</v>
      </c>
      <c r="E380" s="135">
        <v>0.037</v>
      </c>
      <c r="F380" s="136">
        <f t="shared" si="32"/>
        <v>0.087</v>
      </c>
      <c r="G380" s="137"/>
      <c r="H380" s="134"/>
      <c r="I380" s="136">
        <v>8858890780906</v>
      </c>
      <c r="J380" s="136" t="s">
        <v>753</v>
      </c>
      <c r="K380" s="154" t="s">
        <v>3447</v>
      </c>
      <c r="L380" s="130"/>
      <c r="M380" s="130"/>
      <c r="N380" s="130"/>
      <c r="O380" s="130"/>
      <c r="P380" s="130"/>
      <c r="Q380" s="130"/>
    </row>
    <row r="381" ht="15.75" customHeight="1" spans="1:17" x14ac:dyDescent="0.25">
      <c r="A381" s="131" t="s">
        <v>509</v>
      </c>
      <c r="B381" s="132" t="s">
        <v>2806</v>
      </c>
      <c r="C381" s="133" t="s">
        <v>3453</v>
      </c>
      <c r="D381" s="136" t="s">
        <v>2595</v>
      </c>
      <c r="E381" s="135">
        <v>0.064</v>
      </c>
      <c r="F381" s="136">
        <f t="shared" si="32"/>
        <v>0.114</v>
      </c>
      <c r="G381" s="153" t="s">
        <v>3452</v>
      </c>
      <c r="H381" s="134"/>
      <c r="I381" s="136">
        <v>8858890780913</v>
      </c>
      <c r="J381" s="136" t="s">
        <v>753</v>
      </c>
      <c r="K381" s="154" t="s">
        <v>3447</v>
      </c>
      <c r="L381" s="130"/>
      <c r="M381" s="130"/>
      <c r="N381" s="130"/>
      <c r="O381" s="130"/>
      <c r="P381" s="130"/>
      <c r="Q381" s="130"/>
    </row>
    <row r="382" ht="15.75" customHeight="1" spans="1:17" x14ac:dyDescent="0.25">
      <c r="A382" s="131" t="s">
        <v>513</v>
      </c>
      <c r="B382" s="132" t="s">
        <v>2806</v>
      </c>
      <c r="C382" s="133" t="s">
        <v>3450</v>
      </c>
      <c r="D382" s="136" t="s">
        <v>2595</v>
      </c>
      <c r="E382" s="135">
        <v>0.063</v>
      </c>
      <c r="F382" s="136">
        <f t="shared" si="32"/>
        <v>0.113</v>
      </c>
      <c r="G382" s="137"/>
      <c r="H382" s="134"/>
      <c r="I382" s="136">
        <v>8858890780920</v>
      </c>
      <c r="J382" s="136" t="s">
        <v>753</v>
      </c>
      <c r="K382" s="154" t="s">
        <v>3447</v>
      </c>
      <c r="L382" s="130"/>
      <c r="M382" s="130"/>
      <c r="N382" s="130"/>
      <c r="O382" s="130"/>
      <c r="P382" s="130"/>
      <c r="Q382" s="130"/>
    </row>
    <row r="383" ht="15.75" customHeight="1" spans="1:17" x14ac:dyDescent="0.25">
      <c r="A383" s="131" t="s">
        <v>1088</v>
      </c>
      <c r="B383" s="132" t="s">
        <v>3454</v>
      </c>
      <c r="C383" s="133" t="s">
        <v>3455</v>
      </c>
      <c r="D383" s="136" t="s">
        <v>2595</v>
      </c>
      <c r="E383" s="135">
        <v>0.021</v>
      </c>
      <c r="F383" s="136">
        <f t="shared" si="32"/>
        <v>0.071</v>
      </c>
      <c r="G383" s="153" t="s">
        <v>3283</v>
      </c>
      <c r="H383" s="134"/>
      <c r="I383" s="136">
        <v>8858890782450</v>
      </c>
      <c r="J383" s="136" t="s">
        <v>753</v>
      </c>
      <c r="K383" s="139"/>
      <c r="L383" s="130"/>
      <c r="M383" s="130"/>
      <c r="N383" s="130"/>
      <c r="O383" s="130"/>
      <c r="P383" s="130"/>
      <c r="Q383" s="130"/>
    </row>
    <row r="384" ht="15.75" customHeight="1" spans="1:17" x14ac:dyDescent="0.25">
      <c r="A384" s="131" t="s">
        <v>1091</v>
      </c>
      <c r="B384" s="132" t="s">
        <v>3454</v>
      </c>
      <c r="C384" s="133" t="s">
        <v>3456</v>
      </c>
      <c r="D384" s="136" t="s">
        <v>2595</v>
      </c>
      <c r="E384" s="135">
        <v>0.027</v>
      </c>
      <c r="F384" s="136">
        <f t="shared" si="32"/>
        <v>0.077</v>
      </c>
      <c r="G384" s="153" t="s">
        <v>3457</v>
      </c>
      <c r="H384" s="134"/>
      <c r="I384" s="136">
        <v>8858890782467</v>
      </c>
      <c r="J384" s="136" t="s">
        <v>753</v>
      </c>
      <c r="K384" s="139"/>
      <c r="L384" s="130"/>
      <c r="M384" s="130"/>
      <c r="N384" s="130"/>
      <c r="O384" s="130"/>
      <c r="P384" s="130"/>
      <c r="Q384" s="130"/>
    </row>
    <row r="385" ht="15.75" customHeight="1" spans="1:17" x14ac:dyDescent="0.25">
      <c r="A385" s="131" t="s">
        <v>1094</v>
      </c>
      <c r="B385" s="132" t="s">
        <v>3454</v>
      </c>
      <c r="C385" s="133" t="s">
        <v>3455</v>
      </c>
      <c r="D385" s="136" t="s">
        <v>2595</v>
      </c>
      <c r="E385" s="135">
        <v>0.019</v>
      </c>
      <c r="F385" s="136">
        <f t="shared" si="32"/>
        <v>0.069</v>
      </c>
      <c r="G385" s="153" t="s">
        <v>3458</v>
      </c>
      <c r="H385" s="134"/>
      <c r="I385" s="136">
        <v>8858890782443</v>
      </c>
      <c r="J385" s="136" t="s">
        <v>753</v>
      </c>
      <c r="K385" s="139"/>
      <c r="L385" s="130"/>
      <c r="M385" s="130"/>
      <c r="N385" s="130"/>
      <c r="O385" s="130"/>
      <c r="P385" s="130"/>
      <c r="Q385" s="130"/>
    </row>
    <row r="386" ht="15.75" customHeight="1" spans="1:17" x14ac:dyDescent="0.25">
      <c r="A386" s="131" t="s">
        <v>1097</v>
      </c>
      <c r="B386" s="132" t="s">
        <v>3454</v>
      </c>
      <c r="C386" s="133" t="s">
        <v>3456</v>
      </c>
      <c r="D386" s="136" t="s">
        <v>2595</v>
      </c>
      <c r="E386" s="135">
        <v>0.03</v>
      </c>
      <c r="F386" s="136">
        <f t="shared" si="32"/>
        <v>0.08</v>
      </c>
      <c r="G386" s="153" t="s">
        <v>3458</v>
      </c>
      <c r="H386" s="134"/>
      <c r="I386" s="136">
        <v>8858890782474</v>
      </c>
      <c r="J386" s="136" t="s">
        <v>753</v>
      </c>
      <c r="K386" s="139"/>
      <c r="L386" s="130"/>
      <c r="M386" s="130"/>
      <c r="N386" s="130"/>
      <c r="O386" s="130"/>
      <c r="P386" s="130"/>
      <c r="Q386" s="130"/>
    </row>
    <row r="387" ht="15.75" customHeight="1" spans="1:17" x14ac:dyDescent="0.25">
      <c r="A387" s="131" t="s">
        <v>526</v>
      </c>
      <c r="B387" s="132" t="s">
        <v>2806</v>
      </c>
      <c r="C387" s="133" t="s">
        <v>3459</v>
      </c>
      <c r="D387" s="136" t="s">
        <v>2595</v>
      </c>
      <c r="E387" s="135">
        <v>0.034</v>
      </c>
      <c r="F387" s="136">
        <f t="shared" si="32"/>
        <v>0.084</v>
      </c>
      <c r="G387" s="153" t="s">
        <v>3460</v>
      </c>
      <c r="H387" s="134"/>
      <c r="I387" s="136">
        <v>8858890781637</v>
      </c>
      <c r="J387" s="136" t="s">
        <v>753</v>
      </c>
      <c r="K387" s="139"/>
      <c r="L387" s="130"/>
      <c r="M387" s="130"/>
      <c r="N387" s="130"/>
      <c r="O387" s="130"/>
      <c r="P387" s="130"/>
      <c r="Q387" s="130"/>
    </row>
    <row r="388" ht="15.75" customHeight="1" spans="1:17" x14ac:dyDescent="0.25">
      <c r="A388" s="131" t="s">
        <v>527</v>
      </c>
      <c r="B388" s="132" t="s">
        <v>2806</v>
      </c>
      <c r="C388" s="133" t="s">
        <v>3461</v>
      </c>
      <c r="D388" s="136" t="s">
        <v>2595</v>
      </c>
      <c r="E388" s="135">
        <v>0.047</v>
      </c>
      <c r="F388" s="136">
        <f t="shared" si="32"/>
        <v>0.097</v>
      </c>
      <c r="G388" s="153" t="s">
        <v>3462</v>
      </c>
      <c r="H388" s="134"/>
      <c r="I388" s="136">
        <v>8858890781644</v>
      </c>
      <c r="J388" s="136" t="s">
        <v>753</v>
      </c>
      <c r="K388" s="139"/>
      <c r="L388" s="130"/>
      <c r="M388" s="130"/>
      <c r="N388" s="130"/>
      <c r="O388" s="130"/>
      <c r="P388" s="130"/>
      <c r="Q388" s="130"/>
    </row>
    <row r="389" ht="15.75" customHeight="1" spans="1:17" x14ac:dyDescent="0.25">
      <c r="A389" s="131" t="s">
        <v>528</v>
      </c>
      <c r="B389" s="132" t="s">
        <v>2806</v>
      </c>
      <c r="C389" s="133" t="s">
        <v>3463</v>
      </c>
      <c r="D389" s="136" t="s">
        <v>2595</v>
      </c>
      <c r="E389" s="135">
        <v>0.058</v>
      </c>
      <c r="F389" s="136">
        <f t="shared" si="32"/>
        <v>0.108</v>
      </c>
      <c r="G389" s="153" t="s">
        <v>3464</v>
      </c>
      <c r="H389" s="134"/>
      <c r="I389" s="136">
        <v>8858890781651</v>
      </c>
      <c r="J389" s="136" t="s">
        <v>753</v>
      </c>
      <c r="K389" s="139"/>
      <c r="L389" s="130"/>
      <c r="M389" s="130"/>
      <c r="N389" s="130"/>
      <c r="O389" s="130"/>
      <c r="P389" s="130"/>
      <c r="Q389" s="130"/>
    </row>
    <row r="390" ht="15.75" customHeight="1" spans="1:17" x14ac:dyDescent="0.25">
      <c r="A390" s="131" t="s">
        <v>1069</v>
      </c>
      <c r="B390" s="132" t="s">
        <v>2806</v>
      </c>
      <c r="C390" s="133" t="s">
        <v>3465</v>
      </c>
      <c r="D390" s="136" t="s">
        <v>2595</v>
      </c>
      <c r="E390" s="135">
        <v>0.03</v>
      </c>
      <c r="F390" s="136">
        <f t="shared" si="32"/>
        <v>0.08</v>
      </c>
      <c r="G390" s="137"/>
      <c r="H390" s="134"/>
      <c r="I390" s="136">
        <v>8858890781712</v>
      </c>
      <c r="J390" s="136" t="s">
        <v>753</v>
      </c>
      <c r="K390" s="139"/>
      <c r="L390" s="130"/>
      <c r="M390" s="130"/>
      <c r="N390" s="130"/>
      <c r="O390" s="130"/>
      <c r="P390" s="130"/>
      <c r="Q390" s="130"/>
    </row>
    <row r="391" ht="15.75" customHeight="1" spans="1:17" x14ac:dyDescent="0.25">
      <c r="A391" s="131" t="s">
        <v>1072</v>
      </c>
      <c r="B391" s="132" t="s">
        <v>2806</v>
      </c>
      <c r="C391" s="133" t="s">
        <v>3466</v>
      </c>
      <c r="D391" s="136" t="s">
        <v>2595</v>
      </c>
      <c r="E391" s="135">
        <v>0.037</v>
      </c>
      <c r="F391" s="136">
        <f t="shared" si="32"/>
        <v>0.087</v>
      </c>
      <c r="G391" s="153" t="s">
        <v>3467</v>
      </c>
      <c r="H391" s="134"/>
      <c r="I391" s="136">
        <v>8858890781729</v>
      </c>
      <c r="J391" s="136" t="s">
        <v>753</v>
      </c>
      <c r="K391" s="139"/>
      <c r="L391" s="130"/>
      <c r="M391" s="130"/>
      <c r="N391" s="130"/>
      <c r="O391" s="130"/>
      <c r="P391" s="130"/>
      <c r="Q391" s="130"/>
    </row>
    <row r="392" ht="15.75" customHeight="1" spans="1:17" x14ac:dyDescent="0.25">
      <c r="A392" s="131" t="s">
        <v>1074</v>
      </c>
      <c r="B392" s="132" t="s">
        <v>2806</v>
      </c>
      <c r="C392" s="133" t="s">
        <v>3468</v>
      </c>
      <c r="D392" s="136" t="s">
        <v>2595</v>
      </c>
      <c r="E392" s="135">
        <v>0.044</v>
      </c>
      <c r="F392" s="136">
        <f t="shared" si="32"/>
        <v>0.094</v>
      </c>
      <c r="G392" s="153" t="s">
        <v>3467</v>
      </c>
      <c r="H392" s="134"/>
      <c r="I392" s="136">
        <v>8858890781736</v>
      </c>
      <c r="J392" s="136" t="s">
        <v>753</v>
      </c>
      <c r="K392" s="139"/>
      <c r="L392" s="130"/>
      <c r="M392" s="130"/>
      <c r="N392" s="130"/>
      <c r="O392" s="130"/>
      <c r="P392" s="130"/>
      <c r="Q392" s="130"/>
    </row>
    <row r="393" ht="15.75" customHeight="1" spans="1:17" x14ac:dyDescent="0.25">
      <c r="A393" s="131" t="s">
        <v>340</v>
      </c>
      <c r="B393" s="132" t="s">
        <v>2712</v>
      </c>
      <c r="C393" s="133" t="s">
        <v>3469</v>
      </c>
      <c r="D393" s="136" t="s">
        <v>2714</v>
      </c>
      <c r="E393" s="135">
        <v>0.432</v>
      </c>
      <c r="F393" s="136">
        <f t="shared" si="32"/>
        <v>0.482</v>
      </c>
      <c r="G393" s="153" t="s">
        <v>2715</v>
      </c>
      <c r="H393" s="134"/>
      <c r="I393" s="136">
        <v>8858890760014</v>
      </c>
      <c r="J393" s="136" t="s">
        <v>753</v>
      </c>
      <c r="K393" s="154" t="s">
        <v>3470</v>
      </c>
      <c r="L393" s="130"/>
      <c r="M393" s="130"/>
      <c r="N393" s="130"/>
      <c r="O393" s="130"/>
      <c r="P393" s="130"/>
      <c r="Q393" s="130"/>
    </row>
    <row r="394" ht="15.75" customHeight="1" spans="1:17" x14ac:dyDescent="0.25">
      <c r="A394" s="131" t="s">
        <v>3471</v>
      </c>
      <c r="B394" s="132" t="s">
        <v>3472</v>
      </c>
      <c r="C394" s="133" t="s">
        <v>3473</v>
      </c>
      <c r="D394" s="134"/>
      <c r="E394" s="135">
        <v>0.04</v>
      </c>
      <c r="F394" s="136">
        <f t="shared" si="32"/>
        <v>0.09</v>
      </c>
      <c r="G394" s="153" t="s">
        <v>3474</v>
      </c>
      <c r="H394" s="134"/>
      <c r="I394" s="136">
        <v>885889079107002</v>
      </c>
      <c r="J394" s="136" t="s">
        <v>2582</v>
      </c>
      <c r="K394" s="154" t="s">
        <v>3475</v>
      </c>
      <c r="L394" s="130"/>
      <c r="M394" s="130"/>
      <c r="N394" s="130"/>
      <c r="O394" s="130"/>
      <c r="P394" s="130"/>
      <c r="Q394" s="130"/>
    </row>
    <row r="395" ht="15.75" customHeight="1" spans="1:17" x14ac:dyDescent="0.25">
      <c r="A395" s="131" t="s">
        <v>3476</v>
      </c>
      <c r="B395" s="132" t="s">
        <v>3472</v>
      </c>
      <c r="C395" s="133" t="s">
        <v>3473</v>
      </c>
      <c r="D395" s="134"/>
      <c r="E395" s="135">
        <v>0.04</v>
      </c>
      <c r="F395" s="136">
        <f t="shared" si="32"/>
        <v>0.09</v>
      </c>
      <c r="G395" s="153" t="s">
        <v>3474</v>
      </c>
      <c r="H395" s="134"/>
      <c r="I395" s="136">
        <v>885889079107001</v>
      </c>
      <c r="J395" s="136" t="s">
        <v>2582</v>
      </c>
      <c r="K395" s="154" t="s">
        <v>3475</v>
      </c>
      <c r="L395" s="130"/>
      <c r="M395" s="130"/>
      <c r="N395" s="130"/>
      <c r="O395" s="130"/>
      <c r="P395" s="130"/>
      <c r="Q395" s="130"/>
    </row>
    <row r="396" ht="15.75" customHeight="1" spans="1:17" x14ac:dyDescent="0.25">
      <c r="A396" s="131" t="s">
        <v>518</v>
      </c>
      <c r="B396" s="132" t="s">
        <v>2806</v>
      </c>
      <c r="C396" s="152" t="s">
        <v>3477</v>
      </c>
      <c r="D396" s="136" t="s">
        <v>2595</v>
      </c>
      <c r="E396" s="135">
        <v>0.034</v>
      </c>
      <c r="F396" s="136">
        <f t="shared" si="32"/>
        <v>0.084</v>
      </c>
      <c r="G396" s="153" t="s">
        <v>2808</v>
      </c>
      <c r="H396" s="134"/>
      <c r="I396" s="136">
        <v>8858890780937</v>
      </c>
      <c r="J396" s="136" t="s">
        <v>753</v>
      </c>
      <c r="K396" s="139"/>
      <c r="L396" s="130"/>
      <c r="M396" s="130"/>
      <c r="N396" s="130"/>
      <c r="O396" s="130"/>
      <c r="P396" s="130"/>
      <c r="Q396" s="130"/>
    </row>
    <row r="397" ht="15.75" customHeight="1" spans="1:17" x14ac:dyDescent="0.25">
      <c r="A397" s="131" t="s">
        <v>519</v>
      </c>
      <c r="B397" s="132" t="s">
        <v>2806</v>
      </c>
      <c r="C397" s="133" t="s">
        <v>3478</v>
      </c>
      <c r="D397" s="136" t="s">
        <v>2595</v>
      </c>
      <c r="E397" s="135">
        <v>0.044</v>
      </c>
      <c r="F397" s="136">
        <f t="shared" si="32"/>
        <v>0.094</v>
      </c>
      <c r="G397" s="153" t="s">
        <v>3479</v>
      </c>
      <c r="H397" s="134"/>
      <c r="I397" s="136">
        <v>8858890780944</v>
      </c>
      <c r="J397" s="136" t="s">
        <v>753</v>
      </c>
      <c r="K397" s="139"/>
      <c r="L397" s="130"/>
      <c r="M397" s="130"/>
      <c r="N397" s="130"/>
      <c r="O397" s="130"/>
      <c r="P397" s="130"/>
      <c r="Q397" s="130"/>
    </row>
    <row r="398" ht="15.75" customHeight="1" spans="1:17" x14ac:dyDescent="0.25">
      <c r="A398" s="131" t="s">
        <v>520</v>
      </c>
      <c r="B398" s="132" t="s">
        <v>2806</v>
      </c>
      <c r="C398" s="133" t="s">
        <v>3480</v>
      </c>
      <c r="D398" s="136" t="s">
        <v>2595</v>
      </c>
      <c r="E398" s="135">
        <v>0.059</v>
      </c>
      <c r="F398" s="136">
        <f t="shared" si="32"/>
        <v>0.109</v>
      </c>
      <c r="G398" s="153" t="s">
        <v>3481</v>
      </c>
      <c r="H398" s="134"/>
      <c r="I398" s="136">
        <v>8858890780951</v>
      </c>
      <c r="J398" s="136" t="s">
        <v>753</v>
      </c>
      <c r="K398" s="139"/>
      <c r="L398" s="130"/>
      <c r="M398" s="130"/>
      <c r="N398" s="130"/>
      <c r="O398" s="130"/>
      <c r="P398" s="130"/>
      <c r="Q398" s="130"/>
    </row>
    <row r="399" ht="15.75" customHeight="1" spans="1:17" x14ac:dyDescent="0.25">
      <c r="A399" s="131" t="s">
        <v>521</v>
      </c>
      <c r="B399" s="132" t="s">
        <v>2806</v>
      </c>
      <c r="C399" s="133" t="s">
        <v>3482</v>
      </c>
      <c r="D399" s="136" t="s">
        <v>2595</v>
      </c>
      <c r="E399" s="135">
        <v>0.06</v>
      </c>
      <c r="F399" s="136">
        <f t="shared" si="32"/>
        <v>0.11</v>
      </c>
      <c r="G399" s="153" t="s">
        <v>3483</v>
      </c>
      <c r="H399" s="134"/>
      <c r="I399" s="136">
        <v>8858890780968</v>
      </c>
      <c r="J399" s="136" t="s">
        <v>753</v>
      </c>
      <c r="K399" s="139"/>
      <c r="L399" s="130"/>
      <c r="M399" s="130"/>
      <c r="N399" s="130"/>
      <c r="O399" s="130"/>
      <c r="P399" s="130"/>
      <c r="Q399" s="130"/>
    </row>
    <row r="400" ht="15.75" customHeight="1" spans="1:17" x14ac:dyDescent="0.25">
      <c r="A400" s="131" t="s">
        <v>522</v>
      </c>
      <c r="B400" s="132" t="s">
        <v>2806</v>
      </c>
      <c r="C400" s="133" t="s">
        <v>3484</v>
      </c>
      <c r="D400" s="136" t="s">
        <v>2595</v>
      </c>
      <c r="E400" s="135">
        <v>0.028</v>
      </c>
      <c r="F400" s="136">
        <f t="shared" si="32"/>
        <v>0.078</v>
      </c>
      <c r="G400" s="153" t="s">
        <v>3485</v>
      </c>
      <c r="H400" s="134"/>
      <c r="I400" s="136">
        <v>8858890782078</v>
      </c>
      <c r="J400" s="136" t="s">
        <v>753</v>
      </c>
      <c r="K400" s="139"/>
      <c r="L400" s="130"/>
      <c r="M400" s="130"/>
      <c r="N400" s="130"/>
      <c r="O400" s="130"/>
      <c r="P400" s="130"/>
      <c r="Q400" s="130"/>
    </row>
    <row r="401" ht="15.75" customHeight="1" spans="1:17" x14ac:dyDescent="0.25">
      <c r="A401" s="131" t="s">
        <v>523</v>
      </c>
      <c r="B401" s="132" t="s">
        <v>2806</v>
      </c>
      <c r="C401" s="133" t="s">
        <v>3486</v>
      </c>
      <c r="D401" s="136" t="s">
        <v>2595</v>
      </c>
      <c r="E401" s="135">
        <v>0.038</v>
      </c>
      <c r="F401" s="136">
        <f t="shared" si="32"/>
        <v>0.088</v>
      </c>
      <c r="G401" s="137"/>
      <c r="H401" s="134"/>
      <c r="I401" s="136">
        <v>8858890782085</v>
      </c>
      <c r="J401" s="136" t="s">
        <v>753</v>
      </c>
      <c r="K401" s="139"/>
      <c r="L401" s="130"/>
      <c r="M401" s="130"/>
      <c r="N401" s="130"/>
      <c r="O401" s="130"/>
      <c r="P401" s="130"/>
      <c r="Q401" s="130"/>
    </row>
    <row r="402" ht="15.75" customHeight="1" spans="1:17" x14ac:dyDescent="0.25">
      <c r="A402" s="131" t="s">
        <v>529</v>
      </c>
      <c r="B402" s="132" t="s">
        <v>2806</v>
      </c>
      <c r="C402" s="133" t="s">
        <v>3487</v>
      </c>
      <c r="D402" s="136" t="s">
        <v>2595</v>
      </c>
      <c r="E402" s="135">
        <v>0.039</v>
      </c>
      <c r="F402" s="136">
        <f t="shared" si="32"/>
        <v>0.089</v>
      </c>
      <c r="G402" s="153" t="s">
        <v>3488</v>
      </c>
      <c r="H402" s="134"/>
      <c r="I402" s="136">
        <v>8858890781170</v>
      </c>
      <c r="J402" s="136" t="s">
        <v>753</v>
      </c>
      <c r="K402" s="139"/>
      <c r="L402" s="130"/>
      <c r="M402" s="130"/>
      <c r="N402" s="130"/>
      <c r="O402" s="130"/>
      <c r="P402" s="130"/>
      <c r="Q402" s="130"/>
    </row>
    <row r="403" ht="15.75" customHeight="1" spans="1:17" x14ac:dyDescent="0.25">
      <c r="A403" s="131" t="s">
        <v>3489</v>
      </c>
      <c r="B403" s="132" t="s">
        <v>2806</v>
      </c>
      <c r="C403" s="133" t="s">
        <v>3490</v>
      </c>
      <c r="D403" s="136" t="s">
        <v>2595</v>
      </c>
      <c r="E403" s="135">
        <v>0.045</v>
      </c>
      <c r="F403" s="136">
        <f t="shared" si="32"/>
        <v>0.095</v>
      </c>
      <c r="G403" s="153" t="s">
        <v>3491</v>
      </c>
      <c r="H403" s="134"/>
      <c r="I403" s="136">
        <v>8858890787787</v>
      </c>
      <c r="J403" s="136" t="s">
        <v>753</v>
      </c>
      <c r="K403" s="139"/>
      <c r="L403" s="130"/>
      <c r="M403" s="130"/>
      <c r="N403" s="130"/>
      <c r="O403" s="130"/>
      <c r="P403" s="130"/>
      <c r="Q403" s="130"/>
    </row>
    <row r="404" ht="15.75" customHeight="1" spans="1:17" x14ac:dyDescent="0.25">
      <c r="A404" s="131" t="s">
        <v>3492</v>
      </c>
      <c r="B404" s="132" t="s">
        <v>2806</v>
      </c>
      <c r="C404" s="133" t="s">
        <v>3493</v>
      </c>
      <c r="D404" s="136" t="s">
        <v>2595</v>
      </c>
      <c r="E404" s="135">
        <v>0.041</v>
      </c>
      <c r="F404" s="136">
        <f t="shared" si="32"/>
        <v>0.091</v>
      </c>
      <c r="G404" s="153" t="s">
        <v>3494</v>
      </c>
      <c r="H404" s="134"/>
      <c r="I404" s="136">
        <v>8858890781194</v>
      </c>
      <c r="J404" s="136" t="s">
        <v>753</v>
      </c>
      <c r="K404" s="139"/>
      <c r="L404" s="130"/>
      <c r="M404" s="130"/>
      <c r="N404" s="130"/>
      <c r="O404" s="130"/>
      <c r="P404" s="130"/>
      <c r="Q404" s="130"/>
    </row>
    <row r="405" ht="15.75" customHeight="1" spans="1:17" x14ac:dyDescent="0.25">
      <c r="A405" s="131" t="s">
        <v>524</v>
      </c>
      <c r="B405" s="132" t="s">
        <v>2806</v>
      </c>
      <c r="C405" s="133" t="s">
        <v>3495</v>
      </c>
      <c r="D405" s="136" t="s">
        <v>2595</v>
      </c>
      <c r="E405" s="135">
        <v>0.05</v>
      </c>
      <c r="F405" s="136">
        <f t="shared" si="32"/>
        <v>0.1</v>
      </c>
      <c r="G405" s="137"/>
      <c r="H405" s="134"/>
      <c r="I405" s="136">
        <v>8858890782092</v>
      </c>
      <c r="J405" s="136" t="s">
        <v>753</v>
      </c>
      <c r="K405" s="139"/>
      <c r="L405" s="130"/>
      <c r="M405" s="130"/>
      <c r="N405" s="130"/>
      <c r="O405" s="130"/>
      <c r="P405" s="130"/>
      <c r="Q405" s="130"/>
    </row>
    <row r="406" ht="15.75" customHeight="1" spans="1:17" x14ac:dyDescent="0.25">
      <c r="A406" s="131" t="s">
        <v>530</v>
      </c>
      <c r="B406" s="132" t="s">
        <v>2806</v>
      </c>
      <c r="C406" s="133" t="s">
        <v>3496</v>
      </c>
      <c r="D406" s="136" t="s">
        <v>2595</v>
      </c>
      <c r="E406" s="135">
        <v>0.039</v>
      </c>
      <c r="F406" s="136">
        <f t="shared" si="32"/>
        <v>0.089</v>
      </c>
      <c r="G406" s="153" t="s">
        <v>3497</v>
      </c>
      <c r="H406" s="134"/>
      <c r="I406" s="136">
        <v>8858890781200</v>
      </c>
      <c r="J406" s="136" t="s">
        <v>753</v>
      </c>
      <c r="K406" s="139"/>
      <c r="L406" s="130"/>
      <c r="M406" s="130"/>
      <c r="N406" s="130"/>
      <c r="O406" s="130"/>
      <c r="P406" s="130"/>
      <c r="Q406" s="130"/>
    </row>
    <row r="407" ht="15.75" customHeight="1" spans="1:17" x14ac:dyDescent="0.25">
      <c r="A407" s="131" t="s">
        <v>3498</v>
      </c>
      <c r="B407" s="132" t="s">
        <v>2806</v>
      </c>
      <c r="C407" s="133" t="s">
        <v>3499</v>
      </c>
      <c r="D407" s="136" t="s">
        <v>2595</v>
      </c>
      <c r="E407" s="135">
        <v>0.054</v>
      </c>
      <c r="F407" s="136">
        <f t="shared" si="32"/>
        <v>0.104</v>
      </c>
      <c r="G407" s="153" t="s">
        <v>3500</v>
      </c>
      <c r="H407" s="134"/>
      <c r="I407" s="136">
        <v>8858890781217</v>
      </c>
      <c r="J407" s="136" t="s">
        <v>753</v>
      </c>
      <c r="K407" s="139"/>
      <c r="L407" s="130"/>
      <c r="M407" s="130"/>
      <c r="N407" s="130"/>
      <c r="O407" s="130"/>
      <c r="P407" s="130"/>
      <c r="Q407" s="130"/>
    </row>
    <row r="408" ht="15.75" customHeight="1" spans="1:17" x14ac:dyDescent="0.25">
      <c r="A408" s="131" t="s">
        <v>3501</v>
      </c>
      <c r="B408" s="132" t="s">
        <v>2806</v>
      </c>
      <c r="C408" s="133" t="s">
        <v>3502</v>
      </c>
      <c r="D408" s="136" t="s">
        <v>2595</v>
      </c>
      <c r="E408" s="135">
        <v>0.06</v>
      </c>
      <c r="F408" s="136">
        <f t="shared" si="32"/>
        <v>0.11</v>
      </c>
      <c r="G408" s="153" t="s">
        <v>3503</v>
      </c>
      <c r="H408" s="134"/>
      <c r="I408" s="136">
        <v>8858890781224</v>
      </c>
      <c r="J408" s="136" t="s">
        <v>753</v>
      </c>
      <c r="K408" s="139"/>
      <c r="L408" s="130"/>
      <c r="M408" s="130"/>
      <c r="N408" s="130"/>
      <c r="O408" s="130"/>
      <c r="P408" s="130"/>
      <c r="Q408" s="130"/>
    </row>
    <row r="409" ht="15.75" customHeight="1" spans="1:17" x14ac:dyDescent="0.25">
      <c r="A409" s="131" t="s">
        <v>525</v>
      </c>
      <c r="B409" s="132" t="s">
        <v>2806</v>
      </c>
      <c r="C409" s="133" t="s">
        <v>3504</v>
      </c>
      <c r="D409" s="136" t="s">
        <v>2595</v>
      </c>
      <c r="E409" s="135">
        <v>0.056</v>
      </c>
      <c r="F409" s="136">
        <f t="shared" si="32"/>
        <v>0.106</v>
      </c>
      <c r="G409" s="137"/>
      <c r="H409" s="134"/>
      <c r="I409" s="136">
        <v>8858890782108</v>
      </c>
      <c r="J409" s="136" t="s">
        <v>753</v>
      </c>
      <c r="K409" s="139"/>
      <c r="L409" s="130"/>
      <c r="M409" s="130"/>
      <c r="N409" s="130"/>
      <c r="O409" s="130"/>
      <c r="P409" s="130"/>
      <c r="Q409" s="130"/>
    </row>
    <row r="410" ht="15.75" customHeight="1" spans="1:17" x14ac:dyDescent="0.25">
      <c r="A410" s="131" t="s">
        <v>531</v>
      </c>
      <c r="B410" s="132" t="s">
        <v>2806</v>
      </c>
      <c r="C410" s="133" t="s">
        <v>3505</v>
      </c>
      <c r="D410" s="136" t="s">
        <v>2595</v>
      </c>
      <c r="E410" s="135">
        <v>0.066</v>
      </c>
      <c r="F410" s="136">
        <f t="shared" si="32"/>
        <v>0.116</v>
      </c>
      <c r="G410" s="153" t="s">
        <v>3506</v>
      </c>
      <c r="H410" s="134"/>
      <c r="I410" s="136">
        <v>8858890781231</v>
      </c>
      <c r="J410" s="136" t="s">
        <v>753</v>
      </c>
      <c r="K410" s="139"/>
      <c r="L410" s="130"/>
      <c r="M410" s="130"/>
      <c r="N410" s="130"/>
      <c r="O410" s="130"/>
      <c r="P410" s="130"/>
      <c r="Q410" s="130"/>
    </row>
    <row r="411" ht="15.75" customHeight="1" spans="1:17" x14ac:dyDescent="0.25">
      <c r="A411" s="131" t="s">
        <v>3507</v>
      </c>
      <c r="B411" s="132" t="s">
        <v>2806</v>
      </c>
      <c r="C411" s="133" t="s">
        <v>3508</v>
      </c>
      <c r="D411" s="136" t="s">
        <v>2595</v>
      </c>
      <c r="E411" s="135">
        <v>0.071</v>
      </c>
      <c r="F411" s="136">
        <f t="shared" si="32"/>
        <v>0.121</v>
      </c>
      <c r="G411" s="153" t="s">
        <v>3497</v>
      </c>
      <c r="H411" s="134"/>
      <c r="I411" s="136">
        <v>8858890781248</v>
      </c>
      <c r="J411" s="136" t="s">
        <v>753</v>
      </c>
      <c r="K411" s="139"/>
      <c r="L411" s="130"/>
      <c r="M411" s="130"/>
      <c r="N411" s="130"/>
      <c r="O411" s="130"/>
      <c r="P411" s="130"/>
      <c r="Q411" s="130"/>
    </row>
    <row r="412" ht="15.75" customHeight="1" spans="1:17" x14ac:dyDescent="0.25">
      <c r="A412" s="131" t="s">
        <v>3509</v>
      </c>
      <c r="B412" s="132" t="s">
        <v>2806</v>
      </c>
      <c r="C412" s="133" t="s">
        <v>3510</v>
      </c>
      <c r="D412" s="136" t="s">
        <v>2595</v>
      </c>
      <c r="E412" s="135">
        <v>0.073</v>
      </c>
      <c r="F412" s="136">
        <f t="shared" si="32"/>
        <v>0.123</v>
      </c>
      <c r="G412" s="153" t="s">
        <v>3497</v>
      </c>
      <c r="H412" s="134"/>
      <c r="I412" s="136">
        <v>8858890787255</v>
      </c>
      <c r="J412" s="136" t="s">
        <v>753</v>
      </c>
      <c r="K412" s="139"/>
      <c r="L412" s="130"/>
      <c r="M412" s="130"/>
      <c r="N412" s="130"/>
      <c r="O412" s="130"/>
      <c r="P412" s="130"/>
      <c r="Q412" s="130"/>
    </row>
    <row r="413" ht="15.75" customHeight="1" spans="1:17" x14ac:dyDescent="0.25">
      <c r="A413" s="131" t="s">
        <v>498</v>
      </c>
      <c r="B413" s="132" t="s">
        <v>2806</v>
      </c>
      <c r="C413" s="133" t="s">
        <v>3511</v>
      </c>
      <c r="D413" s="136" t="s">
        <v>2595</v>
      </c>
      <c r="E413" s="135">
        <v>0.035</v>
      </c>
      <c r="F413" s="136">
        <f t="shared" si="32"/>
        <v>0.085</v>
      </c>
      <c r="G413" s="153" t="s">
        <v>3500</v>
      </c>
      <c r="H413" s="134"/>
      <c r="I413" s="136">
        <v>8858890781088</v>
      </c>
      <c r="J413" s="136" t="s">
        <v>753</v>
      </c>
      <c r="K413" s="139"/>
      <c r="L413" s="130"/>
      <c r="M413" s="130"/>
      <c r="N413" s="130"/>
      <c r="O413" s="130"/>
      <c r="P413" s="130"/>
      <c r="Q413" s="130"/>
    </row>
    <row r="414" ht="15.75" customHeight="1" spans="1:17" x14ac:dyDescent="0.25">
      <c r="A414" s="131" t="s">
        <v>499</v>
      </c>
      <c r="B414" s="132" t="s">
        <v>2806</v>
      </c>
      <c r="C414" s="133" t="s">
        <v>3512</v>
      </c>
      <c r="D414" s="136" t="s">
        <v>2595</v>
      </c>
      <c r="E414" s="135">
        <v>0.042</v>
      </c>
      <c r="F414" s="136">
        <f t="shared" si="32"/>
        <v>0.092</v>
      </c>
      <c r="G414" s="153" t="s">
        <v>3500</v>
      </c>
      <c r="H414" s="134"/>
      <c r="I414" s="136">
        <v>8858890781095</v>
      </c>
      <c r="J414" s="136" t="s">
        <v>753</v>
      </c>
      <c r="K414" s="139"/>
      <c r="L414" s="130"/>
      <c r="M414" s="130"/>
      <c r="N414" s="130"/>
      <c r="O414" s="130"/>
      <c r="P414" s="130"/>
      <c r="Q414" s="130"/>
    </row>
    <row r="415" ht="15.75" customHeight="1" spans="1:17" x14ac:dyDescent="0.25">
      <c r="A415" s="131" t="s">
        <v>500</v>
      </c>
      <c r="B415" s="132" t="s">
        <v>2806</v>
      </c>
      <c r="C415" s="133" t="s">
        <v>3513</v>
      </c>
      <c r="D415" s="136" t="s">
        <v>2595</v>
      </c>
      <c r="E415" s="135">
        <v>0.064</v>
      </c>
      <c r="F415" s="136">
        <f t="shared" si="32"/>
        <v>0.114</v>
      </c>
      <c r="G415" s="153" t="s">
        <v>3500</v>
      </c>
      <c r="H415" s="134"/>
      <c r="I415" s="136">
        <v>8858890781101</v>
      </c>
      <c r="J415" s="136" t="s">
        <v>753</v>
      </c>
      <c r="K415" s="139"/>
      <c r="L415" s="130"/>
      <c r="M415" s="130"/>
      <c r="N415" s="130"/>
      <c r="O415" s="130"/>
      <c r="P415" s="130"/>
      <c r="Q415" s="130"/>
    </row>
    <row r="416" ht="15.75" customHeight="1" spans="1:17" x14ac:dyDescent="0.25">
      <c r="A416" s="131" t="s">
        <v>501</v>
      </c>
      <c r="B416" s="132" t="s">
        <v>2806</v>
      </c>
      <c r="C416" s="133" t="s">
        <v>3514</v>
      </c>
      <c r="D416" s="136" t="s">
        <v>2595</v>
      </c>
      <c r="E416" s="135">
        <v>0.075</v>
      </c>
      <c r="F416" s="136">
        <f t="shared" si="32"/>
        <v>0.125</v>
      </c>
      <c r="G416" s="153" t="s">
        <v>3497</v>
      </c>
      <c r="H416" s="134"/>
      <c r="I416" s="136">
        <v>8858890781118</v>
      </c>
      <c r="J416" s="136" t="s">
        <v>753</v>
      </c>
      <c r="K416" s="139"/>
      <c r="L416" s="130"/>
      <c r="M416" s="130"/>
      <c r="N416" s="130"/>
      <c r="O416" s="130"/>
      <c r="P416" s="130"/>
      <c r="Q416" s="130"/>
    </row>
    <row r="417" ht="15.75" customHeight="1" spans="1:17" x14ac:dyDescent="0.25">
      <c r="A417" s="131" t="s">
        <v>388</v>
      </c>
      <c r="B417" s="132" t="s">
        <v>3515</v>
      </c>
      <c r="C417" s="133" t="s">
        <v>3516</v>
      </c>
      <c r="D417" s="134"/>
      <c r="E417" s="137"/>
      <c r="F417" s="136">
        <f t="shared" si="32"/>
        <v>0.05</v>
      </c>
      <c r="G417" s="153" t="s">
        <v>3517</v>
      </c>
      <c r="H417" s="134"/>
      <c r="I417" s="136">
        <v>8858890791094</v>
      </c>
      <c r="J417" s="136" t="s">
        <v>2582</v>
      </c>
      <c r="K417" s="154" t="s">
        <v>3518</v>
      </c>
      <c r="L417" s="130"/>
      <c r="M417" s="130"/>
      <c r="N417" s="130"/>
      <c r="O417" s="130"/>
      <c r="P417" s="130"/>
      <c r="Q417" s="130"/>
    </row>
    <row r="418" ht="15.75" customHeight="1" spans="1:17" x14ac:dyDescent="0.25">
      <c r="A418" s="131" t="s">
        <v>1017</v>
      </c>
      <c r="B418" s="132" t="s">
        <v>2806</v>
      </c>
      <c r="C418" s="133" t="s">
        <v>3519</v>
      </c>
      <c r="D418" s="136" t="s">
        <v>2595</v>
      </c>
      <c r="E418" s="135">
        <v>0.046</v>
      </c>
      <c r="F418" s="136">
        <f t="shared" si="32"/>
        <v>0.096</v>
      </c>
      <c r="G418" s="153" t="s">
        <v>3520</v>
      </c>
      <c r="H418" s="134"/>
      <c r="I418" s="136">
        <v>8858890781378</v>
      </c>
      <c r="J418" s="136" t="s">
        <v>753</v>
      </c>
      <c r="K418" s="139"/>
      <c r="L418" s="130"/>
      <c r="M418" s="130"/>
      <c r="N418" s="130"/>
      <c r="O418" s="130"/>
      <c r="P418" s="130"/>
      <c r="Q418" s="130"/>
    </row>
    <row r="419" ht="15.75" customHeight="1" spans="1:17" x14ac:dyDescent="0.25">
      <c r="A419" s="131" t="s">
        <v>1020</v>
      </c>
      <c r="B419" s="132" t="s">
        <v>2806</v>
      </c>
      <c r="C419" s="133" t="s">
        <v>3521</v>
      </c>
      <c r="D419" s="136" t="s">
        <v>2595</v>
      </c>
      <c r="E419" s="135">
        <v>0.064</v>
      </c>
      <c r="F419" s="136">
        <f t="shared" si="32"/>
        <v>0.114</v>
      </c>
      <c r="G419" s="153" t="s">
        <v>3520</v>
      </c>
      <c r="H419" s="134"/>
      <c r="I419" s="136">
        <v>8858890781385</v>
      </c>
      <c r="J419" s="136" t="s">
        <v>753</v>
      </c>
      <c r="K419" s="139"/>
      <c r="L419" s="130"/>
      <c r="M419" s="130"/>
      <c r="N419" s="130"/>
      <c r="O419" s="130"/>
      <c r="P419" s="130"/>
      <c r="Q419" s="130"/>
    </row>
    <row r="420" ht="15.75" customHeight="1" spans="1:17" x14ac:dyDescent="0.25">
      <c r="A420" s="131" t="s">
        <v>1022</v>
      </c>
      <c r="B420" s="132" t="s">
        <v>2806</v>
      </c>
      <c r="C420" s="133" t="s">
        <v>3522</v>
      </c>
      <c r="D420" s="136" t="s">
        <v>2595</v>
      </c>
      <c r="E420" s="135">
        <v>0.066</v>
      </c>
      <c r="F420" s="136">
        <f t="shared" si="32"/>
        <v>0.116</v>
      </c>
      <c r="G420" s="153" t="s">
        <v>3520</v>
      </c>
      <c r="H420" s="134"/>
      <c r="I420" s="136">
        <v>8858890781392</v>
      </c>
      <c r="J420" s="136" t="s">
        <v>753</v>
      </c>
      <c r="K420" s="139"/>
      <c r="L420" s="130"/>
      <c r="M420" s="130"/>
      <c r="N420" s="130"/>
      <c r="O420" s="130"/>
      <c r="P420" s="130"/>
      <c r="Q420" s="130"/>
    </row>
    <row r="421" ht="15.75" customHeight="1" spans="1:17" x14ac:dyDescent="0.25">
      <c r="A421" s="131" t="s">
        <v>488</v>
      </c>
      <c r="B421" s="132" t="s">
        <v>3523</v>
      </c>
      <c r="C421" s="133" t="s">
        <v>3524</v>
      </c>
      <c r="D421" s="136" t="s">
        <v>2595</v>
      </c>
      <c r="E421" s="137"/>
      <c r="F421" s="136">
        <f t="shared" si="32"/>
        <v>0.05</v>
      </c>
      <c r="G421" s="153" t="s">
        <v>3474</v>
      </c>
      <c r="H421" s="134"/>
      <c r="I421" s="136">
        <v>8858890782535</v>
      </c>
      <c r="J421" s="136" t="s">
        <v>753</v>
      </c>
      <c r="K421" s="139"/>
      <c r="L421" s="130"/>
      <c r="M421" s="130"/>
      <c r="N421" s="130"/>
      <c r="O421" s="130"/>
      <c r="P421" s="130"/>
      <c r="Q421" s="130"/>
    </row>
    <row r="422" ht="15.75" customHeight="1" spans="1:17" x14ac:dyDescent="0.25">
      <c r="A422" s="131" t="s">
        <v>487</v>
      </c>
      <c r="B422" s="132" t="s">
        <v>3523</v>
      </c>
      <c r="C422" s="133" t="s">
        <v>3525</v>
      </c>
      <c r="D422" s="136" t="s">
        <v>2595</v>
      </c>
      <c r="E422" s="137"/>
      <c r="F422" s="136">
        <f t="shared" si="32"/>
        <v>0.05</v>
      </c>
      <c r="G422" s="153" t="s">
        <v>2957</v>
      </c>
      <c r="H422" s="134"/>
      <c r="I422" s="136">
        <v>8858890782528</v>
      </c>
      <c r="J422" s="136" t="s">
        <v>753</v>
      </c>
      <c r="K422" s="139"/>
      <c r="L422" s="130"/>
      <c r="M422" s="130"/>
      <c r="N422" s="130"/>
      <c r="O422" s="130"/>
      <c r="P422" s="130"/>
      <c r="Q422" s="130"/>
    </row>
    <row r="423" ht="15.75" customHeight="1" spans="1:17" x14ac:dyDescent="0.25">
      <c r="A423" s="131" t="s">
        <v>40</v>
      </c>
      <c r="B423" s="132" t="s">
        <v>3526</v>
      </c>
      <c r="C423" s="133" t="s">
        <v>3527</v>
      </c>
      <c r="D423" s="134"/>
      <c r="E423" s="137"/>
      <c r="F423" s="136">
        <f t="shared" si="32"/>
        <v>0.05</v>
      </c>
      <c r="G423" s="153" t="s">
        <v>3528</v>
      </c>
      <c r="H423" s="134"/>
      <c r="I423" s="136">
        <v>8858890726041</v>
      </c>
      <c r="J423" s="136" t="s">
        <v>2406</v>
      </c>
      <c r="K423" s="139"/>
      <c r="L423" s="130"/>
      <c r="M423" s="130"/>
      <c r="N423" s="130"/>
      <c r="O423" s="130"/>
      <c r="P423" s="130"/>
      <c r="Q423" s="130"/>
    </row>
    <row r="424" ht="15.75" customHeight="1" spans="1:17" x14ac:dyDescent="0.25">
      <c r="A424" s="131" t="s">
        <v>379</v>
      </c>
      <c r="B424" s="132" t="s">
        <v>3529</v>
      </c>
      <c r="C424" s="133" t="s">
        <v>3530</v>
      </c>
      <c r="D424" s="134"/>
      <c r="E424" s="137"/>
      <c r="F424" s="136">
        <f t="shared" si="32"/>
        <v>0.05</v>
      </c>
      <c r="G424" s="153" t="s">
        <v>3531</v>
      </c>
      <c r="H424" s="134"/>
      <c r="I424" s="136">
        <v>8858890726034</v>
      </c>
      <c r="J424" s="136" t="s">
        <v>2406</v>
      </c>
      <c r="K424" s="139"/>
      <c r="L424" s="130"/>
      <c r="M424" s="130"/>
      <c r="N424" s="130"/>
      <c r="O424" s="130"/>
      <c r="P424" s="130"/>
      <c r="Q424" s="130"/>
    </row>
    <row r="425" ht="15.75" customHeight="1" spans="1:17" x14ac:dyDescent="0.25">
      <c r="A425" s="131" t="s">
        <v>2882</v>
      </c>
      <c r="B425" s="132" t="s">
        <v>3532</v>
      </c>
      <c r="C425" s="133" t="s">
        <v>2884</v>
      </c>
      <c r="D425" s="134"/>
      <c r="E425" s="137"/>
      <c r="F425" s="134"/>
      <c r="G425" s="153" t="s">
        <v>3533</v>
      </c>
      <c r="H425" s="134"/>
      <c r="I425" s="136">
        <v>8858890795764</v>
      </c>
      <c r="J425" s="134"/>
      <c r="K425" s="154" t="s">
        <v>3534</v>
      </c>
      <c r="L425" s="130"/>
      <c r="M425" s="130"/>
      <c r="N425" s="130"/>
      <c r="O425" s="130"/>
      <c r="P425" s="130"/>
      <c r="Q425" s="130"/>
    </row>
    <row r="426" ht="15.75" customHeight="1" spans="1:17" x14ac:dyDescent="0.25">
      <c r="A426" s="131" t="s">
        <v>2886</v>
      </c>
      <c r="B426" s="132" t="s">
        <v>3535</v>
      </c>
      <c r="C426" s="133" t="s">
        <v>2884</v>
      </c>
      <c r="D426" s="134"/>
      <c r="E426" s="137"/>
      <c r="F426" s="134"/>
      <c r="G426" s="153" t="s">
        <v>3536</v>
      </c>
      <c r="H426" s="134"/>
      <c r="I426" s="136">
        <v>8858890795771</v>
      </c>
      <c r="J426" s="134"/>
      <c r="K426" s="139"/>
      <c r="L426" s="130"/>
      <c r="M426" s="130"/>
      <c r="N426" s="130"/>
      <c r="O426" s="130"/>
      <c r="P426" s="130"/>
      <c r="Q426" s="130"/>
    </row>
    <row r="427" ht="15.75" customHeight="1" spans="1:17" x14ac:dyDescent="0.25">
      <c r="A427" s="131" t="s">
        <v>370</v>
      </c>
      <c r="B427" s="132" t="s">
        <v>3537</v>
      </c>
      <c r="C427" s="133" t="s">
        <v>3538</v>
      </c>
      <c r="D427" s="134"/>
      <c r="E427" s="137"/>
      <c r="F427" s="136">
        <f t="shared" ref="F427:F431" si="33">E:E+0.05</f>
        <v>0.05</v>
      </c>
      <c r="G427" s="153" t="s">
        <v>3539</v>
      </c>
      <c r="H427" s="134"/>
      <c r="I427" s="136">
        <v>8858890795948</v>
      </c>
      <c r="J427" s="136" t="s">
        <v>2582</v>
      </c>
      <c r="K427" s="154" t="s">
        <v>3540</v>
      </c>
      <c r="L427" s="130"/>
      <c r="M427" s="130"/>
      <c r="N427" s="130"/>
      <c r="O427" s="130"/>
      <c r="P427" s="130"/>
      <c r="Q427" s="130"/>
    </row>
    <row r="428" ht="15.75" customHeight="1" spans="1:17" x14ac:dyDescent="0.25">
      <c r="A428" s="131" t="s">
        <v>39</v>
      </c>
      <c r="B428" s="132" t="s">
        <v>3541</v>
      </c>
      <c r="C428" s="133" t="s">
        <v>3542</v>
      </c>
      <c r="D428" s="134"/>
      <c r="E428" s="137"/>
      <c r="F428" s="136">
        <f t="shared" si="33"/>
        <v>0.05</v>
      </c>
      <c r="G428" s="153" t="s">
        <v>3543</v>
      </c>
      <c r="H428" s="134"/>
      <c r="I428" s="136">
        <v>8858890796488</v>
      </c>
      <c r="J428" s="136" t="s">
        <v>2582</v>
      </c>
      <c r="K428" s="139"/>
      <c r="L428" s="130"/>
      <c r="M428" s="130"/>
      <c r="N428" s="130"/>
      <c r="O428" s="130"/>
      <c r="P428" s="130"/>
      <c r="Q428" s="130"/>
    </row>
    <row r="429" ht="15.75" customHeight="1" spans="1:17" x14ac:dyDescent="0.25">
      <c r="A429" s="131" t="s">
        <v>433</v>
      </c>
      <c r="B429" s="132" t="s">
        <v>3544</v>
      </c>
      <c r="C429" s="133" t="s">
        <v>3545</v>
      </c>
      <c r="D429" s="136" t="s">
        <v>2595</v>
      </c>
      <c r="E429" s="135">
        <v>0.029</v>
      </c>
      <c r="F429" s="136">
        <f t="shared" si="33"/>
        <v>0.079</v>
      </c>
      <c r="G429" s="153" t="s">
        <v>3546</v>
      </c>
      <c r="H429" s="134"/>
      <c r="I429" s="136">
        <v>8858890782368</v>
      </c>
      <c r="J429" s="136" t="s">
        <v>753</v>
      </c>
      <c r="K429" s="139"/>
      <c r="L429" s="130"/>
      <c r="M429" s="130"/>
      <c r="N429" s="130"/>
      <c r="O429" s="130"/>
      <c r="P429" s="130"/>
      <c r="Q429" s="130"/>
    </row>
    <row r="430" ht="15.75" customHeight="1" spans="1:17" x14ac:dyDescent="0.25">
      <c r="A430" s="131" t="s">
        <v>3547</v>
      </c>
      <c r="B430" s="132" t="s">
        <v>3548</v>
      </c>
      <c r="C430" s="133" t="s">
        <v>3549</v>
      </c>
      <c r="D430" s="136" t="s">
        <v>2595</v>
      </c>
      <c r="E430" s="135">
        <v>0.02</v>
      </c>
      <c r="F430" s="136">
        <f t="shared" si="33"/>
        <v>0.07</v>
      </c>
      <c r="G430" s="153" t="s">
        <v>3550</v>
      </c>
      <c r="H430" s="134"/>
      <c r="I430" s="136">
        <v>8858890782375</v>
      </c>
      <c r="J430" s="136" t="s">
        <v>753</v>
      </c>
      <c r="K430" s="154" t="s">
        <v>3551</v>
      </c>
      <c r="L430" s="130"/>
      <c r="M430" s="130"/>
      <c r="N430" s="130"/>
      <c r="O430" s="130"/>
      <c r="P430" s="130"/>
      <c r="Q430" s="130"/>
    </row>
    <row r="431" ht="15.75" customHeight="1" spans="1:17" x14ac:dyDescent="0.25">
      <c r="A431" s="131" t="s">
        <v>569</v>
      </c>
      <c r="B431" s="132" t="s">
        <v>3552</v>
      </c>
      <c r="C431" s="133" t="s">
        <v>3553</v>
      </c>
      <c r="D431" s="136" t="s">
        <v>2595</v>
      </c>
      <c r="E431" s="135">
        <v>0.032</v>
      </c>
      <c r="F431" s="136">
        <f t="shared" si="33"/>
        <v>0.082</v>
      </c>
      <c r="G431" s="153" t="s">
        <v>3554</v>
      </c>
      <c r="H431" s="134"/>
      <c r="I431" s="136">
        <v>8858890782481</v>
      </c>
      <c r="J431" s="136" t="s">
        <v>753</v>
      </c>
      <c r="K431" s="139"/>
      <c r="L431" s="130"/>
      <c r="M431" s="130"/>
      <c r="N431" s="130"/>
      <c r="O431" s="130"/>
      <c r="P431" s="130"/>
      <c r="Q431" s="130"/>
    </row>
    <row r="432" ht="15.75" customHeight="1" spans="1:17" x14ac:dyDescent="0.25">
      <c r="A432" s="131" t="s">
        <v>422</v>
      </c>
      <c r="B432" s="132" t="s">
        <v>3555</v>
      </c>
      <c r="C432" s="133" t="s">
        <v>3556</v>
      </c>
      <c r="D432" s="134"/>
      <c r="E432" s="137"/>
      <c r="F432" s="134"/>
      <c r="G432" s="153" t="s">
        <v>3557</v>
      </c>
      <c r="H432" s="134"/>
      <c r="I432" s="136">
        <v>8858890796464</v>
      </c>
      <c r="J432" s="134"/>
      <c r="K432" s="139"/>
      <c r="L432" s="130"/>
      <c r="M432" s="130"/>
      <c r="N432" s="130"/>
      <c r="O432" s="130"/>
      <c r="P432" s="130"/>
      <c r="Q432" s="130"/>
    </row>
    <row r="433" ht="15.75" customHeight="1" spans="1:17" x14ac:dyDescent="0.25">
      <c r="A433" s="131" t="s">
        <v>423</v>
      </c>
      <c r="B433" s="132" t="s">
        <v>3558</v>
      </c>
      <c r="C433" s="133" t="s">
        <v>3559</v>
      </c>
      <c r="D433" s="134"/>
      <c r="E433" s="137"/>
      <c r="F433" s="134"/>
      <c r="G433" s="153" t="s">
        <v>3560</v>
      </c>
      <c r="H433" s="134"/>
      <c r="I433" s="136">
        <v>88588907964711</v>
      </c>
      <c r="J433" s="134"/>
      <c r="K433" s="139"/>
      <c r="L433" s="130"/>
      <c r="M433" s="130"/>
      <c r="N433" s="130"/>
      <c r="O433" s="130"/>
      <c r="P433" s="130"/>
      <c r="Q433" s="130"/>
    </row>
    <row r="434" ht="15.75" customHeight="1" spans="1:17" x14ac:dyDescent="0.25">
      <c r="A434" s="131" t="s">
        <v>413</v>
      </c>
      <c r="B434" s="132" t="s">
        <v>3561</v>
      </c>
      <c r="C434" s="133" t="s">
        <v>3562</v>
      </c>
      <c r="D434" s="134"/>
      <c r="E434" s="137"/>
      <c r="F434" s="134"/>
      <c r="G434" s="153" t="s">
        <v>3563</v>
      </c>
      <c r="H434" s="134"/>
      <c r="I434" s="136">
        <v>8858890796457</v>
      </c>
      <c r="J434" s="134"/>
      <c r="K434" s="139"/>
      <c r="L434" s="130"/>
      <c r="M434" s="130"/>
      <c r="N434" s="130"/>
      <c r="O434" s="130"/>
      <c r="P434" s="130"/>
      <c r="Q434" s="130"/>
    </row>
    <row r="435" ht="15.75" customHeight="1" spans="1:17" x14ac:dyDescent="0.25">
      <c r="A435" s="131" t="s">
        <v>51</v>
      </c>
      <c r="B435" s="132" t="s">
        <v>3564</v>
      </c>
      <c r="C435" s="133" t="s">
        <v>3565</v>
      </c>
      <c r="D435" s="134"/>
      <c r="E435" s="137"/>
      <c r="F435" s="134"/>
      <c r="G435" s="153" t="s">
        <v>3566</v>
      </c>
      <c r="H435" s="134"/>
      <c r="I435" s="136">
        <v>8858890782504</v>
      </c>
      <c r="J435" s="134"/>
      <c r="K435" s="139"/>
      <c r="L435" s="130"/>
      <c r="M435" s="130"/>
      <c r="N435" s="130"/>
      <c r="O435" s="130"/>
      <c r="P435" s="130"/>
      <c r="Q435" s="130"/>
    </row>
    <row r="436" ht="15.75" customHeight="1" spans="1:17" x14ac:dyDescent="0.25">
      <c r="A436" s="131" t="s">
        <v>1401</v>
      </c>
      <c r="B436" s="132" t="s">
        <v>3567</v>
      </c>
      <c r="C436" s="133" t="s">
        <v>3568</v>
      </c>
      <c r="D436" s="134"/>
      <c r="E436" s="137"/>
      <c r="F436" s="134"/>
      <c r="G436" s="153" t="s">
        <v>3569</v>
      </c>
      <c r="H436" s="134"/>
      <c r="I436" s="136">
        <v>8858890796426</v>
      </c>
      <c r="J436" s="134"/>
      <c r="K436" s="154" t="s">
        <v>3570</v>
      </c>
      <c r="L436" s="130"/>
      <c r="M436" s="130"/>
      <c r="N436" s="130"/>
      <c r="O436" s="130"/>
      <c r="P436" s="130"/>
      <c r="Q436" s="130"/>
    </row>
    <row r="437" ht="15.75" customHeight="1" spans="1:17" x14ac:dyDescent="0.25">
      <c r="A437" s="131" t="s">
        <v>594</v>
      </c>
      <c r="B437" s="132" t="s">
        <v>3571</v>
      </c>
      <c r="C437" s="133" t="s">
        <v>3572</v>
      </c>
      <c r="D437" s="136" t="s">
        <v>2595</v>
      </c>
      <c r="E437" s="135">
        <v>0.089</v>
      </c>
      <c r="F437" s="136">
        <f t="shared" ref="F437:F439" si="34">E:E+0.05</f>
        <v>0.139</v>
      </c>
      <c r="G437" s="153" t="s">
        <v>3573</v>
      </c>
      <c r="H437" s="134"/>
      <c r="I437" s="136">
        <v>8858890780258</v>
      </c>
      <c r="J437" s="136" t="s">
        <v>753</v>
      </c>
      <c r="K437" s="154" t="s">
        <v>2698</v>
      </c>
      <c r="L437" s="130"/>
      <c r="M437" s="130"/>
      <c r="N437" s="130"/>
      <c r="O437" s="130"/>
      <c r="P437" s="130"/>
      <c r="Q437" s="130"/>
    </row>
    <row r="438" ht="15.75" customHeight="1" spans="1:17" x14ac:dyDescent="0.25">
      <c r="A438" s="131" t="s">
        <v>396</v>
      </c>
      <c r="B438" s="132" t="s">
        <v>877</v>
      </c>
      <c r="C438" s="133" t="s">
        <v>3574</v>
      </c>
      <c r="D438" s="134"/>
      <c r="E438" s="137"/>
      <c r="F438" s="136">
        <f t="shared" si="34"/>
        <v>0.05</v>
      </c>
      <c r="G438" s="153" t="s">
        <v>3575</v>
      </c>
      <c r="H438" s="134"/>
      <c r="I438" s="136">
        <v>8858890795832</v>
      </c>
      <c r="J438" s="136" t="s">
        <v>2582</v>
      </c>
      <c r="K438" s="138" t="s">
        <v>3576</v>
      </c>
      <c r="L438" s="130"/>
      <c r="M438" s="130"/>
      <c r="N438" s="130"/>
      <c r="O438" s="130"/>
      <c r="P438" s="130"/>
      <c r="Q438" s="130"/>
    </row>
    <row r="439" ht="15.75" customHeight="1" spans="1:17" x14ac:dyDescent="0.25">
      <c r="A439" s="131" t="s">
        <v>879</v>
      </c>
      <c r="B439" s="132" t="s">
        <v>880</v>
      </c>
      <c r="C439" s="133" t="s">
        <v>3577</v>
      </c>
      <c r="D439" s="134"/>
      <c r="E439" s="137"/>
      <c r="F439" s="136">
        <f t="shared" si="34"/>
        <v>0.05</v>
      </c>
      <c r="G439" s="153" t="s">
        <v>3578</v>
      </c>
      <c r="H439" s="134"/>
      <c r="I439" s="136">
        <v>8858890795849</v>
      </c>
      <c r="J439" s="136" t="s">
        <v>2582</v>
      </c>
      <c r="K439" s="154" t="s">
        <v>3579</v>
      </c>
      <c r="L439" s="130"/>
      <c r="M439" s="130"/>
      <c r="N439" s="130"/>
      <c r="O439" s="130"/>
      <c r="P439" s="130"/>
      <c r="Q439" s="130"/>
    </row>
    <row r="440" ht="15.75" customHeight="1" spans="1:17" x14ac:dyDescent="0.25">
      <c r="A440" s="131" t="s">
        <v>466</v>
      </c>
      <c r="B440" s="132" t="s">
        <v>3580</v>
      </c>
      <c r="C440" s="133" t="s">
        <v>3581</v>
      </c>
      <c r="D440" s="134"/>
      <c r="E440" s="137"/>
      <c r="F440" s="134"/>
      <c r="G440" s="153" t="s">
        <v>3582</v>
      </c>
      <c r="H440" s="134"/>
      <c r="I440" s="136">
        <v>8858890794651</v>
      </c>
      <c r="J440" s="134"/>
      <c r="K440" s="139"/>
      <c r="L440" s="130"/>
      <c r="M440" s="130"/>
      <c r="N440" s="130"/>
      <c r="O440" s="130"/>
      <c r="P440" s="130"/>
      <c r="Q440" s="130"/>
    </row>
    <row r="441" ht="15.75" customHeight="1" spans="1:17" x14ac:dyDescent="0.25">
      <c r="A441" s="131" t="s">
        <v>1353</v>
      </c>
      <c r="B441" s="132" t="s">
        <v>3583</v>
      </c>
      <c r="C441" s="133" t="s">
        <v>3584</v>
      </c>
      <c r="D441" s="136" t="s">
        <v>2595</v>
      </c>
      <c r="E441" s="135">
        <v>0.014</v>
      </c>
      <c r="F441" s="136">
        <f t="shared" ref="F441:F447" si="35">E:E+0.05</f>
        <v>0.064</v>
      </c>
      <c r="G441" s="153" t="s">
        <v>3585</v>
      </c>
      <c r="H441" s="134"/>
      <c r="I441" s="136">
        <v>8858890780593</v>
      </c>
      <c r="J441" s="136" t="s">
        <v>753</v>
      </c>
      <c r="K441" s="139"/>
      <c r="L441" s="130"/>
      <c r="M441" s="130"/>
      <c r="N441" s="130"/>
      <c r="O441" s="130"/>
      <c r="P441" s="130"/>
      <c r="Q441" s="130"/>
    </row>
    <row r="442" ht="15.75" customHeight="1" spans="1:17" x14ac:dyDescent="0.25">
      <c r="A442" s="131" t="s">
        <v>572</v>
      </c>
      <c r="B442" s="132" t="s">
        <v>3583</v>
      </c>
      <c r="C442" s="133" t="s">
        <v>3584</v>
      </c>
      <c r="D442" s="136" t="s">
        <v>2595</v>
      </c>
      <c r="E442" s="135">
        <v>0.016</v>
      </c>
      <c r="F442" s="136">
        <f t="shared" si="35"/>
        <v>0.066</v>
      </c>
      <c r="G442" s="153" t="s">
        <v>3585</v>
      </c>
      <c r="H442" s="134"/>
      <c r="I442" s="136">
        <v>8858890780500</v>
      </c>
      <c r="J442" s="136" t="s">
        <v>753</v>
      </c>
      <c r="K442" s="139"/>
      <c r="L442" s="130"/>
      <c r="M442" s="130"/>
      <c r="N442" s="130"/>
      <c r="O442" s="130"/>
      <c r="P442" s="130"/>
      <c r="Q442" s="130"/>
    </row>
    <row r="443" ht="15.75" customHeight="1" spans="1:17" x14ac:dyDescent="0.25">
      <c r="A443" s="131" t="s">
        <v>815</v>
      </c>
      <c r="B443" s="132" t="s">
        <v>3586</v>
      </c>
      <c r="C443" s="133" t="s">
        <v>3587</v>
      </c>
      <c r="D443" s="134"/>
      <c r="E443" s="137"/>
      <c r="F443" s="136">
        <f t="shared" si="35"/>
        <v>0.05</v>
      </c>
      <c r="G443" s="153" t="s">
        <v>3588</v>
      </c>
      <c r="H443" s="134"/>
      <c r="I443" s="136">
        <v>8858890794729</v>
      </c>
      <c r="J443" s="136" t="s">
        <v>2582</v>
      </c>
      <c r="K443" s="139"/>
      <c r="L443" s="130"/>
      <c r="M443" s="130"/>
      <c r="N443" s="130"/>
      <c r="O443" s="130"/>
      <c r="P443" s="130"/>
      <c r="Q443" s="130"/>
    </row>
    <row r="444" ht="15.75" customHeight="1" spans="1:17" x14ac:dyDescent="0.25">
      <c r="A444" s="131" t="s">
        <v>37</v>
      </c>
      <c r="B444" s="132" t="s">
        <v>3589</v>
      </c>
      <c r="C444" s="133" t="s">
        <v>3590</v>
      </c>
      <c r="D444" s="134"/>
      <c r="E444" s="137"/>
      <c r="F444" s="136">
        <f t="shared" si="35"/>
        <v>0.05</v>
      </c>
      <c r="G444" s="153" t="s">
        <v>3591</v>
      </c>
      <c r="H444" s="134"/>
      <c r="I444" s="136">
        <v>8858890716015</v>
      </c>
      <c r="J444" s="136" t="s">
        <v>2582</v>
      </c>
      <c r="K444" s="139"/>
      <c r="L444" s="130"/>
      <c r="M444" s="130"/>
      <c r="N444" s="130"/>
      <c r="O444" s="130"/>
      <c r="P444" s="130"/>
      <c r="Q444" s="130"/>
    </row>
    <row r="445" ht="15.75" customHeight="1" spans="1:17" x14ac:dyDescent="0.25">
      <c r="A445" s="131" t="s">
        <v>1466</v>
      </c>
      <c r="B445" s="132" t="s">
        <v>3592</v>
      </c>
      <c r="C445" s="133" t="s">
        <v>3593</v>
      </c>
      <c r="D445" s="134"/>
      <c r="E445" s="137"/>
      <c r="F445" s="136">
        <f t="shared" si="35"/>
        <v>0.05</v>
      </c>
      <c r="G445" s="153" t="s">
        <v>3594</v>
      </c>
      <c r="H445" s="134"/>
      <c r="I445" s="136">
        <v>8858890795757</v>
      </c>
      <c r="J445" s="136" t="s">
        <v>2582</v>
      </c>
      <c r="K445" s="154" t="s">
        <v>3595</v>
      </c>
      <c r="L445" s="130"/>
      <c r="M445" s="130"/>
      <c r="N445" s="130"/>
      <c r="O445" s="130"/>
      <c r="P445" s="130"/>
      <c r="Q445" s="130"/>
    </row>
    <row r="446" ht="15.75" customHeight="1" spans="1:17" x14ac:dyDescent="0.25">
      <c r="A446" s="131" t="s">
        <v>3596</v>
      </c>
      <c r="B446" s="132" t="s">
        <v>3597</v>
      </c>
      <c r="C446" s="133" t="s">
        <v>3598</v>
      </c>
      <c r="D446" s="136" t="s">
        <v>2772</v>
      </c>
      <c r="E446" s="135">
        <v>2.361</v>
      </c>
      <c r="F446" s="136">
        <f t="shared" si="35"/>
        <v>2.411</v>
      </c>
      <c r="G446" s="137"/>
      <c r="H446" s="134"/>
      <c r="I446" s="136">
        <v>8858890720841</v>
      </c>
      <c r="J446" s="136" t="s">
        <v>753</v>
      </c>
      <c r="K446" s="139"/>
      <c r="L446" s="130"/>
      <c r="M446" s="130"/>
      <c r="N446" s="130"/>
      <c r="O446" s="130"/>
      <c r="P446" s="130"/>
      <c r="Q446" s="130"/>
    </row>
    <row r="447" ht="15.75" customHeight="1" spans="1:17" x14ac:dyDescent="0.25">
      <c r="A447" s="131" t="s">
        <v>1772</v>
      </c>
      <c r="B447" s="132" t="s">
        <v>3599</v>
      </c>
      <c r="C447" s="133" t="s">
        <v>3600</v>
      </c>
      <c r="D447" s="134"/>
      <c r="E447" s="137"/>
      <c r="F447" s="136">
        <f t="shared" si="35"/>
        <v>0.05</v>
      </c>
      <c r="G447" s="153" t="s">
        <v>3601</v>
      </c>
      <c r="H447" s="134"/>
      <c r="I447" s="136">
        <v>6932002010074</v>
      </c>
      <c r="J447" s="134"/>
      <c r="K447" s="139"/>
      <c r="L447" s="130"/>
      <c r="M447" s="130"/>
      <c r="N447" s="130"/>
      <c r="O447" s="130"/>
      <c r="P447" s="130"/>
      <c r="Q447" s="130"/>
    </row>
    <row r="448" ht="15.75" customHeight="1" spans="1:17" x14ac:dyDescent="0.25">
      <c r="A448" s="131" t="s">
        <v>562</v>
      </c>
      <c r="B448" s="161" t="s">
        <v>3602</v>
      </c>
      <c r="C448" s="131" t="s">
        <v>3603</v>
      </c>
      <c r="D448" s="134"/>
      <c r="E448" s="137"/>
      <c r="F448" s="134"/>
      <c r="G448" s="153" t="s">
        <v>3604</v>
      </c>
      <c r="H448" s="134"/>
      <c r="I448" s="134"/>
      <c r="J448" s="134"/>
      <c r="K448" s="139"/>
      <c r="L448" s="130"/>
      <c r="M448" s="130"/>
      <c r="N448" s="130"/>
      <c r="O448" s="130"/>
      <c r="P448" s="130"/>
      <c r="Q448" s="130"/>
    </row>
    <row r="449" ht="15.75" customHeight="1" spans="1:17" x14ac:dyDescent="0.25">
      <c r="A449" s="131" t="s">
        <v>557</v>
      </c>
      <c r="B449" s="161" t="s">
        <v>3605</v>
      </c>
      <c r="C449" s="131" t="s">
        <v>3606</v>
      </c>
      <c r="D449" s="134"/>
      <c r="E449" s="137"/>
      <c r="F449" s="134"/>
      <c r="G449" s="162" t="s">
        <v>3607</v>
      </c>
      <c r="H449" s="134"/>
      <c r="I449" s="134"/>
      <c r="J449" s="134"/>
      <c r="K449" s="139"/>
      <c r="L449" s="130"/>
      <c r="M449" s="130"/>
      <c r="N449" s="130"/>
      <c r="O449" s="130"/>
      <c r="P449" s="130"/>
      <c r="Q449" s="130"/>
    </row>
    <row r="450" ht="15.75" customHeight="1" spans="1:17" x14ac:dyDescent="0.25">
      <c r="A450" s="163" t="s">
        <v>461</v>
      </c>
      <c r="B450" s="161" t="s">
        <v>3608</v>
      </c>
      <c r="C450" s="131" t="s">
        <v>3609</v>
      </c>
      <c r="D450" s="134"/>
      <c r="E450" s="137"/>
      <c r="F450" s="134"/>
      <c r="G450" s="162" t="s">
        <v>3610</v>
      </c>
      <c r="H450" s="134"/>
      <c r="I450" s="134"/>
      <c r="J450" s="134"/>
      <c r="K450" s="139"/>
      <c r="L450" s="130"/>
      <c r="M450" s="130"/>
      <c r="N450" s="130"/>
      <c r="O450" s="130"/>
      <c r="P450" s="130"/>
      <c r="Q450" s="130"/>
    </row>
    <row r="451" ht="15.75" customHeight="1" spans="1:17" x14ac:dyDescent="0.25">
      <c r="A451" s="163" t="s">
        <v>458</v>
      </c>
      <c r="B451" s="161" t="s">
        <v>3611</v>
      </c>
      <c r="C451" s="131" t="s">
        <v>3612</v>
      </c>
      <c r="D451" s="134"/>
      <c r="E451" s="137"/>
      <c r="F451" s="134"/>
      <c r="G451" s="162" t="s">
        <v>3613</v>
      </c>
      <c r="H451" s="134"/>
      <c r="I451" s="134"/>
      <c r="J451" s="134"/>
      <c r="K451" s="139"/>
      <c r="L451" s="130"/>
      <c r="M451" s="130"/>
      <c r="N451" s="130"/>
      <c r="O451" s="130"/>
      <c r="P451" s="130"/>
      <c r="Q451" s="130"/>
    </row>
    <row r="452" ht="15.75" customHeight="1" spans="1:17" x14ac:dyDescent="0.25">
      <c r="A452" s="163" t="s">
        <v>452</v>
      </c>
      <c r="B452" s="161" t="s">
        <v>3614</v>
      </c>
      <c r="C452" s="131" t="s">
        <v>3615</v>
      </c>
      <c r="D452" s="134"/>
      <c r="E452" s="137"/>
      <c r="F452" s="134"/>
      <c r="G452" s="162" t="s">
        <v>3616</v>
      </c>
      <c r="H452" s="134"/>
      <c r="I452" s="134"/>
      <c r="J452" s="134"/>
      <c r="K452" s="139"/>
      <c r="L452" s="130"/>
      <c r="M452" s="130"/>
      <c r="N452" s="130"/>
      <c r="O452" s="130"/>
      <c r="P452" s="130"/>
      <c r="Q452" s="130"/>
    </row>
    <row r="453" ht="15.75" customHeight="1" spans="1:17" x14ac:dyDescent="0.25">
      <c r="A453" s="163" t="s">
        <v>451</v>
      </c>
      <c r="B453" s="161" t="s">
        <v>3617</v>
      </c>
      <c r="C453" s="131" t="s">
        <v>3618</v>
      </c>
      <c r="D453" s="134"/>
      <c r="E453" s="137"/>
      <c r="F453" s="134"/>
      <c r="G453" s="137"/>
      <c r="H453" s="134"/>
      <c r="I453" s="134"/>
      <c r="J453" s="134"/>
      <c r="K453" s="139"/>
      <c r="L453" s="130"/>
      <c r="M453" s="130"/>
      <c r="N453" s="130"/>
      <c r="O453" s="130"/>
      <c r="P453" s="130"/>
      <c r="Q453" s="130"/>
    </row>
    <row r="454" ht="15.75" customHeight="1" spans="1:17" x14ac:dyDescent="0.25">
      <c r="A454" s="163" t="s">
        <v>436</v>
      </c>
      <c r="B454" s="161" t="s">
        <v>3619</v>
      </c>
      <c r="C454" s="131" t="s">
        <v>3620</v>
      </c>
      <c r="D454" s="134"/>
      <c r="E454" s="137"/>
      <c r="F454" s="134"/>
      <c r="G454" s="162" t="s">
        <v>3621</v>
      </c>
      <c r="H454" s="134"/>
      <c r="I454" s="134"/>
      <c r="J454" s="134"/>
      <c r="K454" s="139"/>
      <c r="L454" s="130"/>
      <c r="M454" s="130"/>
      <c r="N454" s="130"/>
      <c r="O454" s="130"/>
      <c r="P454" s="130"/>
      <c r="Q454" s="130"/>
    </row>
    <row r="455" spans="1:17" x14ac:dyDescent="0.25">
      <c r="A455" s="164"/>
      <c r="B455" s="164"/>
      <c r="C455" s="130"/>
      <c r="D455" s="164"/>
      <c r="E455" s="139"/>
      <c r="F455" s="164"/>
      <c r="G455" s="139"/>
      <c r="H455" s="164"/>
      <c r="I455" s="164"/>
      <c r="J455" s="164"/>
      <c r="K455" s="139"/>
      <c r="L455" s="130"/>
      <c r="M455" s="130"/>
      <c r="N455" s="130"/>
      <c r="O455" s="130"/>
      <c r="P455" s="130"/>
      <c r="Q455" s="130"/>
    </row>
    <row r="456" spans="1:17" x14ac:dyDescent="0.25">
      <c r="A456" s="164"/>
      <c r="B456" s="164"/>
      <c r="C456" s="130"/>
      <c r="D456" s="164"/>
      <c r="E456" s="139"/>
      <c r="F456" s="164"/>
      <c r="G456" s="139"/>
      <c r="H456" s="164"/>
      <c r="I456" s="164"/>
      <c r="J456" s="164"/>
      <c r="K456" s="139"/>
      <c r="L456" s="130"/>
      <c r="M456" s="130"/>
      <c r="N456" s="130"/>
      <c r="O456" s="130"/>
      <c r="P456" s="130"/>
      <c r="Q456" s="130"/>
    </row>
    <row r="457" spans="1:17" x14ac:dyDescent="0.25">
      <c r="A457" s="164"/>
      <c r="B457" s="164"/>
      <c r="C457" s="130"/>
      <c r="D457" s="164"/>
      <c r="E457" s="139"/>
      <c r="F457" s="164"/>
      <c r="G457" s="139"/>
      <c r="H457" s="164"/>
      <c r="I457" s="164"/>
      <c r="J457" s="164"/>
      <c r="K457" s="139"/>
      <c r="L457" s="130"/>
      <c r="M457" s="130"/>
      <c r="N457" s="130"/>
      <c r="O457" s="130"/>
      <c r="P457" s="130"/>
      <c r="Q457" s="130"/>
    </row>
    <row r="458" spans="1:17" x14ac:dyDescent="0.25">
      <c r="A458" s="164"/>
      <c r="B458" s="164"/>
      <c r="C458" s="130"/>
      <c r="D458" s="164"/>
      <c r="E458" s="139"/>
      <c r="F458" s="164"/>
      <c r="G458" s="139"/>
      <c r="H458" s="164"/>
      <c r="I458" s="164"/>
      <c r="J458" s="164"/>
      <c r="K458" s="139"/>
      <c r="L458" s="130"/>
      <c r="M458" s="130"/>
      <c r="N458" s="130"/>
      <c r="O458" s="130"/>
      <c r="P458" s="130"/>
      <c r="Q458" s="130"/>
    </row>
    <row r="459" spans="1:17" x14ac:dyDescent="0.25">
      <c r="A459" s="164"/>
      <c r="B459" s="164"/>
      <c r="C459" s="130"/>
      <c r="D459" s="164"/>
      <c r="E459" s="139"/>
      <c r="F459" s="164"/>
      <c r="G459" s="139"/>
      <c r="H459" s="164"/>
      <c r="I459" s="164"/>
      <c r="J459" s="164"/>
      <c r="K459" s="139"/>
      <c r="L459" s="130"/>
      <c r="M459" s="130"/>
      <c r="N459" s="130"/>
      <c r="O459" s="130"/>
      <c r="P459" s="130"/>
      <c r="Q459" s="130"/>
    </row>
    <row r="460" spans="1:17" x14ac:dyDescent="0.25">
      <c r="A460" s="164"/>
      <c r="B460" s="164"/>
      <c r="C460" s="130"/>
      <c r="D460" s="164"/>
      <c r="E460" s="139"/>
      <c r="F460" s="164"/>
      <c r="G460" s="139"/>
      <c r="H460" s="164"/>
      <c r="I460" s="164"/>
      <c r="J460" s="164"/>
      <c r="K460" s="139"/>
      <c r="L460" s="130"/>
      <c r="M460" s="130"/>
      <c r="N460" s="130"/>
      <c r="O460" s="130"/>
      <c r="P460" s="130"/>
      <c r="Q460" s="130"/>
    </row>
    <row r="461" spans="1:17" x14ac:dyDescent="0.25">
      <c r="A461" s="164"/>
      <c r="B461" s="164"/>
      <c r="C461" s="130"/>
      <c r="D461" s="164"/>
      <c r="E461" s="139"/>
      <c r="F461" s="164"/>
      <c r="G461" s="139"/>
      <c r="H461" s="164"/>
      <c r="I461" s="164"/>
      <c r="J461" s="164"/>
      <c r="K461" s="139"/>
      <c r="L461" s="130"/>
      <c r="M461" s="130"/>
      <c r="N461" s="130"/>
      <c r="O461" s="130"/>
      <c r="P461" s="130"/>
      <c r="Q461" s="130"/>
    </row>
    <row r="462" spans="1:17" x14ac:dyDescent="0.25">
      <c r="A462" s="164"/>
      <c r="B462" s="164"/>
      <c r="C462" s="130"/>
      <c r="D462" s="164"/>
      <c r="E462" s="139"/>
      <c r="F462" s="164"/>
      <c r="G462" s="139"/>
      <c r="H462" s="164"/>
      <c r="I462" s="164"/>
      <c r="J462" s="164"/>
      <c r="K462" s="139"/>
      <c r="L462" s="130"/>
      <c r="M462" s="130"/>
      <c r="N462" s="130"/>
      <c r="O462" s="130"/>
      <c r="P462" s="130"/>
      <c r="Q462" s="130"/>
    </row>
    <row r="463" spans="1:17" x14ac:dyDescent="0.25">
      <c r="A463" s="164"/>
      <c r="B463" s="164"/>
      <c r="C463" s="130"/>
      <c r="D463" s="164"/>
      <c r="E463" s="139"/>
      <c r="F463" s="164"/>
      <c r="G463" s="139"/>
      <c r="H463" s="164"/>
      <c r="I463" s="164"/>
      <c r="J463" s="164"/>
      <c r="K463" s="139"/>
      <c r="L463" s="130"/>
      <c r="M463" s="130"/>
      <c r="N463" s="130"/>
      <c r="O463" s="130"/>
      <c r="P463" s="130"/>
      <c r="Q463" s="130"/>
    </row>
    <row r="464" spans="1:17" x14ac:dyDescent="0.25">
      <c r="A464" s="164"/>
      <c r="B464" s="164"/>
      <c r="C464" s="130"/>
      <c r="D464" s="164"/>
      <c r="E464" s="139"/>
      <c r="F464" s="164"/>
      <c r="G464" s="139"/>
      <c r="H464" s="164"/>
      <c r="I464" s="164"/>
      <c r="J464" s="164"/>
      <c r="K464" s="139"/>
      <c r="L464" s="130"/>
      <c r="M464" s="130"/>
      <c r="N464" s="130"/>
      <c r="O464" s="130"/>
      <c r="P464" s="130"/>
      <c r="Q464" s="130"/>
    </row>
    <row r="465" spans="1:17" x14ac:dyDescent="0.25">
      <c r="A465" s="164"/>
      <c r="B465" s="164"/>
      <c r="C465" s="130"/>
      <c r="D465" s="164"/>
      <c r="E465" s="139"/>
      <c r="F465" s="164"/>
      <c r="G465" s="139"/>
      <c r="H465" s="164"/>
      <c r="I465" s="164"/>
      <c r="J465" s="164"/>
      <c r="K465" s="139"/>
      <c r="L465" s="130"/>
      <c r="M465" s="130"/>
      <c r="N465" s="130"/>
      <c r="O465" s="130"/>
      <c r="P465" s="130"/>
      <c r="Q465" s="130"/>
    </row>
    <row r="466" spans="1:17" x14ac:dyDescent="0.25">
      <c r="A466" s="164"/>
      <c r="B466" s="164"/>
      <c r="C466" s="130"/>
      <c r="D466" s="164"/>
      <c r="E466" s="139"/>
      <c r="F466" s="164"/>
      <c r="G466" s="139"/>
      <c r="H466" s="164"/>
      <c r="I466" s="164"/>
      <c r="J466" s="164"/>
      <c r="K466" s="139"/>
      <c r="L466" s="130"/>
      <c r="M466" s="130"/>
      <c r="N466" s="130"/>
      <c r="O466" s="130"/>
      <c r="P466" s="130"/>
      <c r="Q466" s="130"/>
    </row>
    <row r="467" spans="1:17" x14ac:dyDescent="0.25">
      <c r="A467" s="164"/>
      <c r="B467" s="164"/>
      <c r="C467" s="130"/>
      <c r="D467" s="164"/>
      <c r="E467" s="139"/>
      <c r="F467" s="164"/>
      <c r="G467" s="139"/>
      <c r="H467" s="164"/>
      <c r="I467" s="164"/>
      <c r="J467" s="164"/>
      <c r="K467" s="139"/>
      <c r="L467" s="130"/>
      <c r="M467" s="130"/>
      <c r="N467" s="130"/>
      <c r="O467" s="130"/>
      <c r="P467" s="130"/>
      <c r="Q467" s="130"/>
    </row>
    <row r="468" spans="1:17" x14ac:dyDescent="0.25">
      <c r="A468" s="164"/>
      <c r="B468" s="164"/>
      <c r="C468" s="130"/>
      <c r="D468" s="164"/>
      <c r="E468" s="139"/>
      <c r="F468" s="164"/>
      <c r="G468" s="139"/>
      <c r="H468" s="164"/>
      <c r="I468" s="164"/>
      <c r="J468" s="164"/>
      <c r="K468" s="139"/>
      <c r="L468" s="130"/>
      <c r="M468" s="130"/>
      <c r="N468" s="130"/>
      <c r="O468" s="130"/>
      <c r="P468" s="130"/>
      <c r="Q468" s="130"/>
    </row>
    <row r="469" spans="1:17" x14ac:dyDescent="0.25">
      <c r="A469" s="164"/>
      <c r="B469" s="164"/>
      <c r="C469" s="130"/>
      <c r="D469" s="164"/>
      <c r="E469" s="139"/>
      <c r="F469" s="164"/>
      <c r="G469" s="139"/>
      <c r="H469" s="164"/>
      <c r="I469" s="164"/>
      <c r="J469" s="164"/>
      <c r="K469" s="139"/>
      <c r="L469" s="130"/>
      <c r="M469" s="130"/>
      <c r="N469" s="130"/>
      <c r="O469" s="130"/>
      <c r="P469" s="130"/>
      <c r="Q469" s="130"/>
    </row>
    <row r="470" spans="1:17" x14ac:dyDescent="0.25">
      <c r="A470" s="164"/>
      <c r="B470" s="164"/>
      <c r="C470" s="130"/>
      <c r="D470" s="164"/>
      <c r="E470" s="139"/>
      <c r="F470" s="164"/>
      <c r="G470" s="139"/>
      <c r="H470" s="164"/>
      <c r="I470" s="164"/>
      <c r="J470" s="164"/>
      <c r="K470" s="139"/>
      <c r="L470" s="130"/>
      <c r="M470" s="130"/>
      <c r="N470" s="130"/>
      <c r="O470" s="130"/>
      <c r="P470" s="130"/>
      <c r="Q470" s="130"/>
    </row>
    <row r="471" spans="1:17" x14ac:dyDescent="0.25">
      <c r="A471" s="164"/>
      <c r="B471" s="164"/>
      <c r="C471" s="130"/>
      <c r="D471" s="164"/>
      <c r="E471" s="139"/>
      <c r="F471" s="164"/>
      <c r="G471" s="139"/>
      <c r="H471" s="164"/>
      <c r="I471" s="164"/>
      <c r="J471" s="164"/>
      <c r="K471" s="139"/>
      <c r="L471" s="130"/>
      <c r="M471" s="130"/>
      <c r="N471" s="130"/>
      <c r="O471" s="130"/>
      <c r="P471" s="130"/>
      <c r="Q471" s="130"/>
    </row>
    <row r="472" spans="1:17" x14ac:dyDescent="0.25">
      <c r="A472" s="164"/>
      <c r="B472" s="164"/>
      <c r="C472" s="165"/>
      <c r="D472" s="164"/>
      <c r="E472" s="139"/>
      <c r="F472" s="164"/>
      <c r="G472" s="139"/>
      <c r="H472" s="164"/>
      <c r="I472" s="164"/>
      <c r="J472" s="164"/>
      <c r="K472" s="139"/>
      <c r="L472" s="130"/>
      <c r="M472" s="130"/>
      <c r="N472" s="130"/>
      <c r="O472" s="130"/>
      <c r="P472" s="130"/>
      <c r="Q472" s="130"/>
    </row>
    <row r="473" spans="1:17" x14ac:dyDescent="0.25">
      <c r="A473" s="164"/>
      <c r="B473" s="164"/>
      <c r="C473" s="165"/>
      <c r="D473" s="164"/>
      <c r="E473" s="139"/>
      <c r="F473" s="164"/>
      <c r="G473" s="139"/>
      <c r="H473" s="164"/>
      <c r="I473" s="164"/>
      <c r="J473" s="164"/>
      <c r="K473" s="139"/>
      <c r="L473" s="130"/>
      <c r="M473" s="130"/>
      <c r="N473" s="130"/>
      <c r="O473" s="130"/>
      <c r="P473" s="130"/>
      <c r="Q473" s="130"/>
    </row>
    <row r="474" spans="1:17" x14ac:dyDescent="0.25">
      <c r="A474" s="164"/>
      <c r="B474" s="164"/>
      <c r="C474" s="165"/>
      <c r="D474" s="164"/>
      <c r="E474" s="139"/>
      <c r="F474" s="164"/>
      <c r="G474" s="139"/>
      <c r="H474" s="164"/>
      <c r="I474" s="164"/>
      <c r="J474" s="164"/>
      <c r="K474" s="139"/>
      <c r="L474" s="130"/>
      <c r="M474" s="130"/>
      <c r="N474" s="130"/>
      <c r="O474" s="130"/>
      <c r="P474" s="130"/>
      <c r="Q474" s="130"/>
    </row>
    <row r="475" spans="1:17" x14ac:dyDescent="0.25">
      <c r="A475" s="164"/>
      <c r="B475" s="164"/>
      <c r="C475" s="165"/>
      <c r="D475" s="164"/>
      <c r="E475" s="139"/>
      <c r="F475" s="164"/>
      <c r="G475" s="139"/>
      <c r="H475" s="164"/>
      <c r="I475" s="164"/>
      <c r="J475" s="164"/>
      <c r="K475" s="139"/>
      <c r="L475" s="130"/>
      <c r="M475" s="130"/>
      <c r="N475" s="130"/>
      <c r="O475" s="130"/>
      <c r="P475" s="130"/>
      <c r="Q475" s="130"/>
    </row>
    <row r="476" spans="1:17" x14ac:dyDescent="0.25">
      <c r="A476" s="164"/>
      <c r="B476" s="164"/>
      <c r="C476" s="165"/>
      <c r="D476" s="164"/>
      <c r="E476" s="139"/>
      <c r="F476" s="164"/>
      <c r="G476" s="139"/>
      <c r="H476" s="164"/>
      <c r="I476" s="164"/>
      <c r="J476" s="164"/>
      <c r="K476" s="139"/>
      <c r="L476" s="130"/>
      <c r="M476" s="130"/>
      <c r="N476" s="130"/>
      <c r="O476" s="130"/>
      <c r="P476" s="130"/>
      <c r="Q476" s="130"/>
    </row>
    <row r="477" spans="1:17" x14ac:dyDescent="0.25">
      <c r="A477" s="164"/>
      <c r="B477" s="164"/>
      <c r="C477" s="165"/>
      <c r="D477" s="164"/>
      <c r="E477" s="139"/>
      <c r="F477" s="164"/>
      <c r="G477" s="139"/>
      <c r="H477" s="164"/>
      <c r="I477" s="164"/>
      <c r="J477" s="164"/>
      <c r="K477" s="139"/>
      <c r="L477" s="130"/>
      <c r="M477" s="130"/>
      <c r="N477" s="130"/>
      <c r="O477" s="130"/>
      <c r="P477" s="130"/>
      <c r="Q477" s="130"/>
    </row>
    <row r="478" spans="1:17" x14ac:dyDescent="0.25">
      <c r="A478" s="164"/>
      <c r="B478" s="164"/>
      <c r="C478" s="165"/>
      <c r="D478" s="164"/>
      <c r="E478" s="139"/>
      <c r="F478" s="164"/>
      <c r="G478" s="139"/>
      <c r="H478" s="164"/>
      <c r="I478" s="164"/>
      <c r="J478" s="164"/>
      <c r="K478" s="139"/>
      <c r="L478" s="130"/>
      <c r="M478" s="130"/>
      <c r="N478" s="130"/>
      <c r="O478" s="130"/>
      <c r="P478" s="130"/>
      <c r="Q478" s="130"/>
    </row>
    <row r="479" spans="1:17" x14ac:dyDescent="0.25">
      <c r="A479" s="164"/>
      <c r="B479" s="164"/>
      <c r="C479" s="165"/>
      <c r="D479" s="164"/>
      <c r="E479" s="139"/>
      <c r="F479" s="164"/>
      <c r="G479" s="139"/>
      <c r="H479" s="164"/>
      <c r="I479" s="164"/>
      <c r="J479" s="164"/>
      <c r="K479" s="139"/>
      <c r="L479" s="130"/>
      <c r="M479" s="130"/>
      <c r="N479" s="130"/>
      <c r="O479" s="130"/>
      <c r="P479" s="130"/>
      <c r="Q479" s="130"/>
    </row>
    <row r="480" spans="1:17" x14ac:dyDescent="0.25">
      <c r="A480" s="164"/>
      <c r="B480" s="164"/>
      <c r="C480" s="165"/>
      <c r="D480" s="164"/>
      <c r="E480" s="139"/>
      <c r="F480" s="164"/>
      <c r="G480" s="139"/>
      <c r="H480" s="164"/>
      <c r="I480" s="164"/>
      <c r="J480" s="164"/>
      <c r="K480" s="139"/>
      <c r="L480" s="130"/>
      <c r="M480" s="130"/>
      <c r="N480" s="130"/>
      <c r="O480" s="130"/>
      <c r="P480" s="130"/>
      <c r="Q480" s="130"/>
    </row>
    <row r="481" spans="1:17" x14ac:dyDescent="0.25">
      <c r="A481" s="164"/>
      <c r="B481" s="164"/>
      <c r="C481" s="165"/>
      <c r="D481" s="164"/>
      <c r="E481" s="139"/>
      <c r="F481" s="164"/>
      <c r="G481" s="139"/>
      <c r="H481" s="164"/>
      <c r="I481" s="164"/>
      <c r="J481" s="164"/>
      <c r="K481" s="139"/>
      <c r="L481" s="130"/>
      <c r="M481" s="130"/>
      <c r="N481" s="130"/>
      <c r="O481" s="130"/>
      <c r="P481" s="130"/>
      <c r="Q481" s="130"/>
    </row>
    <row r="482" spans="1:17" x14ac:dyDescent="0.25">
      <c r="A482" s="164"/>
      <c r="B482" s="164"/>
      <c r="C482" s="165"/>
      <c r="D482" s="164"/>
      <c r="E482" s="139"/>
      <c r="F482" s="164"/>
      <c r="G482" s="139"/>
      <c r="H482" s="164"/>
      <c r="I482" s="164"/>
      <c r="J482" s="164"/>
      <c r="K482" s="139"/>
      <c r="L482" s="130"/>
      <c r="M482" s="130"/>
      <c r="N482" s="130"/>
      <c r="O482" s="130"/>
      <c r="P482" s="130"/>
      <c r="Q482" s="130"/>
    </row>
    <row r="483" spans="1:17" x14ac:dyDescent="0.25">
      <c r="A483" s="164"/>
      <c r="B483" s="164"/>
      <c r="C483" s="165"/>
      <c r="D483" s="164"/>
      <c r="E483" s="139"/>
      <c r="F483" s="164"/>
      <c r="G483" s="139"/>
      <c r="H483" s="164"/>
      <c r="I483" s="164"/>
      <c r="J483" s="164"/>
      <c r="K483" s="139"/>
      <c r="L483" s="130"/>
      <c r="M483" s="130"/>
      <c r="N483" s="130"/>
      <c r="O483" s="130"/>
      <c r="P483" s="130"/>
      <c r="Q483" s="130"/>
    </row>
    <row r="484" spans="1:17" x14ac:dyDescent="0.25">
      <c r="A484" s="164"/>
      <c r="B484" s="164"/>
      <c r="C484" s="165"/>
      <c r="D484" s="164"/>
      <c r="E484" s="139"/>
      <c r="F484" s="164"/>
      <c r="G484" s="139"/>
      <c r="H484" s="164"/>
      <c r="I484" s="164"/>
      <c r="J484" s="164"/>
      <c r="K484" s="139"/>
      <c r="L484" s="130"/>
      <c r="M484" s="130"/>
      <c r="N484" s="130"/>
      <c r="O484" s="130"/>
      <c r="P484" s="130"/>
      <c r="Q484" s="130"/>
    </row>
    <row r="485" spans="1:17" x14ac:dyDescent="0.25">
      <c r="A485" s="164"/>
      <c r="B485" s="164"/>
      <c r="C485" s="165"/>
      <c r="D485" s="164"/>
      <c r="E485" s="139"/>
      <c r="F485" s="164"/>
      <c r="G485" s="139"/>
      <c r="H485" s="164"/>
      <c r="I485" s="164"/>
      <c r="J485" s="164"/>
      <c r="K485" s="139"/>
      <c r="L485" s="130"/>
      <c r="M485" s="130"/>
      <c r="N485" s="130"/>
      <c r="O485" s="130"/>
      <c r="P485" s="130"/>
      <c r="Q485" s="130"/>
    </row>
    <row r="486" spans="1:17" x14ac:dyDescent="0.25">
      <c r="A486" s="164"/>
      <c r="B486" s="164"/>
      <c r="C486" s="165"/>
      <c r="D486" s="164"/>
      <c r="E486" s="139"/>
      <c r="F486" s="164"/>
      <c r="G486" s="139"/>
      <c r="H486" s="164"/>
      <c r="I486" s="164"/>
      <c r="J486" s="164"/>
      <c r="K486" s="139"/>
      <c r="L486" s="130"/>
      <c r="M486" s="130"/>
      <c r="N486" s="130"/>
      <c r="O486" s="130"/>
      <c r="P486" s="130"/>
      <c r="Q486" s="130"/>
    </row>
    <row r="487" spans="1:17" x14ac:dyDescent="0.25">
      <c r="A487" s="164"/>
      <c r="B487" s="164"/>
      <c r="C487" s="165"/>
      <c r="D487" s="164"/>
      <c r="E487" s="139"/>
      <c r="F487" s="164"/>
      <c r="G487" s="139"/>
      <c r="H487" s="164"/>
      <c r="I487" s="164"/>
      <c r="J487" s="164"/>
      <c r="K487" s="139"/>
      <c r="L487" s="130"/>
      <c r="M487" s="130"/>
      <c r="N487" s="130"/>
      <c r="O487" s="130"/>
      <c r="P487" s="130"/>
      <c r="Q487" s="130"/>
    </row>
    <row r="488" spans="1:17" x14ac:dyDescent="0.25">
      <c r="A488" s="164"/>
      <c r="B488" s="164"/>
      <c r="C488" s="165"/>
      <c r="D488" s="164"/>
      <c r="E488" s="139"/>
      <c r="F488" s="164"/>
      <c r="G488" s="139"/>
      <c r="H488" s="164"/>
      <c r="I488" s="164"/>
      <c r="J488" s="164"/>
      <c r="K488" s="139"/>
      <c r="L488" s="130"/>
      <c r="M488" s="130"/>
      <c r="N488" s="130"/>
      <c r="O488" s="130"/>
      <c r="P488" s="130"/>
      <c r="Q488" s="130"/>
    </row>
    <row r="489" spans="1:17" x14ac:dyDescent="0.25">
      <c r="A489" s="164"/>
      <c r="B489" s="164"/>
      <c r="C489" s="165"/>
      <c r="D489" s="164"/>
      <c r="E489" s="139"/>
      <c r="F489" s="164"/>
      <c r="G489" s="139"/>
      <c r="H489" s="164"/>
      <c r="I489" s="164"/>
      <c r="J489" s="164"/>
      <c r="K489" s="139"/>
      <c r="L489" s="130"/>
      <c r="M489" s="130"/>
      <c r="N489" s="130"/>
      <c r="O489" s="130"/>
      <c r="P489" s="130"/>
      <c r="Q489" s="130"/>
    </row>
    <row r="490" spans="1:17" x14ac:dyDescent="0.25">
      <c r="A490" s="164"/>
      <c r="B490" s="164"/>
      <c r="C490" s="165"/>
      <c r="D490" s="164"/>
      <c r="E490" s="139"/>
      <c r="F490" s="164"/>
      <c r="G490" s="139"/>
      <c r="H490" s="164"/>
      <c r="I490" s="164"/>
      <c r="J490" s="164"/>
      <c r="K490" s="139"/>
      <c r="L490" s="130"/>
      <c r="M490" s="130"/>
      <c r="N490" s="130"/>
      <c r="O490" s="130"/>
      <c r="P490" s="130"/>
      <c r="Q490" s="130"/>
    </row>
    <row r="491" spans="1:17" x14ac:dyDescent="0.25">
      <c r="A491" s="164"/>
      <c r="B491" s="164"/>
      <c r="C491" s="165"/>
      <c r="D491" s="164"/>
      <c r="E491" s="139"/>
      <c r="F491" s="164"/>
      <c r="G491" s="139"/>
      <c r="H491" s="164"/>
      <c r="I491" s="164"/>
      <c r="J491" s="164"/>
      <c r="K491" s="139"/>
      <c r="L491" s="130"/>
      <c r="M491" s="130"/>
      <c r="N491" s="130"/>
      <c r="O491" s="130"/>
      <c r="P491" s="130"/>
      <c r="Q491" s="130"/>
    </row>
    <row r="492" spans="1:17" x14ac:dyDescent="0.25">
      <c r="A492" s="164"/>
      <c r="B492" s="164"/>
      <c r="C492" s="165"/>
      <c r="D492" s="164"/>
      <c r="E492" s="139"/>
      <c r="F492" s="164"/>
      <c r="G492" s="139"/>
      <c r="H492" s="164"/>
      <c r="I492" s="164"/>
      <c r="J492" s="164"/>
      <c r="K492" s="139"/>
      <c r="L492" s="130"/>
      <c r="M492" s="130"/>
      <c r="N492" s="130"/>
      <c r="O492" s="130"/>
      <c r="P492" s="130"/>
      <c r="Q492" s="130"/>
    </row>
    <row r="493" spans="1:17" x14ac:dyDescent="0.25">
      <c r="A493" s="164"/>
      <c r="B493" s="164"/>
      <c r="C493" s="165"/>
      <c r="D493" s="164"/>
      <c r="E493" s="139"/>
      <c r="F493" s="164"/>
      <c r="G493" s="139"/>
      <c r="H493" s="164"/>
      <c r="I493" s="164"/>
      <c r="J493" s="164"/>
      <c r="K493" s="139"/>
      <c r="L493" s="130"/>
      <c r="M493" s="130"/>
      <c r="N493" s="130"/>
      <c r="O493" s="130"/>
      <c r="P493" s="130"/>
      <c r="Q493" s="130"/>
    </row>
    <row r="494" spans="1:17" x14ac:dyDescent="0.25">
      <c r="A494" s="164"/>
      <c r="B494" s="164"/>
      <c r="C494" s="165"/>
      <c r="D494" s="164"/>
      <c r="E494" s="139"/>
      <c r="F494" s="164"/>
      <c r="G494" s="139"/>
      <c r="H494" s="164"/>
      <c r="I494" s="164"/>
      <c r="J494" s="164"/>
      <c r="K494" s="139"/>
      <c r="L494" s="130"/>
      <c r="M494" s="130"/>
      <c r="N494" s="130"/>
      <c r="O494" s="130"/>
      <c r="P494" s="130"/>
      <c r="Q494" s="130"/>
    </row>
    <row r="495" spans="1:17" x14ac:dyDescent="0.25">
      <c r="A495" s="164"/>
      <c r="B495" s="164"/>
      <c r="C495" s="165"/>
      <c r="D495" s="164"/>
      <c r="E495" s="139"/>
      <c r="F495" s="164"/>
      <c r="G495" s="139"/>
      <c r="H495" s="164"/>
      <c r="I495" s="164"/>
      <c r="J495" s="164"/>
      <c r="K495" s="139"/>
      <c r="L495" s="130"/>
      <c r="M495" s="130"/>
      <c r="N495" s="130"/>
      <c r="O495" s="130"/>
      <c r="P495" s="130"/>
      <c r="Q495" s="130"/>
    </row>
    <row r="496" spans="1:17" x14ac:dyDescent="0.25">
      <c r="A496" s="164"/>
      <c r="B496" s="164"/>
      <c r="C496" s="165"/>
      <c r="D496" s="164"/>
      <c r="E496" s="139"/>
      <c r="F496" s="164"/>
      <c r="G496" s="139"/>
      <c r="H496" s="164"/>
      <c r="I496" s="164"/>
      <c r="J496" s="164"/>
      <c r="K496" s="139"/>
      <c r="L496" s="130"/>
      <c r="M496" s="130"/>
      <c r="N496" s="130"/>
      <c r="O496" s="130"/>
      <c r="P496" s="130"/>
      <c r="Q496" s="130"/>
    </row>
    <row r="497" spans="1:17" x14ac:dyDescent="0.25">
      <c r="A497" s="164"/>
      <c r="B497" s="164"/>
      <c r="C497" s="165"/>
      <c r="D497" s="164"/>
      <c r="E497" s="139"/>
      <c r="F497" s="164"/>
      <c r="G497" s="139"/>
      <c r="H497" s="164"/>
      <c r="I497" s="164"/>
      <c r="J497" s="164"/>
      <c r="K497" s="139"/>
      <c r="L497" s="130"/>
      <c r="M497" s="130"/>
      <c r="N497" s="130"/>
      <c r="O497" s="130"/>
      <c r="P497" s="130"/>
      <c r="Q497" s="130"/>
    </row>
    <row r="498" spans="1:17" x14ac:dyDescent="0.25">
      <c r="A498" s="164"/>
      <c r="B498" s="164"/>
      <c r="C498" s="165"/>
      <c r="D498" s="164"/>
      <c r="E498" s="139"/>
      <c r="F498" s="164"/>
      <c r="G498" s="139"/>
      <c r="H498" s="164"/>
      <c r="I498" s="164"/>
      <c r="J498" s="164"/>
      <c r="K498" s="139"/>
      <c r="L498" s="130"/>
      <c r="M498" s="130"/>
      <c r="N498" s="130"/>
      <c r="O498" s="130"/>
      <c r="P498" s="130"/>
      <c r="Q498" s="130"/>
    </row>
    <row r="499" spans="1:17" x14ac:dyDescent="0.25">
      <c r="A499" s="164"/>
      <c r="B499" s="164"/>
      <c r="C499" s="165"/>
      <c r="D499" s="164"/>
      <c r="E499" s="139"/>
      <c r="F499" s="164"/>
      <c r="G499" s="139"/>
      <c r="H499" s="164"/>
      <c r="I499" s="164"/>
      <c r="J499" s="164"/>
      <c r="K499" s="139"/>
      <c r="L499" s="130"/>
      <c r="M499" s="130"/>
      <c r="N499" s="130"/>
      <c r="O499" s="130"/>
      <c r="P499" s="130"/>
      <c r="Q499" s="130"/>
    </row>
    <row r="500" spans="1:17" x14ac:dyDescent="0.25">
      <c r="A500" s="164"/>
      <c r="B500" s="164"/>
      <c r="C500" s="165"/>
      <c r="D500" s="164"/>
      <c r="E500" s="139"/>
      <c r="F500" s="164"/>
      <c r="G500" s="139"/>
      <c r="H500" s="164"/>
      <c r="I500" s="164"/>
      <c r="J500" s="164"/>
      <c r="K500" s="139"/>
      <c r="L500" s="130"/>
      <c r="M500" s="130"/>
      <c r="N500" s="130"/>
      <c r="O500" s="130"/>
      <c r="P500" s="130"/>
      <c r="Q500" s="130"/>
    </row>
    <row r="501" spans="1:17" x14ac:dyDescent="0.25">
      <c r="A501" s="164"/>
      <c r="B501" s="164"/>
      <c r="C501" s="165"/>
      <c r="D501" s="164"/>
      <c r="E501" s="139"/>
      <c r="F501" s="164"/>
      <c r="G501" s="139"/>
      <c r="H501" s="164"/>
      <c r="I501" s="164"/>
      <c r="J501" s="164"/>
      <c r="K501" s="139"/>
      <c r="L501" s="130"/>
      <c r="M501" s="130"/>
      <c r="N501" s="130"/>
      <c r="O501" s="130"/>
      <c r="P501" s="130"/>
      <c r="Q501" s="130"/>
    </row>
    <row r="502" spans="1:17" x14ac:dyDescent="0.25">
      <c r="A502" s="164"/>
      <c r="B502" s="164"/>
      <c r="C502" s="165"/>
      <c r="D502" s="164"/>
      <c r="E502" s="139"/>
      <c r="F502" s="164"/>
      <c r="G502" s="139"/>
      <c r="H502" s="164"/>
      <c r="I502" s="164"/>
      <c r="J502" s="164"/>
      <c r="K502" s="139"/>
      <c r="L502" s="130"/>
      <c r="M502" s="130"/>
      <c r="N502" s="130"/>
      <c r="O502" s="130"/>
      <c r="P502" s="130"/>
      <c r="Q502" s="130"/>
    </row>
    <row r="503" spans="1:17" x14ac:dyDescent="0.25">
      <c r="A503" s="164"/>
      <c r="B503" s="164"/>
      <c r="C503" s="165"/>
      <c r="D503" s="164"/>
      <c r="E503" s="139"/>
      <c r="F503" s="164"/>
      <c r="G503" s="139"/>
      <c r="H503" s="164"/>
      <c r="I503" s="164"/>
      <c r="J503" s="164"/>
      <c r="K503" s="139"/>
      <c r="L503" s="130"/>
      <c r="M503" s="130"/>
      <c r="N503" s="130"/>
      <c r="O503" s="130"/>
      <c r="P503" s="130"/>
      <c r="Q503" s="130"/>
    </row>
    <row r="504" spans="1:17" x14ac:dyDescent="0.25">
      <c r="A504" s="164"/>
      <c r="B504" s="164"/>
      <c r="C504" s="165"/>
      <c r="D504" s="164"/>
      <c r="E504" s="139"/>
      <c r="F504" s="164"/>
      <c r="G504" s="139"/>
      <c r="H504" s="164"/>
      <c r="I504" s="164"/>
      <c r="J504" s="164"/>
      <c r="K504" s="139"/>
      <c r="L504" s="130"/>
      <c r="M504" s="130"/>
      <c r="N504" s="130"/>
      <c r="O504" s="130"/>
      <c r="P504" s="130"/>
      <c r="Q504" s="130"/>
    </row>
    <row r="505" spans="1:17" x14ac:dyDescent="0.25">
      <c r="A505" s="164"/>
      <c r="B505" s="164"/>
      <c r="C505" s="165"/>
      <c r="D505" s="164"/>
      <c r="E505" s="139"/>
      <c r="F505" s="164"/>
      <c r="G505" s="139"/>
      <c r="H505" s="164"/>
      <c r="I505" s="164"/>
      <c r="J505" s="164"/>
      <c r="K505" s="139"/>
      <c r="L505" s="130"/>
      <c r="M505" s="130"/>
      <c r="N505" s="130"/>
      <c r="O505" s="130"/>
      <c r="P505" s="130"/>
      <c r="Q505" s="130"/>
    </row>
    <row r="506" spans="1:17" x14ac:dyDescent="0.25">
      <c r="A506" s="164"/>
      <c r="B506" s="164"/>
      <c r="C506" s="165"/>
      <c r="D506" s="164"/>
      <c r="E506" s="139"/>
      <c r="F506" s="164"/>
      <c r="G506" s="139"/>
      <c r="H506" s="164"/>
      <c r="I506" s="164"/>
      <c r="J506" s="164"/>
      <c r="K506" s="139"/>
      <c r="L506" s="130"/>
      <c r="M506" s="130"/>
      <c r="N506" s="130"/>
      <c r="O506" s="130"/>
      <c r="P506" s="130"/>
      <c r="Q506" s="130"/>
    </row>
    <row r="507" spans="1:17" x14ac:dyDescent="0.25">
      <c r="A507" s="164"/>
      <c r="B507" s="164"/>
      <c r="C507" s="165"/>
      <c r="D507" s="164"/>
      <c r="E507" s="139"/>
      <c r="F507" s="164"/>
      <c r="G507" s="139"/>
      <c r="H507" s="164"/>
      <c r="I507" s="164"/>
      <c r="J507" s="164"/>
      <c r="K507" s="139"/>
      <c r="L507" s="130"/>
      <c r="M507" s="130"/>
      <c r="N507" s="130"/>
      <c r="O507" s="130"/>
      <c r="P507" s="130"/>
      <c r="Q507" s="130"/>
    </row>
    <row r="508" spans="1:17" x14ac:dyDescent="0.25">
      <c r="A508" s="164"/>
      <c r="B508" s="164"/>
      <c r="C508" s="165"/>
      <c r="D508" s="164"/>
      <c r="E508" s="139"/>
      <c r="F508" s="164"/>
      <c r="G508" s="139"/>
      <c r="H508" s="164"/>
      <c r="I508" s="164"/>
      <c r="J508" s="164"/>
      <c r="K508" s="139"/>
      <c r="L508" s="130"/>
      <c r="M508" s="130"/>
      <c r="N508" s="130"/>
      <c r="O508" s="130"/>
      <c r="P508" s="130"/>
      <c r="Q508" s="130"/>
    </row>
    <row r="509" spans="1:17" x14ac:dyDescent="0.25">
      <c r="A509" s="164"/>
      <c r="B509" s="164"/>
      <c r="C509" s="165"/>
      <c r="D509" s="164"/>
      <c r="E509" s="139"/>
      <c r="F509" s="164"/>
      <c r="G509" s="139"/>
      <c r="H509" s="164"/>
      <c r="I509" s="164"/>
      <c r="J509" s="164"/>
      <c r="K509" s="139"/>
      <c r="L509" s="130"/>
      <c r="M509" s="130"/>
      <c r="N509" s="130"/>
      <c r="O509" s="130"/>
      <c r="P509" s="130"/>
      <c r="Q509" s="130"/>
    </row>
    <row r="510" spans="1:17" x14ac:dyDescent="0.25">
      <c r="A510" s="164"/>
      <c r="B510" s="164"/>
      <c r="C510" s="165"/>
      <c r="D510" s="164"/>
      <c r="E510" s="139"/>
      <c r="F510" s="164"/>
      <c r="G510" s="139"/>
      <c r="H510" s="164"/>
      <c r="I510" s="164"/>
      <c r="J510" s="164"/>
      <c r="K510" s="139"/>
      <c r="L510" s="130"/>
      <c r="M510" s="130"/>
      <c r="N510" s="130"/>
      <c r="O510" s="130"/>
      <c r="P510" s="130"/>
      <c r="Q510" s="130"/>
    </row>
    <row r="511" spans="1:17" x14ac:dyDescent="0.25">
      <c r="A511" s="164"/>
      <c r="B511" s="164"/>
      <c r="C511" s="165"/>
      <c r="D511" s="164"/>
      <c r="E511" s="139"/>
      <c r="F511" s="164"/>
      <c r="G511" s="139"/>
      <c r="H511" s="164"/>
      <c r="I511" s="164"/>
      <c r="J511" s="164"/>
      <c r="K511" s="139"/>
      <c r="L511" s="130"/>
      <c r="M511" s="130"/>
      <c r="N511" s="130"/>
      <c r="O511" s="130"/>
      <c r="P511" s="130"/>
      <c r="Q511" s="130"/>
    </row>
    <row r="512" spans="1:17" x14ac:dyDescent="0.25">
      <c r="A512" s="164"/>
      <c r="B512" s="164"/>
      <c r="C512" s="165"/>
      <c r="D512" s="164"/>
      <c r="E512" s="139"/>
      <c r="F512" s="164"/>
      <c r="G512" s="139"/>
      <c r="H512" s="164"/>
      <c r="I512" s="164"/>
      <c r="J512" s="164"/>
      <c r="K512" s="139"/>
      <c r="L512" s="130"/>
      <c r="M512" s="130"/>
      <c r="N512" s="130"/>
      <c r="O512" s="130"/>
      <c r="P512" s="130"/>
      <c r="Q512" s="130"/>
    </row>
    <row r="513" spans="1:17" x14ac:dyDescent="0.25">
      <c r="A513" s="164"/>
      <c r="B513" s="164"/>
      <c r="C513" s="165"/>
      <c r="D513" s="164"/>
      <c r="E513" s="139"/>
      <c r="F513" s="164"/>
      <c r="G513" s="139"/>
      <c r="H513" s="164"/>
      <c r="I513" s="164"/>
      <c r="J513" s="164"/>
      <c r="K513" s="139"/>
      <c r="L513" s="130"/>
      <c r="M513" s="130"/>
      <c r="N513" s="130"/>
      <c r="O513" s="130"/>
      <c r="P513" s="130"/>
      <c r="Q513" s="130"/>
    </row>
    <row r="514" spans="1:17" x14ac:dyDescent="0.25">
      <c r="A514" s="164"/>
      <c r="B514" s="164"/>
      <c r="C514" s="165"/>
      <c r="D514" s="164"/>
      <c r="E514" s="139"/>
      <c r="F514" s="164"/>
      <c r="G514" s="139"/>
      <c r="H514" s="164"/>
      <c r="I514" s="164"/>
      <c r="J514" s="164"/>
      <c r="K514" s="139"/>
      <c r="L514" s="130"/>
      <c r="M514" s="130"/>
      <c r="N514" s="130"/>
      <c r="O514" s="130"/>
      <c r="P514" s="130"/>
      <c r="Q514" s="130"/>
    </row>
    <row r="515" spans="1:17" x14ac:dyDescent="0.25">
      <c r="A515" s="164"/>
      <c r="B515" s="164"/>
      <c r="C515" s="165"/>
      <c r="D515" s="164"/>
      <c r="E515" s="139"/>
      <c r="F515" s="164"/>
      <c r="G515" s="139"/>
      <c r="H515" s="164"/>
      <c r="I515" s="164"/>
      <c r="J515" s="164"/>
      <c r="K515" s="139"/>
      <c r="L515" s="130"/>
      <c r="M515" s="130"/>
      <c r="N515" s="130"/>
      <c r="O515" s="130"/>
      <c r="P515" s="130"/>
      <c r="Q515" s="130"/>
    </row>
    <row r="516" spans="1:17" x14ac:dyDescent="0.25">
      <c r="A516" s="164"/>
      <c r="B516" s="164"/>
      <c r="C516" s="165"/>
      <c r="D516" s="164"/>
      <c r="E516" s="139"/>
      <c r="F516" s="164"/>
      <c r="G516" s="139"/>
      <c r="H516" s="164"/>
      <c r="I516" s="164"/>
      <c r="J516" s="164"/>
      <c r="K516" s="139"/>
      <c r="L516" s="130"/>
      <c r="M516" s="130"/>
      <c r="N516" s="130"/>
      <c r="O516" s="130"/>
      <c r="P516" s="130"/>
      <c r="Q516" s="130"/>
    </row>
    <row r="517" spans="1:17" x14ac:dyDescent="0.25">
      <c r="A517" s="164"/>
      <c r="B517" s="164"/>
      <c r="C517" s="165"/>
      <c r="D517" s="164"/>
      <c r="E517" s="139"/>
      <c r="F517" s="164"/>
      <c r="G517" s="139"/>
      <c r="H517" s="164"/>
      <c r="I517" s="164"/>
      <c r="J517" s="164"/>
      <c r="K517" s="139"/>
      <c r="L517" s="130"/>
      <c r="M517" s="130"/>
      <c r="N517" s="130"/>
      <c r="O517" s="130"/>
      <c r="P517" s="130"/>
      <c r="Q517" s="130"/>
    </row>
    <row r="518" spans="1:17" x14ac:dyDescent="0.25">
      <c r="A518" s="164"/>
      <c r="B518" s="164"/>
      <c r="C518" s="165"/>
      <c r="D518" s="164"/>
      <c r="E518" s="139"/>
      <c r="F518" s="164"/>
      <c r="G518" s="139"/>
      <c r="H518" s="164"/>
      <c r="I518" s="164"/>
      <c r="J518" s="164"/>
      <c r="K518" s="139"/>
      <c r="L518" s="130"/>
      <c r="M518" s="130"/>
      <c r="N518" s="130"/>
      <c r="O518" s="130"/>
      <c r="P518" s="130"/>
      <c r="Q518" s="130"/>
    </row>
    <row r="519" spans="1:17" x14ac:dyDescent="0.25">
      <c r="A519" s="164"/>
      <c r="B519" s="164"/>
      <c r="C519" s="165"/>
      <c r="D519" s="164"/>
      <c r="E519" s="139"/>
      <c r="F519" s="164"/>
      <c r="G519" s="139"/>
      <c r="H519" s="164"/>
      <c r="I519" s="164"/>
      <c r="J519" s="164"/>
      <c r="K519" s="139"/>
      <c r="L519" s="130"/>
      <c r="M519" s="130"/>
      <c r="N519" s="130"/>
      <c r="O519" s="130"/>
      <c r="P519" s="130"/>
      <c r="Q519" s="130"/>
    </row>
    <row r="520" spans="1:17" x14ac:dyDescent="0.25">
      <c r="A520" s="164"/>
      <c r="B520" s="164"/>
      <c r="C520" s="165"/>
      <c r="D520" s="164"/>
      <c r="E520" s="139"/>
      <c r="F520" s="164"/>
      <c r="G520" s="139"/>
      <c r="H520" s="164"/>
      <c r="I520" s="164"/>
      <c r="J520" s="164"/>
      <c r="K520" s="139"/>
      <c r="L520" s="130"/>
      <c r="M520" s="130"/>
      <c r="N520" s="130"/>
      <c r="O520" s="130"/>
      <c r="P520" s="130"/>
      <c r="Q520" s="130"/>
    </row>
    <row r="521" spans="1:17" x14ac:dyDescent="0.25">
      <c r="A521" s="164"/>
      <c r="B521" s="164"/>
      <c r="C521" s="165"/>
      <c r="D521" s="164"/>
      <c r="E521" s="139"/>
      <c r="F521" s="164"/>
      <c r="G521" s="139"/>
      <c r="H521" s="164"/>
      <c r="I521" s="164"/>
      <c r="J521" s="164"/>
      <c r="K521" s="139"/>
      <c r="L521" s="130"/>
      <c r="M521" s="130"/>
      <c r="N521" s="130"/>
      <c r="O521" s="130"/>
      <c r="P521" s="130"/>
      <c r="Q521" s="130"/>
    </row>
    <row r="522" spans="1:17" x14ac:dyDescent="0.25">
      <c r="A522" s="164"/>
      <c r="B522" s="164"/>
      <c r="C522" s="165"/>
      <c r="D522" s="164"/>
      <c r="E522" s="139"/>
      <c r="F522" s="164"/>
      <c r="G522" s="139"/>
      <c r="H522" s="164"/>
      <c r="I522" s="164"/>
      <c r="J522" s="164"/>
      <c r="K522" s="139"/>
      <c r="L522" s="130"/>
      <c r="M522" s="130"/>
      <c r="N522" s="130"/>
      <c r="O522" s="130"/>
      <c r="P522" s="130"/>
      <c r="Q522" s="130"/>
    </row>
    <row r="523" spans="1:17" x14ac:dyDescent="0.25">
      <c r="A523" s="164"/>
      <c r="B523" s="164"/>
      <c r="C523" s="165"/>
      <c r="D523" s="164"/>
      <c r="E523" s="139"/>
      <c r="F523" s="164"/>
      <c r="G523" s="139"/>
      <c r="H523" s="164"/>
      <c r="I523" s="164"/>
      <c r="J523" s="164"/>
      <c r="K523" s="139"/>
      <c r="L523" s="130"/>
      <c r="M523" s="130"/>
      <c r="N523" s="130"/>
      <c r="O523" s="130"/>
      <c r="P523" s="130"/>
      <c r="Q523" s="130"/>
    </row>
    <row r="524" spans="1:17" x14ac:dyDescent="0.25">
      <c r="A524" s="164"/>
      <c r="B524" s="164"/>
      <c r="C524" s="165"/>
      <c r="D524" s="164"/>
      <c r="E524" s="139"/>
      <c r="F524" s="164"/>
      <c r="G524" s="139"/>
      <c r="H524" s="164"/>
      <c r="I524" s="164"/>
      <c r="J524" s="164"/>
      <c r="K524" s="139"/>
      <c r="L524" s="130"/>
      <c r="M524" s="130"/>
      <c r="N524" s="130"/>
      <c r="O524" s="130"/>
      <c r="P524" s="130"/>
      <c r="Q524" s="130"/>
    </row>
    <row r="525" spans="1:17" x14ac:dyDescent="0.25">
      <c r="A525" s="164"/>
      <c r="B525" s="164"/>
      <c r="C525" s="165"/>
      <c r="D525" s="164"/>
      <c r="E525" s="139"/>
      <c r="F525" s="164"/>
      <c r="G525" s="139"/>
      <c r="H525" s="164"/>
      <c r="I525" s="164"/>
      <c r="J525" s="164"/>
      <c r="K525" s="139"/>
      <c r="L525" s="130"/>
      <c r="M525" s="130"/>
      <c r="N525" s="130"/>
      <c r="O525" s="130"/>
      <c r="P525" s="130"/>
      <c r="Q525" s="130"/>
    </row>
    <row r="526" spans="1:17" x14ac:dyDescent="0.25">
      <c r="A526" s="164"/>
      <c r="B526" s="164"/>
      <c r="C526" s="165"/>
      <c r="D526" s="164"/>
      <c r="E526" s="139"/>
      <c r="F526" s="164"/>
      <c r="G526" s="139"/>
      <c r="H526" s="164"/>
      <c r="I526" s="164"/>
      <c r="J526" s="164"/>
      <c r="K526" s="139"/>
      <c r="L526" s="130"/>
      <c r="M526" s="130"/>
      <c r="N526" s="130"/>
      <c r="O526" s="130"/>
      <c r="P526" s="130"/>
      <c r="Q526" s="130"/>
    </row>
    <row r="527" spans="1:17" x14ac:dyDescent="0.25">
      <c r="A527" s="164"/>
      <c r="B527" s="164"/>
      <c r="C527" s="165"/>
      <c r="D527" s="164"/>
      <c r="E527" s="139"/>
      <c r="F527" s="164"/>
      <c r="G527" s="139"/>
      <c r="H527" s="164"/>
      <c r="I527" s="164"/>
      <c r="J527" s="164"/>
      <c r="K527" s="139"/>
      <c r="L527" s="130"/>
      <c r="M527" s="130"/>
      <c r="N527" s="130"/>
      <c r="O527" s="130"/>
      <c r="P527" s="130"/>
      <c r="Q527" s="130"/>
    </row>
    <row r="528" spans="1:17" x14ac:dyDescent="0.25">
      <c r="A528" s="164"/>
      <c r="B528" s="164"/>
      <c r="C528" s="165"/>
      <c r="D528" s="164"/>
      <c r="E528" s="139"/>
      <c r="F528" s="164"/>
      <c r="G528" s="139"/>
      <c r="H528" s="164"/>
      <c r="I528" s="164"/>
      <c r="J528" s="164"/>
      <c r="K528" s="139"/>
      <c r="L528" s="130"/>
      <c r="M528" s="130"/>
      <c r="N528" s="130"/>
      <c r="O528" s="130"/>
      <c r="P528" s="130"/>
      <c r="Q528" s="130"/>
    </row>
    <row r="529" spans="1:17" x14ac:dyDescent="0.25">
      <c r="A529" s="164"/>
      <c r="B529" s="164"/>
      <c r="C529" s="165"/>
      <c r="D529" s="164"/>
      <c r="E529" s="139"/>
      <c r="F529" s="164"/>
      <c r="G529" s="139"/>
      <c r="H529" s="164"/>
      <c r="I529" s="164"/>
      <c r="J529" s="164"/>
      <c r="K529" s="139"/>
      <c r="L529" s="130"/>
      <c r="M529" s="130"/>
      <c r="N529" s="130"/>
      <c r="O529" s="130"/>
      <c r="P529" s="130"/>
      <c r="Q529" s="130"/>
    </row>
    <row r="530" spans="1:17" x14ac:dyDescent="0.25">
      <c r="A530" s="164"/>
      <c r="B530" s="164"/>
      <c r="C530" s="165"/>
      <c r="D530" s="164"/>
      <c r="E530" s="139"/>
      <c r="F530" s="164"/>
      <c r="G530" s="139"/>
      <c r="H530" s="164"/>
      <c r="I530" s="164"/>
      <c r="J530" s="164"/>
      <c r="K530" s="139"/>
      <c r="L530" s="130"/>
      <c r="M530" s="130"/>
      <c r="N530" s="130"/>
      <c r="O530" s="130"/>
      <c r="P530" s="130"/>
      <c r="Q530" s="130"/>
    </row>
    <row r="531" spans="1:17" x14ac:dyDescent="0.25">
      <c r="A531" s="164"/>
      <c r="B531" s="164"/>
      <c r="C531" s="165"/>
      <c r="D531" s="164"/>
      <c r="E531" s="139"/>
      <c r="F531" s="164"/>
      <c r="G531" s="139"/>
      <c r="H531" s="164"/>
      <c r="I531" s="164"/>
      <c r="J531" s="164"/>
      <c r="K531" s="139"/>
      <c r="L531" s="130"/>
      <c r="M531" s="130"/>
      <c r="N531" s="130"/>
      <c r="O531" s="130"/>
      <c r="P531" s="130"/>
      <c r="Q531" s="130"/>
    </row>
    <row r="532" spans="1:17" x14ac:dyDescent="0.25">
      <c r="A532" s="164"/>
      <c r="B532" s="164"/>
      <c r="C532" s="165"/>
      <c r="D532" s="164"/>
      <c r="E532" s="139"/>
      <c r="F532" s="164"/>
      <c r="G532" s="139"/>
      <c r="H532" s="164"/>
      <c r="I532" s="164"/>
      <c r="J532" s="164"/>
      <c r="K532" s="139"/>
      <c r="L532" s="130"/>
      <c r="M532" s="130"/>
      <c r="N532" s="130"/>
      <c r="O532" s="130"/>
      <c r="P532" s="130"/>
      <c r="Q532" s="130"/>
    </row>
    <row r="533" spans="1:17" x14ac:dyDescent="0.25">
      <c r="A533" s="164"/>
      <c r="B533" s="164"/>
      <c r="C533" s="165"/>
      <c r="D533" s="164"/>
      <c r="E533" s="139"/>
      <c r="F533" s="164"/>
      <c r="G533" s="139"/>
      <c r="H533" s="164"/>
      <c r="I533" s="164"/>
      <c r="J533" s="164"/>
      <c r="K533" s="139"/>
      <c r="L533" s="130"/>
      <c r="M533" s="130"/>
      <c r="N533" s="130"/>
      <c r="O533" s="130"/>
      <c r="P533" s="130"/>
      <c r="Q533" s="130"/>
    </row>
    <row r="534" spans="1:17" x14ac:dyDescent="0.25">
      <c r="A534" s="164"/>
      <c r="B534" s="164"/>
      <c r="C534" s="165"/>
      <c r="D534" s="164"/>
      <c r="E534" s="139"/>
      <c r="F534" s="164"/>
      <c r="G534" s="139"/>
      <c r="H534" s="164"/>
      <c r="I534" s="164"/>
      <c r="J534" s="164"/>
      <c r="K534" s="139"/>
      <c r="L534" s="130"/>
      <c r="M534" s="130"/>
      <c r="N534" s="130"/>
      <c r="O534" s="130"/>
      <c r="P534" s="130"/>
      <c r="Q534" s="130"/>
    </row>
    <row r="535" spans="1:17" x14ac:dyDescent="0.25">
      <c r="A535" s="164"/>
      <c r="B535" s="164"/>
      <c r="C535" s="165"/>
      <c r="D535" s="164"/>
      <c r="E535" s="139"/>
      <c r="F535" s="164"/>
      <c r="G535" s="139"/>
      <c r="H535" s="164"/>
      <c r="I535" s="164"/>
      <c r="J535" s="164"/>
      <c r="K535" s="139"/>
      <c r="L535" s="130"/>
      <c r="M535" s="130"/>
      <c r="N535" s="130"/>
      <c r="O535" s="130"/>
      <c r="P535" s="130"/>
      <c r="Q535" s="130"/>
    </row>
    <row r="536" spans="1:17" x14ac:dyDescent="0.25">
      <c r="A536" s="164"/>
      <c r="B536" s="164"/>
      <c r="C536" s="165"/>
      <c r="D536" s="164"/>
      <c r="E536" s="139"/>
      <c r="F536" s="164"/>
      <c r="G536" s="139"/>
      <c r="H536" s="164"/>
      <c r="I536" s="164"/>
      <c r="J536" s="164"/>
      <c r="K536" s="139"/>
      <c r="L536" s="130"/>
      <c r="M536" s="130"/>
      <c r="N536" s="130"/>
      <c r="O536" s="130"/>
      <c r="P536" s="130"/>
      <c r="Q536" s="130"/>
    </row>
    <row r="537" spans="1:17" x14ac:dyDescent="0.25">
      <c r="A537" s="164"/>
      <c r="B537" s="164"/>
      <c r="C537" s="165"/>
      <c r="D537" s="164"/>
      <c r="E537" s="139"/>
      <c r="F537" s="164"/>
      <c r="G537" s="139"/>
      <c r="H537" s="164"/>
      <c r="I537" s="164"/>
      <c r="J537" s="164"/>
      <c r="K537" s="139"/>
      <c r="L537" s="130"/>
      <c r="M537" s="130"/>
      <c r="N537" s="130"/>
      <c r="O537" s="130"/>
      <c r="P537" s="130"/>
      <c r="Q537" s="130"/>
    </row>
    <row r="538" spans="1:17" x14ac:dyDescent="0.25">
      <c r="A538" s="164"/>
      <c r="B538" s="164"/>
      <c r="C538" s="165"/>
      <c r="D538" s="164"/>
      <c r="E538" s="139"/>
      <c r="F538" s="164"/>
      <c r="G538" s="139"/>
      <c r="H538" s="164"/>
      <c r="I538" s="164"/>
      <c r="J538" s="164"/>
      <c r="K538" s="139"/>
      <c r="L538" s="130"/>
      <c r="M538" s="130"/>
      <c r="N538" s="130"/>
      <c r="O538" s="130"/>
      <c r="P538" s="130"/>
      <c r="Q538" s="130"/>
    </row>
    <row r="539" spans="1:17" x14ac:dyDescent="0.25">
      <c r="A539" s="164"/>
      <c r="B539" s="164"/>
      <c r="C539" s="165"/>
      <c r="D539" s="164"/>
      <c r="E539" s="139"/>
      <c r="F539" s="164"/>
      <c r="G539" s="139"/>
      <c r="H539" s="164"/>
      <c r="I539" s="164"/>
      <c r="J539" s="164"/>
      <c r="K539" s="139"/>
      <c r="L539" s="130"/>
      <c r="M539" s="130"/>
      <c r="N539" s="130"/>
      <c r="O539" s="130"/>
      <c r="P539" s="130"/>
      <c r="Q539" s="130"/>
    </row>
    <row r="540" spans="1:17" x14ac:dyDescent="0.25">
      <c r="A540" s="164"/>
      <c r="B540" s="164"/>
      <c r="C540" s="165"/>
      <c r="D540" s="164"/>
      <c r="E540" s="139"/>
      <c r="F540" s="164"/>
      <c r="G540" s="139"/>
      <c r="H540" s="164"/>
      <c r="I540" s="164"/>
      <c r="J540" s="164"/>
      <c r="K540" s="139"/>
      <c r="L540" s="130"/>
      <c r="M540" s="130"/>
      <c r="N540" s="130"/>
      <c r="O540" s="130"/>
      <c r="P540" s="130"/>
      <c r="Q540" s="130"/>
    </row>
    <row r="541" spans="1:17" x14ac:dyDescent="0.25">
      <c r="A541" s="164"/>
      <c r="B541" s="164"/>
      <c r="C541" s="165"/>
      <c r="D541" s="164"/>
      <c r="E541" s="139"/>
      <c r="F541" s="164"/>
      <c r="G541" s="139"/>
      <c r="H541" s="164"/>
      <c r="I541" s="164"/>
      <c r="J541" s="164"/>
      <c r="K541" s="139"/>
      <c r="L541" s="130"/>
      <c r="M541" s="130"/>
      <c r="N541" s="130"/>
      <c r="O541" s="130"/>
      <c r="P541" s="130"/>
      <c r="Q541" s="130"/>
    </row>
    <row r="542" spans="1:17" x14ac:dyDescent="0.25">
      <c r="A542" s="164"/>
      <c r="B542" s="164"/>
      <c r="C542" s="165"/>
      <c r="D542" s="164"/>
      <c r="E542" s="139"/>
      <c r="F542" s="164"/>
      <c r="G542" s="139"/>
      <c r="H542" s="164"/>
      <c r="I542" s="164"/>
      <c r="J542" s="164"/>
      <c r="K542" s="139"/>
      <c r="L542" s="130"/>
      <c r="M542" s="130"/>
      <c r="N542" s="130"/>
      <c r="O542" s="130"/>
      <c r="P542" s="130"/>
      <c r="Q542" s="130"/>
    </row>
    <row r="543" spans="1:17" x14ac:dyDescent="0.25">
      <c r="A543" s="164"/>
      <c r="B543" s="164"/>
      <c r="C543" s="165"/>
      <c r="D543" s="164"/>
      <c r="E543" s="139"/>
      <c r="F543" s="164"/>
      <c r="G543" s="139"/>
      <c r="H543" s="164"/>
      <c r="I543" s="164"/>
      <c r="J543" s="164"/>
      <c r="K543" s="139"/>
      <c r="L543" s="130"/>
      <c r="M543" s="130"/>
      <c r="N543" s="130"/>
      <c r="O543" s="130"/>
      <c r="P543" s="130"/>
      <c r="Q543" s="130"/>
    </row>
    <row r="544" spans="1:17" x14ac:dyDescent="0.25">
      <c r="A544" s="164"/>
      <c r="B544" s="164"/>
      <c r="C544" s="165"/>
      <c r="D544" s="164"/>
      <c r="E544" s="139"/>
      <c r="F544" s="164"/>
      <c r="G544" s="139"/>
      <c r="H544" s="164"/>
      <c r="I544" s="164"/>
      <c r="J544" s="164"/>
      <c r="K544" s="139"/>
      <c r="L544" s="130"/>
      <c r="M544" s="130"/>
      <c r="N544" s="130"/>
      <c r="O544" s="130"/>
      <c r="P544" s="130"/>
      <c r="Q544" s="130"/>
    </row>
    <row r="545" spans="1:17" x14ac:dyDescent="0.25">
      <c r="A545" s="164"/>
      <c r="B545" s="164"/>
      <c r="C545" s="165"/>
      <c r="D545" s="164"/>
      <c r="E545" s="139"/>
      <c r="F545" s="164"/>
      <c r="G545" s="139"/>
      <c r="H545" s="164"/>
      <c r="I545" s="164"/>
      <c r="J545" s="164"/>
      <c r="K545" s="139"/>
      <c r="L545" s="130"/>
      <c r="M545" s="130"/>
      <c r="N545" s="130"/>
      <c r="O545" s="130"/>
      <c r="P545" s="130"/>
      <c r="Q545" s="130"/>
    </row>
    <row r="546" spans="1:17" x14ac:dyDescent="0.25">
      <c r="A546" s="164"/>
      <c r="B546" s="164"/>
      <c r="C546" s="165"/>
      <c r="D546" s="164"/>
      <c r="E546" s="139"/>
      <c r="F546" s="164"/>
      <c r="G546" s="139"/>
      <c r="H546" s="164"/>
      <c r="I546" s="164"/>
      <c r="J546" s="164"/>
      <c r="K546" s="139"/>
      <c r="L546" s="130"/>
      <c r="M546" s="130"/>
      <c r="N546" s="130"/>
      <c r="O546" s="130"/>
      <c r="P546" s="130"/>
      <c r="Q546" s="130"/>
    </row>
    <row r="547" spans="1:17" x14ac:dyDescent="0.25">
      <c r="A547" s="164"/>
      <c r="B547" s="164"/>
      <c r="C547" s="165"/>
      <c r="D547" s="164"/>
      <c r="E547" s="139"/>
      <c r="F547" s="164"/>
      <c r="G547" s="139"/>
      <c r="H547" s="164"/>
      <c r="I547" s="164"/>
      <c r="J547" s="164"/>
      <c r="K547" s="139"/>
      <c r="L547" s="130"/>
      <c r="M547" s="130"/>
      <c r="N547" s="130"/>
      <c r="O547" s="130"/>
      <c r="P547" s="130"/>
      <c r="Q547" s="130"/>
    </row>
    <row r="548" spans="1:17" x14ac:dyDescent="0.25">
      <c r="A548" s="164"/>
      <c r="B548" s="164"/>
      <c r="C548" s="165"/>
      <c r="D548" s="164"/>
      <c r="E548" s="139"/>
      <c r="F548" s="164"/>
      <c r="G548" s="139"/>
      <c r="H548" s="164"/>
      <c r="I548" s="164"/>
      <c r="J548" s="164"/>
      <c r="K548" s="139"/>
      <c r="L548" s="130"/>
      <c r="M548" s="130"/>
      <c r="N548" s="130"/>
      <c r="O548" s="130"/>
      <c r="P548" s="130"/>
      <c r="Q548" s="130"/>
    </row>
    <row r="549" spans="1:17" x14ac:dyDescent="0.25">
      <c r="A549" s="164"/>
      <c r="B549" s="164"/>
      <c r="C549" s="165"/>
      <c r="D549" s="164"/>
      <c r="E549" s="139"/>
      <c r="F549" s="164"/>
      <c r="G549" s="139"/>
      <c r="H549" s="164"/>
      <c r="I549" s="164"/>
      <c r="J549" s="164"/>
      <c r="K549" s="139"/>
      <c r="L549" s="130"/>
      <c r="M549" s="130"/>
      <c r="N549" s="130"/>
      <c r="O549" s="130"/>
      <c r="P549" s="130"/>
      <c r="Q549" s="130"/>
    </row>
    <row r="550" spans="1:17" x14ac:dyDescent="0.25">
      <c r="A550" s="164"/>
      <c r="B550" s="164"/>
      <c r="C550" s="165"/>
      <c r="D550" s="164"/>
      <c r="E550" s="139"/>
      <c r="F550" s="164"/>
      <c r="G550" s="139"/>
      <c r="H550" s="164"/>
      <c r="I550" s="164"/>
      <c r="J550" s="164"/>
      <c r="K550" s="139"/>
      <c r="L550" s="130"/>
      <c r="M550" s="130"/>
      <c r="N550" s="130"/>
      <c r="O550" s="130"/>
      <c r="P550" s="130"/>
      <c r="Q550" s="130"/>
    </row>
    <row r="551" spans="1:17" x14ac:dyDescent="0.25">
      <c r="A551" s="164"/>
      <c r="B551" s="164"/>
      <c r="C551" s="165"/>
      <c r="D551" s="164"/>
      <c r="E551" s="139"/>
      <c r="F551" s="164"/>
      <c r="G551" s="139"/>
      <c r="H551" s="164"/>
      <c r="I551" s="164"/>
      <c r="J551" s="164"/>
      <c r="K551" s="139"/>
      <c r="L551" s="130"/>
      <c r="M551" s="130"/>
      <c r="N551" s="130"/>
      <c r="O551" s="130"/>
      <c r="P551" s="130"/>
      <c r="Q551" s="130"/>
    </row>
    <row r="552" spans="1:17" x14ac:dyDescent="0.25">
      <c r="A552" s="164"/>
      <c r="B552" s="164"/>
      <c r="C552" s="165"/>
      <c r="D552" s="164"/>
      <c r="E552" s="139"/>
      <c r="F552" s="164"/>
      <c r="G552" s="139"/>
      <c r="H552" s="164"/>
      <c r="I552" s="164"/>
      <c r="J552" s="164"/>
      <c r="K552" s="139"/>
      <c r="L552" s="130"/>
      <c r="M552" s="130"/>
      <c r="N552" s="130"/>
      <c r="O552" s="130"/>
      <c r="P552" s="130"/>
      <c r="Q552" s="130"/>
    </row>
    <row r="553" spans="1:17" x14ac:dyDescent="0.25">
      <c r="A553" s="164"/>
      <c r="B553" s="164"/>
      <c r="C553" s="165"/>
      <c r="D553" s="164"/>
      <c r="E553" s="139"/>
      <c r="F553" s="164"/>
      <c r="G553" s="139"/>
      <c r="H553" s="164"/>
      <c r="I553" s="164"/>
      <c r="J553" s="164"/>
      <c r="K553" s="139"/>
      <c r="L553" s="130"/>
      <c r="M553" s="130"/>
      <c r="N553" s="130"/>
      <c r="O553" s="130"/>
      <c r="P553" s="130"/>
      <c r="Q553" s="130"/>
    </row>
    <row r="554" spans="1:17" x14ac:dyDescent="0.25">
      <c r="A554" s="164"/>
      <c r="B554" s="164"/>
      <c r="C554" s="165"/>
      <c r="D554" s="164"/>
      <c r="E554" s="139"/>
      <c r="F554" s="164"/>
      <c r="G554" s="139"/>
      <c r="H554" s="164"/>
      <c r="I554" s="164"/>
      <c r="J554" s="164"/>
      <c r="K554" s="139"/>
      <c r="L554" s="130"/>
      <c r="M554" s="130"/>
      <c r="N554" s="130"/>
      <c r="O554" s="130"/>
      <c r="P554" s="130"/>
      <c r="Q554" s="130"/>
    </row>
    <row r="555" spans="1:17" x14ac:dyDescent="0.25">
      <c r="A555" s="164"/>
      <c r="B555" s="164"/>
      <c r="C555" s="165"/>
      <c r="D555" s="164"/>
      <c r="E555" s="139"/>
      <c r="F555" s="164"/>
      <c r="G555" s="139"/>
      <c r="H555" s="164"/>
      <c r="I555" s="164"/>
      <c r="J555" s="164"/>
      <c r="K555" s="139"/>
      <c r="L555" s="130"/>
      <c r="M555" s="130"/>
      <c r="N555" s="130"/>
      <c r="O555" s="130"/>
      <c r="P555" s="130"/>
      <c r="Q555" s="130"/>
    </row>
    <row r="556" spans="1:17" x14ac:dyDescent="0.25">
      <c r="A556" s="164"/>
      <c r="B556" s="164"/>
      <c r="C556" s="165"/>
      <c r="D556" s="164"/>
      <c r="E556" s="139"/>
      <c r="F556" s="164"/>
      <c r="G556" s="139"/>
      <c r="H556" s="164"/>
      <c r="I556" s="164"/>
      <c r="J556" s="164"/>
      <c r="K556" s="139"/>
      <c r="L556" s="130"/>
      <c r="M556" s="130"/>
      <c r="N556" s="130"/>
      <c r="O556" s="130"/>
      <c r="P556" s="130"/>
      <c r="Q556" s="130"/>
    </row>
    <row r="557" spans="1:17" x14ac:dyDescent="0.25">
      <c r="A557" s="164"/>
      <c r="B557" s="164"/>
      <c r="C557" s="165"/>
      <c r="D557" s="164"/>
      <c r="E557" s="139"/>
      <c r="F557" s="164"/>
      <c r="G557" s="139"/>
      <c r="H557" s="164"/>
      <c r="I557" s="164"/>
      <c r="J557" s="164"/>
      <c r="K557" s="139"/>
      <c r="L557" s="130"/>
      <c r="M557" s="130"/>
      <c r="N557" s="130"/>
      <c r="O557" s="130"/>
      <c r="P557" s="130"/>
      <c r="Q557" s="130"/>
    </row>
    <row r="558" spans="1:17" x14ac:dyDescent="0.25">
      <c r="A558" s="164"/>
      <c r="B558" s="164"/>
      <c r="C558" s="165"/>
      <c r="D558" s="164"/>
      <c r="E558" s="139"/>
      <c r="F558" s="164"/>
      <c r="G558" s="139"/>
      <c r="H558" s="164"/>
      <c r="I558" s="164"/>
      <c r="J558" s="164"/>
      <c r="K558" s="139"/>
      <c r="L558" s="130"/>
      <c r="M558" s="130"/>
      <c r="N558" s="130"/>
      <c r="O558" s="130"/>
      <c r="P558" s="130"/>
      <c r="Q558" s="130"/>
    </row>
    <row r="559" spans="1:17" x14ac:dyDescent="0.25">
      <c r="A559" s="164"/>
      <c r="B559" s="164"/>
      <c r="C559" s="165"/>
      <c r="D559" s="164"/>
      <c r="E559" s="139"/>
      <c r="F559" s="164"/>
      <c r="G559" s="139"/>
      <c r="H559" s="164"/>
      <c r="I559" s="164"/>
      <c r="J559" s="164"/>
      <c r="K559" s="139"/>
      <c r="L559" s="130"/>
      <c r="M559" s="130"/>
      <c r="N559" s="130"/>
      <c r="O559" s="130"/>
      <c r="P559" s="130"/>
      <c r="Q559" s="130"/>
    </row>
    <row r="560" spans="1:17" x14ac:dyDescent="0.25">
      <c r="A560" s="164"/>
      <c r="B560" s="164"/>
      <c r="C560" s="165"/>
      <c r="D560" s="164"/>
      <c r="E560" s="139"/>
      <c r="F560" s="164"/>
      <c r="G560" s="139"/>
      <c r="H560" s="164"/>
      <c r="I560" s="164"/>
      <c r="J560" s="164"/>
      <c r="K560" s="139"/>
      <c r="L560" s="130"/>
      <c r="M560" s="130"/>
      <c r="N560" s="130"/>
      <c r="O560" s="130"/>
      <c r="P560" s="130"/>
      <c r="Q560" s="130"/>
    </row>
    <row r="561" spans="1:17" x14ac:dyDescent="0.25">
      <c r="A561" s="164"/>
      <c r="B561" s="164"/>
      <c r="C561" s="165"/>
      <c r="D561" s="164"/>
      <c r="E561" s="139"/>
      <c r="F561" s="164"/>
      <c r="G561" s="139"/>
      <c r="H561" s="164"/>
      <c r="I561" s="164"/>
      <c r="J561" s="164"/>
      <c r="K561" s="139"/>
      <c r="L561" s="130"/>
      <c r="M561" s="130"/>
      <c r="N561" s="130"/>
      <c r="O561" s="130"/>
      <c r="P561" s="130"/>
      <c r="Q561" s="130"/>
    </row>
    <row r="562" spans="1:17" x14ac:dyDescent="0.25">
      <c r="A562" s="164"/>
      <c r="B562" s="164"/>
      <c r="C562" s="165"/>
      <c r="D562" s="164"/>
      <c r="E562" s="139"/>
      <c r="F562" s="164"/>
      <c r="G562" s="139"/>
      <c r="H562" s="164"/>
      <c r="I562" s="164"/>
      <c r="J562" s="164"/>
      <c r="K562" s="139"/>
      <c r="L562" s="130"/>
      <c r="M562" s="130"/>
      <c r="N562" s="130"/>
      <c r="O562" s="130"/>
      <c r="P562" s="130"/>
      <c r="Q562" s="130"/>
    </row>
    <row r="563" spans="1:17" x14ac:dyDescent="0.25">
      <c r="A563" s="164"/>
      <c r="B563" s="164"/>
      <c r="C563" s="165"/>
      <c r="D563" s="164"/>
      <c r="E563" s="139"/>
      <c r="F563" s="164"/>
      <c r="G563" s="139"/>
      <c r="H563" s="164"/>
      <c r="I563" s="164"/>
      <c r="J563" s="164"/>
      <c r="K563" s="139"/>
      <c r="L563" s="130"/>
      <c r="M563" s="130"/>
      <c r="N563" s="130"/>
      <c r="O563" s="130"/>
      <c r="P563" s="130"/>
      <c r="Q563" s="130"/>
    </row>
    <row r="564" spans="1:17" x14ac:dyDescent="0.25">
      <c r="A564" s="164"/>
      <c r="B564" s="164"/>
      <c r="C564" s="165"/>
      <c r="D564" s="164"/>
      <c r="E564" s="139"/>
      <c r="F564" s="164"/>
      <c r="G564" s="139"/>
      <c r="H564" s="164"/>
      <c r="I564" s="164"/>
      <c r="J564" s="164"/>
      <c r="K564" s="139"/>
      <c r="L564" s="130"/>
      <c r="M564" s="130"/>
      <c r="N564" s="130"/>
      <c r="O564" s="130"/>
      <c r="P564" s="130"/>
      <c r="Q564" s="130"/>
    </row>
    <row r="565" spans="1:17" x14ac:dyDescent="0.25">
      <c r="A565" s="164"/>
      <c r="B565" s="164"/>
      <c r="C565" s="165"/>
      <c r="D565" s="164"/>
      <c r="E565" s="139"/>
      <c r="F565" s="164"/>
      <c r="G565" s="139"/>
      <c r="H565" s="164"/>
      <c r="I565" s="164"/>
      <c r="J565" s="164"/>
      <c r="K565" s="139"/>
      <c r="L565" s="130"/>
      <c r="M565" s="130"/>
      <c r="N565" s="130"/>
      <c r="O565" s="130"/>
      <c r="P565" s="130"/>
      <c r="Q565" s="130"/>
    </row>
    <row r="566" spans="1:17" x14ac:dyDescent="0.25">
      <c r="A566" s="164"/>
      <c r="B566" s="164"/>
      <c r="C566" s="165"/>
      <c r="D566" s="164"/>
      <c r="E566" s="139"/>
      <c r="F566" s="164"/>
      <c r="G566" s="139"/>
      <c r="H566" s="164"/>
      <c r="I566" s="164"/>
      <c r="J566" s="164"/>
      <c r="K566" s="139"/>
      <c r="L566" s="130"/>
      <c r="M566" s="130"/>
      <c r="N566" s="130"/>
      <c r="O566" s="130"/>
      <c r="P566" s="130"/>
      <c r="Q566" s="130"/>
    </row>
    <row r="567" spans="1:17" x14ac:dyDescent="0.25">
      <c r="A567" s="164"/>
      <c r="B567" s="164"/>
      <c r="C567" s="165"/>
      <c r="D567" s="164"/>
      <c r="E567" s="139"/>
      <c r="F567" s="164"/>
      <c r="G567" s="139"/>
      <c r="H567" s="164"/>
      <c r="I567" s="164"/>
      <c r="J567" s="164"/>
      <c r="K567" s="139"/>
      <c r="L567" s="130"/>
      <c r="M567" s="130"/>
      <c r="N567" s="130"/>
      <c r="O567" s="130"/>
      <c r="P567" s="130"/>
      <c r="Q567" s="130"/>
    </row>
    <row r="568" spans="1:17" x14ac:dyDescent="0.25">
      <c r="A568" s="164"/>
      <c r="B568" s="164"/>
      <c r="C568" s="165"/>
      <c r="D568" s="164"/>
      <c r="E568" s="139"/>
      <c r="F568" s="164"/>
      <c r="G568" s="139"/>
      <c r="H568" s="164"/>
      <c r="I568" s="164"/>
      <c r="J568" s="164"/>
      <c r="K568" s="139"/>
      <c r="L568" s="130"/>
      <c r="M568" s="130"/>
      <c r="N568" s="130"/>
      <c r="O568" s="130"/>
      <c r="P568" s="130"/>
      <c r="Q568" s="130"/>
    </row>
    <row r="569" spans="1:17" x14ac:dyDescent="0.25">
      <c r="A569" s="164"/>
      <c r="B569" s="164"/>
      <c r="C569" s="165"/>
      <c r="D569" s="164"/>
      <c r="E569" s="139"/>
      <c r="F569" s="164"/>
      <c r="G569" s="139"/>
      <c r="H569" s="164"/>
      <c r="I569" s="164"/>
      <c r="J569" s="164"/>
      <c r="K569" s="139"/>
      <c r="L569" s="130"/>
      <c r="M569" s="130"/>
      <c r="N569" s="130"/>
      <c r="O569" s="130"/>
      <c r="P569" s="130"/>
      <c r="Q569" s="130"/>
    </row>
    <row r="570" spans="1:17" x14ac:dyDescent="0.25">
      <c r="A570" s="164"/>
      <c r="B570" s="164"/>
      <c r="C570" s="165"/>
      <c r="D570" s="164"/>
      <c r="E570" s="139"/>
      <c r="F570" s="164"/>
      <c r="G570" s="139"/>
      <c r="H570" s="164"/>
      <c r="I570" s="164"/>
      <c r="J570" s="164"/>
      <c r="K570" s="139"/>
      <c r="L570" s="130"/>
      <c r="M570" s="130"/>
      <c r="N570" s="130"/>
      <c r="O570" s="130"/>
      <c r="P570" s="130"/>
      <c r="Q570" s="130"/>
    </row>
    <row r="571" spans="1:17" x14ac:dyDescent="0.25">
      <c r="A571" s="164"/>
      <c r="B571" s="164"/>
      <c r="C571" s="165"/>
      <c r="D571" s="164"/>
      <c r="E571" s="139"/>
      <c r="F571" s="164"/>
      <c r="G571" s="139"/>
      <c r="H571" s="164"/>
      <c r="I571" s="164"/>
      <c r="J571" s="164"/>
      <c r="K571" s="139"/>
      <c r="L571" s="130"/>
      <c r="M571" s="130"/>
      <c r="N571" s="130"/>
      <c r="O571" s="130"/>
      <c r="P571" s="130"/>
      <c r="Q571" s="130"/>
    </row>
    <row r="572" spans="1:17" x14ac:dyDescent="0.25">
      <c r="A572" s="164"/>
      <c r="B572" s="164"/>
      <c r="C572" s="165"/>
      <c r="D572" s="164"/>
      <c r="E572" s="139"/>
      <c r="F572" s="164"/>
      <c r="G572" s="139"/>
      <c r="H572" s="164"/>
      <c r="I572" s="164"/>
      <c r="J572" s="164"/>
      <c r="K572" s="139"/>
      <c r="L572" s="130"/>
      <c r="M572" s="130"/>
      <c r="N572" s="130"/>
      <c r="O572" s="130"/>
      <c r="P572" s="130"/>
      <c r="Q572" s="130"/>
    </row>
    <row r="573" spans="1:17" x14ac:dyDescent="0.25">
      <c r="A573" s="164"/>
      <c r="B573" s="164"/>
      <c r="C573" s="165"/>
      <c r="D573" s="164"/>
      <c r="E573" s="139"/>
      <c r="F573" s="164"/>
      <c r="G573" s="139"/>
      <c r="H573" s="164"/>
      <c r="I573" s="164"/>
      <c r="J573" s="164"/>
      <c r="K573" s="139"/>
      <c r="L573" s="130"/>
      <c r="M573" s="130"/>
      <c r="N573" s="130"/>
      <c r="O573" s="130"/>
      <c r="P573" s="130"/>
      <c r="Q573" s="130"/>
    </row>
    <row r="574" spans="1:17" x14ac:dyDescent="0.25">
      <c r="A574" s="164"/>
      <c r="B574" s="164"/>
      <c r="C574" s="165"/>
      <c r="D574" s="164"/>
      <c r="E574" s="139"/>
      <c r="F574" s="164"/>
      <c r="G574" s="139"/>
      <c r="H574" s="164"/>
      <c r="I574" s="164"/>
      <c r="J574" s="164"/>
      <c r="K574" s="139"/>
      <c r="L574" s="130"/>
      <c r="M574" s="130"/>
      <c r="N574" s="130"/>
      <c r="O574" s="130"/>
      <c r="P574" s="130"/>
      <c r="Q574" s="130"/>
    </row>
    <row r="575" spans="1:17" x14ac:dyDescent="0.25">
      <c r="A575" s="164"/>
      <c r="B575" s="164"/>
      <c r="C575" s="165"/>
      <c r="D575" s="164"/>
      <c r="E575" s="139"/>
      <c r="F575" s="164"/>
      <c r="G575" s="139"/>
      <c r="H575" s="164"/>
      <c r="I575" s="164"/>
      <c r="J575" s="164"/>
      <c r="K575" s="139"/>
      <c r="L575" s="130"/>
      <c r="M575" s="130"/>
      <c r="N575" s="130"/>
      <c r="O575" s="130"/>
      <c r="P575" s="130"/>
      <c r="Q575" s="130"/>
    </row>
    <row r="576" spans="1:17" x14ac:dyDescent="0.25">
      <c r="A576" s="164"/>
      <c r="B576" s="164"/>
      <c r="C576" s="165"/>
      <c r="D576" s="164"/>
      <c r="E576" s="139"/>
      <c r="F576" s="164"/>
      <c r="G576" s="139"/>
      <c r="H576" s="164"/>
      <c r="I576" s="164"/>
      <c r="J576" s="164"/>
      <c r="K576" s="139"/>
      <c r="L576" s="130"/>
      <c r="M576" s="130"/>
      <c r="N576" s="130"/>
      <c r="O576" s="130"/>
      <c r="P576" s="130"/>
      <c r="Q576" s="130"/>
    </row>
    <row r="577" spans="1:17" x14ac:dyDescent="0.25">
      <c r="A577" s="164"/>
      <c r="B577" s="164"/>
      <c r="C577" s="165"/>
      <c r="D577" s="164"/>
      <c r="E577" s="139"/>
      <c r="F577" s="164"/>
      <c r="G577" s="139"/>
      <c r="H577" s="164"/>
      <c r="I577" s="164"/>
      <c r="J577" s="164"/>
      <c r="K577" s="139"/>
      <c r="L577" s="130"/>
      <c r="M577" s="130"/>
      <c r="N577" s="130"/>
      <c r="O577" s="130"/>
      <c r="P577" s="130"/>
      <c r="Q577" s="130"/>
    </row>
    <row r="578" spans="1:17" x14ac:dyDescent="0.25">
      <c r="A578" s="164"/>
      <c r="B578" s="164"/>
      <c r="C578" s="165"/>
      <c r="D578" s="164"/>
      <c r="E578" s="139"/>
      <c r="F578" s="164"/>
      <c r="G578" s="139"/>
      <c r="H578" s="164"/>
      <c r="I578" s="164"/>
      <c r="J578" s="164"/>
      <c r="K578" s="139"/>
      <c r="L578" s="130"/>
      <c r="M578" s="130"/>
      <c r="N578" s="130"/>
      <c r="O578" s="130"/>
      <c r="P578" s="130"/>
      <c r="Q578" s="130"/>
    </row>
    <row r="579" spans="1:17" x14ac:dyDescent="0.25">
      <c r="A579" s="164"/>
      <c r="B579" s="164"/>
      <c r="C579" s="165"/>
      <c r="D579" s="164"/>
      <c r="E579" s="139"/>
      <c r="F579" s="164"/>
      <c r="G579" s="139"/>
      <c r="H579" s="164"/>
      <c r="I579" s="164"/>
      <c r="J579" s="164"/>
      <c r="K579" s="139"/>
      <c r="L579" s="130"/>
      <c r="M579" s="130"/>
      <c r="N579" s="130"/>
      <c r="O579" s="130"/>
      <c r="P579" s="130"/>
      <c r="Q579" s="130"/>
    </row>
    <row r="580" spans="1:17" x14ac:dyDescent="0.25">
      <c r="A580" s="164"/>
      <c r="B580" s="164"/>
      <c r="C580" s="165"/>
      <c r="D580" s="164"/>
      <c r="E580" s="139"/>
      <c r="F580" s="164"/>
      <c r="G580" s="139"/>
      <c r="H580" s="164"/>
      <c r="I580" s="164"/>
      <c r="J580" s="164"/>
      <c r="K580" s="139"/>
      <c r="L580" s="130"/>
      <c r="M580" s="130"/>
      <c r="N580" s="130"/>
      <c r="O580" s="130"/>
      <c r="P580" s="130"/>
      <c r="Q580" s="130"/>
    </row>
    <row r="581" spans="1:17" x14ac:dyDescent="0.25">
      <c r="A581" s="164"/>
      <c r="B581" s="164"/>
      <c r="C581" s="165"/>
      <c r="D581" s="164"/>
      <c r="E581" s="139"/>
      <c r="F581" s="164"/>
      <c r="G581" s="139"/>
      <c r="H581" s="164"/>
      <c r="I581" s="164"/>
      <c r="J581" s="164"/>
      <c r="K581" s="139"/>
      <c r="L581" s="130"/>
      <c r="M581" s="130"/>
      <c r="N581" s="130"/>
      <c r="O581" s="130"/>
      <c r="P581" s="130"/>
      <c r="Q581" s="130"/>
    </row>
    <row r="582" spans="1:17" x14ac:dyDescent="0.25">
      <c r="A582" s="164"/>
      <c r="B582" s="164"/>
      <c r="C582" s="165"/>
      <c r="D582" s="164"/>
      <c r="E582" s="139"/>
      <c r="F582" s="164"/>
      <c r="G582" s="139"/>
      <c r="H582" s="164"/>
      <c r="I582" s="164"/>
      <c r="J582" s="164"/>
      <c r="K582" s="139"/>
      <c r="L582" s="130"/>
      <c r="M582" s="130"/>
      <c r="N582" s="130"/>
      <c r="O582" s="130"/>
      <c r="P582" s="130"/>
      <c r="Q582" s="130"/>
    </row>
    <row r="583" spans="1:17" x14ac:dyDescent="0.25">
      <c r="A583" s="164"/>
      <c r="B583" s="164"/>
      <c r="C583" s="165"/>
      <c r="D583" s="164"/>
      <c r="E583" s="139"/>
      <c r="F583" s="164"/>
      <c r="G583" s="139"/>
      <c r="H583" s="164"/>
      <c r="I583" s="164"/>
      <c r="J583" s="164"/>
      <c r="K583" s="139"/>
      <c r="L583" s="130"/>
      <c r="M583" s="130"/>
      <c r="N583" s="130"/>
      <c r="O583" s="130"/>
      <c r="P583" s="130"/>
      <c r="Q583" s="130"/>
    </row>
    <row r="584" spans="1:17" x14ac:dyDescent="0.25">
      <c r="A584" s="164"/>
      <c r="B584" s="164"/>
      <c r="C584" s="165"/>
      <c r="D584" s="164"/>
      <c r="E584" s="139"/>
      <c r="F584" s="164"/>
      <c r="G584" s="139"/>
      <c r="H584" s="164"/>
      <c r="I584" s="164"/>
      <c r="J584" s="164"/>
      <c r="K584" s="139"/>
      <c r="L584" s="130"/>
      <c r="M584" s="130"/>
      <c r="N584" s="130"/>
      <c r="O584" s="130"/>
      <c r="P584" s="130"/>
      <c r="Q584" s="130"/>
    </row>
    <row r="585" spans="1:17" x14ac:dyDescent="0.25">
      <c r="A585" s="164"/>
      <c r="B585" s="164"/>
      <c r="C585" s="165"/>
      <c r="D585" s="164"/>
      <c r="E585" s="139"/>
      <c r="F585" s="164"/>
      <c r="G585" s="139"/>
      <c r="H585" s="164"/>
      <c r="I585" s="164"/>
      <c r="J585" s="164"/>
      <c r="K585" s="139"/>
      <c r="L585" s="130"/>
      <c r="M585" s="130"/>
      <c r="N585" s="130"/>
      <c r="O585" s="130"/>
      <c r="P585" s="130"/>
      <c r="Q585" s="130"/>
    </row>
    <row r="586" spans="1:17" x14ac:dyDescent="0.25">
      <c r="A586" s="164"/>
      <c r="B586" s="164"/>
      <c r="C586" s="165"/>
      <c r="D586" s="164"/>
      <c r="E586" s="139"/>
      <c r="F586" s="164"/>
      <c r="G586" s="139"/>
      <c r="H586" s="164"/>
      <c r="I586" s="164"/>
      <c r="J586" s="164"/>
      <c r="K586" s="139"/>
      <c r="L586" s="130"/>
      <c r="M586" s="130"/>
      <c r="N586" s="130"/>
      <c r="O586" s="130"/>
      <c r="P586" s="130"/>
      <c r="Q586" s="130"/>
    </row>
    <row r="587" spans="1:17" x14ac:dyDescent="0.25">
      <c r="A587" s="164"/>
      <c r="B587" s="164"/>
      <c r="C587" s="165"/>
      <c r="D587" s="164"/>
      <c r="E587" s="139"/>
      <c r="F587" s="164"/>
      <c r="G587" s="139"/>
      <c r="H587" s="164"/>
      <c r="I587" s="164"/>
      <c r="J587" s="164"/>
      <c r="K587" s="139"/>
      <c r="L587" s="130"/>
      <c r="M587" s="130"/>
      <c r="N587" s="130"/>
      <c r="O587" s="130"/>
      <c r="P587" s="130"/>
      <c r="Q587" s="130"/>
    </row>
    <row r="588" spans="1:17" x14ac:dyDescent="0.25">
      <c r="A588" s="164"/>
      <c r="B588" s="164"/>
      <c r="C588" s="165"/>
      <c r="D588" s="164"/>
      <c r="E588" s="139"/>
      <c r="F588" s="164"/>
      <c r="G588" s="139"/>
      <c r="H588" s="164"/>
      <c r="I588" s="164"/>
      <c r="J588" s="164"/>
      <c r="K588" s="139"/>
      <c r="L588" s="130"/>
      <c r="M588" s="130"/>
      <c r="N588" s="130"/>
      <c r="O588" s="130"/>
      <c r="P588" s="130"/>
      <c r="Q588" s="130"/>
    </row>
    <row r="589" spans="1:17" x14ac:dyDescent="0.25">
      <c r="A589" s="164"/>
      <c r="B589" s="164"/>
      <c r="C589" s="165"/>
      <c r="D589" s="164"/>
      <c r="E589" s="139"/>
      <c r="F589" s="164"/>
      <c r="G589" s="139"/>
      <c r="H589" s="164"/>
      <c r="I589" s="164"/>
      <c r="J589" s="164"/>
      <c r="K589" s="139"/>
      <c r="L589" s="130"/>
      <c r="M589" s="130"/>
      <c r="N589" s="130"/>
      <c r="O589" s="130"/>
      <c r="P589" s="130"/>
      <c r="Q589" s="130"/>
    </row>
    <row r="590" spans="1:17" x14ac:dyDescent="0.25">
      <c r="A590" s="164"/>
      <c r="B590" s="164"/>
      <c r="C590" s="165"/>
      <c r="D590" s="164"/>
      <c r="E590" s="139"/>
      <c r="F590" s="164"/>
      <c r="G590" s="139"/>
      <c r="H590" s="164"/>
      <c r="I590" s="164"/>
      <c r="J590" s="164"/>
      <c r="K590" s="139"/>
      <c r="L590" s="130"/>
      <c r="M590" s="130"/>
      <c r="N590" s="130"/>
      <c r="O590" s="130"/>
      <c r="P590" s="130"/>
      <c r="Q590" s="130"/>
    </row>
    <row r="591" spans="1:17" x14ac:dyDescent="0.25">
      <c r="A591" s="164"/>
      <c r="B591" s="164"/>
      <c r="C591" s="165"/>
      <c r="D591" s="164"/>
      <c r="E591" s="139"/>
      <c r="F591" s="164"/>
      <c r="G591" s="139"/>
      <c r="H591" s="164"/>
      <c r="I591" s="164"/>
      <c r="J591" s="164"/>
      <c r="K591" s="139"/>
      <c r="L591" s="130"/>
      <c r="M591" s="130"/>
      <c r="N591" s="130"/>
      <c r="O591" s="130"/>
      <c r="P591" s="130"/>
      <c r="Q591" s="130"/>
    </row>
    <row r="592" spans="1:17" x14ac:dyDescent="0.25">
      <c r="A592" s="164"/>
      <c r="B592" s="164"/>
      <c r="C592" s="165"/>
      <c r="D592" s="164"/>
      <c r="E592" s="139"/>
      <c r="F592" s="164"/>
      <c r="G592" s="139"/>
      <c r="H592" s="164"/>
      <c r="I592" s="164"/>
      <c r="J592" s="164"/>
      <c r="K592" s="139"/>
      <c r="L592" s="130"/>
      <c r="M592" s="130"/>
      <c r="N592" s="130"/>
      <c r="O592" s="130"/>
      <c r="P592" s="130"/>
      <c r="Q592" s="130"/>
    </row>
    <row r="593" spans="1:17" x14ac:dyDescent="0.25">
      <c r="A593" s="164"/>
      <c r="B593" s="164"/>
      <c r="C593" s="165"/>
      <c r="D593" s="164"/>
      <c r="E593" s="139"/>
      <c r="F593" s="164"/>
      <c r="G593" s="139"/>
      <c r="H593" s="164"/>
      <c r="I593" s="164"/>
      <c r="J593" s="164"/>
      <c r="K593" s="139"/>
      <c r="L593" s="130"/>
      <c r="M593" s="130"/>
      <c r="N593" s="130"/>
      <c r="O593" s="130"/>
      <c r="P593" s="130"/>
      <c r="Q593" s="130"/>
    </row>
    <row r="594" spans="1:17" x14ac:dyDescent="0.25">
      <c r="A594" s="164"/>
      <c r="B594" s="164"/>
      <c r="C594" s="165"/>
      <c r="D594" s="164"/>
      <c r="E594" s="139"/>
      <c r="F594" s="164"/>
      <c r="G594" s="139"/>
      <c r="H594" s="164"/>
      <c r="I594" s="164"/>
      <c r="J594" s="164"/>
      <c r="K594" s="139"/>
      <c r="L594" s="130"/>
      <c r="M594" s="130"/>
      <c r="N594" s="130"/>
      <c r="O594" s="130"/>
      <c r="P594" s="130"/>
      <c r="Q594" s="130"/>
    </row>
    <row r="595" spans="1:17" x14ac:dyDescent="0.25">
      <c r="A595" s="164"/>
      <c r="B595" s="164"/>
      <c r="C595" s="165"/>
      <c r="D595" s="164"/>
      <c r="E595" s="139"/>
      <c r="F595" s="164"/>
      <c r="G595" s="139"/>
      <c r="H595" s="164"/>
      <c r="I595" s="164"/>
      <c r="J595" s="164"/>
      <c r="K595" s="139"/>
      <c r="L595" s="130"/>
      <c r="M595" s="130"/>
      <c r="N595" s="130"/>
      <c r="O595" s="130"/>
      <c r="P595" s="130"/>
      <c r="Q595" s="130"/>
    </row>
    <row r="596" spans="1:17" x14ac:dyDescent="0.25">
      <c r="A596" s="164"/>
      <c r="B596" s="164"/>
      <c r="C596" s="165"/>
      <c r="D596" s="164"/>
      <c r="E596" s="139"/>
      <c r="F596" s="164"/>
      <c r="G596" s="139"/>
      <c r="H596" s="164"/>
      <c r="I596" s="164"/>
      <c r="J596" s="164"/>
      <c r="K596" s="139"/>
      <c r="L596" s="130"/>
      <c r="M596" s="130"/>
      <c r="N596" s="130"/>
      <c r="O596" s="130"/>
      <c r="P596" s="130"/>
      <c r="Q596" s="130"/>
    </row>
    <row r="597" spans="1:17" x14ac:dyDescent="0.25">
      <c r="A597" s="164"/>
      <c r="B597" s="164"/>
      <c r="C597" s="165"/>
      <c r="D597" s="164"/>
      <c r="E597" s="139"/>
      <c r="F597" s="164"/>
      <c r="G597" s="139"/>
      <c r="H597" s="164"/>
      <c r="I597" s="164"/>
      <c r="J597" s="164"/>
      <c r="K597" s="139"/>
      <c r="L597" s="130"/>
      <c r="M597" s="130"/>
      <c r="N597" s="130"/>
      <c r="O597" s="130"/>
      <c r="P597" s="130"/>
      <c r="Q597" s="130"/>
    </row>
    <row r="598" spans="1:17" x14ac:dyDescent="0.25">
      <c r="A598" s="164"/>
      <c r="B598" s="164"/>
      <c r="C598" s="165"/>
      <c r="D598" s="164"/>
      <c r="E598" s="139"/>
      <c r="F598" s="164"/>
      <c r="G598" s="139"/>
      <c r="H598" s="164"/>
      <c r="I598" s="164"/>
      <c r="J598" s="164"/>
      <c r="K598" s="139"/>
      <c r="L598" s="130"/>
      <c r="M598" s="130"/>
      <c r="N598" s="130"/>
      <c r="O598" s="130"/>
      <c r="P598" s="130"/>
      <c r="Q598" s="130"/>
    </row>
    <row r="599" spans="1:17" x14ac:dyDescent="0.25">
      <c r="A599" s="164"/>
      <c r="B599" s="164"/>
      <c r="C599" s="165"/>
      <c r="D599" s="164"/>
      <c r="E599" s="139"/>
      <c r="F599" s="164"/>
      <c r="G599" s="139"/>
      <c r="H599" s="164"/>
      <c r="I599" s="164"/>
      <c r="J599" s="164"/>
      <c r="K599" s="139"/>
      <c r="L599" s="130"/>
      <c r="M599" s="130"/>
      <c r="N599" s="130"/>
      <c r="O599" s="130"/>
      <c r="P599" s="130"/>
      <c r="Q599" s="130"/>
    </row>
    <row r="600" spans="1:17" x14ac:dyDescent="0.25">
      <c r="A600" s="164"/>
      <c r="B600" s="164"/>
      <c r="C600" s="165"/>
      <c r="D600" s="164"/>
      <c r="E600" s="139"/>
      <c r="F600" s="164"/>
      <c r="G600" s="139"/>
      <c r="H600" s="164"/>
      <c r="I600" s="164"/>
      <c r="J600" s="164"/>
      <c r="K600" s="139"/>
      <c r="L600" s="130"/>
      <c r="M600" s="130"/>
      <c r="N600" s="130"/>
      <c r="O600" s="130"/>
      <c r="P600" s="130"/>
      <c r="Q600" s="130"/>
    </row>
    <row r="601" spans="1:17" x14ac:dyDescent="0.25">
      <c r="A601" s="164"/>
      <c r="B601" s="164"/>
      <c r="C601" s="165"/>
      <c r="D601" s="164"/>
      <c r="E601" s="139"/>
      <c r="F601" s="164"/>
      <c r="G601" s="139"/>
      <c r="H601" s="164"/>
      <c r="I601" s="164"/>
      <c r="J601" s="164"/>
      <c r="K601" s="139"/>
      <c r="L601" s="130"/>
      <c r="M601" s="130"/>
      <c r="N601" s="130"/>
      <c r="O601" s="130"/>
      <c r="P601" s="130"/>
      <c r="Q601" s="130"/>
    </row>
    <row r="602" spans="1:17" x14ac:dyDescent="0.25">
      <c r="A602" s="164"/>
      <c r="B602" s="164"/>
      <c r="C602" s="165"/>
      <c r="D602" s="164"/>
      <c r="E602" s="139"/>
      <c r="F602" s="164"/>
      <c r="G602" s="139"/>
      <c r="H602" s="164"/>
      <c r="I602" s="164"/>
      <c r="J602" s="164"/>
      <c r="K602" s="139"/>
      <c r="L602" s="130"/>
      <c r="M602" s="130"/>
      <c r="N602" s="130"/>
      <c r="O602" s="130"/>
      <c r="P602" s="130"/>
      <c r="Q602" s="130"/>
    </row>
    <row r="603" spans="1:17" x14ac:dyDescent="0.25">
      <c r="A603" s="164"/>
      <c r="B603" s="164"/>
      <c r="C603" s="165"/>
      <c r="D603" s="164"/>
      <c r="E603" s="139"/>
      <c r="F603" s="164"/>
      <c r="G603" s="139"/>
      <c r="H603" s="164"/>
      <c r="I603" s="164"/>
      <c r="J603" s="164"/>
      <c r="K603" s="139"/>
      <c r="L603" s="130"/>
      <c r="M603" s="130"/>
      <c r="N603" s="130"/>
      <c r="O603" s="130"/>
      <c r="P603" s="130"/>
      <c r="Q603" s="130"/>
    </row>
    <row r="604" spans="1:17" x14ac:dyDescent="0.25">
      <c r="A604" s="164"/>
      <c r="B604" s="164"/>
      <c r="C604" s="165"/>
      <c r="D604" s="164"/>
      <c r="E604" s="139"/>
      <c r="F604" s="164"/>
      <c r="G604" s="139"/>
      <c r="H604" s="164"/>
      <c r="I604" s="164"/>
      <c r="J604" s="164"/>
      <c r="K604" s="139"/>
      <c r="L604" s="130"/>
      <c r="M604" s="130"/>
      <c r="N604" s="130"/>
      <c r="O604" s="130"/>
      <c r="P604" s="130"/>
      <c r="Q604" s="130"/>
    </row>
    <row r="605" spans="1:17" x14ac:dyDescent="0.25">
      <c r="A605" s="164"/>
      <c r="B605" s="164"/>
      <c r="C605" s="165"/>
      <c r="D605" s="164"/>
      <c r="E605" s="139"/>
      <c r="F605" s="164"/>
      <c r="G605" s="139"/>
      <c r="H605" s="164"/>
      <c r="I605" s="164"/>
      <c r="J605" s="164"/>
      <c r="K605" s="139"/>
      <c r="L605" s="130"/>
      <c r="M605" s="130"/>
      <c r="N605" s="130"/>
      <c r="O605" s="130"/>
      <c r="P605" s="130"/>
      <c r="Q605" s="130"/>
    </row>
    <row r="606" spans="1:17" x14ac:dyDescent="0.25">
      <c r="A606" s="164"/>
      <c r="B606" s="164"/>
      <c r="C606" s="165"/>
      <c r="D606" s="164"/>
      <c r="E606" s="139"/>
      <c r="F606" s="164"/>
      <c r="G606" s="139"/>
      <c r="H606" s="164"/>
      <c r="I606" s="164"/>
      <c r="J606" s="164"/>
      <c r="K606" s="139"/>
      <c r="L606" s="130"/>
      <c r="M606" s="130"/>
      <c r="N606" s="130"/>
      <c r="O606" s="130"/>
      <c r="P606" s="130"/>
      <c r="Q606" s="130"/>
    </row>
    <row r="607" spans="1:17" x14ac:dyDescent="0.25">
      <c r="A607" s="164"/>
      <c r="B607" s="164"/>
      <c r="C607" s="165"/>
      <c r="D607" s="164"/>
      <c r="E607" s="139"/>
      <c r="F607" s="164"/>
      <c r="G607" s="139"/>
      <c r="H607" s="164"/>
      <c r="I607" s="164"/>
      <c r="J607" s="164"/>
      <c r="K607" s="139"/>
      <c r="L607" s="130"/>
      <c r="M607" s="130"/>
      <c r="N607" s="130"/>
      <c r="O607" s="130"/>
      <c r="P607" s="130"/>
      <c r="Q607" s="130"/>
    </row>
    <row r="608" spans="1:17" x14ac:dyDescent="0.25">
      <c r="A608" s="164"/>
      <c r="B608" s="164"/>
      <c r="C608" s="165"/>
      <c r="D608" s="164"/>
      <c r="E608" s="139"/>
      <c r="F608" s="164"/>
      <c r="G608" s="139"/>
      <c r="H608" s="164"/>
      <c r="I608" s="164"/>
      <c r="J608" s="164"/>
      <c r="K608" s="139"/>
      <c r="L608" s="130"/>
      <c r="M608" s="130"/>
      <c r="N608" s="130"/>
      <c r="O608" s="130"/>
      <c r="P608" s="130"/>
      <c r="Q608" s="130"/>
    </row>
    <row r="609" spans="1:17" x14ac:dyDescent="0.25">
      <c r="A609" s="164"/>
      <c r="B609" s="164"/>
      <c r="C609" s="165"/>
      <c r="D609" s="164"/>
      <c r="E609" s="139"/>
      <c r="F609" s="164"/>
      <c r="G609" s="139"/>
      <c r="H609" s="164"/>
      <c r="I609" s="164"/>
      <c r="J609" s="164"/>
      <c r="K609" s="139"/>
      <c r="L609" s="130"/>
      <c r="M609" s="130"/>
      <c r="N609" s="130"/>
      <c r="O609" s="130"/>
      <c r="P609" s="130"/>
      <c r="Q609" s="130"/>
    </row>
    <row r="610" spans="1:17" x14ac:dyDescent="0.25">
      <c r="A610" s="164"/>
      <c r="B610" s="164"/>
      <c r="C610" s="165"/>
      <c r="D610" s="164"/>
      <c r="E610" s="139"/>
      <c r="F610" s="164"/>
      <c r="G610" s="139"/>
      <c r="H610" s="164"/>
      <c r="I610" s="164"/>
      <c r="J610" s="164"/>
      <c r="K610" s="139"/>
      <c r="L610" s="130"/>
      <c r="M610" s="130"/>
      <c r="N610" s="130"/>
      <c r="O610" s="130"/>
      <c r="P610" s="130"/>
      <c r="Q610" s="130"/>
    </row>
    <row r="611" spans="1:17" x14ac:dyDescent="0.25">
      <c r="A611" s="164"/>
      <c r="B611" s="164"/>
      <c r="C611" s="165"/>
      <c r="D611" s="164"/>
      <c r="E611" s="139"/>
      <c r="F611" s="164"/>
      <c r="G611" s="139"/>
      <c r="H611" s="164"/>
      <c r="I611" s="164"/>
      <c r="J611" s="164"/>
      <c r="K611" s="139"/>
      <c r="L611" s="130"/>
      <c r="M611" s="130"/>
      <c r="N611" s="130"/>
      <c r="O611" s="130"/>
      <c r="P611" s="130"/>
      <c r="Q611" s="130"/>
    </row>
    <row r="612" spans="1:17" x14ac:dyDescent="0.25">
      <c r="A612" s="164"/>
      <c r="B612" s="164"/>
      <c r="C612" s="165"/>
      <c r="D612" s="164"/>
      <c r="E612" s="139"/>
      <c r="F612" s="164"/>
      <c r="G612" s="139"/>
      <c r="H612" s="164"/>
      <c r="I612" s="164"/>
      <c r="J612" s="164"/>
      <c r="K612" s="139"/>
      <c r="L612" s="130"/>
      <c r="M612" s="130"/>
      <c r="N612" s="130"/>
      <c r="O612" s="130"/>
      <c r="P612" s="130"/>
      <c r="Q612" s="130"/>
    </row>
    <row r="613" spans="1:17" x14ac:dyDescent="0.25">
      <c r="A613" s="164"/>
      <c r="B613" s="164"/>
      <c r="C613" s="165"/>
      <c r="D613" s="164"/>
      <c r="E613" s="139"/>
      <c r="F613" s="164"/>
      <c r="G613" s="139"/>
      <c r="H613" s="164"/>
      <c r="I613" s="164"/>
      <c r="J613" s="164"/>
      <c r="K613" s="139"/>
      <c r="L613" s="130"/>
      <c r="M613" s="130"/>
      <c r="N613" s="130"/>
      <c r="O613" s="130"/>
      <c r="P613" s="130"/>
      <c r="Q613" s="130"/>
    </row>
    <row r="614" spans="1:17" x14ac:dyDescent="0.25">
      <c r="A614" s="164"/>
      <c r="B614" s="164"/>
      <c r="C614" s="165"/>
      <c r="D614" s="164"/>
      <c r="E614" s="139"/>
      <c r="F614" s="164"/>
      <c r="G614" s="139"/>
      <c r="H614" s="164"/>
      <c r="I614" s="164"/>
      <c r="J614" s="164"/>
      <c r="K614" s="139"/>
      <c r="L614" s="130"/>
      <c r="M614" s="130"/>
      <c r="N614" s="130"/>
      <c r="O614" s="130"/>
      <c r="P614" s="130"/>
      <c r="Q614" s="130"/>
    </row>
    <row r="615" spans="1:17" x14ac:dyDescent="0.25">
      <c r="A615" s="164"/>
      <c r="B615" s="164"/>
      <c r="C615" s="165"/>
      <c r="D615" s="164"/>
      <c r="E615" s="139"/>
      <c r="F615" s="164"/>
      <c r="G615" s="139"/>
      <c r="H615" s="164"/>
      <c r="I615" s="164"/>
      <c r="J615" s="164"/>
      <c r="K615" s="139"/>
      <c r="L615" s="130"/>
      <c r="M615" s="130"/>
      <c r="N615" s="130"/>
      <c r="O615" s="130"/>
      <c r="P615" s="130"/>
      <c r="Q615" s="130"/>
    </row>
    <row r="616" spans="1:17" x14ac:dyDescent="0.25">
      <c r="A616" s="164"/>
      <c r="B616" s="164"/>
      <c r="C616" s="165"/>
      <c r="D616" s="164"/>
      <c r="E616" s="139"/>
      <c r="F616" s="164"/>
      <c r="G616" s="139"/>
      <c r="H616" s="164"/>
      <c r="I616" s="164"/>
      <c r="J616" s="164"/>
      <c r="K616" s="139"/>
      <c r="L616" s="130"/>
      <c r="M616" s="130"/>
      <c r="N616" s="130"/>
      <c r="O616" s="130"/>
      <c r="P616" s="130"/>
      <c r="Q616" s="130"/>
    </row>
    <row r="617" spans="1:17" x14ac:dyDescent="0.25">
      <c r="A617" s="164"/>
      <c r="B617" s="164"/>
      <c r="C617" s="165"/>
      <c r="D617" s="164"/>
      <c r="E617" s="139"/>
      <c r="F617" s="164"/>
      <c r="G617" s="139"/>
      <c r="H617" s="164"/>
      <c r="I617" s="164"/>
      <c r="J617" s="164"/>
      <c r="K617" s="139"/>
      <c r="L617" s="130"/>
      <c r="M617" s="130"/>
      <c r="N617" s="130"/>
      <c r="O617" s="130"/>
      <c r="P617" s="130"/>
      <c r="Q617" s="130"/>
    </row>
    <row r="618" spans="1:17" x14ac:dyDescent="0.25">
      <c r="A618" s="164"/>
      <c r="B618" s="164"/>
      <c r="C618" s="165"/>
      <c r="D618" s="164"/>
      <c r="E618" s="139"/>
      <c r="F618" s="164"/>
      <c r="G618" s="139"/>
      <c r="H618" s="164"/>
      <c r="I618" s="164"/>
      <c r="J618" s="164"/>
      <c r="K618" s="139"/>
      <c r="L618" s="130"/>
      <c r="M618" s="130"/>
      <c r="N618" s="130"/>
      <c r="O618" s="130"/>
      <c r="P618" s="130"/>
      <c r="Q618" s="130"/>
    </row>
    <row r="619" spans="1:17" x14ac:dyDescent="0.25">
      <c r="A619" s="164"/>
      <c r="B619" s="164"/>
      <c r="C619" s="165"/>
      <c r="D619" s="164"/>
      <c r="E619" s="139"/>
      <c r="F619" s="164"/>
      <c r="G619" s="139"/>
      <c r="H619" s="164"/>
      <c r="I619" s="164"/>
      <c r="J619" s="164"/>
      <c r="K619" s="139"/>
      <c r="L619" s="130"/>
      <c r="M619" s="130"/>
      <c r="N619" s="130"/>
      <c r="O619" s="130"/>
      <c r="P619" s="130"/>
      <c r="Q619" s="130"/>
    </row>
    <row r="620" spans="1:17" x14ac:dyDescent="0.25">
      <c r="A620" s="164"/>
      <c r="B620" s="164"/>
      <c r="C620" s="165"/>
      <c r="D620" s="164"/>
      <c r="E620" s="139"/>
      <c r="F620" s="164"/>
      <c r="G620" s="139"/>
      <c r="H620" s="164"/>
      <c r="I620" s="164"/>
      <c r="J620" s="164"/>
      <c r="K620" s="139"/>
      <c r="L620" s="130"/>
      <c r="M620" s="130"/>
      <c r="N620" s="130"/>
      <c r="O620" s="130"/>
      <c r="P620" s="130"/>
      <c r="Q620" s="130"/>
    </row>
    <row r="621" spans="1:17" x14ac:dyDescent="0.25">
      <c r="A621" s="164"/>
      <c r="B621" s="164"/>
      <c r="C621" s="165"/>
      <c r="D621" s="164"/>
      <c r="E621" s="139"/>
      <c r="F621" s="164"/>
      <c r="G621" s="139"/>
      <c r="H621" s="164"/>
      <c r="I621" s="164"/>
      <c r="J621" s="164"/>
      <c r="K621" s="139"/>
      <c r="L621" s="130"/>
      <c r="M621" s="130"/>
      <c r="N621" s="130"/>
      <c r="O621" s="130"/>
      <c r="P621" s="130"/>
      <c r="Q621" s="130"/>
    </row>
    <row r="622" spans="1:17" x14ac:dyDescent="0.25">
      <c r="A622" s="164"/>
      <c r="B622" s="164"/>
      <c r="C622" s="165"/>
      <c r="D622" s="164"/>
      <c r="E622" s="139"/>
      <c r="F622" s="164"/>
      <c r="G622" s="139"/>
      <c r="H622" s="164"/>
      <c r="I622" s="164"/>
      <c r="J622" s="164"/>
      <c r="K622" s="139"/>
      <c r="L622" s="130"/>
      <c r="M622" s="130"/>
      <c r="N622" s="130"/>
      <c r="O622" s="130"/>
      <c r="P622" s="130"/>
      <c r="Q622" s="130"/>
    </row>
    <row r="623" spans="1:17" x14ac:dyDescent="0.25">
      <c r="A623" s="164"/>
      <c r="B623" s="164"/>
      <c r="C623" s="165"/>
      <c r="D623" s="164"/>
      <c r="E623" s="139"/>
      <c r="F623" s="164"/>
      <c r="G623" s="139"/>
      <c r="H623" s="164"/>
      <c r="I623" s="164"/>
      <c r="J623" s="164"/>
      <c r="K623" s="139"/>
      <c r="L623" s="130"/>
      <c r="M623" s="130"/>
      <c r="N623" s="130"/>
      <c r="O623" s="130"/>
      <c r="P623" s="130"/>
      <c r="Q623" s="130"/>
    </row>
    <row r="624" spans="1:17" x14ac:dyDescent="0.25">
      <c r="A624" s="164"/>
      <c r="B624" s="164"/>
      <c r="C624" s="165"/>
      <c r="D624" s="164"/>
      <c r="E624" s="139"/>
      <c r="F624" s="164"/>
      <c r="G624" s="139"/>
      <c r="H624" s="164"/>
      <c r="I624" s="164"/>
      <c r="J624" s="164"/>
      <c r="K624" s="139"/>
      <c r="L624" s="130"/>
      <c r="M624" s="130"/>
      <c r="N624" s="130"/>
      <c r="O624" s="130"/>
      <c r="P624" s="130"/>
      <c r="Q624" s="130"/>
    </row>
    <row r="625" spans="1:17" x14ac:dyDescent="0.25">
      <c r="A625" s="164"/>
      <c r="B625" s="164"/>
      <c r="C625" s="165"/>
      <c r="D625" s="164"/>
      <c r="E625" s="139"/>
      <c r="F625" s="164"/>
      <c r="G625" s="139"/>
      <c r="H625" s="164"/>
      <c r="I625" s="164"/>
      <c r="J625" s="164"/>
      <c r="K625" s="139"/>
      <c r="L625" s="130"/>
      <c r="M625" s="130"/>
      <c r="N625" s="130"/>
      <c r="O625" s="130"/>
      <c r="P625" s="130"/>
      <c r="Q625" s="130"/>
    </row>
    <row r="626" spans="1:17" x14ac:dyDescent="0.25">
      <c r="A626" s="164"/>
      <c r="B626" s="164"/>
      <c r="C626" s="165"/>
      <c r="D626" s="164"/>
      <c r="E626" s="139"/>
      <c r="F626" s="164"/>
      <c r="G626" s="139"/>
      <c r="H626" s="164"/>
      <c r="I626" s="164"/>
      <c r="J626" s="164"/>
      <c r="K626" s="139"/>
      <c r="L626" s="130"/>
      <c r="M626" s="130"/>
      <c r="N626" s="130"/>
      <c r="O626" s="130"/>
      <c r="P626" s="130"/>
      <c r="Q626" s="130"/>
    </row>
    <row r="627" spans="1:17" x14ac:dyDescent="0.25">
      <c r="A627" s="164"/>
      <c r="B627" s="164"/>
      <c r="C627" s="165"/>
      <c r="D627" s="164"/>
      <c r="E627" s="139"/>
      <c r="F627" s="164"/>
      <c r="G627" s="139"/>
      <c r="H627" s="164"/>
      <c r="I627" s="164"/>
      <c r="J627" s="164"/>
      <c r="K627" s="139"/>
      <c r="L627" s="130"/>
      <c r="M627" s="130"/>
      <c r="N627" s="130"/>
      <c r="O627" s="130"/>
      <c r="P627" s="130"/>
      <c r="Q627" s="130"/>
    </row>
    <row r="628" spans="1:17" x14ac:dyDescent="0.25">
      <c r="A628" s="164"/>
      <c r="B628" s="164"/>
      <c r="C628" s="165"/>
      <c r="D628" s="164"/>
      <c r="E628" s="139"/>
      <c r="F628" s="164"/>
      <c r="G628" s="139"/>
      <c r="H628" s="164"/>
      <c r="I628" s="164"/>
      <c r="J628" s="164"/>
      <c r="K628" s="139"/>
      <c r="L628" s="130"/>
      <c r="M628" s="130"/>
      <c r="N628" s="130"/>
      <c r="O628" s="130"/>
      <c r="P628" s="130"/>
      <c r="Q628" s="130"/>
    </row>
    <row r="629" spans="1:17" x14ac:dyDescent="0.25">
      <c r="A629" s="164"/>
      <c r="B629" s="164"/>
      <c r="C629" s="165"/>
      <c r="D629" s="164"/>
      <c r="E629" s="139"/>
      <c r="F629" s="164"/>
      <c r="G629" s="139"/>
      <c r="H629" s="164"/>
      <c r="I629" s="164"/>
      <c r="J629" s="164"/>
      <c r="K629" s="139"/>
      <c r="L629" s="130"/>
      <c r="M629" s="130"/>
      <c r="N629" s="130"/>
      <c r="O629" s="130"/>
      <c r="P629" s="130"/>
      <c r="Q629" s="130"/>
    </row>
    <row r="630" spans="1:17" x14ac:dyDescent="0.25">
      <c r="A630" s="164"/>
      <c r="B630" s="164"/>
      <c r="C630" s="165"/>
      <c r="D630" s="164"/>
      <c r="E630" s="139"/>
      <c r="F630" s="164"/>
      <c r="G630" s="139"/>
      <c r="H630" s="164"/>
      <c r="I630" s="164"/>
      <c r="J630" s="164"/>
      <c r="K630" s="139"/>
      <c r="L630" s="130"/>
      <c r="M630" s="130"/>
      <c r="N630" s="130"/>
      <c r="O630" s="130"/>
      <c r="P630" s="130"/>
      <c r="Q630" s="130"/>
    </row>
    <row r="631" spans="1:17" x14ac:dyDescent="0.25">
      <c r="A631" s="164"/>
      <c r="B631" s="164"/>
      <c r="C631" s="165"/>
      <c r="D631" s="164"/>
      <c r="E631" s="139"/>
      <c r="F631" s="164"/>
      <c r="G631" s="139"/>
      <c r="H631" s="164"/>
      <c r="I631" s="164"/>
      <c r="J631" s="164"/>
      <c r="K631" s="139"/>
      <c r="L631" s="130"/>
      <c r="M631" s="130"/>
      <c r="N631" s="130"/>
      <c r="O631" s="130"/>
      <c r="P631" s="130"/>
      <c r="Q631" s="130"/>
    </row>
    <row r="632" spans="1:17" x14ac:dyDescent="0.25">
      <c r="A632" s="164"/>
      <c r="B632" s="164"/>
      <c r="C632" s="165"/>
      <c r="D632" s="164"/>
      <c r="E632" s="139"/>
      <c r="F632" s="164"/>
      <c r="G632" s="139"/>
      <c r="H632" s="164"/>
      <c r="I632" s="164"/>
      <c r="J632" s="164"/>
      <c r="K632" s="139"/>
      <c r="L632" s="130"/>
      <c r="M632" s="130"/>
      <c r="N632" s="130"/>
      <c r="O632" s="130"/>
      <c r="P632" s="130"/>
      <c r="Q632" s="130"/>
    </row>
    <row r="633" spans="1:17" x14ac:dyDescent="0.25">
      <c r="A633" s="164"/>
      <c r="B633" s="164"/>
      <c r="C633" s="165"/>
      <c r="D633" s="164"/>
      <c r="E633" s="139"/>
      <c r="F633" s="164"/>
      <c r="G633" s="139"/>
      <c r="H633" s="164"/>
      <c r="I633" s="164"/>
      <c r="J633" s="164"/>
      <c r="K633" s="139"/>
      <c r="L633" s="130"/>
      <c r="M633" s="130"/>
      <c r="N633" s="130"/>
      <c r="O633" s="130"/>
      <c r="P633" s="130"/>
      <c r="Q633" s="130"/>
    </row>
    <row r="634" spans="1:17" x14ac:dyDescent="0.25">
      <c r="A634" s="164"/>
      <c r="B634" s="164"/>
      <c r="C634" s="165"/>
      <c r="D634" s="164"/>
      <c r="E634" s="139"/>
      <c r="F634" s="164"/>
      <c r="G634" s="139"/>
      <c r="H634" s="164"/>
      <c r="I634" s="164"/>
      <c r="J634" s="164"/>
      <c r="K634" s="139"/>
      <c r="L634" s="130"/>
      <c r="M634" s="130"/>
      <c r="N634" s="130"/>
      <c r="O634" s="130"/>
      <c r="P634" s="130"/>
      <c r="Q634" s="130"/>
    </row>
    <row r="635" spans="1:17" x14ac:dyDescent="0.25">
      <c r="A635" s="164"/>
      <c r="B635" s="164"/>
      <c r="C635" s="165"/>
      <c r="D635" s="164"/>
      <c r="E635" s="139"/>
      <c r="F635" s="164"/>
      <c r="G635" s="139"/>
      <c r="H635" s="164"/>
      <c r="I635" s="164"/>
      <c r="J635" s="164"/>
      <c r="K635" s="139"/>
      <c r="L635" s="130"/>
      <c r="M635" s="130"/>
      <c r="N635" s="130"/>
      <c r="O635" s="130"/>
      <c r="P635" s="130"/>
      <c r="Q635" s="130"/>
    </row>
    <row r="636" spans="1:17" x14ac:dyDescent="0.25">
      <c r="A636" s="164"/>
      <c r="B636" s="164"/>
      <c r="C636" s="165"/>
      <c r="D636" s="164"/>
      <c r="E636" s="139"/>
      <c r="F636" s="164"/>
      <c r="G636" s="139"/>
      <c r="H636" s="164"/>
      <c r="I636" s="164"/>
      <c r="J636" s="164"/>
      <c r="K636" s="139"/>
      <c r="L636" s="130"/>
      <c r="M636" s="130"/>
      <c r="N636" s="130"/>
      <c r="O636" s="130"/>
      <c r="P636" s="130"/>
      <c r="Q636" s="130"/>
    </row>
    <row r="637" spans="1:17" x14ac:dyDescent="0.25">
      <c r="A637" s="164"/>
      <c r="B637" s="164"/>
      <c r="C637" s="165"/>
      <c r="D637" s="164"/>
      <c r="E637" s="139"/>
      <c r="F637" s="164"/>
      <c r="G637" s="139"/>
      <c r="H637" s="164"/>
      <c r="I637" s="164"/>
      <c r="J637" s="164"/>
      <c r="K637" s="139"/>
      <c r="L637" s="130"/>
      <c r="M637" s="130"/>
      <c r="N637" s="130"/>
      <c r="O637" s="130"/>
      <c r="P637" s="130"/>
      <c r="Q637" s="130"/>
    </row>
    <row r="638" spans="1:17" x14ac:dyDescent="0.25">
      <c r="A638" s="164"/>
      <c r="B638" s="164"/>
      <c r="C638" s="165"/>
      <c r="D638" s="164"/>
      <c r="E638" s="139"/>
      <c r="F638" s="164"/>
      <c r="G638" s="139"/>
      <c r="H638" s="164"/>
      <c r="I638" s="164"/>
      <c r="J638" s="164"/>
      <c r="K638" s="139"/>
      <c r="L638" s="130"/>
      <c r="M638" s="130"/>
      <c r="N638" s="130"/>
      <c r="O638" s="130"/>
      <c r="P638" s="130"/>
      <c r="Q638" s="130"/>
    </row>
    <row r="639" spans="1:17" x14ac:dyDescent="0.25">
      <c r="A639" s="164"/>
      <c r="B639" s="164"/>
      <c r="C639" s="165"/>
      <c r="D639" s="164"/>
      <c r="E639" s="139"/>
      <c r="F639" s="164"/>
      <c r="G639" s="139"/>
      <c r="H639" s="164"/>
      <c r="I639" s="164"/>
      <c r="J639" s="164"/>
      <c r="K639" s="139"/>
      <c r="L639" s="130"/>
      <c r="M639" s="130"/>
      <c r="N639" s="130"/>
      <c r="O639" s="130"/>
      <c r="P639" s="130"/>
      <c r="Q639" s="130"/>
    </row>
    <row r="640" spans="1:17" x14ac:dyDescent="0.25">
      <c r="A640" s="164"/>
      <c r="B640" s="164"/>
      <c r="C640" s="165"/>
      <c r="D640" s="164"/>
      <c r="E640" s="139"/>
      <c r="F640" s="164"/>
      <c r="G640" s="139"/>
      <c r="H640" s="164"/>
      <c r="I640" s="164"/>
      <c r="J640" s="164"/>
      <c r="K640" s="139"/>
      <c r="L640" s="130"/>
      <c r="M640" s="130"/>
      <c r="N640" s="130"/>
      <c r="O640" s="130"/>
      <c r="P640" s="130"/>
      <c r="Q640" s="130"/>
    </row>
    <row r="641" spans="1:17" x14ac:dyDescent="0.25">
      <c r="A641" s="164"/>
      <c r="B641" s="164"/>
      <c r="C641" s="165"/>
      <c r="D641" s="164"/>
      <c r="E641" s="139"/>
      <c r="F641" s="164"/>
      <c r="G641" s="139"/>
      <c r="H641" s="164"/>
      <c r="I641" s="164"/>
      <c r="J641" s="164"/>
      <c r="K641" s="139"/>
      <c r="L641" s="130"/>
      <c r="M641" s="130"/>
      <c r="N641" s="130"/>
      <c r="O641" s="130"/>
      <c r="P641" s="130"/>
      <c r="Q641" s="130"/>
    </row>
    <row r="642" spans="1:17" x14ac:dyDescent="0.25">
      <c r="A642" s="164"/>
      <c r="B642" s="164"/>
      <c r="C642" s="165"/>
      <c r="D642" s="164"/>
      <c r="E642" s="139"/>
      <c r="F642" s="164"/>
      <c r="G642" s="139"/>
      <c r="H642" s="164"/>
      <c r="I642" s="164"/>
      <c r="J642" s="164"/>
      <c r="K642" s="139"/>
      <c r="L642" s="130"/>
      <c r="M642" s="130"/>
      <c r="N642" s="130"/>
      <c r="O642" s="130"/>
      <c r="P642" s="130"/>
      <c r="Q642" s="130"/>
    </row>
    <row r="643" spans="1:17" x14ac:dyDescent="0.25">
      <c r="A643" s="164"/>
      <c r="B643" s="164"/>
      <c r="C643" s="165"/>
      <c r="D643" s="164"/>
      <c r="E643" s="139"/>
      <c r="F643" s="164"/>
      <c r="G643" s="139"/>
      <c r="H643" s="164"/>
      <c r="I643" s="164"/>
      <c r="J643" s="164"/>
      <c r="K643" s="139"/>
      <c r="L643" s="130"/>
      <c r="M643" s="130"/>
      <c r="N643" s="130"/>
      <c r="O643" s="130"/>
      <c r="P643" s="130"/>
      <c r="Q643" s="130"/>
    </row>
    <row r="644" spans="1:17" x14ac:dyDescent="0.25">
      <c r="A644" s="164"/>
      <c r="B644" s="164"/>
      <c r="C644" s="165"/>
      <c r="D644" s="164"/>
      <c r="E644" s="139"/>
      <c r="F644" s="164"/>
      <c r="G644" s="139"/>
      <c r="H644" s="164"/>
      <c r="I644" s="164"/>
      <c r="J644" s="164"/>
      <c r="K644" s="139"/>
      <c r="L644" s="130"/>
      <c r="M644" s="130"/>
      <c r="N644" s="130"/>
      <c r="O644" s="130"/>
      <c r="P644" s="130"/>
      <c r="Q644" s="130"/>
    </row>
    <row r="645" spans="1:17" x14ac:dyDescent="0.25">
      <c r="A645" s="164"/>
      <c r="B645" s="164"/>
      <c r="C645" s="165"/>
      <c r="D645" s="164"/>
      <c r="E645" s="139"/>
      <c r="F645" s="164"/>
      <c r="G645" s="139"/>
      <c r="H645" s="164"/>
      <c r="I645" s="164"/>
      <c r="J645" s="164"/>
      <c r="K645" s="139"/>
      <c r="L645" s="130"/>
      <c r="M645" s="130"/>
      <c r="N645" s="130"/>
      <c r="O645" s="130"/>
      <c r="P645" s="130"/>
      <c r="Q645" s="130"/>
    </row>
    <row r="646" spans="1:17" x14ac:dyDescent="0.25">
      <c r="A646" s="164"/>
      <c r="B646" s="164"/>
      <c r="C646" s="165"/>
      <c r="D646" s="164"/>
      <c r="E646" s="139"/>
      <c r="F646" s="164"/>
      <c r="G646" s="139"/>
      <c r="H646" s="164"/>
      <c r="I646" s="164"/>
      <c r="J646" s="164"/>
      <c r="K646" s="139"/>
      <c r="L646" s="130"/>
      <c r="M646" s="130"/>
      <c r="N646" s="130"/>
      <c r="O646" s="130"/>
      <c r="P646" s="130"/>
      <c r="Q646" s="130"/>
    </row>
    <row r="647" spans="1:17" x14ac:dyDescent="0.25">
      <c r="A647" s="164"/>
      <c r="B647" s="164"/>
      <c r="C647" s="165"/>
      <c r="D647" s="164"/>
      <c r="E647" s="139"/>
      <c r="F647" s="164"/>
      <c r="G647" s="139"/>
      <c r="H647" s="164"/>
      <c r="I647" s="164"/>
      <c r="J647" s="164"/>
      <c r="K647" s="139"/>
      <c r="L647" s="130"/>
      <c r="M647" s="130"/>
      <c r="N647" s="130"/>
      <c r="O647" s="130"/>
      <c r="P647" s="130"/>
      <c r="Q647" s="130"/>
    </row>
    <row r="648" spans="1:17" x14ac:dyDescent="0.25">
      <c r="A648" s="164"/>
      <c r="B648" s="164"/>
      <c r="C648" s="165"/>
      <c r="D648" s="164"/>
      <c r="E648" s="139"/>
      <c r="F648" s="164"/>
      <c r="G648" s="139"/>
      <c r="H648" s="164"/>
      <c r="I648" s="164"/>
      <c r="J648" s="164"/>
      <c r="K648" s="139"/>
      <c r="L648" s="130"/>
      <c r="M648" s="130"/>
      <c r="N648" s="130"/>
      <c r="O648" s="130"/>
      <c r="P648" s="130"/>
      <c r="Q648" s="130"/>
    </row>
    <row r="649" spans="1:17" x14ac:dyDescent="0.25">
      <c r="A649" s="164"/>
      <c r="B649" s="164"/>
      <c r="C649" s="165"/>
      <c r="D649" s="164"/>
      <c r="E649" s="139"/>
      <c r="F649" s="164"/>
      <c r="G649" s="139"/>
      <c r="H649" s="164"/>
      <c r="I649" s="164"/>
      <c r="J649" s="164"/>
      <c r="K649" s="139"/>
      <c r="L649" s="130"/>
      <c r="M649" s="130"/>
      <c r="N649" s="130"/>
      <c r="O649" s="130"/>
      <c r="P649" s="130"/>
      <c r="Q649" s="130"/>
    </row>
    <row r="650" spans="1:17" x14ac:dyDescent="0.25">
      <c r="A650" s="164"/>
      <c r="B650" s="164"/>
      <c r="C650" s="165"/>
      <c r="D650" s="164"/>
      <c r="E650" s="139"/>
      <c r="F650" s="164"/>
      <c r="G650" s="139"/>
      <c r="H650" s="164"/>
      <c r="I650" s="164"/>
      <c r="J650" s="164"/>
      <c r="K650" s="139"/>
      <c r="L650" s="130"/>
      <c r="M650" s="130"/>
      <c r="N650" s="130"/>
      <c r="O650" s="130"/>
      <c r="P650" s="130"/>
      <c r="Q650" s="130"/>
    </row>
    <row r="651" spans="1:17" x14ac:dyDescent="0.25">
      <c r="A651" s="164"/>
      <c r="B651" s="164"/>
      <c r="C651" s="165"/>
      <c r="D651" s="164"/>
      <c r="E651" s="139"/>
      <c r="F651" s="164"/>
      <c r="G651" s="139"/>
      <c r="H651" s="164"/>
      <c r="I651" s="164"/>
      <c r="J651" s="164"/>
      <c r="K651" s="139"/>
      <c r="L651" s="130"/>
      <c r="M651" s="130"/>
      <c r="N651" s="130"/>
      <c r="O651" s="130"/>
      <c r="P651" s="130"/>
      <c r="Q651" s="130"/>
    </row>
    <row r="652" spans="1:17" x14ac:dyDescent="0.25">
      <c r="A652" s="164"/>
      <c r="B652" s="164"/>
      <c r="C652" s="165"/>
      <c r="D652" s="164"/>
      <c r="E652" s="139"/>
      <c r="F652" s="164"/>
      <c r="G652" s="139"/>
      <c r="H652" s="164"/>
      <c r="I652" s="164"/>
      <c r="J652" s="164"/>
      <c r="K652" s="139"/>
      <c r="L652" s="130"/>
      <c r="M652" s="130"/>
      <c r="N652" s="130"/>
      <c r="O652" s="130"/>
      <c r="P652" s="130"/>
      <c r="Q652" s="130"/>
    </row>
    <row r="653" spans="1:17" x14ac:dyDescent="0.25">
      <c r="A653" s="164"/>
      <c r="B653" s="164"/>
      <c r="C653" s="165"/>
      <c r="D653" s="164"/>
      <c r="E653" s="139"/>
      <c r="F653" s="164"/>
      <c r="G653" s="139"/>
      <c r="H653" s="164"/>
      <c r="I653" s="164"/>
      <c r="J653" s="164"/>
      <c r="K653" s="139"/>
      <c r="L653" s="130"/>
      <c r="M653" s="130"/>
      <c r="N653" s="130"/>
      <c r="O653" s="130"/>
      <c r="P653" s="130"/>
      <c r="Q653" s="130"/>
    </row>
    <row r="654" spans="1:17" x14ac:dyDescent="0.25">
      <c r="A654" s="164"/>
      <c r="B654" s="164"/>
      <c r="C654" s="165"/>
      <c r="D654" s="164"/>
      <c r="E654" s="139"/>
      <c r="F654" s="164"/>
      <c r="G654" s="139"/>
      <c r="H654" s="164"/>
      <c r="I654" s="164"/>
      <c r="J654" s="164"/>
      <c r="K654" s="139"/>
      <c r="L654" s="130"/>
      <c r="M654" s="130"/>
      <c r="N654" s="130"/>
      <c r="O654" s="130"/>
      <c r="P654" s="130"/>
      <c r="Q654" s="130"/>
    </row>
    <row r="655" spans="1:17" x14ac:dyDescent="0.25">
      <c r="A655" s="164"/>
      <c r="B655" s="164"/>
      <c r="C655" s="165"/>
      <c r="D655" s="164"/>
      <c r="E655" s="139"/>
      <c r="F655" s="164"/>
      <c r="G655" s="139"/>
      <c r="H655" s="164"/>
      <c r="I655" s="164"/>
      <c r="J655" s="164"/>
      <c r="K655" s="139"/>
      <c r="L655" s="130"/>
      <c r="M655" s="130"/>
      <c r="N655" s="130"/>
      <c r="O655" s="130"/>
      <c r="P655" s="130"/>
      <c r="Q655" s="130"/>
    </row>
    <row r="656" spans="1:17" x14ac:dyDescent="0.25">
      <c r="A656" s="164"/>
      <c r="B656" s="164"/>
      <c r="C656" s="165"/>
      <c r="D656" s="164"/>
      <c r="E656" s="139"/>
      <c r="F656" s="164"/>
      <c r="G656" s="139"/>
      <c r="H656" s="164"/>
      <c r="I656" s="164"/>
      <c r="J656" s="164"/>
      <c r="K656" s="139"/>
      <c r="L656" s="130"/>
      <c r="M656" s="130"/>
      <c r="N656" s="130"/>
      <c r="O656" s="130"/>
      <c r="P656" s="130"/>
      <c r="Q656" s="130"/>
    </row>
    <row r="657" spans="1:17" x14ac:dyDescent="0.25">
      <c r="A657" s="164"/>
      <c r="B657" s="164"/>
      <c r="C657" s="165"/>
      <c r="D657" s="164"/>
      <c r="E657" s="139"/>
      <c r="F657" s="164"/>
      <c r="G657" s="139"/>
      <c r="H657" s="164"/>
      <c r="I657" s="164"/>
      <c r="J657" s="164"/>
      <c r="K657" s="139"/>
      <c r="L657" s="130"/>
      <c r="M657" s="130"/>
      <c r="N657" s="130"/>
      <c r="O657" s="130"/>
      <c r="P657" s="130"/>
      <c r="Q657" s="130"/>
    </row>
    <row r="658" spans="1:17" x14ac:dyDescent="0.25">
      <c r="A658" s="164"/>
      <c r="B658" s="164"/>
      <c r="C658" s="165"/>
      <c r="D658" s="164"/>
      <c r="E658" s="139"/>
      <c r="F658" s="164"/>
      <c r="G658" s="139"/>
      <c r="H658" s="164"/>
      <c r="I658" s="164"/>
      <c r="J658" s="164"/>
      <c r="K658" s="139"/>
      <c r="L658" s="130"/>
      <c r="M658" s="130"/>
      <c r="N658" s="130"/>
      <c r="O658" s="130"/>
      <c r="P658" s="130"/>
      <c r="Q658" s="130"/>
    </row>
    <row r="659" spans="1:17" x14ac:dyDescent="0.25">
      <c r="A659" s="164"/>
      <c r="B659" s="164"/>
      <c r="C659" s="165"/>
      <c r="D659" s="164"/>
      <c r="E659" s="139"/>
      <c r="F659" s="164"/>
      <c r="G659" s="139"/>
      <c r="H659" s="164"/>
      <c r="I659" s="164"/>
      <c r="J659" s="164"/>
      <c r="K659" s="139"/>
      <c r="L659" s="130"/>
      <c r="M659" s="130"/>
      <c r="N659" s="130"/>
      <c r="O659" s="130"/>
      <c r="P659" s="130"/>
      <c r="Q659" s="130"/>
    </row>
    <row r="660" spans="1:17" x14ac:dyDescent="0.25">
      <c r="A660" s="164"/>
      <c r="B660" s="164"/>
      <c r="C660" s="165"/>
      <c r="D660" s="164"/>
      <c r="E660" s="139"/>
      <c r="F660" s="164"/>
      <c r="G660" s="139"/>
      <c r="H660" s="164"/>
      <c r="I660" s="164"/>
      <c r="J660" s="164"/>
      <c r="K660" s="139"/>
      <c r="L660" s="130"/>
      <c r="M660" s="130"/>
      <c r="N660" s="130"/>
      <c r="O660" s="130"/>
      <c r="P660" s="130"/>
      <c r="Q660" s="130"/>
    </row>
    <row r="661" spans="1:17" x14ac:dyDescent="0.25">
      <c r="A661" s="164"/>
      <c r="B661" s="164"/>
      <c r="C661" s="165"/>
      <c r="D661" s="164"/>
      <c r="E661" s="139"/>
      <c r="F661" s="164"/>
      <c r="G661" s="139"/>
      <c r="H661" s="164"/>
      <c r="I661" s="164"/>
      <c r="J661" s="164"/>
      <c r="K661" s="139"/>
      <c r="L661" s="130"/>
      <c r="M661" s="130"/>
      <c r="N661" s="130"/>
      <c r="O661" s="130"/>
      <c r="P661" s="130"/>
      <c r="Q661" s="130"/>
    </row>
    <row r="662" spans="1:17" x14ac:dyDescent="0.25">
      <c r="A662" s="164"/>
      <c r="B662" s="164"/>
      <c r="C662" s="165"/>
      <c r="D662" s="164"/>
      <c r="E662" s="139"/>
      <c r="F662" s="164"/>
      <c r="G662" s="139"/>
      <c r="H662" s="164"/>
      <c r="I662" s="164"/>
      <c r="J662" s="164"/>
      <c r="K662" s="139"/>
      <c r="L662" s="130"/>
      <c r="M662" s="130"/>
      <c r="N662" s="130"/>
      <c r="O662" s="130"/>
      <c r="P662" s="130"/>
      <c r="Q662" s="130"/>
    </row>
    <row r="663" spans="1:17" x14ac:dyDescent="0.25">
      <c r="A663" s="164"/>
      <c r="B663" s="164"/>
      <c r="C663" s="165"/>
      <c r="D663" s="164"/>
      <c r="E663" s="139"/>
      <c r="F663" s="164"/>
      <c r="G663" s="139"/>
      <c r="H663" s="164"/>
      <c r="I663" s="164"/>
      <c r="J663" s="164"/>
      <c r="K663" s="139"/>
      <c r="L663" s="130"/>
      <c r="M663" s="130"/>
      <c r="N663" s="130"/>
      <c r="O663" s="130"/>
      <c r="P663" s="130"/>
      <c r="Q663" s="130"/>
    </row>
    <row r="664" spans="1:17" x14ac:dyDescent="0.25">
      <c r="A664" s="164"/>
      <c r="B664" s="164"/>
      <c r="C664" s="165"/>
      <c r="D664" s="164"/>
      <c r="E664" s="139"/>
      <c r="F664" s="164"/>
      <c r="G664" s="139"/>
      <c r="H664" s="164"/>
      <c r="I664" s="164"/>
      <c r="J664" s="164"/>
      <c r="K664" s="139"/>
      <c r="L664" s="130"/>
      <c r="M664" s="130"/>
      <c r="N664" s="130"/>
      <c r="O664" s="130"/>
      <c r="P664" s="130"/>
      <c r="Q664" s="130"/>
    </row>
    <row r="665" spans="1:17" x14ac:dyDescent="0.25">
      <c r="A665" s="164"/>
      <c r="B665" s="164"/>
      <c r="C665" s="165"/>
      <c r="D665" s="164"/>
      <c r="E665" s="139"/>
      <c r="F665" s="164"/>
      <c r="G665" s="139"/>
      <c r="H665" s="164"/>
      <c r="I665" s="164"/>
      <c r="J665" s="164"/>
      <c r="K665" s="139"/>
      <c r="L665" s="130"/>
      <c r="M665" s="130"/>
      <c r="N665" s="130"/>
      <c r="O665" s="130"/>
      <c r="P665" s="130"/>
      <c r="Q665" s="130"/>
    </row>
    <row r="666" spans="1:17" x14ac:dyDescent="0.25">
      <c r="A666" s="164"/>
      <c r="B666" s="164"/>
      <c r="C666" s="165"/>
      <c r="D666" s="164"/>
      <c r="E666" s="139"/>
      <c r="F666" s="164"/>
      <c r="G666" s="139"/>
      <c r="H666" s="164"/>
      <c r="I666" s="164"/>
      <c r="J666" s="164"/>
      <c r="K666" s="139"/>
      <c r="L666" s="130"/>
      <c r="M666" s="130"/>
      <c r="N666" s="130"/>
      <c r="O666" s="130"/>
      <c r="P666" s="130"/>
      <c r="Q666" s="130"/>
    </row>
    <row r="667" spans="1:17" x14ac:dyDescent="0.25">
      <c r="A667" s="164"/>
      <c r="B667" s="164"/>
      <c r="C667" s="165"/>
      <c r="D667" s="164"/>
      <c r="E667" s="139"/>
      <c r="F667" s="164"/>
      <c r="G667" s="139"/>
      <c r="H667" s="164"/>
      <c r="I667" s="164"/>
      <c r="J667" s="164"/>
      <c r="K667" s="139"/>
      <c r="L667" s="130"/>
      <c r="M667" s="130"/>
      <c r="N667" s="130"/>
      <c r="O667" s="130"/>
      <c r="P667" s="130"/>
      <c r="Q667" s="130"/>
    </row>
    <row r="668" spans="1:17" x14ac:dyDescent="0.25">
      <c r="A668" s="164"/>
      <c r="B668" s="164"/>
      <c r="C668" s="165"/>
      <c r="D668" s="164"/>
      <c r="E668" s="139"/>
      <c r="F668" s="164"/>
      <c r="G668" s="139"/>
      <c r="H668" s="164"/>
      <c r="I668" s="164"/>
      <c r="J668" s="164"/>
      <c r="K668" s="139"/>
      <c r="L668" s="130"/>
      <c r="M668" s="130"/>
      <c r="N668" s="130"/>
      <c r="O668" s="130"/>
      <c r="P668" s="130"/>
      <c r="Q668" s="130"/>
    </row>
    <row r="669" spans="1:17" x14ac:dyDescent="0.25">
      <c r="A669" s="164"/>
      <c r="B669" s="164"/>
      <c r="C669" s="165"/>
      <c r="D669" s="164"/>
      <c r="E669" s="139"/>
      <c r="F669" s="164"/>
      <c r="G669" s="139"/>
      <c r="H669" s="164"/>
      <c r="I669" s="164"/>
      <c r="J669" s="164"/>
      <c r="K669" s="139"/>
      <c r="L669" s="130"/>
      <c r="M669" s="130"/>
      <c r="N669" s="130"/>
      <c r="O669" s="130"/>
      <c r="P669" s="130"/>
      <c r="Q669" s="130"/>
    </row>
    <row r="670" spans="1:17" x14ac:dyDescent="0.25">
      <c r="A670" s="164"/>
      <c r="B670" s="164"/>
      <c r="C670" s="165"/>
      <c r="D670" s="164"/>
      <c r="E670" s="139"/>
      <c r="F670" s="164"/>
      <c r="G670" s="139"/>
      <c r="H670" s="164"/>
      <c r="I670" s="164"/>
      <c r="J670" s="164"/>
      <c r="K670" s="139"/>
      <c r="L670" s="130"/>
      <c r="M670" s="130"/>
      <c r="N670" s="130"/>
      <c r="O670" s="130"/>
      <c r="P670" s="130"/>
      <c r="Q670" s="130"/>
    </row>
    <row r="671" spans="1:17" x14ac:dyDescent="0.25">
      <c r="A671" s="164"/>
      <c r="B671" s="164"/>
      <c r="C671" s="165"/>
      <c r="D671" s="164"/>
      <c r="E671" s="139"/>
      <c r="F671" s="164"/>
      <c r="G671" s="139"/>
      <c r="H671" s="164"/>
      <c r="I671" s="164"/>
      <c r="J671" s="164"/>
      <c r="K671" s="139"/>
      <c r="L671" s="130"/>
      <c r="M671" s="130"/>
      <c r="N671" s="130"/>
      <c r="O671" s="130"/>
      <c r="P671" s="130"/>
      <c r="Q671" s="130"/>
    </row>
    <row r="672" spans="1:17" x14ac:dyDescent="0.25">
      <c r="A672" s="164"/>
      <c r="B672" s="164"/>
      <c r="C672" s="165"/>
      <c r="D672" s="164"/>
      <c r="E672" s="139"/>
      <c r="F672" s="164"/>
      <c r="G672" s="139"/>
      <c r="H672" s="164"/>
      <c r="I672" s="164"/>
      <c r="J672" s="164"/>
      <c r="K672" s="139"/>
      <c r="L672" s="130"/>
      <c r="M672" s="130"/>
      <c r="N672" s="130"/>
      <c r="O672" s="130"/>
      <c r="P672" s="130"/>
      <c r="Q672" s="130"/>
    </row>
    <row r="673" spans="1:17" x14ac:dyDescent="0.25">
      <c r="A673" s="164"/>
      <c r="B673" s="164"/>
      <c r="C673" s="165"/>
      <c r="D673" s="164"/>
      <c r="E673" s="139"/>
      <c r="F673" s="164"/>
      <c r="G673" s="139"/>
      <c r="H673" s="164"/>
      <c r="I673" s="164"/>
      <c r="J673" s="164"/>
      <c r="K673" s="139"/>
      <c r="L673" s="130"/>
      <c r="M673" s="130"/>
      <c r="N673" s="130"/>
      <c r="O673" s="130"/>
      <c r="P673" s="130"/>
      <c r="Q673" s="130"/>
    </row>
    <row r="674" spans="1:17" x14ac:dyDescent="0.25">
      <c r="A674" s="164"/>
      <c r="B674" s="164"/>
      <c r="C674" s="165"/>
      <c r="D674" s="164"/>
      <c r="E674" s="139"/>
      <c r="F674" s="164"/>
      <c r="G674" s="139"/>
      <c r="H674" s="164"/>
      <c r="I674" s="164"/>
      <c r="J674" s="164"/>
      <c r="K674" s="139"/>
      <c r="L674" s="130"/>
      <c r="M674" s="130"/>
      <c r="N674" s="130"/>
      <c r="O674" s="130"/>
      <c r="P674" s="130"/>
      <c r="Q674" s="130"/>
    </row>
    <row r="675" spans="1:17" x14ac:dyDescent="0.25">
      <c r="A675" s="164"/>
      <c r="B675" s="164"/>
      <c r="C675" s="165"/>
      <c r="D675" s="164"/>
      <c r="E675" s="139"/>
      <c r="F675" s="164"/>
      <c r="G675" s="139"/>
      <c r="H675" s="164"/>
      <c r="I675" s="164"/>
      <c r="J675" s="164"/>
      <c r="K675" s="139"/>
      <c r="L675" s="130"/>
      <c r="M675" s="130"/>
      <c r="N675" s="130"/>
      <c r="O675" s="130"/>
      <c r="P675" s="130"/>
      <c r="Q675" s="130"/>
    </row>
    <row r="676" spans="1:17" x14ac:dyDescent="0.25">
      <c r="A676" s="164"/>
      <c r="B676" s="164"/>
      <c r="C676" s="165"/>
      <c r="D676" s="164"/>
      <c r="E676" s="139"/>
      <c r="F676" s="164"/>
      <c r="G676" s="139"/>
      <c r="H676" s="164"/>
      <c r="I676" s="164"/>
      <c r="J676" s="164"/>
      <c r="K676" s="139"/>
      <c r="L676" s="130"/>
      <c r="M676" s="130"/>
      <c r="N676" s="130"/>
      <c r="O676" s="130"/>
      <c r="P676" s="130"/>
      <c r="Q676" s="130"/>
    </row>
    <row r="677" spans="1:17" x14ac:dyDescent="0.25">
      <c r="A677" s="164"/>
      <c r="B677" s="164"/>
      <c r="C677" s="165"/>
      <c r="D677" s="164"/>
      <c r="E677" s="139"/>
      <c r="F677" s="164"/>
      <c r="G677" s="139"/>
      <c r="H677" s="164"/>
      <c r="I677" s="164"/>
      <c r="J677" s="164"/>
      <c r="K677" s="139"/>
      <c r="L677" s="130"/>
      <c r="M677" s="130"/>
      <c r="N677" s="130"/>
      <c r="O677" s="130"/>
      <c r="P677" s="130"/>
      <c r="Q677" s="130"/>
    </row>
    <row r="678" spans="1:17" x14ac:dyDescent="0.25">
      <c r="A678" s="164"/>
      <c r="B678" s="164"/>
      <c r="C678" s="165"/>
      <c r="D678" s="164"/>
      <c r="E678" s="139"/>
      <c r="F678" s="164"/>
      <c r="G678" s="139"/>
      <c r="H678" s="164"/>
      <c r="I678" s="164"/>
      <c r="J678" s="164"/>
      <c r="K678" s="139"/>
      <c r="L678" s="130"/>
      <c r="M678" s="130"/>
      <c r="N678" s="130"/>
      <c r="O678" s="130"/>
      <c r="P678" s="130"/>
      <c r="Q678" s="130"/>
    </row>
    <row r="679" spans="1:17" x14ac:dyDescent="0.25">
      <c r="A679" s="164"/>
      <c r="B679" s="164"/>
      <c r="C679" s="165"/>
      <c r="D679" s="164"/>
      <c r="E679" s="139"/>
      <c r="F679" s="164"/>
      <c r="G679" s="139"/>
      <c r="H679" s="164"/>
      <c r="I679" s="164"/>
      <c r="J679" s="164"/>
      <c r="K679" s="139"/>
      <c r="L679" s="130"/>
      <c r="M679" s="130"/>
      <c r="N679" s="130"/>
      <c r="O679" s="130"/>
      <c r="P679" s="130"/>
      <c r="Q679" s="130"/>
    </row>
    <row r="680" spans="1:17" x14ac:dyDescent="0.25">
      <c r="A680" s="164"/>
      <c r="B680" s="164"/>
      <c r="C680" s="165"/>
      <c r="D680" s="164"/>
      <c r="E680" s="139"/>
      <c r="F680" s="164"/>
      <c r="G680" s="139"/>
      <c r="H680" s="164"/>
      <c r="I680" s="164"/>
      <c r="J680" s="164"/>
      <c r="K680" s="139"/>
      <c r="L680" s="130"/>
      <c r="M680" s="130"/>
      <c r="N680" s="130"/>
      <c r="O680" s="130"/>
      <c r="P680" s="130"/>
      <c r="Q680" s="130"/>
    </row>
    <row r="681" spans="1:17" x14ac:dyDescent="0.25">
      <c r="A681" s="164"/>
      <c r="B681" s="164"/>
      <c r="C681" s="165"/>
      <c r="D681" s="164"/>
      <c r="E681" s="139"/>
      <c r="F681" s="164"/>
      <c r="G681" s="139"/>
      <c r="H681" s="164"/>
      <c r="I681" s="164"/>
      <c r="J681" s="164"/>
      <c r="K681" s="139"/>
      <c r="L681" s="130"/>
      <c r="M681" s="130"/>
      <c r="N681" s="130"/>
      <c r="O681" s="130"/>
      <c r="P681" s="130"/>
      <c r="Q681" s="130"/>
    </row>
    <row r="682" spans="1:17" x14ac:dyDescent="0.25">
      <c r="A682" s="164"/>
      <c r="B682" s="164"/>
      <c r="C682" s="165"/>
      <c r="D682" s="164"/>
      <c r="E682" s="139"/>
      <c r="F682" s="164"/>
      <c r="G682" s="139"/>
      <c r="H682" s="164"/>
      <c r="I682" s="164"/>
      <c r="J682" s="164"/>
      <c r="K682" s="139"/>
      <c r="L682" s="130"/>
      <c r="M682" s="130"/>
      <c r="N682" s="130"/>
      <c r="O682" s="130"/>
      <c r="P682" s="130"/>
      <c r="Q682" s="130"/>
    </row>
    <row r="683" spans="1:17" x14ac:dyDescent="0.25">
      <c r="A683" s="164"/>
      <c r="B683" s="164"/>
      <c r="C683" s="165"/>
      <c r="D683" s="164"/>
      <c r="E683" s="139"/>
      <c r="F683" s="164"/>
      <c r="G683" s="139"/>
      <c r="H683" s="164"/>
      <c r="I683" s="164"/>
      <c r="J683" s="164"/>
      <c r="K683" s="139"/>
      <c r="L683" s="130"/>
      <c r="M683" s="130"/>
      <c r="N683" s="130"/>
      <c r="O683" s="130"/>
      <c r="P683" s="130"/>
      <c r="Q683" s="130"/>
    </row>
    <row r="684" spans="1:17" x14ac:dyDescent="0.25">
      <c r="A684" s="164"/>
      <c r="B684" s="164"/>
      <c r="C684" s="165"/>
      <c r="D684" s="164"/>
      <c r="E684" s="139"/>
      <c r="F684" s="164"/>
      <c r="G684" s="139"/>
      <c r="H684" s="164"/>
      <c r="I684" s="164"/>
      <c r="J684" s="164"/>
      <c r="K684" s="139"/>
      <c r="L684" s="130"/>
      <c r="M684" s="130"/>
      <c r="N684" s="130"/>
      <c r="O684" s="130"/>
      <c r="P684" s="130"/>
      <c r="Q684" s="130"/>
    </row>
    <row r="685" spans="1:17" x14ac:dyDescent="0.25">
      <c r="A685" s="164"/>
      <c r="B685" s="164"/>
      <c r="C685" s="165"/>
      <c r="D685" s="164"/>
      <c r="E685" s="139"/>
      <c r="F685" s="164"/>
      <c r="G685" s="139"/>
      <c r="H685" s="164"/>
      <c r="I685" s="164"/>
      <c r="J685" s="164"/>
      <c r="K685" s="139"/>
      <c r="L685" s="130"/>
      <c r="M685" s="130"/>
      <c r="N685" s="130"/>
      <c r="O685" s="130"/>
      <c r="P685" s="130"/>
      <c r="Q685" s="130"/>
    </row>
    <row r="686" spans="1:17" x14ac:dyDescent="0.25">
      <c r="A686" s="164"/>
      <c r="B686" s="164"/>
      <c r="C686" s="165"/>
      <c r="D686" s="164"/>
      <c r="E686" s="139"/>
      <c r="F686" s="164"/>
      <c r="G686" s="139"/>
      <c r="H686" s="164"/>
      <c r="I686" s="164"/>
      <c r="J686" s="164"/>
      <c r="K686" s="139"/>
      <c r="L686" s="130"/>
      <c r="M686" s="130"/>
      <c r="N686" s="130"/>
      <c r="O686" s="130"/>
      <c r="P686" s="130"/>
      <c r="Q686" s="130"/>
    </row>
    <row r="687" spans="1:17" x14ac:dyDescent="0.25">
      <c r="A687" s="164"/>
      <c r="B687" s="164"/>
      <c r="C687" s="165"/>
      <c r="D687" s="164"/>
      <c r="E687" s="139"/>
      <c r="F687" s="164"/>
      <c r="G687" s="139"/>
      <c r="H687" s="164"/>
      <c r="I687" s="164"/>
      <c r="J687" s="164"/>
      <c r="K687" s="139"/>
      <c r="L687" s="130"/>
      <c r="M687" s="130"/>
      <c r="N687" s="130"/>
      <c r="O687" s="130"/>
      <c r="P687" s="130"/>
      <c r="Q687" s="130"/>
    </row>
    <row r="688" spans="1:17" x14ac:dyDescent="0.25">
      <c r="A688" s="164"/>
      <c r="B688" s="164"/>
      <c r="C688" s="165"/>
      <c r="D688" s="164"/>
      <c r="E688" s="139"/>
      <c r="F688" s="164"/>
      <c r="G688" s="139"/>
      <c r="H688" s="164"/>
      <c r="I688" s="164"/>
      <c r="J688" s="164"/>
      <c r="K688" s="139"/>
      <c r="L688" s="130"/>
      <c r="M688" s="130"/>
      <c r="N688" s="130"/>
      <c r="O688" s="130"/>
      <c r="P688" s="130"/>
      <c r="Q688" s="130"/>
    </row>
    <row r="689" spans="1:17" x14ac:dyDescent="0.25">
      <c r="A689" s="164"/>
      <c r="B689" s="164"/>
      <c r="C689" s="165"/>
      <c r="D689" s="164"/>
      <c r="E689" s="139"/>
      <c r="F689" s="164"/>
      <c r="G689" s="139"/>
      <c r="H689" s="164"/>
      <c r="I689" s="164"/>
      <c r="J689" s="164"/>
      <c r="K689" s="139"/>
      <c r="L689" s="130"/>
      <c r="M689" s="130"/>
      <c r="N689" s="130"/>
      <c r="O689" s="130"/>
      <c r="P689" s="130"/>
      <c r="Q689" s="130"/>
    </row>
    <row r="690" spans="1:17" x14ac:dyDescent="0.25">
      <c r="A690" s="164"/>
      <c r="B690" s="164"/>
      <c r="C690" s="165"/>
      <c r="D690" s="164"/>
      <c r="E690" s="139"/>
      <c r="F690" s="164"/>
      <c r="G690" s="139"/>
      <c r="H690" s="164"/>
      <c r="I690" s="164"/>
      <c r="J690" s="164"/>
      <c r="K690" s="139"/>
      <c r="L690" s="130"/>
      <c r="M690" s="130"/>
      <c r="N690" s="130"/>
      <c r="O690" s="130"/>
      <c r="P690" s="130"/>
      <c r="Q690" s="130"/>
    </row>
    <row r="691" spans="1:17" x14ac:dyDescent="0.25">
      <c r="A691" s="164"/>
      <c r="B691" s="164"/>
      <c r="C691" s="165"/>
      <c r="D691" s="164"/>
      <c r="E691" s="139"/>
      <c r="F691" s="164"/>
      <c r="G691" s="139"/>
      <c r="H691" s="164"/>
      <c r="I691" s="164"/>
      <c r="J691" s="164"/>
      <c r="K691" s="139"/>
      <c r="L691" s="130"/>
      <c r="M691" s="130"/>
      <c r="N691" s="130"/>
      <c r="O691" s="130"/>
      <c r="P691" s="130"/>
      <c r="Q691" s="130"/>
    </row>
    <row r="692" spans="1:17" x14ac:dyDescent="0.25">
      <c r="A692" s="164"/>
      <c r="B692" s="164"/>
      <c r="C692" s="165"/>
      <c r="D692" s="164"/>
      <c r="E692" s="139"/>
      <c r="F692" s="164"/>
      <c r="G692" s="139"/>
      <c r="H692" s="164"/>
      <c r="I692" s="164"/>
      <c r="J692" s="164"/>
      <c r="K692" s="139"/>
      <c r="L692" s="130"/>
      <c r="M692" s="130"/>
      <c r="N692" s="130"/>
      <c r="O692" s="130"/>
      <c r="P692" s="130"/>
      <c r="Q692" s="130"/>
    </row>
    <row r="693" spans="1:17" x14ac:dyDescent="0.25">
      <c r="A693" s="164"/>
      <c r="B693" s="164"/>
      <c r="C693" s="165"/>
      <c r="D693" s="164"/>
      <c r="E693" s="139"/>
      <c r="F693" s="164"/>
      <c r="G693" s="139"/>
      <c r="H693" s="164"/>
      <c r="I693" s="164"/>
      <c r="J693" s="164"/>
      <c r="K693" s="139"/>
      <c r="L693" s="130"/>
      <c r="M693" s="130"/>
      <c r="N693" s="130"/>
      <c r="O693" s="130"/>
      <c r="P693" s="130"/>
      <c r="Q693" s="130"/>
    </row>
    <row r="694" spans="1:17" x14ac:dyDescent="0.25">
      <c r="A694" s="164"/>
      <c r="B694" s="164"/>
      <c r="C694" s="165"/>
      <c r="D694" s="164"/>
      <c r="E694" s="139"/>
      <c r="F694" s="164"/>
      <c r="G694" s="139"/>
      <c r="H694" s="164"/>
      <c r="I694" s="164"/>
      <c r="J694" s="164"/>
      <c r="K694" s="139"/>
      <c r="L694" s="130"/>
      <c r="M694" s="130"/>
      <c r="N694" s="130"/>
      <c r="O694" s="130"/>
      <c r="P694" s="130"/>
      <c r="Q694" s="130"/>
    </row>
    <row r="695" spans="1:17" x14ac:dyDescent="0.25">
      <c r="A695" s="164"/>
      <c r="B695" s="164"/>
      <c r="C695" s="165"/>
      <c r="D695" s="164"/>
      <c r="E695" s="139"/>
      <c r="F695" s="164"/>
      <c r="G695" s="139"/>
      <c r="H695" s="164"/>
      <c r="I695" s="164"/>
      <c r="J695" s="164"/>
      <c r="K695" s="139"/>
      <c r="L695" s="130"/>
      <c r="M695" s="130"/>
      <c r="N695" s="130"/>
      <c r="O695" s="130"/>
      <c r="P695" s="130"/>
      <c r="Q695" s="130"/>
    </row>
    <row r="696" spans="1:17" x14ac:dyDescent="0.25">
      <c r="A696" s="164"/>
      <c r="B696" s="164"/>
      <c r="C696" s="165"/>
      <c r="D696" s="164"/>
      <c r="E696" s="139"/>
      <c r="F696" s="164"/>
      <c r="G696" s="139"/>
      <c r="H696" s="164"/>
      <c r="I696" s="164"/>
      <c r="J696" s="164"/>
      <c r="K696" s="139"/>
      <c r="L696" s="130"/>
      <c r="M696" s="130"/>
      <c r="N696" s="130"/>
      <c r="O696" s="130"/>
      <c r="P696" s="130"/>
      <c r="Q696" s="130"/>
    </row>
    <row r="697" spans="1:17" x14ac:dyDescent="0.25">
      <c r="A697" s="164"/>
      <c r="B697" s="164"/>
      <c r="C697" s="165"/>
      <c r="D697" s="164"/>
      <c r="E697" s="139"/>
      <c r="F697" s="164"/>
      <c r="G697" s="139"/>
      <c r="H697" s="164"/>
      <c r="I697" s="164"/>
      <c r="J697" s="164"/>
      <c r="K697" s="139"/>
      <c r="L697" s="130"/>
      <c r="M697" s="130"/>
      <c r="N697" s="130"/>
      <c r="O697" s="130"/>
      <c r="P697" s="130"/>
      <c r="Q697" s="130"/>
    </row>
    <row r="698" spans="1:17" x14ac:dyDescent="0.25">
      <c r="A698" s="164"/>
      <c r="B698" s="164"/>
      <c r="C698" s="165"/>
      <c r="D698" s="164"/>
      <c r="E698" s="139"/>
      <c r="F698" s="164"/>
      <c r="G698" s="139"/>
      <c r="H698" s="164"/>
      <c r="I698" s="164"/>
      <c r="J698" s="164"/>
      <c r="K698" s="139"/>
      <c r="L698" s="130"/>
      <c r="M698" s="130"/>
      <c r="N698" s="130"/>
      <c r="O698" s="130"/>
      <c r="P698" s="130"/>
      <c r="Q698" s="130"/>
    </row>
    <row r="699" spans="1:17" x14ac:dyDescent="0.25">
      <c r="A699" s="164"/>
      <c r="B699" s="164"/>
      <c r="C699" s="165"/>
      <c r="D699" s="164"/>
      <c r="E699" s="139"/>
      <c r="F699" s="164"/>
      <c r="G699" s="139"/>
      <c r="H699" s="164"/>
      <c r="I699" s="164"/>
      <c r="J699" s="164"/>
      <c r="K699" s="139"/>
      <c r="L699" s="130"/>
      <c r="M699" s="130"/>
      <c r="N699" s="130"/>
      <c r="O699" s="130"/>
      <c r="P699" s="130"/>
      <c r="Q699" s="130"/>
    </row>
    <row r="700" spans="1:17" x14ac:dyDescent="0.25">
      <c r="A700" s="164"/>
      <c r="B700" s="164"/>
      <c r="C700" s="165"/>
      <c r="D700" s="164"/>
      <c r="E700" s="139"/>
      <c r="F700" s="164"/>
      <c r="G700" s="139"/>
      <c r="H700" s="164"/>
      <c r="I700" s="164"/>
      <c r="J700" s="164"/>
      <c r="K700" s="139"/>
      <c r="L700" s="130"/>
      <c r="M700" s="130"/>
      <c r="N700" s="130"/>
      <c r="O700" s="130"/>
      <c r="P700" s="130"/>
      <c r="Q700" s="130"/>
    </row>
    <row r="701" spans="1:17" x14ac:dyDescent="0.25">
      <c r="A701" s="164"/>
      <c r="B701" s="164"/>
      <c r="C701" s="165"/>
      <c r="D701" s="164"/>
      <c r="E701" s="139"/>
      <c r="F701" s="164"/>
      <c r="G701" s="139"/>
      <c r="H701" s="164"/>
      <c r="I701" s="164"/>
      <c r="J701" s="164"/>
      <c r="K701" s="139"/>
      <c r="L701" s="130"/>
      <c r="M701" s="130"/>
      <c r="N701" s="130"/>
      <c r="O701" s="130"/>
      <c r="P701" s="130"/>
      <c r="Q701" s="130"/>
    </row>
    <row r="702" spans="1:17" x14ac:dyDescent="0.25">
      <c r="A702" s="164"/>
      <c r="B702" s="164"/>
      <c r="C702" s="165"/>
      <c r="D702" s="164"/>
      <c r="E702" s="139"/>
      <c r="F702" s="164"/>
      <c r="G702" s="139"/>
      <c r="H702" s="164"/>
      <c r="I702" s="164"/>
      <c r="J702" s="164"/>
      <c r="K702" s="139"/>
      <c r="L702" s="130"/>
      <c r="M702" s="130"/>
      <c r="N702" s="130"/>
      <c r="O702" s="130"/>
      <c r="P702" s="130"/>
      <c r="Q702" s="130"/>
    </row>
    <row r="703" spans="1:17" x14ac:dyDescent="0.25">
      <c r="A703" s="164"/>
      <c r="B703" s="164"/>
      <c r="C703" s="165"/>
      <c r="D703" s="164"/>
      <c r="E703" s="139"/>
      <c r="F703" s="164"/>
      <c r="G703" s="139"/>
      <c r="H703" s="164"/>
      <c r="I703" s="164"/>
      <c r="J703" s="164"/>
      <c r="K703" s="139"/>
      <c r="L703" s="130"/>
      <c r="M703" s="130"/>
      <c r="N703" s="130"/>
      <c r="O703" s="130"/>
      <c r="P703" s="130"/>
      <c r="Q703" s="130"/>
    </row>
    <row r="704" spans="1:17" x14ac:dyDescent="0.25">
      <c r="A704" s="164"/>
      <c r="B704" s="164"/>
      <c r="C704" s="165"/>
      <c r="D704" s="164"/>
      <c r="E704" s="139"/>
      <c r="F704" s="164"/>
      <c r="G704" s="139"/>
      <c r="H704" s="164"/>
      <c r="I704" s="164"/>
      <c r="J704" s="164"/>
      <c r="K704" s="139"/>
      <c r="L704" s="130"/>
      <c r="M704" s="130"/>
      <c r="N704" s="130"/>
      <c r="O704" s="130"/>
      <c r="P704" s="130"/>
      <c r="Q704" s="130"/>
    </row>
    <row r="705" spans="1:17" x14ac:dyDescent="0.25">
      <c r="A705" s="164"/>
      <c r="B705" s="164"/>
      <c r="C705" s="165"/>
      <c r="D705" s="164"/>
      <c r="E705" s="139"/>
      <c r="F705" s="164"/>
      <c r="G705" s="139"/>
      <c r="H705" s="164"/>
      <c r="I705" s="164"/>
      <c r="J705" s="164"/>
      <c r="K705" s="139"/>
      <c r="L705" s="130"/>
      <c r="M705" s="130"/>
      <c r="N705" s="130"/>
      <c r="O705" s="130"/>
      <c r="P705" s="130"/>
      <c r="Q705" s="130"/>
    </row>
    <row r="706" spans="1:17" x14ac:dyDescent="0.25">
      <c r="A706" s="164"/>
      <c r="B706" s="164"/>
      <c r="C706" s="165"/>
      <c r="D706" s="164"/>
      <c r="E706" s="139"/>
      <c r="F706" s="164"/>
      <c r="G706" s="139"/>
      <c r="H706" s="164"/>
      <c r="I706" s="164"/>
      <c r="J706" s="164"/>
      <c r="K706" s="139"/>
      <c r="L706" s="130"/>
      <c r="M706" s="130"/>
      <c r="N706" s="130"/>
      <c r="O706" s="130"/>
      <c r="P706" s="130"/>
      <c r="Q706" s="130"/>
    </row>
    <row r="707" spans="1:17" x14ac:dyDescent="0.25">
      <c r="A707" s="164"/>
      <c r="B707" s="164"/>
      <c r="C707" s="165"/>
      <c r="D707" s="164"/>
      <c r="E707" s="139"/>
      <c r="F707" s="164"/>
      <c r="G707" s="139"/>
      <c r="H707" s="164"/>
      <c r="I707" s="164"/>
      <c r="J707" s="164"/>
      <c r="K707" s="139"/>
      <c r="L707" s="130"/>
      <c r="M707" s="130"/>
      <c r="N707" s="130"/>
      <c r="O707" s="130"/>
      <c r="P707" s="130"/>
      <c r="Q707" s="130"/>
    </row>
    <row r="708" spans="1:17" x14ac:dyDescent="0.25">
      <c r="A708" s="164"/>
      <c r="B708" s="164"/>
      <c r="C708" s="165"/>
      <c r="D708" s="164"/>
      <c r="E708" s="139"/>
      <c r="F708" s="164"/>
      <c r="G708" s="139"/>
      <c r="H708" s="164"/>
      <c r="I708" s="164"/>
      <c r="J708" s="164"/>
      <c r="K708" s="139"/>
      <c r="L708" s="130"/>
      <c r="M708" s="130"/>
      <c r="N708" s="130"/>
      <c r="O708" s="130"/>
      <c r="P708" s="130"/>
      <c r="Q708" s="130"/>
    </row>
    <row r="709" spans="1:17" x14ac:dyDescent="0.25">
      <c r="A709" s="164"/>
      <c r="B709" s="164"/>
      <c r="C709" s="165"/>
      <c r="D709" s="164"/>
      <c r="E709" s="139"/>
      <c r="F709" s="164"/>
      <c r="G709" s="139"/>
      <c r="H709" s="164"/>
      <c r="I709" s="164"/>
      <c r="J709" s="164"/>
      <c r="K709" s="139"/>
      <c r="L709" s="130"/>
      <c r="M709" s="130"/>
      <c r="N709" s="130"/>
      <c r="O709" s="130"/>
      <c r="P709" s="130"/>
      <c r="Q709" s="130"/>
    </row>
    <row r="710" spans="1:17" x14ac:dyDescent="0.25">
      <c r="A710" s="164"/>
      <c r="B710" s="164"/>
      <c r="C710" s="165"/>
      <c r="D710" s="164"/>
      <c r="E710" s="139"/>
      <c r="F710" s="164"/>
      <c r="G710" s="139"/>
      <c r="H710" s="164"/>
      <c r="I710" s="164"/>
      <c r="J710" s="164"/>
      <c r="K710" s="139"/>
      <c r="L710" s="130"/>
      <c r="M710" s="130"/>
      <c r="N710" s="130"/>
      <c r="O710" s="130"/>
      <c r="P710" s="130"/>
      <c r="Q710" s="130"/>
    </row>
    <row r="711" spans="1:17" x14ac:dyDescent="0.25">
      <c r="A711" s="164"/>
      <c r="B711" s="164"/>
      <c r="C711" s="165"/>
      <c r="D711" s="164"/>
      <c r="E711" s="139"/>
      <c r="F711" s="164"/>
      <c r="G711" s="139"/>
      <c r="H711" s="164"/>
      <c r="I711" s="164"/>
      <c r="J711" s="164"/>
      <c r="K711" s="139"/>
      <c r="L711" s="130"/>
      <c r="M711" s="130"/>
      <c r="N711" s="130"/>
      <c r="O711" s="130"/>
      <c r="P711" s="130"/>
      <c r="Q711" s="130"/>
    </row>
    <row r="712" spans="1:17" x14ac:dyDescent="0.25">
      <c r="A712" s="164"/>
      <c r="B712" s="164"/>
      <c r="C712" s="165"/>
      <c r="D712" s="164"/>
      <c r="E712" s="139"/>
      <c r="F712" s="164"/>
      <c r="G712" s="139"/>
      <c r="H712" s="164"/>
      <c r="I712" s="164"/>
      <c r="J712" s="164"/>
      <c r="K712" s="139"/>
      <c r="L712" s="130"/>
      <c r="M712" s="130"/>
      <c r="N712" s="130"/>
      <c r="O712" s="130"/>
      <c r="P712" s="130"/>
      <c r="Q712" s="130"/>
    </row>
    <row r="713" spans="1:17" x14ac:dyDescent="0.25">
      <c r="A713" s="164"/>
      <c r="B713" s="164"/>
      <c r="C713" s="165"/>
      <c r="D713" s="164"/>
      <c r="E713" s="139"/>
      <c r="F713" s="164"/>
      <c r="G713" s="139"/>
      <c r="H713" s="164"/>
      <c r="I713" s="164"/>
      <c r="J713" s="164"/>
      <c r="K713" s="139"/>
      <c r="L713" s="130"/>
      <c r="M713" s="130"/>
      <c r="N713" s="130"/>
      <c r="O713" s="130"/>
      <c r="P713" s="130"/>
      <c r="Q713" s="130"/>
    </row>
    <row r="714" spans="1:17" x14ac:dyDescent="0.25">
      <c r="A714" s="164"/>
      <c r="B714" s="164"/>
      <c r="C714" s="165"/>
      <c r="D714" s="164"/>
      <c r="E714" s="139"/>
      <c r="F714" s="164"/>
      <c r="G714" s="139"/>
      <c r="H714" s="164"/>
      <c r="I714" s="164"/>
      <c r="J714" s="164"/>
      <c r="K714" s="139"/>
      <c r="L714" s="130"/>
      <c r="M714" s="130"/>
      <c r="N714" s="130"/>
      <c r="O714" s="130"/>
      <c r="P714" s="130"/>
      <c r="Q714" s="130"/>
    </row>
    <row r="715" spans="1:17" x14ac:dyDescent="0.25">
      <c r="A715" s="164"/>
      <c r="B715" s="164"/>
      <c r="C715" s="165"/>
      <c r="D715" s="164"/>
      <c r="E715" s="139"/>
      <c r="F715" s="164"/>
      <c r="G715" s="139"/>
      <c r="H715" s="164"/>
      <c r="I715" s="164"/>
      <c r="J715" s="164"/>
      <c r="K715" s="139"/>
      <c r="L715" s="130"/>
      <c r="M715" s="130"/>
      <c r="N715" s="130"/>
      <c r="O715" s="130"/>
      <c r="P715" s="130"/>
      <c r="Q715" s="130"/>
    </row>
    <row r="716" spans="1:17" x14ac:dyDescent="0.25">
      <c r="A716" s="164"/>
      <c r="B716" s="164"/>
      <c r="C716" s="165"/>
      <c r="D716" s="164"/>
      <c r="E716" s="139"/>
      <c r="F716" s="164"/>
      <c r="G716" s="139"/>
      <c r="H716" s="164"/>
      <c r="I716" s="164"/>
      <c r="J716" s="164"/>
      <c r="K716" s="139"/>
      <c r="L716" s="130"/>
      <c r="M716" s="130"/>
      <c r="N716" s="130"/>
      <c r="O716" s="130"/>
      <c r="P716" s="130"/>
      <c r="Q716" s="130"/>
    </row>
    <row r="717" spans="1:17" x14ac:dyDescent="0.25">
      <c r="A717" s="164"/>
      <c r="B717" s="164"/>
      <c r="C717" s="165"/>
      <c r="D717" s="164"/>
      <c r="E717" s="139"/>
      <c r="F717" s="164"/>
      <c r="G717" s="139"/>
      <c r="H717" s="164"/>
      <c r="I717" s="164"/>
      <c r="J717" s="164"/>
      <c r="K717" s="139"/>
      <c r="L717" s="130"/>
      <c r="M717" s="130"/>
      <c r="N717" s="130"/>
      <c r="O717" s="130"/>
      <c r="P717" s="130"/>
      <c r="Q717" s="130"/>
    </row>
    <row r="718" spans="1:17" x14ac:dyDescent="0.25">
      <c r="A718" s="164"/>
      <c r="B718" s="164"/>
      <c r="C718" s="165"/>
      <c r="D718" s="164"/>
      <c r="E718" s="139"/>
      <c r="F718" s="164"/>
      <c r="G718" s="139"/>
      <c r="H718" s="164"/>
      <c r="I718" s="164"/>
      <c r="J718" s="164"/>
      <c r="K718" s="139"/>
      <c r="L718" s="130"/>
      <c r="M718" s="130"/>
      <c r="N718" s="130"/>
      <c r="O718" s="130"/>
      <c r="P718" s="130"/>
      <c r="Q718" s="130"/>
    </row>
    <row r="719" spans="1:17" x14ac:dyDescent="0.25">
      <c r="A719" s="164"/>
      <c r="B719" s="164"/>
      <c r="C719" s="165"/>
      <c r="D719" s="164"/>
      <c r="E719" s="139"/>
      <c r="F719" s="164"/>
      <c r="G719" s="139"/>
      <c r="H719" s="164"/>
      <c r="I719" s="164"/>
      <c r="J719" s="164"/>
      <c r="K719" s="139"/>
      <c r="L719" s="130"/>
      <c r="M719" s="130"/>
      <c r="N719" s="130"/>
      <c r="O719" s="130"/>
      <c r="P719" s="130"/>
      <c r="Q719" s="130"/>
    </row>
    <row r="720" spans="1:17" x14ac:dyDescent="0.25">
      <c r="A720" s="164"/>
      <c r="B720" s="164"/>
      <c r="C720" s="165"/>
      <c r="D720" s="164"/>
      <c r="E720" s="139"/>
      <c r="F720" s="164"/>
      <c r="G720" s="139"/>
      <c r="H720" s="164"/>
      <c r="I720" s="164"/>
      <c r="J720" s="164"/>
      <c r="K720" s="139"/>
      <c r="L720" s="130"/>
      <c r="M720" s="130"/>
      <c r="N720" s="130"/>
      <c r="O720" s="130"/>
      <c r="P720" s="130"/>
      <c r="Q720" s="130"/>
    </row>
    <row r="721" spans="1:17" x14ac:dyDescent="0.25">
      <c r="A721" s="164"/>
      <c r="B721" s="164"/>
      <c r="C721" s="165"/>
      <c r="D721" s="164"/>
      <c r="E721" s="139"/>
      <c r="F721" s="164"/>
      <c r="G721" s="139"/>
      <c r="H721" s="164"/>
      <c r="I721" s="164"/>
      <c r="J721" s="164"/>
      <c r="K721" s="139"/>
      <c r="L721" s="130"/>
      <c r="M721" s="130"/>
      <c r="N721" s="130"/>
      <c r="O721" s="130"/>
      <c r="P721" s="130"/>
      <c r="Q721" s="130"/>
    </row>
    <row r="722" spans="1:17" x14ac:dyDescent="0.25">
      <c r="A722" s="164"/>
      <c r="B722" s="164"/>
      <c r="C722" s="165"/>
      <c r="D722" s="164"/>
      <c r="E722" s="139"/>
      <c r="F722" s="164"/>
      <c r="G722" s="139"/>
      <c r="H722" s="164"/>
      <c r="I722" s="164"/>
      <c r="J722" s="164"/>
      <c r="K722" s="139"/>
      <c r="L722" s="130"/>
      <c r="M722" s="130"/>
      <c r="N722" s="130"/>
      <c r="O722" s="130"/>
      <c r="P722" s="130"/>
      <c r="Q722" s="130"/>
    </row>
    <row r="723" spans="1:17" x14ac:dyDescent="0.25">
      <c r="A723" s="164"/>
      <c r="B723" s="164"/>
      <c r="C723" s="165"/>
      <c r="D723" s="164"/>
      <c r="E723" s="139"/>
      <c r="F723" s="164"/>
      <c r="G723" s="139"/>
      <c r="H723" s="164"/>
      <c r="I723" s="164"/>
      <c r="J723" s="164"/>
      <c r="K723" s="139"/>
      <c r="L723" s="130"/>
      <c r="M723" s="130"/>
      <c r="N723" s="130"/>
      <c r="O723" s="130"/>
      <c r="P723" s="130"/>
      <c r="Q723" s="130"/>
    </row>
    <row r="724" spans="1:17" x14ac:dyDescent="0.25">
      <c r="A724" s="164"/>
      <c r="B724" s="164"/>
      <c r="C724" s="165"/>
      <c r="D724" s="164"/>
      <c r="E724" s="139"/>
      <c r="F724" s="164"/>
      <c r="G724" s="139"/>
      <c r="H724" s="164"/>
      <c r="I724" s="164"/>
      <c r="J724" s="164"/>
      <c r="K724" s="139"/>
      <c r="L724" s="130"/>
      <c r="M724" s="130"/>
      <c r="N724" s="130"/>
      <c r="O724" s="130"/>
      <c r="P724" s="130"/>
      <c r="Q724" s="130"/>
    </row>
    <row r="725" spans="1:17" x14ac:dyDescent="0.25">
      <c r="A725" s="164"/>
      <c r="B725" s="164"/>
      <c r="C725" s="165"/>
      <c r="D725" s="164"/>
      <c r="E725" s="139"/>
      <c r="F725" s="164"/>
      <c r="G725" s="139"/>
      <c r="H725" s="164"/>
      <c r="I725" s="164"/>
      <c r="J725" s="164"/>
      <c r="K725" s="139"/>
      <c r="L725" s="130"/>
      <c r="M725" s="130"/>
      <c r="N725" s="130"/>
      <c r="O725" s="130"/>
      <c r="P725" s="130"/>
      <c r="Q725" s="130"/>
    </row>
    <row r="726" spans="1:17" x14ac:dyDescent="0.25">
      <c r="A726" s="164"/>
      <c r="B726" s="164"/>
      <c r="C726" s="165"/>
      <c r="D726" s="164"/>
      <c r="E726" s="139"/>
      <c r="F726" s="164"/>
      <c r="G726" s="139"/>
      <c r="H726" s="164"/>
      <c r="I726" s="164"/>
      <c r="J726" s="164"/>
      <c r="K726" s="139"/>
      <c r="L726" s="130"/>
      <c r="M726" s="130"/>
      <c r="N726" s="130"/>
      <c r="O726" s="130"/>
      <c r="P726" s="130"/>
      <c r="Q726" s="130"/>
    </row>
    <row r="727" spans="1:17" x14ac:dyDescent="0.25">
      <c r="A727" s="164"/>
      <c r="B727" s="164"/>
      <c r="C727" s="165"/>
      <c r="D727" s="164"/>
      <c r="E727" s="139"/>
      <c r="F727" s="164"/>
      <c r="G727" s="139"/>
      <c r="H727" s="164"/>
      <c r="I727" s="164"/>
      <c r="J727" s="164"/>
      <c r="K727" s="139"/>
      <c r="L727" s="130"/>
      <c r="M727" s="130"/>
      <c r="N727" s="130"/>
      <c r="O727" s="130"/>
      <c r="P727" s="130"/>
      <c r="Q727" s="130"/>
    </row>
    <row r="728" spans="1:17" x14ac:dyDescent="0.25">
      <c r="A728" s="164"/>
      <c r="B728" s="164"/>
      <c r="C728" s="165"/>
      <c r="D728" s="164"/>
      <c r="E728" s="139"/>
      <c r="F728" s="164"/>
      <c r="G728" s="139"/>
      <c r="H728" s="164"/>
      <c r="I728" s="164"/>
      <c r="J728" s="164"/>
      <c r="K728" s="139"/>
      <c r="L728" s="130"/>
      <c r="M728" s="130"/>
      <c r="N728" s="130"/>
      <c r="O728" s="130"/>
      <c r="P728" s="130"/>
      <c r="Q728" s="130"/>
    </row>
    <row r="729" spans="1:17" x14ac:dyDescent="0.25">
      <c r="A729" s="164"/>
      <c r="B729" s="164"/>
      <c r="C729" s="165"/>
      <c r="D729" s="164"/>
      <c r="E729" s="139"/>
      <c r="F729" s="164"/>
      <c r="G729" s="139"/>
      <c r="H729" s="164"/>
      <c r="I729" s="164"/>
      <c r="J729" s="164"/>
      <c r="K729" s="139"/>
      <c r="L729" s="130"/>
      <c r="M729" s="130"/>
      <c r="N729" s="130"/>
      <c r="O729" s="130"/>
      <c r="P729" s="130"/>
      <c r="Q729" s="130"/>
    </row>
    <row r="730" spans="1:17" x14ac:dyDescent="0.25">
      <c r="A730" s="164"/>
      <c r="B730" s="164"/>
      <c r="C730" s="165"/>
      <c r="D730" s="164"/>
      <c r="E730" s="139"/>
      <c r="F730" s="164"/>
      <c r="G730" s="139"/>
      <c r="H730" s="164"/>
      <c r="I730" s="164"/>
      <c r="J730" s="164"/>
      <c r="K730" s="139"/>
      <c r="L730" s="130"/>
      <c r="M730" s="130"/>
      <c r="N730" s="130"/>
      <c r="O730" s="130"/>
      <c r="P730" s="130"/>
      <c r="Q730" s="130"/>
    </row>
    <row r="731" spans="1:17" x14ac:dyDescent="0.25">
      <c r="A731" s="164"/>
      <c r="B731" s="164"/>
      <c r="C731" s="165"/>
      <c r="D731" s="164"/>
      <c r="E731" s="139"/>
      <c r="F731" s="164"/>
      <c r="G731" s="139"/>
      <c r="H731" s="164"/>
      <c r="I731" s="164"/>
      <c r="J731" s="164"/>
      <c r="K731" s="139"/>
      <c r="L731" s="130"/>
      <c r="M731" s="130"/>
      <c r="N731" s="130"/>
      <c r="O731" s="130"/>
      <c r="P731" s="130"/>
      <c r="Q731" s="130"/>
    </row>
    <row r="732" spans="1:17" x14ac:dyDescent="0.25">
      <c r="A732" s="164"/>
      <c r="B732" s="164"/>
      <c r="C732" s="165"/>
      <c r="D732" s="164"/>
      <c r="E732" s="139"/>
      <c r="F732" s="164"/>
      <c r="G732" s="139"/>
      <c r="H732" s="164"/>
      <c r="I732" s="164"/>
      <c r="J732" s="164"/>
      <c r="K732" s="139"/>
      <c r="L732" s="130"/>
      <c r="M732" s="130"/>
      <c r="N732" s="130"/>
      <c r="O732" s="130"/>
      <c r="P732" s="130"/>
      <c r="Q732" s="130"/>
    </row>
    <row r="733" spans="1:17" x14ac:dyDescent="0.25">
      <c r="A733" s="164"/>
      <c r="B733" s="164"/>
      <c r="C733" s="165"/>
      <c r="D733" s="164"/>
      <c r="E733" s="139"/>
      <c r="F733" s="164"/>
      <c r="G733" s="139"/>
      <c r="H733" s="164"/>
      <c r="I733" s="164"/>
      <c r="J733" s="164"/>
      <c r="K733" s="139"/>
      <c r="L733" s="130"/>
      <c r="M733" s="130"/>
      <c r="N733" s="130"/>
      <c r="O733" s="130"/>
      <c r="P733" s="130"/>
      <c r="Q733" s="130"/>
    </row>
    <row r="734" spans="1:17" x14ac:dyDescent="0.25">
      <c r="A734" s="164"/>
      <c r="B734" s="164"/>
      <c r="C734" s="165"/>
      <c r="D734" s="164"/>
      <c r="E734" s="139"/>
      <c r="F734" s="164"/>
      <c r="G734" s="139"/>
      <c r="H734" s="164"/>
      <c r="I734" s="164"/>
      <c r="J734" s="164"/>
      <c r="K734" s="139"/>
      <c r="L734" s="130"/>
      <c r="M734" s="130"/>
      <c r="N734" s="130"/>
      <c r="O734" s="130"/>
      <c r="P734" s="130"/>
      <c r="Q734" s="130"/>
    </row>
    <row r="735" spans="1:17" x14ac:dyDescent="0.25">
      <c r="A735" s="164"/>
      <c r="B735" s="164"/>
      <c r="C735" s="165"/>
      <c r="D735" s="164"/>
      <c r="E735" s="139"/>
      <c r="F735" s="164"/>
      <c r="G735" s="139"/>
      <c r="H735" s="164"/>
      <c r="I735" s="164"/>
      <c r="J735" s="164"/>
      <c r="K735" s="139"/>
      <c r="L735" s="130"/>
      <c r="M735" s="130"/>
      <c r="N735" s="130"/>
      <c r="O735" s="130"/>
      <c r="P735" s="130"/>
      <c r="Q735" s="130"/>
    </row>
    <row r="736" spans="1:17" x14ac:dyDescent="0.25">
      <c r="A736" s="164"/>
      <c r="B736" s="164"/>
      <c r="C736" s="165"/>
      <c r="D736" s="164"/>
      <c r="E736" s="139"/>
      <c r="F736" s="164"/>
      <c r="G736" s="139"/>
      <c r="H736" s="164"/>
      <c r="I736" s="164"/>
      <c r="J736" s="164"/>
      <c r="K736" s="139"/>
      <c r="L736" s="130"/>
      <c r="M736" s="130"/>
      <c r="N736" s="130"/>
      <c r="O736" s="130"/>
      <c r="P736" s="130"/>
      <c r="Q736" s="130"/>
    </row>
    <row r="737" spans="1:17" x14ac:dyDescent="0.25">
      <c r="A737" s="164"/>
      <c r="B737" s="164"/>
      <c r="C737" s="165"/>
      <c r="D737" s="164"/>
      <c r="E737" s="139"/>
      <c r="F737" s="164"/>
      <c r="G737" s="139"/>
      <c r="H737" s="164"/>
      <c r="I737" s="164"/>
      <c r="J737" s="164"/>
      <c r="K737" s="139"/>
      <c r="L737" s="130"/>
      <c r="M737" s="130"/>
      <c r="N737" s="130"/>
      <c r="O737" s="130"/>
      <c r="P737" s="130"/>
      <c r="Q737" s="130"/>
    </row>
    <row r="738" spans="1:17" x14ac:dyDescent="0.25">
      <c r="A738" s="164"/>
      <c r="B738" s="164"/>
      <c r="C738" s="165"/>
      <c r="D738" s="164"/>
      <c r="E738" s="139"/>
      <c r="F738" s="164"/>
      <c r="G738" s="139"/>
      <c r="H738" s="164"/>
      <c r="I738" s="164"/>
      <c r="J738" s="164"/>
      <c r="K738" s="139"/>
      <c r="L738" s="130"/>
      <c r="M738" s="130"/>
      <c r="N738" s="130"/>
      <c r="O738" s="130"/>
      <c r="P738" s="130"/>
      <c r="Q738" s="130"/>
    </row>
    <row r="739" spans="1:17" x14ac:dyDescent="0.25">
      <c r="A739" s="164"/>
      <c r="B739" s="164"/>
      <c r="C739" s="165"/>
      <c r="D739" s="164"/>
      <c r="E739" s="139"/>
      <c r="F739" s="164"/>
      <c r="G739" s="139"/>
      <c r="H739" s="164"/>
      <c r="I739" s="164"/>
      <c r="J739" s="164"/>
      <c r="K739" s="139"/>
      <c r="L739" s="130"/>
      <c r="M739" s="130"/>
      <c r="N739" s="130"/>
      <c r="O739" s="130"/>
      <c r="P739" s="130"/>
      <c r="Q739" s="130"/>
    </row>
    <row r="740" spans="1:17" x14ac:dyDescent="0.25">
      <c r="A740" s="164"/>
      <c r="B740" s="164"/>
      <c r="C740" s="165"/>
      <c r="D740" s="164"/>
      <c r="E740" s="139"/>
      <c r="F740" s="164"/>
      <c r="G740" s="139"/>
      <c r="H740" s="164"/>
      <c r="I740" s="164"/>
      <c r="J740" s="164"/>
      <c r="K740" s="139"/>
      <c r="L740" s="130"/>
      <c r="M740" s="130"/>
      <c r="N740" s="130"/>
      <c r="O740" s="130"/>
      <c r="P740" s="130"/>
      <c r="Q740" s="130"/>
    </row>
    <row r="741" spans="1:17" x14ac:dyDescent="0.25">
      <c r="A741" s="164"/>
      <c r="B741" s="164"/>
      <c r="C741" s="165"/>
      <c r="D741" s="164"/>
      <c r="E741" s="139"/>
      <c r="F741" s="164"/>
      <c r="G741" s="139"/>
      <c r="H741" s="164"/>
      <c r="I741" s="164"/>
      <c r="J741" s="164"/>
      <c r="K741" s="139"/>
      <c r="L741" s="130"/>
      <c r="M741" s="130"/>
      <c r="N741" s="130"/>
      <c r="O741" s="130"/>
      <c r="P741" s="130"/>
      <c r="Q741" s="130"/>
    </row>
    <row r="742" spans="1:17" x14ac:dyDescent="0.25">
      <c r="A742" s="164"/>
      <c r="B742" s="164"/>
      <c r="C742" s="165"/>
      <c r="D742" s="164"/>
      <c r="E742" s="139"/>
      <c r="F742" s="164"/>
      <c r="G742" s="139"/>
      <c r="H742" s="164"/>
      <c r="I742" s="164"/>
      <c r="J742" s="164"/>
      <c r="K742" s="139"/>
      <c r="L742" s="130"/>
      <c r="M742" s="130"/>
      <c r="N742" s="130"/>
      <c r="O742" s="130"/>
      <c r="P742" s="130"/>
      <c r="Q742" s="130"/>
    </row>
    <row r="743" spans="1:17" x14ac:dyDescent="0.25">
      <c r="A743" s="164"/>
      <c r="B743" s="164"/>
      <c r="C743" s="165"/>
      <c r="D743" s="164"/>
      <c r="E743" s="139"/>
      <c r="F743" s="164"/>
      <c r="G743" s="139"/>
      <c r="H743" s="164"/>
      <c r="I743" s="164"/>
      <c r="J743" s="164"/>
      <c r="K743" s="139"/>
      <c r="L743" s="130"/>
      <c r="M743" s="130"/>
      <c r="N743" s="130"/>
      <c r="O743" s="130"/>
      <c r="P743" s="130"/>
      <c r="Q743" s="130"/>
    </row>
    <row r="744" spans="1:17" x14ac:dyDescent="0.25">
      <c r="A744" s="164"/>
      <c r="B744" s="164"/>
      <c r="C744" s="165"/>
      <c r="D744" s="164"/>
      <c r="E744" s="139"/>
      <c r="F744" s="164"/>
      <c r="G744" s="139"/>
      <c r="H744" s="164"/>
      <c r="I744" s="164"/>
      <c r="J744" s="164"/>
      <c r="K744" s="139"/>
      <c r="L744" s="130"/>
      <c r="M744" s="130"/>
      <c r="N744" s="130"/>
      <c r="O744" s="130"/>
      <c r="P744" s="130"/>
      <c r="Q744" s="130"/>
    </row>
    <row r="745" spans="1:17" x14ac:dyDescent="0.25">
      <c r="A745" s="164"/>
      <c r="B745" s="164"/>
      <c r="C745" s="165"/>
      <c r="D745" s="164"/>
      <c r="E745" s="139"/>
      <c r="F745" s="164"/>
      <c r="G745" s="139"/>
      <c r="H745" s="164"/>
      <c r="I745" s="164"/>
      <c r="J745" s="164"/>
      <c r="K745" s="139"/>
      <c r="L745" s="130"/>
      <c r="M745" s="130"/>
      <c r="N745" s="130"/>
      <c r="O745" s="130"/>
      <c r="P745" s="130"/>
      <c r="Q745" s="130"/>
    </row>
    <row r="746" spans="1:17" x14ac:dyDescent="0.25">
      <c r="A746" s="164"/>
      <c r="B746" s="164"/>
      <c r="C746" s="165"/>
      <c r="D746" s="164"/>
      <c r="E746" s="139"/>
      <c r="F746" s="164"/>
      <c r="G746" s="139"/>
      <c r="H746" s="164"/>
      <c r="I746" s="164"/>
      <c r="J746" s="164"/>
      <c r="K746" s="139"/>
      <c r="L746" s="130"/>
      <c r="M746" s="130"/>
      <c r="N746" s="130"/>
      <c r="O746" s="130"/>
      <c r="P746" s="130"/>
      <c r="Q746" s="130"/>
    </row>
    <row r="747" spans="1:17" x14ac:dyDescent="0.25">
      <c r="A747" s="164"/>
      <c r="B747" s="164"/>
      <c r="C747" s="165"/>
      <c r="D747" s="164"/>
      <c r="E747" s="139"/>
      <c r="F747" s="164"/>
      <c r="G747" s="139"/>
      <c r="H747" s="164"/>
      <c r="I747" s="164"/>
      <c r="J747" s="164"/>
      <c r="K747" s="139"/>
      <c r="L747" s="130"/>
      <c r="M747" s="130"/>
      <c r="N747" s="130"/>
      <c r="O747" s="130"/>
      <c r="P747" s="130"/>
      <c r="Q747" s="130"/>
    </row>
    <row r="748" spans="1:17" x14ac:dyDescent="0.25">
      <c r="A748" s="164"/>
      <c r="B748" s="164"/>
      <c r="C748" s="165"/>
      <c r="D748" s="164"/>
      <c r="E748" s="139"/>
      <c r="F748" s="164"/>
      <c r="G748" s="139"/>
      <c r="H748" s="164"/>
      <c r="I748" s="164"/>
      <c r="J748" s="164"/>
      <c r="K748" s="139"/>
      <c r="L748" s="130"/>
      <c r="M748" s="130"/>
      <c r="N748" s="130"/>
      <c r="O748" s="130"/>
      <c r="P748" s="130"/>
      <c r="Q748" s="130"/>
    </row>
    <row r="749" spans="1:17" x14ac:dyDescent="0.25">
      <c r="A749" s="164"/>
      <c r="B749" s="164"/>
      <c r="C749" s="165"/>
      <c r="D749" s="164"/>
      <c r="E749" s="139"/>
      <c r="F749" s="164"/>
      <c r="G749" s="139"/>
      <c r="H749" s="164"/>
      <c r="I749" s="164"/>
      <c r="J749" s="164"/>
      <c r="K749" s="139"/>
      <c r="L749" s="130"/>
      <c r="M749" s="130"/>
      <c r="N749" s="130"/>
      <c r="O749" s="130"/>
      <c r="P749" s="130"/>
      <c r="Q749" s="130"/>
    </row>
    <row r="750" spans="1:17" x14ac:dyDescent="0.25">
      <c r="A750" s="164"/>
      <c r="B750" s="164"/>
      <c r="C750" s="165"/>
      <c r="D750" s="164"/>
      <c r="E750" s="139"/>
      <c r="F750" s="164"/>
      <c r="G750" s="139"/>
      <c r="H750" s="164"/>
      <c r="I750" s="164"/>
      <c r="J750" s="164"/>
      <c r="K750" s="139"/>
      <c r="L750" s="130"/>
      <c r="M750" s="130"/>
      <c r="N750" s="130"/>
      <c r="O750" s="130"/>
      <c r="P750" s="130"/>
      <c r="Q750" s="130"/>
    </row>
    <row r="751" spans="1:17" x14ac:dyDescent="0.25">
      <c r="A751" s="164"/>
      <c r="B751" s="164"/>
      <c r="C751" s="165"/>
      <c r="D751" s="164"/>
      <c r="E751" s="139"/>
      <c r="F751" s="164"/>
      <c r="G751" s="139"/>
      <c r="H751" s="164"/>
      <c r="I751" s="164"/>
      <c r="J751" s="164"/>
      <c r="K751" s="139"/>
      <c r="L751" s="130"/>
      <c r="M751" s="130"/>
      <c r="N751" s="130"/>
      <c r="O751" s="130"/>
      <c r="P751" s="130"/>
      <c r="Q751" s="130"/>
    </row>
    <row r="752" spans="1:17" x14ac:dyDescent="0.25">
      <c r="A752" s="164"/>
      <c r="B752" s="164"/>
      <c r="C752" s="165"/>
      <c r="D752" s="164"/>
      <c r="E752" s="139"/>
      <c r="F752" s="164"/>
      <c r="G752" s="139"/>
      <c r="H752" s="164"/>
      <c r="I752" s="164"/>
      <c r="J752" s="164"/>
      <c r="K752" s="139"/>
      <c r="L752" s="130"/>
      <c r="M752" s="130"/>
      <c r="N752" s="130"/>
      <c r="O752" s="130"/>
      <c r="P752" s="130"/>
      <c r="Q752" s="130"/>
    </row>
    <row r="753" spans="1:17" x14ac:dyDescent="0.25">
      <c r="A753" s="164"/>
      <c r="B753" s="164"/>
      <c r="C753" s="165"/>
      <c r="D753" s="164"/>
      <c r="E753" s="139"/>
      <c r="F753" s="164"/>
      <c r="G753" s="139"/>
      <c r="H753" s="164"/>
      <c r="I753" s="164"/>
      <c r="J753" s="164"/>
      <c r="K753" s="139"/>
      <c r="L753" s="130"/>
      <c r="M753" s="130"/>
      <c r="N753" s="130"/>
      <c r="O753" s="130"/>
      <c r="P753" s="130"/>
      <c r="Q753" s="130"/>
    </row>
    <row r="754" spans="1:17" x14ac:dyDescent="0.25">
      <c r="A754" s="164"/>
      <c r="B754" s="164"/>
      <c r="C754" s="165"/>
      <c r="D754" s="164"/>
      <c r="E754" s="139"/>
      <c r="F754" s="164"/>
      <c r="G754" s="139"/>
      <c r="H754" s="164"/>
      <c r="I754" s="164"/>
      <c r="J754" s="164"/>
      <c r="K754" s="139"/>
      <c r="L754" s="130"/>
      <c r="M754" s="130"/>
      <c r="N754" s="130"/>
      <c r="O754" s="130"/>
      <c r="P754" s="130"/>
      <c r="Q754" s="130"/>
    </row>
    <row r="755" spans="1:17" x14ac:dyDescent="0.25">
      <c r="A755" s="164"/>
      <c r="B755" s="164"/>
      <c r="C755" s="165"/>
      <c r="D755" s="164"/>
      <c r="E755" s="139"/>
      <c r="F755" s="164"/>
      <c r="G755" s="139"/>
      <c r="H755" s="164"/>
      <c r="I755" s="164"/>
      <c r="J755" s="164"/>
      <c r="K755" s="139"/>
      <c r="L755" s="130"/>
      <c r="M755" s="130"/>
      <c r="N755" s="130"/>
      <c r="O755" s="130"/>
      <c r="P755" s="130"/>
      <c r="Q755" s="130"/>
    </row>
    <row r="756" spans="1:17" x14ac:dyDescent="0.25">
      <c r="A756" s="164"/>
      <c r="B756" s="164"/>
      <c r="C756" s="165"/>
      <c r="D756" s="164"/>
      <c r="E756" s="139"/>
      <c r="F756" s="164"/>
      <c r="G756" s="139"/>
      <c r="H756" s="164"/>
      <c r="I756" s="164"/>
      <c r="J756" s="164"/>
      <c r="K756" s="139"/>
      <c r="L756" s="130"/>
      <c r="M756" s="130"/>
      <c r="N756" s="130"/>
      <c r="O756" s="130"/>
      <c r="P756" s="130"/>
      <c r="Q756" s="130"/>
    </row>
    <row r="757" spans="1:17" x14ac:dyDescent="0.25">
      <c r="A757" s="164"/>
      <c r="B757" s="164"/>
      <c r="C757" s="165"/>
      <c r="D757" s="164"/>
      <c r="E757" s="139"/>
      <c r="F757" s="164"/>
      <c r="G757" s="139"/>
      <c r="H757" s="164"/>
      <c r="I757" s="164"/>
      <c r="J757" s="164"/>
      <c r="K757" s="139"/>
      <c r="L757" s="130"/>
      <c r="M757" s="130"/>
      <c r="N757" s="130"/>
      <c r="O757" s="130"/>
      <c r="P757" s="130"/>
      <c r="Q757" s="130"/>
    </row>
    <row r="758" spans="1:17" x14ac:dyDescent="0.25">
      <c r="A758" s="164"/>
      <c r="B758" s="164"/>
      <c r="C758" s="165"/>
      <c r="D758" s="164"/>
      <c r="E758" s="139"/>
      <c r="F758" s="164"/>
      <c r="G758" s="139"/>
      <c r="H758" s="164"/>
      <c r="I758" s="164"/>
      <c r="J758" s="164"/>
      <c r="K758" s="139"/>
      <c r="L758" s="130"/>
      <c r="M758" s="130"/>
      <c r="N758" s="130"/>
      <c r="O758" s="130"/>
      <c r="P758" s="130"/>
      <c r="Q758" s="130"/>
    </row>
    <row r="759" spans="1:17" x14ac:dyDescent="0.25">
      <c r="A759" s="164"/>
      <c r="B759" s="164"/>
      <c r="C759" s="165"/>
      <c r="D759" s="164"/>
      <c r="E759" s="139"/>
      <c r="F759" s="164"/>
      <c r="G759" s="139"/>
      <c r="H759" s="164"/>
      <c r="I759" s="164"/>
      <c r="J759" s="164"/>
      <c r="K759" s="139"/>
      <c r="L759" s="130"/>
      <c r="M759" s="130"/>
      <c r="N759" s="130"/>
      <c r="O759" s="130"/>
      <c r="P759" s="130"/>
      <c r="Q759" s="130"/>
    </row>
    <row r="760" spans="1:17" x14ac:dyDescent="0.25">
      <c r="A760" s="164"/>
      <c r="B760" s="164"/>
      <c r="C760" s="165"/>
      <c r="D760" s="164"/>
      <c r="E760" s="139"/>
      <c r="F760" s="164"/>
      <c r="G760" s="139"/>
      <c r="H760" s="164"/>
      <c r="I760" s="164"/>
      <c r="J760" s="164"/>
      <c r="K760" s="139"/>
      <c r="L760" s="130"/>
      <c r="M760" s="130"/>
      <c r="N760" s="130"/>
      <c r="O760" s="130"/>
      <c r="P760" s="130"/>
      <c r="Q760" s="130"/>
    </row>
    <row r="761" spans="1:17" x14ac:dyDescent="0.25">
      <c r="A761" s="164"/>
      <c r="B761" s="164"/>
      <c r="C761" s="165"/>
      <c r="D761" s="164"/>
      <c r="E761" s="139"/>
      <c r="F761" s="164"/>
      <c r="G761" s="139"/>
      <c r="H761" s="164"/>
      <c r="I761" s="164"/>
      <c r="J761" s="164"/>
      <c r="K761" s="139"/>
      <c r="L761" s="130"/>
      <c r="M761" s="130"/>
      <c r="N761" s="130"/>
      <c r="O761" s="130"/>
      <c r="P761" s="130"/>
      <c r="Q761" s="130"/>
    </row>
    <row r="762" spans="1:17" x14ac:dyDescent="0.25">
      <c r="A762" s="164"/>
      <c r="B762" s="164"/>
      <c r="C762" s="165"/>
      <c r="D762" s="164"/>
      <c r="E762" s="139"/>
      <c r="F762" s="164"/>
      <c r="G762" s="139"/>
      <c r="H762" s="164"/>
      <c r="I762" s="164"/>
      <c r="J762" s="164"/>
      <c r="K762" s="139"/>
      <c r="L762" s="130"/>
      <c r="M762" s="130"/>
      <c r="N762" s="130"/>
      <c r="O762" s="130"/>
      <c r="P762" s="130"/>
      <c r="Q762" s="130"/>
    </row>
    <row r="763" spans="1:17" x14ac:dyDescent="0.25">
      <c r="A763" s="164"/>
      <c r="B763" s="164"/>
      <c r="C763" s="165"/>
      <c r="D763" s="164"/>
      <c r="E763" s="139"/>
      <c r="F763" s="164"/>
      <c r="G763" s="139"/>
      <c r="H763" s="164"/>
      <c r="I763" s="164"/>
      <c r="J763" s="164"/>
      <c r="K763" s="139"/>
      <c r="L763" s="130"/>
      <c r="M763" s="130"/>
      <c r="N763" s="130"/>
      <c r="O763" s="130"/>
      <c r="P763" s="130"/>
      <c r="Q763" s="130"/>
    </row>
    <row r="764" spans="1:17" x14ac:dyDescent="0.25">
      <c r="A764" s="164"/>
      <c r="B764" s="164"/>
      <c r="C764" s="165"/>
      <c r="D764" s="164"/>
      <c r="E764" s="139"/>
      <c r="F764" s="164"/>
      <c r="G764" s="139"/>
      <c r="H764" s="164"/>
      <c r="I764" s="164"/>
      <c r="J764" s="164"/>
      <c r="K764" s="139"/>
      <c r="L764" s="130"/>
      <c r="M764" s="130"/>
      <c r="N764" s="130"/>
      <c r="O764" s="130"/>
      <c r="P764" s="130"/>
      <c r="Q764" s="130"/>
    </row>
    <row r="765" spans="1:17" x14ac:dyDescent="0.25">
      <c r="A765" s="164"/>
      <c r="B765" s="164"/>
      <c r="C765" s="165"/>
      <c r="D765" s="164"/>
      <c r="E765" s="139"/>
      <c r="F765" s="164"/>
      <c r="G765" s="139"/>
      <c r="H765" s="164"/>
      <c r="I765" s="164"/>
      <c r="J765" s="164"/>
      <c r="K765" s="139"/>
      <c r="L765" s="130"/>
      <c r="M765" s="130"/>
      <c r="N765" s="130"/>
      <c r="O765" s="130"/>
      <c r="P765" s="130"/>
      <c r="Q765" s="130"/>
    </row>
    <row r="766" spans="1:17" x14ac:dyDescent="0.25">
      <c r="A766" s="164"/>
      <c r="B766" s="164"/>
      <c r="C766" s="165"/>
      <c r="D766" s="164"/>
      <c r="E766" s="139"/>
      <c r="F766" s="164"/>
      <c r="G766" s="139"/>
      <c r="H766" s="164"/>
      <c r="I766" s="164"/>
      <c r="J766" s="164"/>
      <c r="K766" s="139"/>
      <c r="L766" s="130"/>
      <c r="M766" s="130"/>
      <c r="N766" s="130"/>
      <c r="O766" s="130"/>
      <c r="P766" s="130"/>
      <c r="Q766" s="130"/>
    </row>
    <row r="767" spans="1:17" x14ac:dyDescent="0.25">
      <c r="A767" s="164"/>
      <c r="B767" s="164"/>
      <c r="C767" s="165"/>
      <c r="D767" s="164"/>
      <c r="E767" s="139"/>
      <c r="F767" s="164"/>
      <c r="G767" s="139"/>
      <c r="H767" s="164"/>
      <c r="I767" s="164"/>
      <c r="J767" s="164"/>
      <c r="K767" s="139"/>
      <c r="L767" s="130"/>
      <c r="M767" s="130"/>
      <c r="N767" s="130"/>
      <c r="O767" s="130"/>
      <c r="P767" s="130"/>
      <c r="Q767" s="130"/>
    </row>
    <row r="768" spans="1:17" x14ac:dyDescent="0.25">
      <c r="A768" s="164"/>
      <c r="B768" s="164"/>
      <c r="C768" s="165"/>
      <c r="D768" s="164"/>
      <c r="E768" s="139"/>
      <c r="F768" s="164"/>
      <c r="G768" s="139"/>
      <c r="H768" s="164"/>
      <c r="I768" s="164"/>
      <c r="J768" s="164"/>
      <c r="K768" s="139"/>
      <c r="L768" s="130"/>
      <c r="M768" s="130"/>
      <c r="N768" s="130"/>
      <c r="O768" s="130"/>
      <c r="P768" s="130"/>
      <c r="Q768" s="130"/>
    </row>
    <row r="769" spans="1:17" x14ac:dyDescent="0.25">
      <c r="A769" s="164"/>
      <c r="B769" s="164"/>
      <c r="C769" s="165"/>
      <c r="D769" s="164"/>
      <c r="E769" s="139"/>
      <c r="F769" s="164"/>
      <c r="G769" s="139"/>
      <c r="H769" s="164"/>
      <c r="I769" s="164"/>
      <c r="J769" s="164"/>
      <c r="K769" s="139"/>
      <c r="L769" s="130"/>
      <c r="M769" s="130"/>
      <c r="N769" s="130"/>
      <c r="O769" s="130"/>
      <c r="P769" s="130"/>
      <c r="Q769" s="130"/>
    </row>
    <row r="770" spans="1:17" x14ac:dyDescent="0.25">
      <c r="A770" s="164"/>
      <c r="B770" s="164"/>
      <c r="C770" s="165"/>
      <c r="D770" s="164"/>
      <c r="E770" s="139"/>
      <c r="F770" s="164"/>
      <c r="G770" s="139"/>
      <c r="H770" s="164"/>
      <c r="I770" s="164"/>
      <c r="J770" s="164"/>
      <c r="K770" s="139"/>
      <c r="L770" s="130"/>
      <c r="M770" s="130"/>
      <c r="N770" s="130"/>
      <c r="O770" s="130"/>
      <c r="P770" s="130"/>
      <c r="Q770" s="130"/>
    </row>
    <row r="771" spans="1:17" x14ac:dyDescent="0.25">
      <c r="A771" s="164"/>
      <c r="B771" s="164"/>
      <c r="C771" s="165"/>
      <c r="D771" s="164"/>
      <c r="E771" s="139"/>
      <c r="F771" s="164"/>
      <c r="G771" s="139"/>
      <c r="H771" s="164"/>
      <c r="I771" s="164"/>
      <c r="J771" s="164"/>
      <c r="K771" s="139"/>
      <c r="L771" s="130"/>
      <c r="M771" s="130"/>
      <c r="N771" s="130"/>
      <c r="O771" s="130"/>
      <c r="P771" s="130"/>
      <c r="Q771" s="130"/>
    </row>
    <row r="772" spans="1:17" x14ac:dyDescent="0.25">
      <c r="A772" s="164"/>
      <c r="B772" s="164"/>
      <c r="C772" s="165"/>
      <c r="D772" s="164"/>
      <c r="E772" s="139"/>
      <c r="F772" s="164"/>
      <c r="G772" s="139"/>
      <c r="H772" s="164"/>
      <c r="I772" s="164"/>
      <c r="J772" s="164"/>
      <c r="K772" s="139"/>
      <c r="L772" s="130"/>
      <c r="M772" s="130"/>
      <c r="N772" s="130"/>
      <c r="O772" s="130"/>
      <c r="P772" s="130"/>
      <c r="Q772" s="130"/>
    </row>
    <row r="773" spans="1:17" x14ac:dyDescent="0.25">
      <c r="A773" s="164"/>
      <c r="B773" s="164"/>
      <c r="C773" s="165"/>
      <c r="D773" s="164"/>
      <c r="E773" s="139"/>
      <c r="F773" s="164"/>
      <c r="G773" s="139"/>
      <c r="H773" s="164"/>
      <c r="I773" s="164"/>
      <c r="J773" s="164"/>
      <c r="K773" s="139"/>
      <c r="L773" s="130"/>
      <c r="M773" s="130"/>
      <c r="N773" s="130"/>
      <c r="O773" s="130"/>
      <c r="P773" s="130"/>
      <c r="Q773" s="130"/>
    </row>
    <row r="774" spans="1:17" x14ac:dyDescent="0.25">
      <c r="A774" s="164"/>
      <c r="B774" s="164"/>
      <c r="C774" s="165"/>
      <c r="D774" s="164"/>
      <c r="E774" s="139"/>
      <c r="F774" s="164"/>
      <c r="G774" s="139"/>
      <c r="H774" s="164"/>
      <c r="I774" s="164"/>
      <c r="J774" s="164"/>
      <c r="K774" s="139"/>
      <c r="L774" s="130"/>
      <c r="M774" s="130"/>
      <c r="N774" s="130"/>
      <c r="O774" s="130"/>
      <c r="P774" s="130"/>
      <c r="Q774" s="130"/>
    </row>
    <row r="775" spans="1:17" x14ac:dyDescent="0.25">
      <c r="A775" s="164"/>
      <c r="B775" s="164"/>
      <c r="C775" s="165"/>
      <c r="D775" s="164"/>
      <c r="E775" s="139"/>
      <c r="F775" s="164"/>
      <c r="G775" s="139"/>
      <c r="H775" s="164"/>
      <c r="I775" s="164"/>
      <c r="J775" s="164"/>
      <c r="K775" s="139"/>
      <c r="L775" s="130"/>
      <c r="M775" s="130"/>
      <c r="N775" s="130"/>
      <c r="O775" s="130"/>
      <c r="P775" s="130"/>
      <c r="Q775" s="130"/>
    </row>
    <row r="776" spans="1:17" x14ac:dyDescent="0.25">
      <c r="A776" s="164"/>
      <c r="B776" s="164"/>
      <c r="C776" s="165"/>
      <c r="D776" s="164"/>
      <c r="E776" s="139"/>
      <c r="F776" s="164"/>
      <c r="G776" s="139"/>
      <c r="H776" s="164"/>
      <c r="I776" s="164"/>
      <c r="J776" s="164"/>
      <c r="K776" s="139"/>
      <c r="L776" s="130"/>
      <c r="M776" s="130"/>
      <c r="N776" s="130"/>
      <c r="O776" s="130"/>
      <c r="P776" s="130"/>
      <c r="Q776" s="130"/>
    </row>
    <row r="777" spans="1:17" x14ac:dyDescent="0.25">
      <c r="A777" s="164"/>
      <c r="B777" s="164"/>
      <c r="C777" s="165"/>
      <c r="D777" s="164"/>
      <c r="E777" s="139"/>
      <c r="F777" s="164"/>
      <c r="G777" s="139"/>
      <c r="H777" s="164"/>
      <c r="I777" s="164"/>
      <c r="J777" s="164"/>
      <c r="K777" s="139"/>
      <c r="L777" s="130"/>
      <c r="M777" s="130"/>
      <c r="N777" s="130"/>
      <c r="O777" s="130"/>
      <c r="P777" s="130"/>
      <c r="Q777" s="130"/>
    </row>
    <row r="778" spans="1:17" x14ac:dyDescent="0.25">
      <c r="A778" s="164"/>
      <c r="B778" s="164"/>
      <c r="C778" s="165"/>
      <c r="D778" s="164"/>
      <c r="E778" s="139"/>
      <c r="F778" s="164"/>
      <c r="G778" s="139"/>
      <c r="H778" s="164"/>
      <c r="I778" s="164"/>
      <c r="J778" s="164"/>
      <c r="K778" s="139"/>
      <c r="L778" s="130"/>
      <c r="M778" s="130"/>
      <c r="N778" s="130"/>
      <c r="O778" s="130"/>
      <c r="P778" s="130"/>
      <c r="Q778" s="130"/>
    </row>
    <row r="779" spans="1:17" x14ac:dyDescent="0.25">
      <c r="A779" s="164"/>
      <c r="B779" s="164"/>
      <c r="C779" s="165"/>
      <c r="D779" s="164"/>
      <c r="E779" s="139"/>
      <c r="F779" s="164"/>
      <c r="G779" s="139"/>
      <c r="H779" s="164"/>
      <c r="I779" s="164"/>
      <c r="J779" s="164"/>
      <c r="K779" s="139"/>
      <c r="L779" s="130"/>
      <c r="M779" s="130"/>
      <c r="N779" s="130"/>
      <c r="O779" s="130"/>
      <c r="P779" s="130"/>
      <c r="Q779" s="130"/>
    </row>
    <row r="780" spans="1:17" x14ac:dyDescent="0.25">
      <c r="A780" s="164"/>
      <c r="B780" s="164"/>
      <c r="C780" s="165"/>
      <c r="D780" s="164"/>
      <c r="E780" s="139"/>
      <c r="F780" s="164"/>
      <c r="G780" s="139"/>
      <c r="H780" s="164"/>
      <c r="I780" s="164"/>
      <c r="J780" s="164"/>
      <c r="K780" s="139"/>
      <c r="L780" s="130"/>
      <c r="M780" s="130"/>
      <c r="N780" s="130"/>
      <c r="O780" s="130"/>
      <c r="P780" s="130"/>
      <c r="Q780" s="130"/>
    </row>
    <row r="781" spans="1:17" x14ac:dyDescent="0.25">
      <c r="A781" s="164"/>
      <c r="B781" s="164"/>
      <c r="C781" s="165"/>
      <c r="D781" s="164"/>
      <c r="E781" s="139"/>
      <c r="F781" s="164"/>
      <c r="G781" s="139"/>
      <c r="H781" s="164"/>
      <c r="I781" s="164"/>
      <c r="J781" s="164"/>
      <c r="K781" s="139"/>
      <c r="L781" s="130"/>
      <c r="M781" s="130"/>
      <c r="N781" s="130"/>
      <c r="O781" s="130"/>
      <c r="P781" s="130"/>
      <c r="Q781" s="130"/>
    </row>
    <row r="782" spans="1:17" x14ac:dyDescent="0.25">
      <c r="A782" s="164"/>
      <c r="B782" s="164"/>
      <c r="C782" s="165"/>
      <c r="D782" s="164"/>
      <c r="E782" s="139"/>
      <c r="F782" s="164"/>
      <c r="G782" s="139"/>
      <c r="H782" s="164"/>
      <c r="I782" s="164"/>
      <c r="J782" s="164"/>
      <c r="K782" s="139"/>
      <c r="L782" s="130"/>
      <c r="M782" s="130"/>
      <c r="N782" s="130"/>
      <c r="O782" s="130"/>
      <c r="P782" s="130"/>
      <c r="Q782" s="130"/>
    </row>
    <row r="783" spans="1:17" x14ac:dyDescent="0.25">
      <c r="A783" s="164"/>
      <c r="B783" s="164"/>
      <c r="C783" s="165"/>
      <c r="D783" s="164"/>
      <c r="E783" s="139"/>
      <c r="F783" s="164"/>
      <c r="G783" s="139"/>
      <c r="H783" s="164"/>
      <c r="I783" s="164"/>
      <c r="J783" s="164"/>
      <c r="K783" s="139"/>
      <c r="L783" s="130"/>
      <c r="M783" s="130"/>
      <c r="N783" s="130"/>
      <c r="O783" s="130"/>
      <c r="P783" s="130"/>
      <c r="Q783" s="130"/>
    </row>
    <row r="784" spans="1:17" x14ac:dyDescent="0.25">
      <c r="A784" s="164"/>
      <c r="B784" s="164"/>
      <c r="C784" s="165"/>
      <c r="D784" s="164"/>
      <c r="E784" s="139"/>
      <c r="F784" s="164"/>
      <c r="G784" s="139"/>
      <c r="H784" s="164"/>
      <c r="I784" s="164"/>
      <c r="J784" s="164"/>
      <c r="K784" s="139"/>
      <c r="L784" s="130"/>
      <c r="M784" s="130"/>
      <c r="N784" s="130"/>
      <c r="O784" s="130"/>
      <c r="P784" s="130"/>
      <c r="Q784" s="130"/>
    </row>
    <row r="785" spans="1:17" x14ac:dyDescent="0.25">
      <c r="A785" s="164"/>
      <c r="B785" s="164"/>
      <c r="C785" s="165"/>
      <c r="D785" s="164"/>
      <c r="E785" s="139"/>
      <c r="F785" s="164"/>
      <c r="G785" s="139"/>
      <c r="H785" s="164"/>
      <c r="I785" s="164"/>
      <c r="J785" s="164"/>
      <c r="K785" s="139"/>
      <c r="L785" s="130"/>
      <c r="M785" s="130"/>
      <c r="N785" s="130"/>
      <c r="O785" s="130"/>
      <c r="P785" s="130"/>
      <c r="Q785" s="130"/>
    </row>
    <row r="786" spans="1:17" x14ac:dyDescent="0.25">
      <c r="A786" s="164"/>
      <c r="B786" s="164"/>
      <c r="C786" s="165"/>
      <c r="D786" s="164"/>
      <c r="E786" s="139"/>
      <c r="F786" s="164"/>
      <c r="G786" s="139"/>
      <c r="H786" s="164"/>
      <c r="I786" s="164"/>
      <c r="J786" s="164"/>
      <c r="K786" s="139"/>
      <c r="L786" s="130"/>
      <c r="M786" s="130"/>
      <c r="N786" s="130"/>
      <c r="O786" s="130"/>
      <c r="P786" s="130"/>
      <c r="Q786" s="130"/>
    </row>
    <row r="787" spans="1:17" x14ac:dyDescent="0.25">
      <c r="A787" s="164"/>
      <c r="B787" s="164"/>
      <c r="C787" s="165"/>
      <c r="D787" s="164"/>
      <c r="E787" s="139"/>
      <c r="F787" s="164"/>
      <c r="G787" s="139"/>
      <c r="H787" s="164"/>
      <c r="I787" s="164"/>
      <c r="J787" s="164"/>
      <c r="K787" s="139"/>
      <c r="L787" s="130"/>
      <c r="M787" s="130"/>
      <c r="N787" s="130"/>
      <c r="O787" s="130"/>
      <c r="P787" s="130"/>
      <c r="Q787" s="130"/>
    </row>
    <row r="788" spans="1:17" x14ac:dyDescent="0.25">
      <c r="A788" s="164"/>
      <c r="B788" s="164"/>
      <c r="C788" s="165"/>
      <c r="D788" s="164"/>
      <c r="E788" s="139"/>
      <c r="F788" s="164"/>
      <c r="G788" s="139"/>
      <c r="H788" s="164"/>
      <c r="I788" s="164"/>
      <c r="J788" s="164"/>
      <c r="K788" s="139"/>
      <c r="L788" s="130"/>
      <c r="M788" s="130"/>
      <c r="N788" s="130"/>
      <c r="O788" s="130"/>
      <c r="P788" s="130"/>
      <c r="Q788" s="130"/>
    </row>
    <row r="789" spans="1:17" x14ac:dyDescent="0.25">
      <c r="A789" s="164"/>
      <c r="B789" s="164"/>
      <c r="C789" s="165"/>
      <c r="D789" s="164"/>
      <c r="E789" s="139"/>
      <c r="F789" s="164"/>
      <c r="G789" s="139"/>
      <c r="H789" s="164"/>
      <c r="I789" s="164"/>
      <c r="J789" s="164"/>
      <c r="K789" s="139"/>
      <c r="L789" s="130"/>
      <c r="M789" s="130"/>
      <c r="N789" s="130"/>
      <c r="O789" s="130"/>
      <c r="P789" s="130"/>
      <c r="Q789" s="130"/>
    </row>
    <row r="790" spans="1:17" x14ac:dyDescent="0.25">
      <c r="A790" s="164"/>
      <c r="B790" s="164"/>
      <c r="C790" s="165"/>
      <c r="D790" s="164"/>
      <c r="E790" s="139"/>
      <c r="F790" s="164"/>
      <c r="G790" s="139"/>
      <c r="H790" s="164"/>
      <c r="I790" s="164"/>
      <c r="J790" s="164"/>
      <c r="K790" s="139"/>
      <c r="L790" s="130"/>
      <c r="M790" s="130"/>
      <c r="N790" s="130"/>
      <c r="O790" s="130"/>
      <c r="P790" s="130"/>
      <c r="Q790" s="130"/>
    </row>
    <row r="791" spans="1:17" x14ac:dyDescent="0.25">
      <c r="A791" s="164"/>
      <c r="B791" s="164"/>
      <c r="C791" s="165"/>
      <c r="D791" s="164"/>
      <c r="E791" s="139"/>
      <c r="F791" s="164"/>
      <c r="G791" s="139"/>
      <c r="H791" s="164"/>
      <c r="I791" s="164"/>
      <c r="J791" s="164"/>
      <c r="K791" s="139"/>
      <c r="L791" s="130"/>
      <c r="M791" s="130"/>
      <c r="N791" s="130"/>
      <c r="O791" s="130"/>
      <c r="P791" s="130"/>
      <c r="Q791" s="130"/>
    </row>
    <row r="792" spans="1:17" x14ac:dyDescent="0.25">
      <c r="A792" s="164"/>
      <c r="B792" s="164"/>
      <c r="C792" s="165"/>
      <c r="D792" s="164"/>
      <c r="E792" s="139"/>
      <c r="F792" s="164"/>
      <c r="G792" s="139"/>
      <c r="H792" s="164"/>
      <c r="I792" s="164"/>
      <c r="J792" s="164"/>
      <c r="K792" s="139"/>
      <c r="L792" s="130"/>
      <c r="M792" s="130"/>
      <c r="N792" s="130"/>
      <c r="O792" s="130"/>
      <c r="P792" s="130"/>
      <c r="Q792" s="130"/>
    </row>
    <row r="793" spans="1:17" x14ac:dyDescent="0.25">
      <c r="A793" s="164"/>
      <c r="B793" s="164"/>
      <c r="C793" s="165"/>
      <c r="D793" s="164"/>
      <c r="E793" s="139"/>
      <c r="F793" s="164"/>
      <c r="G793" s="139"/>
      <c r="H793" s="164"/>
      <c r="I793" s="164"/>
      <c r="J793" s="164"/>
      <c r="K793" s="139"/>
      <c r="L793" s="130"/>
      <c r="M793" s="130"/>
      <c r="N793" s="130"/>
      <c r="O793" s="130"/>
      <c r="P793" s="130"/>
      <c r="Q793" s="130"/>
    </row>
    <row r="794" spans="1:17" x14ac:dyDescent="0.25">
      <c r="A794" s="164"/>
      <c r="B794" s="164"/>
      <c r="C794" s="165"/>
      <c r="D794" s="164"/>
      <c r="E794" s="139"/>
      <c r="F794" s="164"/>
      <c r="G794" s="139"/>
      <c r="H794" s="164"/>
      <c r="I794" s="164"/>
      <c r="J794" s="164"/>
      <c r="K794" s="139"/>
      <c r="L794" s="130"/>
      <c r="M794" s="130"/>
      <c r="N794" s="130"/>
      <c r="O794" s="130"/>
      <c r="P794" s="130"/>
      <c r="Q794" s="130"/>
    </row>
    <row r="795" spans="1:17" x14ac:dyDescent="0.25">
      <c r="A795" s="164"/>
      <c r="B795" s="164"/>
      <c r="C795" s="165"/>
      <c r="D795" s="164"/>
      <c r="E795" s="139"/>
      <c r="F795" s="164"/>
      <c r="G795" s="139"/>
      <c r="H795" s="164"/>
      <c r="I795" s="164"/>
      <c r="J795" s="164"/>
      <c r="K795" s="139"/>
      <c r="L795" s="130"/>
      <c r="M795" s="130"/>
      <c r="N795" s="130"/>
      <c r="O795" s="130"/>
      <c r="P795" s="130"/>
      <c r="Q795" s="130"/>
    </row>
    <row r="796" spans="1:17" x14ac:dyDescent="0.25">
      <c r="A796" s="164"/>
      <c r="B796" s="164"/>
      <c r="C796" s="165"/>
      <c r="D796" s="164"/>
      <c r="E796" s="139"/>
      <c r="F796" s="164"/>
      <c r="G796" s="139"/>
      <c r="H796" s="164"/>
      <c r="I796" s="164"/>
      <c r="J796" s="164"/>
      <c r="K796" s="139"/>
      <c r="L796" s="130"/>
      <c r="M796" s="130"/>
      <c r="N796" s="130"/>
      <c r="O796" s="130"/>
      <c r="P796" s="130"/>
      <c r="Q796" s="130"/>
    </row>
    <row r="797" spans="1:17" x14ac:dyDescent="0.25">
      <c r="A797" s="164"/>
      <c r="B797" s="164"/>
      <c r="C797" s="165"/>
      <c r="D797" s="164"/>
      <c r="E797" s="139"/>
      <c r="F797" s="164"/>
      <c r="G797" s="139"/>
      <c r="H797" s="164"/>
      <c r="I797" s="164"/>
      <c r="J797" s="164"/>
      <c r="K797" s="139"/>
      <c r="L797" s="130"/>
      <c r="M797" s="130"/>
      <c r="N797" s="130"/>
      <c r="O797" s="130"/>
      <c r="P797" s="130"/>
      <c r="Q797" s="130"/>
    </row>
    <row r="798" spans="1:17" x14ac:dyDescent="0.25">
      <c r="A798" s="164"/>
      <c r="B798" s="164"/>
      <c r="C798" s="165"/>
      <c r="D798" s="164"/>
      <c r="E798" s="139"/>
      <c r="F798" s="164"/>
      <c r="G798" s="139"/>
      <c r="H798" s="164"/>
      <c r="I798" s="164"/>
      <c r="J798" s="164"/>
      <c r="K798" s="139"/>
      <c r="L798" s="130"/>
      <c r="M798" s="130"/>
      <c r="N798" s="130"/>
      <c r="O798" s="130"/>
      <c r="P798" s="130"/>
      <c r="Q798" s="130"/>
    </row>
    <row r="799" spans="1:17" x14ac:dyDescent="0.25">
      <c r="A799" s="164"/>
      <c r="B799" s="164"/>
      <c r="C799" s="165"/>
      <c r="D799" s="164"/>
      <c r="E799" s="139"/>
      <c r="F799" s="164"/>
      <c r="G799" s="139"/>
      <c r="H799" s="164"/>
      <c r="I799" s="164"/>
      <c r="J799" s="164"/>
      <c r="K799" s="139"/>
      <c r="L799" s="130"/>
      <c r="M799" s="130"/>
      <c r="N799" s="130"/>
      <c r="O799" s="130"/>
      <c r="P799" s="130"/>
      <c r="Q799" s="130"/>
    </row>
    <row r="800" spans="1:17" x14ac:dyDescent="0.25">
      <c r="A800" s="164"/>
      <c r="B800" s="164"/>
      <c r="C800" s="165"/>
      <c r="D800" s="164"/>
      <c r="E800" s="139"/>
      <c r="F800" s="164"/>
      <c r="G800" s="139"/>
      <c r="H800" s="164"/>
      <c r="I800" s="164"/>
      <c r="J800" s="164"/>
      <c r="K800" s="139"/>
      <c r="L800" s="130"/>
      <c r="M800" s="130"/>
      <c r="N800" s="130"/>
      <c r="O800" s="130"/>
      <c r="P800" s="130"/>
      <c r="Q800" s="130"/>
    </row>
    <row r="801" spans="1:17" x14ac:dyDescent="0.25">
      <c r="A801" s="164"/>
      <c r="B801" s="164"/>
      <c r="C801" s="165"/>
      <c r="D801" s="164"/>
      <c r="E801" s="139"/>
      <c r="F801" s="164"/>
      <c r="G801" s="139"/>
      <c r="H801" s="164"/>
      <c r="I801" s="164"/>
      <c r="J801" s="164"/>
      <c r="K801" s="139"/>
      <c r="L801" s="130"/>
      <c r="M801" s="130"/>
      <c r="N801" s="130"/>
      <c r="O801" s="130"/>
      <c r="P801" s="130"/>
      <c r="Q801" s="130"/>
    </row>
    <row r="802" spans="1:17" x14ac:dyDescent="0.25">
      <c r="A802" s="164"/>
      <c r="B802" s="164"/>
      <c r="C802" s="165"/>
      <c r="D802" s="164"/>
      <c r="E802" s="139"/>
      <c r="F802" s="164"/>
      <c r="G802" s="139"/>
      <c r="H802" s="164"/>
      <c r="I802" s="164"/>
      <c r="J802" s="164"/>
      <c r="K802" s="139"/>
      <c r="L802" s="130"/>
      <c r="M802" s="130"/>
      <c r="N802" s="130"/>
      <c r="O802" s="130"/>
      <c r="P802" s="130"/>
      <c r="Q802" s="130"/>
    </row>
    <row r="803" spans="1:17" x14ac:dyDescent="0.25">
      <c r="A803" s="164"/>
      <c r="B803" s="164"/>
      <c r="C803" s="165"/>
      <c r="D803" s="164"/>
      <c r="E803" s="139"/>
      <c r="F803" s="164"/>
      <c r="G803" s="139"/>
      <c r="H803" s="164"/>
      <c r="I803" s="164"/>
      <c r="J803" s="164"/>
      <c r="K803" s="139"/>
      <c r="L803" s="130"/>
      <c r="M803" s="130"/>
      <c r="N803" s="130"/>
      <c r="O803" s="130"/>
      <c r="P803" s="130"/>
      <c r="Q803" s="130"/>
    </row>
    <row r="804" spans="1:17" x14ac:dyDescent="0.25">
      <c r="A804" s="164"/>
      <c r="B804" s="164"/>
      <c r="C804" s="165"/>
      <c r="D804" s="164"/>
      <c r="E804" s="139"/>
      <c r="F804" s="164"/>
      <c r="G804" s="139"/>
      <c r="H804" s="164"/>
      <c r="I804" s="164"/>
      <c r="J804" s="164"/>
      <c r="K804" s="139"/>
      <c r="L804" s="130"/>
      <c r="M804" s="130"/>
      <c r="N804" s="130"/>
      <c r="O804" s="130"/>
      <c r="P804" s="130"/>
      <c r="Q804" s="130"/>
    </row>
    <row r="805" spans="1:17" x14ac:dyDescent="0.25">
      <c r="A805" s="164"/>
      <c r="B805" s="164"/>
      <c r="C805" s="165"/>
      <c r="D805" s="164"/>
      <c r="E805" s="139"/>
      <c r="F805" s="164"/>
      <c r="G805" s="139"/>
      <c r="H805" s="164"/>
      <c r="I805" s="164"/>
      <c r="J805" s="164"/>
      <c r="K805" s="139"/>
      <c r="L805" s="130"/>
      <c r="M805" s="130"/>
      <c r="N805" s="130"/>
      <c r="O805" s="130"/>
      <c r="P805" s="130"/>
      <c r="Q805" s="130"/>
    </row>
    <row r="806" spans="1:17" x14ac:dyDescent="0.25">
      <c r="A806" s="164"/>
      <c r="B806" s="164"/>
      <c r="C806" s="165"/>
      <c r="D806" s="164"/>
      <c r="E806" s="139"/>
      <c r="F806" s="164"/>
      <c r="G806" s="139"/>
      <c r="H806" s="164"/>
      <c r="I806" s="164"/>
      <c r="J806" s="164"/>
      <c r="K806" s="139"/>
      <c r="L806" s="130"/>
      <c r="M806" s="130"/>
      <c r="N806" s="130"/>
      <c r="O806" s="130"/>
      <c r="P806" s="130"/>
      <c r="Q806" s="130"/>
    </row>
    <row r="807" spans="1:17" x14ac:dyDescent="0.25">
      <c r="A807" s="164"/>
      <c r="B807" s="164"/>
      <c r="C807" s="165"/>
      <c r="D807" s="164"/>
      <c r="E807" s="139"/>
      <c r="F807" s="164"/>
      <c r="G807" s="139"/>
      <c r="H807" s="164"/>
      <c r="I807" s="164"/>
      <c r="J807" s="164"/>
      <c r="K807" s="139"/>
      <c r="L807" s="130"/>
      <c r="M807" s="130"/>
      <c r="N807" s="130"/>
      <c r="O807" s="130"/>
      <c r="P807" s="130"/>
      <c r="Q807" s="130"/>
    </row>
    <row r="808" spans="1:17" x14ac:dyDescent="0.25">
      <c r="A808" s="164"/>
      <c r="B808" s="164"/>
      <c r="C808" s="165"/>
      <c r="D808" s="164"/>
      <c r="E808" s="139"/>
      <c r="F808" s="164"/>
      <c r="G808" s="139"/>
      <c r="H808" s="164"/>
      <c r="I808" s="164"/>
      <c r="J808" s="164"/>
      <c r="K808" s="139"/>
      <c r="L808" s="130"/>
      <c r="M808" s="130"/>
      <c r="N808" s="130"/>
      <c r="O808" s="130"/>
      <c r="P808" s="130"/>
      <c r="Q808" s="130"/>
    </row>
    <row r="809" spans="1:17" x14ac:dyDescent="0.25">
      <c r="A809" s="164"/>
      <c r="B809" s="164"/>
      <c r="C809" s="165"/>
      <c r="D809" s="164"/>
      <c r="E809" s="139"/>
      <c r="F809" s="164"/>
      <c r="G809" s="139"/>
      <c r="H809" s="164"/>
      <c r="I809" s="164"/>
      <c r="J809" s="164"/>
      <c r="K809" s="139"/>
      <c r="L809" s="130"/>
      <c r="M809" s="130"/>
      <c r="N809" s="130"/>
      <c r="O809" s="130"/>
      <c r="P809" s="130"/>
      <c r="Q809" s="130"/>
    </row>
    <row r="810" spans="1:17" x14ac:dyDescent="0.25">
      <c r="A810" s="164"/>
      <c r="B810" s="164"/>
      <c r="C810" s="165"/>
      <c r="D810" s="164"/>
      <c r="E810" s="139"/>
      <c r="F810" s="164"/>
      <c r="G810" s="139"/>
      <c r="H810" s="164"/>
      <c r="I810" s="164"/>
      <c r="J810" s="164"/>
      <c r="K810" s="139"/>
      <c r="L810" s="130"/>
      <c r="M810" s="130"/>
      <c r="N810" s="130"/>
      <c r="O810" s="130"/>
      <c r="P810" s="130"/>
      <c r="Q810" s="130"/>
    </row>
    <row r="811" spans="1:17" x14ac:dyDescent="0.25">
      <c r="A811" s="164"/>
      <c r="B811" s="164"/>
      <c r="C811" s="165"/>
      <c r="D811" s="164"/>
      <c r="E811" s="139"/>
      <c r="F811" s="164"/>
      <c r="G811" s="139"/>
      <c r="H811" s="164"/>
      <c r="I811" s="164"/>
      <c r="J811" s="164"/>
      <c r="K811" s="139"/>
      <c r="L811" s="130"/>
      <c r="M811" s="130"/>
      <c r="N811" s="130"/>
      <c r="O811" s="130"/>
      <c r="P811" s="130"/>
      <c r="Q811" s="130"/>
    </row>
    <row r="812" spans="1:17" x14ac:dyDescent="0.25">
      <c r="A812" s="164"/>
      <c r="B812" s="164"/>
      <c r="C812" s="165"/>
      <c r="D812" s="164"/>
      <c r="E812" s="139"/>
      <c r="F812" s="164"/>
      <c r="G812" s="139"/>
      <c r="H812" s="164"/>
      <c r="I812" s="164"/>
      <c r="J812" s="164"/>
      <c r="K812" s="139"/>
      <c r="L812" s="130"/>
      <c r="M812" s="130"/>
      <c r="N812" s="130"/>
      <c r="O812" s="130"/>
      <c r="P812" s="130"/>
      <c r="Q812" s="130"/>
    </row>
    <row r="813" spans="1:17" x14ac:dyDescent="0.25">
      <c r="A813" s="164"/>
      <c r="B813" s="164"/>
      <c r="C813" s="165"/>
      <c r="D813" s="164"/>
      <c r="E813" s="139"/>
      <c r="F813" s="164"/>
      <c r="G813" s="139"/>
      <c r="H813" s="164"/>
      <c r="I813" s="164"/>
      <c r="J813" s="164"/>
      <c r="K813" s="139"/>
      <c r="L813" s="130"/>
      <c r="M813" s="130"/>
      <c r="N813" s="130"/>
      <c r="O813" s="130"/>
      <c r="P813" s="130"/>
      <c r="Q813" s="130"/>
    </row>
    <row r="814" spans="1:17" x14ac:dyDescent="0.25">
      <c r="A814" s="164"/>
      <c r="B814" s="164"/>
      <c r="C814" s="165"/>
      <c r="D814" s="164"/>
      <c r="E814" s="139"/>
      <c r="F814" s="164"/>
      <c r="G814" s="139"/>
      <c r="H814" s="164"/>
      <c r="I814" s="164"/>
      <c r="J814" s="164"/>
      <c r="K814" s="139"/>
      <c r="L814" s="130"/>
      <c r="M814" s="130"/>
      <c r="N814" s="130"/>
      <c r="O814" s="130"/>
      <c r="P814" s="130"/>
      <c r="Q814" s="130"/>
    </row>
    <row r="815" spans="1:17" x14ac:dyDescent="0.25">
      <c r="A815" s="164"/>
      <c r="B815" s="164"/>
      <c r="C815" s="165"/>
      <c r="D815" s="164"/>
      <c r="E815" s="139"/>
      <c r="F815" s="164"/>
      <c r="G815" s="139"/>
      <c r="H815" s="164"/>
      <c r="I815" s="164"/>
      <c r="J815" s="164"/>
      <c r="K815" s="139"/>
      <c r="L815" s="130"/>
      <c r="M815" s="130"/>
      <c r="N815" s="130"/>
      <c r="O815" s="130"/>
      <c r="P815" s="130"/>
      <c r="Q815" s="130"/>
    </row>
    <row r="816" spans="1:17" x14ac:dyDescent="0.25">
      <c r="A816" s="164"/>
      <c r="B816" s="164"/>
      <c r="C816" s="165"/>
      <c r="D816" s="164"/>
      <c r="E816" s="139"/>
      <c r="F816" s="164"/>
      <c r="G816" s="139"/>
      <c r="H816" s="164"/>
      <c r="I816" s="164"/>
      <c r="J816" s="164"/>
      <c r="K816" s="139"/>
      <c r="L816" s="130"/>
      <c r="M816" s="130"/>
      <c r="N816" s="130"/>
      <c r="O816" s="130"/>
      <c r="P816" s="130"/>
      <c r="Q816" s="130"/>
    </row>
    <row r="817" spans="1:17" x14ac:dyDescent="0.25">
      <c r="A817" s="164"/>
      <c r="B817" s="164"/>
      <c r="C817" s="165"/>
      <c r="D817" s="164"/>
      <c r="E817" s="139"/>
      <c r="F817" s="164"/>
      <c r="G817" s="139"/>
      <c r="H817" s="164"/>
      <c r="I817" s="164"/>
      <c r="J817" s="164"/>
      <c r="K817" s="139"/>
      <c r="L817" s="130"/>
      <c r="M817" s="130"/>
      <c r="N817" s="130"/>
      <c r="O817" s="130"/>
      <c r="P817" s="130"/>
      <c r="Q817" s="130"/>
    </row>
    <row r="818" spans="1:17" x14ac:dyDescent="0.25">
      <c r="A818" s="164"/>
      <c r="B818" s="164"/>
      <c r="C818" s="165"/>
      <c r="D818" s="164"/>
      <c r="E818" s="139"/>
      <c r="F818" s="164"/>
      <c r="G818" s="139"/>
      <c r="H818" s="164"/>
      <c r="I818" s="164"/>
      <c r="J818" s="164"/>
      <c r="K818" s="139"/>
      <c r="L818" s="130"/>
      <c r="M818" s="130"/>
      <c r="N818" s="130"/>
      <c r="O818" s="130"/>
      <c r="P818" s="130"/>
      <c r="Q818" s="130"/>
    </row>
    <row r="819" spans="1:17" x14ac:dyDescent="0.25">
      <c r="A819" s="164"/>
      <c r="B819" s="164"/>
      <c r="C819" s="165"/>
      <c r="D819" s="164"/>
      <c r="E819" s="139"/>
      <c r="F819" s="164"/>
      <c r="G819" s="139"/>
      <c r="H819" s="164"/>
      <c r="I819" s="164"/>
      <c r="J819" s="164"/>
      <c r="K819" s="139"/>
      <c r="L819" s="130"/>
      <c r="M819" s="130"/>
      <c r="N819" s="130"/>
      <c r="O819" s="130"/>
      <c r="P819" s="130"/>
      <c r="Q819" s="130"/>
    </row>
    <row r="820" spans="1:17" x14ac:dyDescent="0.25">
      <c r="A820" s="164"/>
      <c r="B820" s="164"/>
      <c r="C820" s="165"/>
      <c r="D820" s="164"/>
      <c r="E820" s="139"/>
      <c r="F820" s="164"/>
      <c r="G820" s="139"/>
      <c r="H820" s="164"/>
      <c r="I820" s="164"/>
      <c r="J820" s="164"/>
      <c r="K820" s="139"/>
      <c r="L820" s="130"/>
      <c r="M820" s="130"/>
      <c r="N820" s="130"/>
      <c r="O820" s="130"/>
      <c r="P820" s="130"/>
      <c r="Q820" s="130"/>
    </row>
    <row r="821" spans="1:17" x14ac:dyDescent="0.25">
      <c r="A821" s="164"/>
      <c r="B821" s="164"/>
      <c r="C821" s="165"/>
      <c r="D821" s="164"/>
      <c r="E821" s="139"/>
      <c r="F821" s="164"/>
      <c r="G821" s="139"/>
      <c r="H821" s="164"/>
      <c r="I821" s="164"/>
      <c r="J821" s="164"/>
      <c r="K821" s="139"/>
      <c r="L821" s="130"/>
      <c r="M821" s="130"/>
      <c r="N821" s="130"/>
      <c r="O821" s="130"/>
      <c r="P821" s="130"/>
      <c r="Q821" s="130"/>
    </row>
    <row r="822" spans="1:17" x14ac:dyDescent="0.25">
      <c r="A822" s="164"/>
      <c r="B822" s="164"/>
      <c r="C822" s="165"/>
      <c r="D822" s="164"/>
      <c r="E822" s="139"/>
      <c r="F822" s="164"/>
      <c r="G822" s="139"/>
      <c r="H822" s="164"/>
      <c r="I822" s="164"/>
      <c r="J822" s="164"/>
      <c r="K822" s="139"/>
      <c r="L822" s="130"/>
      <c r="M822" s="130"/>
      <c r="N822" s="130"/>
      <c r="O822" s="130"/>
      <c r="P822" s="130"/>
      <c r="Q822" s="130"/>
    </row>
    <row r="823" spans="1:17" x14ac:dyDescent="0.25">
      <c r="A823" s="164"/>
      <c r="B823" s="164"/>
      <c r="C823" s="165"/>
      <c r="D823" s="164"/>
      <c r="E823" s="139"/>
      <c r="F823" s="164"/>
      <c r="G823" s="139"/>
      <c r="H823" s="164"/>
      <c r="I823" s="164"/>
      <c r="J823" s="164"/>
      <c r="K823" s="139"/>
      <c r="L823" s="130"/>
      <c r="M823" s="130"/>
      <c r="N823" s="130"/>
      <c r="O823" s="130"/>
      <c r="P823" s="130"/>
      <c r="Q823" s="130"/>
    </row>
    <row r="824" spans="1:17" x14ac:dyDescent="0.25">
      <c r="A824" s="164"/>
      <c r="B824" s="164"/>
      <c r="C824" s="165"/>
      <c r="D824" s="164"/>
      <c r="E824" s="139"/>
      <c r="F824" s="164"/>
      <c r="G824" s="139"/>
      <c r="H824" s="164"/>
      <c r="I824" s="164"/>
      <c r="J824" s="164"/>
      <c r="K824" s="139"/>
      <c r="L824" s="130"/>
      <c r="M824" s="130"/>
      <c r="N824" s="130"/>
      <c r="O824" s="130"/>
      <c r="P824" s="130"/>
      <c r="Q824" s="130"/>
    </row>
    <row r="825" spans="1:17" x14ac:dyDescent="0.25">
      <c r="A825" s="164"/>
      <c r="B825" s="164"/>
      <c r="C825" s="165"/>
      <c r="D825" s="164"/>
      <c r="E825" s="139"/>
      <c r="F825" s="164"/>
      <c r="G825" s="139"/>
      <c r="H825" s="164"/>
      <c r="I825" s="164"/>
      <c r="J825" s="164"/>
      <c r="K825" s="139"/>
      <c r="L825" s="130"/>
      <c r="M825" s="130"/>
      <c r="N825" s="130"/>
      <c r="O825" s="130"/>
      <c r="P825" s="130"/>
      <c r="Q825" s="130"/>
    </row>
    <row r="826" spans="1:17" x14ac:dyDescent="0.25">
      <c r="A826" s="164"/>
      <c r="B826" s="164"/>
      <c r="C826" s="165"/>
      <c r="D826" s="164"/>
      <c r="E826" s="139"/>
      <c r="F826" s="164"/>
      <c r="G826" s="139"/>
      <c r="H826" s="164"/>
      <c r="I826" s="164"/>
      <c r="J826" s="164"/>
      <c r="K826" s="139"/>
      <c r="L826" s="130"/>
      <c r="M826" s="130"/>
      <c r="N826" s="130"/>
      <c r="O826" s="130"/>
      <c r="P826" s="130"/>
      <c r="Q826" s="130"/>
    </row>
    <row r="827" spans="1:17" x14ac:dyDescent="0.25">
      <c r="A827" s="164"/>
      <c r="B827" s="164"/>
      <c r="C827" s="165"/>
      <c r="D827" s="164"/>
      <c r="E827" s="139"/>
      <c r="F827" s="164"/>
      <c r="G827" s="139"/>
      <c r="H827" s="164"/>
      <c r="I827" s="164"/>
      <c r="J827" s="164"/>
      <c r="K827" s="139"/>
      <c r="L827" s="130"/>
      <c r="M827" s="130"/>
      <c r="N827" s="130"/>
      <c r="O827" s="130"/>
      <c r="P827" s="130"/>
      <c r="Q827" s="130"/>
    </row>
    <row r="828" spans="1:17" x14ac:dyDescent="0.25">
      <c r="A828" s="164"/>
      <c r="B828" s="164"/>
      <c r="C828" s="165"/>
      <c r="D828" s="164"/>
      <c r="E828" s="139"/>
      <c r="F828" s="164"/>
      <c r="G828" s="139"/>
      <c r="H828" s="164"/>
      <c r="I828" s="164"/>
      <c r="J828" s="164"/>
      <c r="K828" s="139"/>
      <c r="L828" s="130"/>
      <c r="M828" s="130"/>
      <c r="N828" s="130"/>
      <c r="O828" s="130"/>
      <c r="P828" s="130"/>
      <c r="Q828" s="130"/>
    </row>
    <row r="829" spans="1:17" x14ac:dyDescent="0.25">
      <c r="A829" s="164"/>
      <c r="B829" s="164"/>
      <c r="C829" s="165"/>
      <c r="D829" s="164"/>
      <c r="E829" s="139"/>
      <c r="F829" s="164"/>
      <c r="G829" s="139"/>
      <c r="H829" s="164"/>
      <c r="I829" s="164"/>
      <c r="J829" s="164"/>
      <c r="K829" s="139"/>
      <c r="L829" s="130"/>
      <c r="M829" s="130"/>
      <c r="N829" s="130"/>
      <c r="O829" s="130"/>
      <c r="P829" s="130"/>
      <c r="Q829" s="130"/>
    </row>
    <row r="830" spans="1:17" x14ac:dyDescent="0.25">
      <c r="A830" s="164"/>
      <c r="B830" s="164"/>
      <c r="C830" s="165"/>
      <c r="D830" s="164"/>
      <c r="E830" s="139"/>
      <c r="F830" s="164"/>
      <c r="G830" s="139"/>
      <c r="H830" s="164"/>
      <c r="I830" s="164"/>
      <c r="J830" s="164"/>
      <c r="K830" s="139"/>
      <c r="L830" s="130"/>
      <c r="M830" s="130"/>
      <c r="N830" s="130"/>
      <c r="O830" s="130"/>
      <c r="P830" s="130"/>
      <c r="Q830" s="130"/>
    </row>
    <row r="831" spans="1:17" x14ac:dyDescent="0.25">
      <c r="A831" s="164"/>
      <c r="B831" s="164"/>
      <c r="C831" s="165"/>
      <c r="D831" s="164"/>
      <c r="E831" s="139"/>
      <c r="F831" s="164"/>
      <c r="G831" s="139"/>
      <c r="H831" s="164"/>
      <c r="I831" s="164"/>
      <c r="J831" s="164"/>
      <c r="K831" s="139"/>
      <c r="L831" s="130"/>
      <c r="M831" s="130"/>
      <c r="N831" s="130"/>
      <c r="O831" s="130"/>
      <c r="P831" s="130"/>
      <c r="Q831" s="130"/>
    </row>
    <row r="832" spans="1:17" x14ac:dyDescent="0.25">
      <c r="A832" s="164"/>
      <c r="B832" s="164"/>
      <c r="C832" s="165"/>
      <c r="D832" s="164"/>
      <c r="E832" s="139"/>
      <c r="F832" s="164"/>
      <c r="G832" s="139"/>
      <c r="H832" s="164"/>
      <c r="I832" s="164"/>
      <c r="J832" s="164"/>
      <c r="K832" s="139"/>
      <c r="L832" s="130"/>
      <c r="M832" s="130"/>
      <c r="N832" s="130"/>
      <c r="O832" s="130"/>
      <c r="P832" s="130"/>
      <c r="Q832" s="130"/>
    </row>
    <row r="833" spans="1:17" x14ac:dyDescent="0.25">
      <c r="A833" s="164"/>
      <c r="B833" s="164"/>
      <c r="C833" s="165"/>
      <c r="D833" s="164"/>
      <c r="E833" s="139"/>
      <c r="F833" s="164"/>
      <c r="G833" s="139"/>
      <c r="H833" s="164"/>
      <c r="I833" s="164"/>
      <c r="J833" s="164"/>
      <c r="K833" s="139"/>
      <c r="L833" s="130"/>
      <c r="M833" s="130"/>
      <c r="N833" s="130"/>
      <c r="O833" s="130"/>
      <c r="P833" s="130"/>
      <c r="Q833" s="130"/>
    </row>
    <row r="834" spans="1:17" x14ac:dyDescent="0.25">
      <c r="A834" s="164"/>
      <c r="B834" s="164"/>
      <c r="C834" s="165"/>
      <c r="D834" s="164"/>
      <c r="E834" s="139"/>
      <c r="F834" s="164"/>
      <c r="G834" s="139"/>
      <c r="H834" s="164"/>
      <c r="I834" s="164"/>
      <c r="J834" s="164"/>
      <c r="K834" s="139"/>
      <c r="L834" s="130"/>
      <c r="M834" s="130"/>
      <c r="N834" s="130"/>
      <c r="O834" s="130"/>
      <c r="P834" s="130"/>
      <c r="Q834" s="130"/>
    </row>
    <row r="835" spans="1:17" x14ac:dyDescent="0.25">
      <c r="A835" s="164"/>
      <c r="B835" s="164"/>
      <c r="C835" s="165"/>
      <c r="D835" s="164"/>
      <c r="E835" s="139"/>
      <c r="F835" s="164"/>
      <c r="G835" s="139"/>
      <c r="H835" s="164"/>
      <c r="I835" s="164"/>
      <c r="J835" s="164"/>
      <c r="K835" s="139"/>
      <c r="L835" s="130"/>
      <c r="M835" s="130"/>
      <c r="N835" s="130"/>
      <c r="O835" s="130"/>
      <c r="P835" s="130"/>
      <c r="Q835" s="130"/>
    </row>
    <row r="836" spans="1:17" x14ac:dyDescent="0.25">
      <c r="A836" s="164"/>
      <c r="B836" s="164"/>
      <c r="C836" s="165"/>
      <c r="D836" s="164"/>
      <c r="E836" s="139"/>
      <c r="F836" s="164"/>
      <c r="G836" s="139"/>
      <c r="H836" s="164"/>
      <c r="I836" s="164"/>
      <c r="J836" s="164"/>
      <c r="K836" s="139"/>
      <c r="L836" s="130"/>
      <c r="M836" s="130"/>
      <c r="N836" s="130"/>
      <c r="O836" s="130"/>
      <c r="P836" s="130"/>
      <c r="Q836" s="130"/>
    </row>
    <row r="837" spans="1:17" x14ac:dyDescent="0.25">
      <c r="A837" s="164"/>
      <c r="B837" s="164"/>
      <c r="C837" s="165"/>
      <c r="D837" s="164"/>
      <c r="E837" s="139"/>
      <c r="F837" s="164"/>
      <c r="G837" s="139"/>
      <c r="H837" s="164"/>
      <c r="I837" s="164"/>
      <c r="J837" s="164"/>
      <c r="K837" s="139"/>
      <c r="L837" s="130"/>
      <c r="M837" s="130"/>
      <c r="N837" s="130"/>
      <c r="O837" s="130"/>
      <c r="P837" s="130"/>
      <c r="Q837" s="130"/>
    </row>
    <row r="838" spans="1:17" x14ac:dyDescent="0.25">
      <c r="A838" s="164"/>
      <c r="B838" s="164"/>
      <c r="C838" s="165"/>
      <c r="D838" s="164"/>
      <c r="E838" s="139"/>
      <c r="F838" s="164"/>
      <c r="G838" s="139"/>
      <c r="H838" s="164"/>
      <c r="I838" s="164"/>
      <c r="J838" s="164"/>
      <c r="K838" s="139"/>
      <c r="L838" s="130"/>
      <c r="M838" s="130"/>
      <c r="N838" s="130"/>
      <c r="O838" s="130"/>
      <c r="P838" s="130"/>
      <c r="Q838" s="130"/>
    </row>
    <row r="839" spans="1:17" x14ac:dyDescent="0.25">
      <c r="A839" s="164"/>
      <c r="B839" s="164"/>
      <c r="C839" s="165"/>
      <c r="D839" s="164"/>
      <c r="E839" s="139"/>
      <c r="F839" s="164"/>
      <c r="G839" s="139"/>
      <c r="H839" s="164"/>
      <c r="I839" s="164"/>
      <c r="J839" s="164"/>
      <c r="K839" s="139"/>
      <c r="L839" s="130"/>
      <c r="M839" s="130"/>
      <c r="N839" s="130"/>
      <c r="O839" s="130"/>
      <c r="P839" s="130"/>
      <c r="Q839" s="130"/>
    </row>
    <row r="840" spans="1:17" x14ac:dyDescent="0.25">
      <c r="A840" s="164"/>
      <c r="B840" s="164"/>
      <c r="C840" s="165"/>
      <c r="D840" s="164"/>
      <c r="E840" s="139"/>
      <c r="F840" s="164"/>
      <c r="G840" s="139"/>
      <c r="H840" s="164"/>
      <c r="I840" s="164"/>
      <c r="J840" s="164"/>
      <c r="K840" s="139"/>
      <c r="L840" s="130"/>
      <c r="M840" s="130"/>
      <c r="N840" s="130"/>
      <c r="O840" s="130"/>
      <c r="P840" s="130"/>
      <c r="Q840" s="130"/>
    </row>
    <row r="841" spans="1:17" x14ac:dyDescent="0.25">
      <c r="A841" s="164"/>
      <c r="B841" s="164"/>
      <c r="C841" s="165"/>
      <c r="D841" s="164"/>
      <c r="E841" s="139"/>
      <c r="F841" s="164"/>
      <c r="G841" s="139"/>
      <c r="H841" s="164"/>
      <c r="I841" s="164"/>
      <c r="J841" s="164"/>
      <c r="K841" s="139"/>
      <c r="L841" s="130"/>
      <c r="M841" s="130"/>
      <c r="N841" s="130"/>
      <c r="O841" s="130"/>
      <c r="P841" s="130"/>
      <c r="Q841" s="130"/>
    </row>
    <row r="842" spans="1:17" x14ac:dyDescent="0.25">
      <c r="A842" s="164"/>
      <c r="B842" s="164"/>
      <c r="C842" s="165"/>
      <c r="D842" s="164"/>
      <c r="E842" s="139"/>
      <c r="F842" s="164"/>
      <c r="G842" s="139"/>
      <c r="H842" s="164"/>
      <c r="I842" s="164"/>
      <c r="J842" s="164"/>
      <c r="K842" s="139"/>
      <c r="L842" s="130"/>
      <c r="M842" s="130"/>
      <c r="N842" s="130"/>
      <c r="O842" s="130"/>
      <c r="P842" s="130"/>
      <c r="Q842" s="130"/>
    </row>
    <row r="843" spans="1:17" x14ac:dyDescent="0.25">
      <c r="A843" s="164"/>
      <c r="B843" s="164"/>
      <c r="C843" s="165"/>
      <c r="D843" s="164"/>
      <c r="E843" s="139"/>
      <c r="F843" s="164"/>
      <c r="G843" s="139"/>
      <c r="H843" s="164"/>
      <c r="I843" s="164"/>
      <c r="J843" s="164"/>
      <c r="K843" s="139"/>
      <c r="L843" s="130"/>
      <c r="M843" s="130"/>
      <c r="N843" s="130"/>
      <c r="O843" s="130"/>
      <c r="P843" s="130"/>
      <c r="Q843" s="130"/>
    </row>
    <row r="844" spans="1:17" x14ac:dyDescent="0.25">
      <c r="A844" s="164"/>
      <c r="B844" s="164"/>
      <c r="C844" s="165"/>
      <c r="D844" s="164"/>
      <c r="E844" s="139"/>
      <c r="F844" s="164"/>
      <c r="G844" s="139"/>
      <c r="H844" s="164"/>
      <c r="I844" s="164"/>
      <c r="J844" s="164"/>
      <c r="K844" s="139"/>
      <c r="L844" s="130"/>
      <c r="M844" s="130"/>
      <c r="N844" s="130"/>
      <c r="O844" s="130"/>
      <c r="P844" s="130"/>
      <c r="Q844" s="130"/>
    </row>
    <row r="845" spans="1:17" x14ac:dyDescent="0.25">
      <c r="A845" s="164"/>
      <c r="B845" s="164"/>
      <c r="C845" s="165"/>
      <c r="D845" s="164"/>
      <c r="E845" s="139"/>
      <c r="F845" s="164"/>
      <c r="G845" s="139"/>
      <c r="H845" s="164"/>
      <c r="I845" s="164"/>
      <c r="J845" s="164"/>
      <c r="K845" s="139"/>
      <c r="L845" s="130"/>
      <c r="M845" s="130"/>
      <c r="N845" s="130"/>
      <c r="O845" s="130"/>
      <c r="P845" s="130"/>
      <c r="Q845" s="130"/>
    </row>
    <row r="846" spans="1:17" x14ac:dyDescent="0.25">
      <c r="A846" s="164"/>
      <c r="B846" s="164"/>
      <c r="C846" s="165"/>
      <c r="D846" s="164"/>
      <c r="E846" s="139"/>
      <c r="F846" s="164"/>
      <c r="G846" s="139"/>
      <c r="H846" s="164"/>
      <c r="I846" s="164"/>
      <c r="J846" s="164"/>
      <c r="K846" s="139"/>
      <c r="L846" s="130"/>
      <c r="M846" s="130"/>
      <c r="N846" s="130"/>
      <c r="O846" s="130"/>
      <c r="P846" s="130"/>
      <c r="Q846" s="130"/>
    </row>
    <row r="847" spans="1:17" x14ac:dyDescent="0.25">
      <c r="A847" s="164"/>
      <c r="B847" s="164"/>
      <c r="C847" s="165"/>
      <c r="D847" s="164"/>
      <c r="E847" s="139"/>
      <c r="F847" s="164"/>
      <c r="G847" s="139"/>
      <c r="H847" s="164"/>
      <c r="I847" s="164"/>
      <c r="J847" s="164"/>
      <c r="K847" s="139"/>
      <c r="L847" s="130"/>
      <c r="M847" s="130"/>
      <c r="N847" s="130"/>
      <c r="O847" s="130"/>
      <c r="P847" s="130"/>
      <c r="Q847" s="130"/>
    </row>
    <row r="848" spans="1:17" x14ac:dyDescent="0.25">
      <c r="A848" s="164"/>
      <c r="B848" s="164"/>
      <c r="C848" s="165"/>
      <c r="D848" s="164"/>
      <c r="E848" s="139"/>
      <c r="F848" s="164"/>
      <c r="G848" s="139"/>
      <c r="H848" s="164"/>
      <c r="I848" s="164"/>
      <c r="J848" s="164"/>
      <c r="K848" s="139"/>
      <c r="L848" s="130"/>
      <c r="M848" s="130"/>
      <c r="N848" s="130"/>
      <c r="O848" s="130"/>
      <c r="P848" s="130"/>
      <c r="Q848" s="130"/>
    </row>
    <row r="849" spans="1:17" x14ac:dyDescent="0.25">
      <c r="A849" s="164"/>
      <c r="B849" s="164"/>
      <c r="C849" s="165"/>
      <c r="D849" s="164"/>
      <c r="E849" s="139"/>
      <c r="F849" s="164"/>
      <c r="G849" s="139"/>
      <c r="H849" s="164"/>
      <c r="I849" s="164"/>
      <c r="J849" s="164"/>
      <c r="K849" s="139"/>
      <c r="L849" s="130"/>
      <c r="M849" s="130"/>
      <c r="N849" s="130"/>
      <c r="O849" s="130"/>
      <c r="P849" s="130"/>
      <c r="Q849" s="130"/>
    </row>
    <row r="850" spans="1:17" x14ac:dyDescent="0.25">
      <c r="A850" s="164"/>
      <c r="B850" s="164"/>
      <c r="C850" s="165"/>
      <c r="D850" s="164"/>
      <c r="E850" s="139"/>
      <c r="F850" s="164"/>
      <c r="G850" s="139"/>
      <c r="H850" s="164"/>
      <c r="I850" s="164"/>
      <c r="J850" s="164"/>
      <c r="K850" s="139"/>
      <c r="L850" s="130"/>
      <c r="M850" s="130"/>
      <c r="N850" s="130"/>
      <c r="O850" s="130"/>
      <c r="P850" s="130"/>
      <c r="Q850" s="130"/>
    </row>
    <row r="851" spans="1:17" x14ac:dyDescent="0.25">
      <c r="A851" s="164"/>
      <c r="B851" s="164"/>
      <c r="C851" s="165"/>
      <c r="D851" s="164"/>
      <c r="E851" s="139"/>
      <c r="F851" s="164"/>
      <c r="G851" s="139"/>
      <c r="H851" s="164"/>
      <c r="I851" s="164"/>
      <c r="J851" s="164"/>
      <c r="K851" s="139"/>
      <c r="L851" s="130"/>
      <c r="M851" s="130"/>
      <c r="N851" s="130"/>
      <c r="O851" s="130"/>
      <c r="P851" s="130"/>
      <c r="Q851" s="130"/>
    </row>
    <row r="852" spans="1:17" x14ac:dyDescent="0.25">
      <c r="A852" s="164"/>
      <c r="B852" s="164"/>
      <c r="C852" s="165"/>
      <c r="D852" s="164"/>
      <c r="E852" s="139"/>
      <c r="F852" s="164"/>
      <c r="G852" s="139"/>
      <c r="H852" s="164"/>
      <c r="I852" s="164"/>
      <c r="J852" s="164"/>
      <c r="K852" s="139"/>
      <c r="L852" s="130"/>
      <c r="M852" s="130"/>
      <c r="N852" s="130"/>
      <c r="O852" s="130"/>
      <c r="P852" s="130"/>
      <c r="Q852" s="130"/>
    </row>
    <row r="853" spans="1:17" x14ac:dyDescent="0.25">
      <c r="A853" s="164"/>
      <c r="B853" s="164"/>
      <c r="C853" s="165"/>
      <c r="D853" s="164"/>
      <c r="E853" s="139"/>
      <c r="F853" s="164"/>
      <c r="G853" s="139"/>
      <c r="H853" s="164"/>
      <c r="I853" s="164"/>
      <c r="J853" s="164"/>
      <c r="K853" s="139"/>
      <c r="L853" s="130"/>
      <c r="M853" s="130"/>
      <c r="N853" s="130"/>
      <c r="O853" s="130"/>
      <c r="P853" s="130"/>
      <c r="Q853" s="130"/>
    </row>
    <row r="854" spans="1:17" x14ac:dyDescent="0.25">
      <c r="A854" s="164"/>
      <c r="B854" s="164"/>
      <c r="C854" s="165"/>
      <c r="D854" s="164"/>
      <c r="E854" s="139"/>
      <c r="F854" s="164"/>
      <c r="G854" s="139"/>
      <c r="H854" s="164"/>
      <c r="I854" s="164"/>
      <c r="J854" s="164"/>
      <c r="K854" s="139"/>
      <c r="L854" s="130"/>
      <c r="M854" s="130"/>
      <c r="N854" s="130"/>
      <c r="O854" s="130"/>
      <c r="P854" s="130"/>
      <c r="Q854" s="130"/>
    </row>
    <row r="855" spans="1:17" x14ac:dyDescent="0.25">
      <c r="A855" s="164"/>
      <c r="B855" s="164"/>
      <c r="C855" s="165"/>
      <c r="D855" s="164"/>
      <c r="E855" s="139"/>
      <c r="F855" s="164"/>
      <c r="G855" s="139"/>
      <c r="H855" s="164"/>
      <c r="I855" s="164"/>
      <c r="J855" s="164"/>
      <c r="K855" s="139"/>
      <c r="L855" s="130"/>
      <c r="M855" s="130"/>
      <c r="N855" s="130"/>
      <c r="O855" s="130"/>
      <c r="P855" s="130"/>
      <c r="Q855" s="130"/>
    </row>
    <row r="856" spans="1:17" x14ac:dyDescent="0.25">
      <c r="A856" s="164"/>
      <c r="B856" s="164"/>
      <c r="C856" s="165"/>
      <c r="D856" s="164"/>
      <c r="E856" s="139"/>
      <c r="F856" s="164"/>
      <c r="G856" s="139"/>
      <c r="H856" s="164"/>
      <c r="I856" s="164"/>
      <c r="J856" s="164"/>
      <c r="K856" s="139"/>
      <c r="L856" s="130"/>
      <c r="M856" s="130"/>
      <c r="N856" s="130"/>
      <c r="O856" s="130"/>
      <c r="P856" s="130"/>
      <c r="Q856" s="130"/>
    </row>
    <row r="857" spans="1:17" x14ac:dyDescent="0.25">
      <c r="A857" s="164"/>
      <c r="B857" s="164"/>
      <c r="C857" s="165"/>
      <c r="D857" s="164"/>
      <c r="E857" s="139"/>
      <c r="F857" s="164"/>
      <c r="G857" s="139"/>
      <c r="H857" s="164"/>
      <c r="I857" s="164"/>
      <c r="J857" s="164"/>
      <c r="K857" s="139"/>
      <c r="L857" s="130"/>
      <c r="M857" s="130"/>
      <c r="N857" s="130"/>
      <c r="O857" s="130"/>
      <c r="P857" s="130"/>
      <c r="Q857" s="130"/>
    </row>
    <row r="858" spans="1:17" x14ac:dyDescent="0.25">
      <c r="A858" s="164"/>
      <c r="B858" s="164"/>
      <c r="C858" s="165"/>
      <c r="D858" s="164"/>
      <c r="E858" s="139"/>
      <c r="F858" s="164"/>
      <c r="G858" s="139"/>
      <c r="H858" s="164"/>
      <c r="I858" s="164"/>
      <c r="J858" s="164"/>
      <c r="K858" s="139"/>
      <c r="L858" s="130"/>
      <c r="M858" s="130"/>
      <c r="N858" s="130"/>
      <c r="O858" s="130"/>
      <c r="P858" s="130"/>
      <c r="Q858" s="130"/>
    </row>
    <row r="859" spans="1:17" x14ac:dyDescent="0.25">
      <c r="A859" s="164"/>
      <c r="B859" s="164"/>
      <c r="C859" s="165"/>
      <c r="D859" s="164"/>
      <c r="E859" s="139"/>
      <c r="F859" s="164"/>
      <c r="G859" s="139"/>
      <c r="H859" s="164"/>
      <c r="I859" s="164"/>
      <c r="J859" s="164"/>
      <c r="K859" s="139"/>
      <c r="L859" s="130"/>
      <c r="M859" s="130"/>
      <c r="N859" s="130"/>
      <c r="O859" s="130"/>
      <c r="P859" s="130"/>
      <c r="Q859" s="130"/>
    </row>
    <row r="860" spans="1:17" x14ac:dyDescent="0.25">
      <c r="A860" s="164"/>
      <c r="B860" s="164"/>
      <c r="C860" s="165"/>
      <c r="D860" s="164"/>
      <c r="E860" s="139"/>
      <c r="F860" s="164"/>
      <c r="G860" s="139"/>
      <c r="H860" s="164"/>
      <c r="I860" s="164"/>
      <c r="J860" s="164"/>
      <c r="K860" s="139"/>
      <c r="L860" s="130"/>
      <c r="M860" s="130"/>
      <c r="N860" s="130"/>
      <c r="O860" s="130"/>
      <c r="P860" s="130"/>
      <c r="Q860" s="130"/>
    </row>
    <row r="861" spans="1:17" x14ac:dyDescent="0.25">
      <c r="A861" s="164"/>
      <c r="B861" s="164"/>
      <c r="C861" s="165"/>
      <c r="D861" s="164"/>
      <c r="E861" s="139"/>
      <c r="F861" s="164"/>
      <c r="G861" s="139"/>
      <c r="H861" s="164"/>
      <c r="I861" s="164"/>
      <c r="J861" s="164"/>
      <c r="K861" s="139"/>
      <c r="L861" s="130"/>
      <c r="M861" s="130"/>
      <c r="N861" s="130"/>
      <c r="O861" s="130"/>
      <c r="P861" s="130"/>
      <c r="Q861" s="130"/>
    </row>
    <row r="862" spans="1:17" x14ac:dyDescent="0.25">
      <c r="A862" s="164"/>
      <c r="B862" s="164"/>
      <c r="C862" s="165"/>
      <c r="D862" s="164"/>
      <c r="E862" s="139"/>
      <c r="F862" s="164"/>
      <c r="G862" s="139"/>
      <c r="H862" s="164"/>
      <c r="I862" s="164"/>
      <c r="J862" s="164"/>
      <c r="K862" s="139"/>
      <c r="L862" s="130"/>
      <c r="M862" s="130"/>
      <c r="N862" s="130"/>
      <c r="O862" s="130"/>
      <c r="P862" s="130"/>
      <c r="Q862" s="130"/>
    </row>
    <row r="863" spans="1:17" x14ac:dyDescent="0.25">
      <c r="A863" s="164"/>
      <c r="B863" s="164"/>
      <c r="C863" s="165"/>
      <c r="D863" s="164"/>
      <c r="E863" s="139"/>
      <c r="F863" s="164"/>
      <c r="G863" s="139"/>
      <c r="H863" s="164"/>
      <c r="I863" s="164"/>
      <c r="J863" s="164"/>
      <c r="K863" s="139"/>
      <c r="L863" s="130"/>
      <c r="M863" s="130"/>
      <c r="N863" s="130"/>
      <c r="O863" s="130"/>
      <c r="P863" s="130"/>
      <c r="Q863" s="130"/>
    </row>
    <row r="864" spans="1:17" x14ac:dyDescent="0.25">
      <c r="A864" s="164"/>
      <c r="B864" s="164"/>
      <c r="C864" s="165"/>
      <c r="D864" s="164"/>
      <c r="E864" s="139"/>
      <c r="F864" s="164"/>
      <c r="G864" s="139"/>
      <c r="H864" s="164"/>
      <c r="I864" s="164"/>
      <c r="J864" s="164"/>
      <c r="K864" s="139"/>
      <c r="L864" s="130"/>
      <c r="M864" s="130"/>
      <c r="N864" s="130"/>
      <c r="O864" s="130"/>
      <c r="P864" s="130"/>
      <c r="Q864" s="130"/>
    </row>
    <row r="865" spans="1:17" x14ac:dyDescent="0.25">
      <c r="A865" s="164"/>
      <c r="B865" s="164"/>
      <c r="C865" s="165"/>
      <c r="D865" s="164"/>
      <c r="E865" s="139"/>
      <c r="F865" s="164"/>
      <c r="G865" s="139"/>
      <c r="H865" s="164"/>
      <c r="I865" s="164"/>
      <c r="J865" s="164"/>
      <c r="K865" s="139"/>
      <c r="L865" s="130"/>
      <c r="M865" s="130"/>
      <c r="N865" s="130"/>
      <c r="O865" s="130"/>
      <c r="P865" s="130"/>
      <c r="Q865" s="130"/>
    </row>
    <row r="866" spans="1:17" x14ac:dyDescent="0.25">
      <c r="A866" s="164"/>
      <c r="B866" s="164"/>
      <c r="C866" s="165"/>
      <c r="D866" s="164"/>
      <c r="E866" s="139"/>
      <c r="F866" s="164"/>
      <c r="G866" s="139"/>
      <c r="H866" s="164"/>
      <c r="I866" s="164"/>
      <c r="J866" s="164"/>
      <c r="K866" s="139"/>
      <c r="L866" s="130"/>
      <c r="M866" s="130"/>
      <c r="N866" s="130"/>
      <c r="O866" s="130"/>
      <c r="P866" s="130"/>
      <c r="Q866" s="130"/>
    </row>
    <row r="867" spans="1:17" x14ac:dyDescent="0.25">
      <c r="A867" s="164"/>
      <c r="B867" s="164"/>
      <c r="C867" s="165"/>
      <c r="D867" s="164"/>
      <c r="E867" s="139"/>
      <c r="F867" s="164"/>
      <c r="G867" s="139"/>
      <c r="H867" s="164"/>
      <c r="I867" s="164"/>
      <c r="J867" s="164"/>
      <c r="K867" s="139"/>
      <c r="L867" s="130"/>
      <c r="M867" s="130"/>
      <c r="N867" s="130"/>
      <c r="O867" s="130"/>
      <c r="P867" s="130"/>
      <c r="Q867" s="130"/>
    </row>
    <row r="868" spans="1:17" x14ac:dyDescent="0.25">
      <c r="A868" s="164"/>
      <c r="B868" s="164"/>
      <c r="C868" s="165"/>
      <c r="D868" s="164"/>
      <c r="E868" s="139"/>
      <c r="F868" s="164"/>
      <c r="G868" s="139"/>
      <c r="H868" s="164"/>
      <c r="I868" s="164"/>
      <c r="J868" s="164"/>
      <c r="K868" s="139"/>
      <c r="L868" s="130"/>
      <c r="M868" s="130"/>
      <c r="N868" s="130"/>
      <c r="O868" s="130"/>
      <c r="P868" s="130"/>
      <c r="Q868" s="130"/>
    </row>
    <row r="869" spans="1:17" x14ac:dyDescent="0.25">
      <c r="A869" s="164"/>
      <c r="B869" s="164"/>
      <c r="C869" s="165"/>
      <c r="D869" s="164"/>
      <c r="E869" s="139"/>
      <c r="F869" s="164"/>
      <c r="G869" s="139"/>
      <c r="H869" s="164"/>
      <c r="I869" s="164"/>
      <c r="J869" s="164"/>
      <c r="K869" s="139"/>
      <c r="L869" s="130"/>
      <c r="M869" s="130"/>
      <c r="N869" s="130"/>
      <c r="O869" s="130"/>
      <c r="P869" s="130"/>
      <c r="Q869" s="130"/>
    </row>
    <row r="870" spans="1:17" x14ac:dyDescent="0.25">
      <c r="A870" s="164"/>
      <c r="B870" s="164"/>
      <c r="C870" s="165"/>
      <c r="D870" s="164"/>
      <c r="E870" s="139"/>
      <c r="F870" s="164"/>
      <c r="G870" s="139"/>
      <c r="H870" s="164"/>
      <c r="I870" s="164"/>
      <c r="J870" s="164"/>
      <c r="K870" s="139"/>
      <c r="L870" s="130"/>
      <c r="M870" s="130"/>
      <c r="N870" s="130"/>
      <c r="O870" s="130"/>
      <c r="P870" s="130"/>
      <c r="Q870" s="130"/>
    </row>
    <row r="871" spans="1:17" x14ac:dyDescent="0.25">
      <c r="A871" s="164"/>
      <c r="B871" s="164"/>
      <c r="C871" s="165"/>
      <c r="D871" s="164"/>
      <c r="E871" s="139"/>
      <c r="F871" s="164"/>
      <c r="G871" s="139"/>
      <c r="H871" s="164"/>
      <c r="I871" s="164"/>
      <c r="J871" s="164"/>
      <c r="K871" s="139"/>
      <c r="L871" s="130"/>
      <c r="M871" s="130"/>
      <c r="N871" s="130"/>
      <c r="O871" s="130"/>
      <c r="P871" s="130"/>
      <c r="Q871" s="130"/>
    </row>
    <row r="872" spans="1:17" x14ac:dyDescent="0.25">
      <c r="A872" s="164"/>
      <c r="B872" s="164"/>
      <c r="C872" s="165"/>
      <c r="D872" s="164"/>
      <c r="E872" s="139"/>
      <c r="F872" s="164"/>
      <c r="G872" s="139"/>
      <c r="H872" s="164"/>
      <c r="I872" s="164"/>
      <c r="J872" s="164"/>
      <c r="K872" s="139"/>
      <c r="L872" s="130"/>
      <c r="M872" s="130"/>
      <c r="N872" s="130"/>
      <c r="O872" s="130"/>
      <c r="P872" s="130"/>
      <c r="Q872" s="130"/>
    </row>
    <row r="873" spans="1:17" x14ac:dyDescent="0.25">
      <c r="A873" s="164"/>
      <c r="B873" s="164"/>
      <c r="C873" s="165"/>
      <c r="D873" s="164"/>
      <c r="E873" s="139"/>
      <c r="F873" s="164"/>
      <c r="G873" s="139"/>
      <c r="H873" s="164"/>
      <c r="I873" s="164"/>
      <c r="J873" s="164"/>
      <c r="K873" s="139"/>
      <c r="L873" s="130"/>
      <c r="M873" s="130"/>
      <c r="N873" s="130"/>
      <c r="O873" s="130"/>
      <c r="P873" s="130"/>
      <c r="Q873" s="130"/>
    </row>
    <row r="874" spans="1:17" x14ac:dyDescent="0.25">
      <c r="A874" s="164"/>
      <c r="B874" s="164"/>
      <c r="C874" s="165"/>
      <c r="D874" s="164"/>
      <c r="E874" s="139"/>
      <c r="F874" s="164"/>
      <c r="G874" s="139"/>
      <c r="H874" s="164"/>
      <c r="I874" s="164"/>
      <c r="J874" s="164"/>
      <c r="K874" s="139"/>
      <c r="L874" s="130"/>
      <c r="M874" s="130"/>
      <c r="N874" s="130"/>
      <c r="O874" s="130"/>
      <c r="P874" s="130"/>
      <c r="Q874" s="130"/>
    </row>
    <row r="875" spans="1:17" x14ac:dyDescent="0.25">
      <c r="A875" s="164"/>
      <c r="B875" s="164"/>
      <c r="C875" s="165"/>
      <c r="D875" s="164"/>
      <c r="E875" s="139"/>
      <c r="F875" s="164"/>
      <c r="G875" s="139"/>
      <c r="H875" s="164"/>
      <c r="I875" s="164"/>
      <c r="J875" s="164"/>
      <c r="K875" s="139"/>
      <c r="L875" s="130"/>
      <c r="M875" s="130"/>
      <c r="N875" s="130"/>
      <c r="O875" s="130"/>
      <c r="P875" s="130"/>
      <c r="Q875" s="130"/>
    </row>
    <row r="876" spans="1:17" x14ac:dyDescent="0.25">
      <c r="A876" s="164"/>
      <c r="B876" s="164"/>
      <c r="C876" s="165"/>
      <c r="D876" s="164"/>
      <c r="E876" s="139"/>
      <c r="F876" s="164"/>
      <c r="G876" s="139"/>
      <c r="H876" s="164"/>
      <c r="I876" s="164"/>
      <c r="J876" s="164"/>
      <c r="K876" s="139"/>
      <c r="L876" s="130"/>
      <c r="M876" s="130"/>
      <c r="N876" s="130"/>
      <c r="O876" s="130"/>
      <c r="P876" s="130"/>
      <c r="Q876" s="130"/>
    </row>
    <row r="877" spans="1:17" x14ac:dyDescent="0.25">
      <c r="A877" s="164"/>
      <c r="B877" s="164"/>
      <c r="C877" s="165"/>
      <c r="D877" s="164"/>
      <c r="E877" s="139"/>
      <c r="F877" s="164"/>
      <c r="G877" s="139"/>
      <c r="H877" s="164"/>
      <c r="I877" s="164"/>
      <c r="J877" s="164"/>
      <c r="K877" s="139"/>
      <c r="L877" s="130"/>
      <c r="M877" s="130"/>
      <c r="N877" s="130"/>
      <c r="O877" s="130"/>
      <c r="P877" s="130"/>
      <c r="Q877" s="130"/>
    </row>
    <row r="878" spans="1:17" x14ac:dyDescent="0.25">
      <c r="A878" s="164"/>
      <c r="B878" s="164"/>
      <c r="C878" s="165"/>
      <c r="D878" s="164"/>
      <c r="E878" s="139"/>
      <c r="F878" s="164"/>
      <c r="G878" s="139"/>
      <c r="H878" s="164"/>
      <c r="I878" s="164"/>
      <c r="J878" s="164"/>
      <c r="K878" s="139"/>
      <c r="L878" s="130"/>
      <c r="M878" s="130"/>
      <c r="N878" s="130"/>
      <c r="O878" s="130"/>
      <c r="P878" s="130"/>
      <c r="Q878" s="130"/>
    </row>
    <row r="879" spans="1:17" x14ac:dyDescent="0.25">
      <c r="A879" s="164"/>
      <c r="B879" s="164"/>
      <c r="C879" s="165"/>
      <c r="D879" s="164"/>
      <c r="E879" s="139"/>
      <c r="F879" s="164"/>
      <c r="G879" s="139"/>
      <c r="H879" s="164"/>
      <c r="I879" s="164"/>
      <c r="J879" s="164"/>
      <c r="K879" s="139"/>
      <c r="L879" s="130"/>
      <c r="M879" s="130"/>
      <c r="N879" s="130"/>
      <c r="O879" s="130"/>
      <c r="P879" s="130"/>
      <c r="Q879" s="130"/>
    </row>
    <row r="880" spans="1:17" x14ac:dyDescent="0.25">
      <c r="A880" s="164"/>
      <c r="B880" s="164"/>
      <c r="C880" s="165"/>
      <c r="D880" s="164"/>
      <c r="E880" s="139"/>
      <c r="F880" s="164"/>
      <c r="G880" s="139"/>
      <c r="H880" s="164"/>
      <c r="I880" s="164"/>
      <c r="J880" s="164"/>
      <c r="K880" s="139"/>
      <c r="L880" s="130"/>
      <c r="M880" s="130"/>
      <c r="N880" s="130"/>
      <c r="O880" s="130"/>
      <c r="P880" s="130"/>
      <c r="Q880" s="130"/>
    </row>
    <row r="881" spans="1:17" x14ac:dyDescent="0.25">
      <c r="A881" s="164"/>
      <c r="B881" s="164"/>
      <c r="C881" s="165"/>
      <c r="D881" s="164"/>
      <c r="E881" s="139"/>
      <c r="F881" s="164"/>
      <c r="G881" s="139"/>
      <c r="H881" s="164"/>
      <c r="I881" s="164"/>
      <c r="J881" s="164"/>
      <c r="K881" s="139"/>
      <c r="L881" s="130"/>
      <c r="M881" s="130"/>
      <c r="N881" s="130"/>
      <c r="O881" s="130"/>
      <c r="P881" s="130"/>
      <c r="Q881" s="130"/>
    </row>
    <row r="882" spans="1:17" x14ac:dyDescent="0.25">
      <c r="A882" s="164"/>
      <c r="B882" s="164"/>
      <c r="C882" s="165"/>
      <c r="D882" s="164"/>
      <c r="E882" s="139"/>
      <c r="F882" s="164"/>
      <c r="G882" s="139"/>
      <c r="H882" s="164"/>
      <c r="I882" s="164"/>
      <c r="J882" s="164"/>
      <c r="K882" s="139"/>
      <c r="L882" s="130"/>
      <c r="M882" s="130"/>
      <c r="N882" s="130"/>
      <c r="O882" s="130"/>
      <c r="P882" s="130"/>
      <c r="Q882" s="130"/>
    </row>
    <row r="883" spans="1:17" x14ac:dyDescent="0.25">
      <c r="A883" s="164"/>
      <c r="B883" s="164"/>
      <c r="C883" s="165"/>
      <c r="D883" s="164"/>
      <c r="E883" s="139"/>
      <c r="F883" s="164"/>
      <c r="G883" s="139"/>
      <c r="H883" s="164"/>
      <c r="I883" s="164"/>
      <c r="J883" s="164"/>
      <c r="K883" s="139"/>
      <c r="L883" s="130"/>
      <c r="M883" s="130"/>
      <c r="N883" s="130"/>
      <c r="O883" s="130"/>
      <c r="P883" s="130"/>
      <c r="Q883" s="130"/>
    </row>
    <row r="884" spans="1:17" x14ac:dyDescent="0.25">
      <c r="A884" s="164"/>
      <c r="B884" s="164"/>
      <c r="C884" s="165"/>
      <c r="D884" s="164"/>
      <c r="E884" s="139"/>
      <c r="F884" s="164"/>
      <c r="G884" s="139"/>
      <c r="H884" s="164"/>
      <c r="I884" s="164"/>
      <c r="J884" s="164"/>
      <c r="K884" s="139"/>
      <c r="L884" s="130"/>
      <c r="M884" s="130"/>
      <c r="N884" s="130"/>
      <c r="O884" s="130"/>
      <c r="P884" s="130"/>
      <c r="Q884" s="130"/>
    </row>
    <row r="885" spans="1:17" x14ac:dyDescent="0.25">
      <c r="A885" s="164"/>
      <c r="B885" s="164"/>
      <c r="C885" s="165"/>
      <c r="D885" s="164"/>
      <c r="E885" s="139"/>
      <c r="F885" s="164"/>
      <c r="G885" s="139"/>
      <c r="H885" s="164"/>
      <c r="I885" s="164"/>
      <c r="J885" s="164"/>
      <c r="K885" s="139"/>
      <c r="L885" s="130"/>
      <c r="M885" s="130"/>
      <c r="N885" s="130"/>
      <c r="O885" s="130"/>
      <c r="P885" s="130"/>
      <c r="Q885" s="130"/>
    </row>
    <row r="886" spans="1:17" x14ac:dyDescent="0.25">
      <c r="A886" s="164"/>
      <c r="B886" s="164"/>
      <c r="C886" s="165"/>
      <c r="D886" s="164"/>
      <c r="E886" s="139"/>
      <c r="F886" s="164"/>
      <c r="G886" s="139"/>
      <c r="H886" s="164"/>
      <c r="I886" s="164"/>
      <c r="J886" s="164"/>
      <c r="K886" s="139"/>
      <c r="L886" s="130"/>
      <c r="M886" s="130"/>
      <c r="N886" s="130"/>
      <c r="O886" s="130"/>
      <c r="P886" s="130"/>
      <c r="Q886" s="130"/>
    </row>
    <row r="887" spans="1:17" x14ac:dyDescent="0.25">
      <c r="A887" s="164"/>
      <c r="B887" s="164"/>
      <c r="C887" s="165"/>
      <c r="D887" s="164"/>
      <c r="E887" s="139"/>
      <c r="F887" s="164"/>
      <c r="G887" s="139"/>
      <c r="H887" s="164"/>
      <c r="I887" s="164"/>
      <c r="J887" s="164"/>
      <c r="K887" s="139"/>
      <c r="L887" s="130"/>
      <c r="M887" s="130"/>
      <c r="N887" s="130"/>
      <c r="O887" s="130"/>
      <c r="P887" s="130"/>
      <c r="Q887" s="130"/>
    </row>
    <row r="888" spans="1:17" x14ac:dyDescent="0.25">
      <c r="A888" s="164"/>
      <c r="B888" s="164"/>
      <c r="C888" s="165"/>
      <c r="D888" s="164"/>
      <c r="E888" s="139"/>
      <c r="F888" s="164"/>
      <c r="G888" s="139"/>
      <c r="H888" s="164"/>
      <c r="I888" s="164"/>
      <c r="J888" s="164"/>
      <c r="K888" s="139"/>
      <c r="L888" s="130"/>
      <c r="M888" s="130"/>
      <c r="N888" s="130"/>
      <c r="O888" s="130"/>
      <c r="P888" s="130"/>
      <c r="Q888" s="130"/>
    </row>
    <row r="889" spans="1:17" x14ac:dyDescent="0.25">
      <c r="A889" s="164"/>
      <c r="B889" s="164"/>
      <c r="C889" s="165"/>
      <c r="D889" s="164"/>
      <c r="E889" s="139"/>
      <c r="F889" s="164"/>
      <c r="G889" s="139"/>
      <c r="H889" s="164"/>
      <c r="I889" s="164"/>
      <c r="J889" s="164"/>
      <c r="K889" s="139"/>
      <c r="L889" s="130"/>
      <c r="M889" s="130"/>
      <c r="N889" s="130"/>
      <c r="O889" s="130"/>
      <c r="P889" s="130"/>
      <c r="Q889" s="130"/>
    </row>
    <row r="890" spans="1:17" x14ac:dyDescent="0.25">
      <c r="A890" s="164"/>
      <c r="B890" s="164"/>
      <c r="C890" s="165"/>
      <c r="D890" s="164"/>
      <c r="E890" s="139"/>
      <c r="F890" s="164"/>
      <c r="G890" s="139"/>
      <c r="H890" s="164"/>
      <c r="I890" s="164"/>
      <c r="J890" s="164"/>
      <c r="K890" s="139"/>
      <c r="L890" s="130"/>
      <c r="M890" s="130"/>
      <c r="N890" s="130"/>
      <c r="O890" s="130"/>
      <c r="P890" s="130"/>
      <c r="Q890" s="130"/>
    </row>
    <row r="891" spans="1:17" x14ac:dyDescent="0.25">
      <c r="A891" s="164"/>
      <c r="B891" s="164"/>
      <c r="C891" s="165"/>
      <c r="D891" s="164"/>
      <c r="E891" s="139"/>
      <c r="F891" s="164"/>
      <c r="G891" s="139"/>
      <c r="H891" s="164"/>
      <c r="I891" s="164"/>
      <c r="J891" s="164"/>
      <c r="K891" s="139"/>
      <c r="L891" s="130"/>
      <c r="M891" s="130"/>
      <c r="N891" s="130"/>
      <c r="O891" s="130"/>
      <c r="P891" s="130"/>
      <c r="Q891" s="130"/>
    </row>
    <row r="892" spans="1:17" x14ac:dyDescent="0.25">
      <c r="A892" s="164"/>
      <c r="B892" s="164"/>
      <c r="C892" s="165"/>
      <c r="D892" s="164"/>
      <c r="E892" s="139"/>
      <c r="F892" s="164"/>
      <c r="G892" s="139"/>
      <c r="H892" s="164"/>
      <c r="I892" s="164"/>
      <c r="J892" s="164"/>
      <c r="K892" s="139"/>
      <c r="L892" s="130"/>
      <c r="M892" s="130"/>
      <c r="N892" s="130"/>
      <c r="O892" s="130"/>
      <c r="P892" s="130"/>
      <c r="Q892" s="130"/>
    </row>
    <row r="893" spans="1:17" x14ac:dyDescent="0.25">
      <c r="A893" s="164"/>
      <c r="B893" s="164"/>
      <c r="C893" s="165"/>
      <c r="D893" s="164"/>
      <c r="E893" s="139"/>
      <c r="F893" s="164"/>
      <c r="G893" s="139"/>
      <c r="H893" s="164"/>
      <c r="I893" s="164"/>
      <c r="J893" s="164"/>
      <c r="K893" s="139"/>
      <c r="L893" s="130"/>
      <c r="M893" s="130"/>
      <c r="N893" s="130"/>
      <c r="O893" s="130"/>
      <c r="P893" s="130"/>
      <c r="Q893" s="130"/>
    </row>
    <row r="894" spans="1:17" x14ac:dyDescent="0.25">
      <c r="A894" s="164"/>
      <c r="B894" s="164"/>
      <c r="C894" s="165"/>
      <c r="D894" s="164"/>
      <c r="E894" s="139"/>
      <c r="F894" s="164"/>
      <c r="G894" s="139"/>
      <c r="H894" s="164"/>
      <c r="I894" s="164"/>
      <c r="J894" s="164"/>
      <c r="K894" s="139"/>
      <c r="L894" s="130"/>
      <c r="M894" s="130"/>
      <c r="N894" s="130"/>
      <c r="O894" s="130"/>
      <c r="P894" s="130"/>
      <c r="Q894" s="130"/>
    </row>
    <row r="895" spans="1:17" x14ac:dyDescent="0.25">
      <c r="A895" s="164"/>
      <c r="B895" s="164"/>
      <c r="C895" s="165"/>
      <c r="D895" s="164"/>
      <c r="E895" s="139"/>
      <c r="F895" s="164"/>
      <c r="G895" s="139"/>
      <c r="H895" s="164"/>
      <c r="I895" s="164"/>
      <c r="J895" s="164"/>
      <c r="K895" s="139"/>
      <c r="L895" s="130"/>
      <c r="M895" s="130"/>
      <c r="N895" s="130"/>
      <c r="O895" s="130"/>
      <c r="P895" s="130"/>
      <c r="Q895" s="130"/>
    </row>
    <row r="896" spans="1:17" x14ac:dyDescent="0.25">
      <c r="A896" s="164"/>
      <c r="B896" s="164"/>
      <c r="C896" s="165"/>
      <c r="D896" s="164"/>
      <c r="E896" s="139"/>
      <c r="F896" s="164"/>
      <c r="G896" s="139"/>
      <c r="H896" s="164"/>
      <c r="I896" s="164"/>
      <c r="J896" s="164"/>
      <c r="K896" s="139"/>
      <c r="L896" s="130"/>
      <c r="M896" s="130"/>
      <c r="N896" s="130"/>
      <c r="O896" s="130"/>
      <c r="P896" s="130"/>
      <c r="Q896" s="130"/>
    </row>
    <row r="897" spans="1:17" x14ac:dyDescent="0.25">
      <c r="A897" s="164"/>
      <c r="B897" s="164"/>
      <c r="C897" s="165"/>
      <c r="D897" s="164"/>
      <c r="E897" s="139"/>
      <c r="F897" s="164"/>
      <c r="G897" s="139"/>
      <c r="H897" s="164"/>
      <c r="I897" s="164"/>
      <c r="J897" s="164"/>
      <c r="K897" s="139"/>
      <c r="L897" s="130"/>
      <c r="M897" s="130"/>
      <c r="N897" s="130"/>
      <c r="O897" s="130"/>
      <c r="P897" s="130"/>
      <c r="Q897" s="130"/>
    </row>
    <row r="898" spans="1:17" x14ac:dyDescent="0.25">
      <c r="A898" s="164"/>
      <c r="B898" s="164"/>
      <c r="C898" s="165"/>
      <c r="D898" s="164"/>
      <c r="E898" s="139"/>
      <c r="F898" s="164"/>
      <c r="G898" s="139"/>
      <c r="H898" s="164"/>
      <c r="I898" s="164"/>
      <c r="J898" s="164"/>
      <c r="K898" s="139"/>
      <c r="L898" s="130"/>
      <c r="M898" s="130"/>
      <c r="N898" s="130"/>
      <c r="O898" s="130"/>
      <c r="P898" s="130"/>
      <c r="Q898" s="130"/>
    </row>
    <row r="899" spans="1:17" x14ac:dyDescent="0.25">
      <c r="A899" s="164"/>
      <c r="B899" s="164"/>
      <c r="C899" s="165"/>
      <c r="D899" s="164"/>
      <c r="E899" s="139"/>
      <c r="F899" s="164"/>
      <c r="G899" s="139"/>
      <c r="H899" s="164"/>
      <c r="I899" s="164"/>
      <c r="J899" s="164"/>
      <c r="K899" s="139"/>
      <c r="L899" s="130"/>
      <c r="M899" s="130"/>
      <c r="N899" s="130"/>
      <c r="O899" s="130"/>
      <c r="P899" s="130"/>
      <c r="Q899" s="130"/>
    </row>
    <row r="900" spans="1:17" x14ac:dyDescent="0.25">
      <c r="A900" s="164"/>
      <c r="B900" s="164"/>
      <c r="C900" s="165"/>
      <c r="D900" s="164"/>
      <c r="E900" s="139"/>
      <c r="F900" s="164"/>
      <c r="G900" s="139"/>
      <c r="H900" s="164"/>
      <c r="I900" s="164"/>
      <c r="J900" s="164"/>
      <c r="K900" s="139"/>
      <c r="L900" s="130"/>
      <c r="M900" s="130"/>
      <c r="N900" s="130"/>
      <c r="O900" s="130"/>
      <c r="P900" s="130"/>
      <c r="Q900" s="130"/>
    </row>
    <row r="901" spans="1:17" x14ac:dyDescent="0.25">
      <c r="A901" s="164"/>
      <c r="B901" s="164"/>
      <c r="C901" s="165"/>
      <c r="D901" s="164"/>
      <c r="E901" s="139"/>
      <c r="F901" s="164"/>
      <c r="G901" s="139"/>
      <c r="H901" s="164"/>
      <c r="I901" s="164"/>
      <c r="J901" s="164"/>
      <c r="K901" s="139"/>
      <c r="L901" s="130"/>
      <c r="M901" s="130"/>
      <c r="N901" s="130"/>
      <c r="O901" s="130"/>
      <c r="P901" s="130"/>
      <c r="Q901" s="130"/>
    </row>
    <row r="902" spans="1:17" x14ac:dyDescent="0.25">
      <c r="A902" s="164"/>
      <c r="B902" s="164"/>
      <c r="C902" s="165"/>
      <c r="D902" s="164"/>
      <c r="E902" s="139"/>
      <c r="F902" s="164"/>
      <c r="G902" s="139"/>
      <c r="H902" s="164"/>
      <c r="I902" s="164"/>
      <c r="J902" s="164"/>
      <c r="K902" s="139"/>
      <c r="L902" s="130"/>
      <c r="M902" s="130"/>
      <c r="N902" s="130"/>
      <c r="O902" s="130"/>
      <c r="P902" s="130"/>
      <c r="Q902" s="130"/>
    </row>
    <row r="903" spans="1:17" x14ac:dyDescent="0.25">
      <c r="A903" s="164"/>
      <c r="B903" s="164"/>
      <c r="C903" s="165"/>
      <c r="D903" s="164"/>
      <c r="E903" s="139"/>
      <c r="F903" s="164"/>
      <c r="G903" s="139"/>
      <c r="H903" s="164"/>
      <c r="I903" s="164"/>
      <c r="J903" s="164"/>
      <c r="K903" s="139"/>
      <c r="L903" s="130"/>
      <c r="M903" s="130"/>
      <c r="N903" s="130"/>
      <c r="O903" s="130"/>
      <c r="P903" s="130"/>
      <c r="Q903" s="130"/>
    </row>
    <row r="904" spans="1:17" x14ac:dyDescent="0.25">
      <c r="A904" s="164"/>
      <c r="B904" s="164"/>
      <c r="C904" s="165"/>
      <c r="D904" s="164"/>
      <c r="E904" s="139"/>
      <c r="F904" s="164"/>
      <c r="G904" s="139"/>
      <c r="H904" s="164"/>
      <c r="I904" s="164"/>
      <c r="J904" s="164"/>
      <c r="K904" s="139"/>
      <c r="L904" s="130"/>
      <c r="M904" s="130"/>
      <c r="N904" s="130"/>
      <c r="O904" s="130"/>
      <c r="P904" s="130"/>
      <c r="Q904" s="130"/>
    </row>
    <row r="905" spans="1:17" x14ac:dyDescent="0.25">
      <c r="A905" s="164"/>
      <c r="B905" s="164"/>
      <c r="C905" s="165"/>
      <c r="D905" s="164"/>
      <c r="E905" s="139"/>
      <c r="F905" s="164"/>
      <c r="G905" s="139"/>
      <c r="H905" s="164"/>
      <c r="I905" s="164"/>
      <c r="J905" s="164"/>
      <c r="K905" s="139"/>
      <c r="L905" s="130"/>
      <c r="M905" s="130"/>
      <c r="N905" s="130"/>
      <c r="O905" s="130"/>
      <c r="P905" s="130"/>
      <c r="Q905" s="130"/>
    </row>
    <row r="906" spans="1:17" x14ac:dyDescent="0.25">
      <c r="A906" s="164"/>
      <c r="B906" s="164"/>
      <c r="C906" s="165"/>
      <c r="D906" s="164"/>
      <c r="E906" s="139"/>
      <c r="F906" s="164"/>
      <c r="G906" s="139"/>
      <c r="H906" s="164"/>
      <c r="I906" s="164"/>
      <c r="J906" s="164"/>
      <c r="K906" s="139"/>
      <c r="L906" s="130"/>
      <c r="M906" s="130"/>
      <c r="N906" s="130"/>
      <c r="O906" s="130"/>
      <c r="P906" s="130"/>
      <c r="Q906" s="130"/>
    </row>
    <row r="907" spans="1:17" x14ac:dyDescent="0.25">
      <c r="A907" s="164"/>
      <c r="B907" s="164"/>
      <c r="C907" s="165"/>
      <c r="D907" s="164"/>
      <c r="E907" s="139"/>
      <c r="F907" s="164"/>
      <c r="G907" s="139"/>
      <c r="H907" s="164"/>
      <c r="I907" s="164"/>
      <c r="J907" s="164"/>
      <c r="K907" s="139"/>
      <c r="L907" s="130"/>
      <c r="M907" s="130"/>
      <c r="N907" s="130"/>
      <c r="O907" s="130"/>
      <c r="P907" s="130"/>
      <c r="Q907" s="130"/>
    </row>
    <row r="908" spans="1:17" x14ac:dyDescent="0.25">
      <c r="A908" s="164"/>
      <c r="B908" s="164"/>
      <c r="C908" s="165"/>
      <c r="D908" s="164"/>
      <c r="E908" s="139"/>
      <c r="F908" s="164"/>
      <c r="G908" s="139"/>
      <c r="H908" s="164"/>
      <c r="I908" s="164"/>
      <c r="J908" s="164"/>
      <c r="K908" s="139"/>
      <c r="L908" s="130"/>
      <c r="M908" s="130"/>
      <c r="N908" s="130"/>
      <c r="O908" s="130"/>
      <c r="P908" s="130"/>
      <c r="Q908" s="130"/>
    </row>
    <row r="909" spans="1:17" x14ac:dyDescent="0.25">
      <c r="A909" s="164"/>
      <c r="B909" s="164"/>
      <c r="C909" s="165"/>
      <c r="D909" s="164"/>
      <c r="E909" s="139"/>
      <c r="F909" s="164"/>
      <c r="G909" s="139"/>
      <c r="H909" s="164"/>
      <c r="I909" s="164"/>
      <c r="J909" s="164"/>
      <c r="K909" s="139"/>
      <c r="L909" s="130"/>
      <c r="M909" s="130"/>
      <c r="N909" s="130"/>
      <c r="O909" s="130"/>
      <c r="P909" s="130"/>
      <c r="Q909" s="130"/>
    </row>
    <row r="910" spans="1:17" x14ac:dyDescent="0.25">
      <c r="A910" s="164"/>
      <c r="B910" s="164"/>
      <c r="C910" s="165"/>
      <c r="D910" s="164"/>
      <c r="E910" s="139"/>
      <c r="F910" s="164"/>
      <c r="G910" s="139"/>
      <c r="H910" s="164"/>
      <c r="I910" s="164"/>
      <c r="J910" s="164"/>
      <c r="K910" s="139"/>
      <c r="L910" s="130"/>
      <c r="M910" s="130"/>
      <c r="N910" s="130"/>
      <c r="O910" s="130"/>
      <c r="P910" s="130"/>
      <c r="Q910" s="130"/>
    </row>
    <row r="911" spans="1:17" x14ac:dyDescent="0.25">
      <c r="A911" s="164"/>
      <c r="B911" s="164"/>
      <c r="C911" s="165"/>
      <c r="D911" s="164"/>
      <c r="E911" s="139"/>
      <c r="F911" s="164"/>
      <c r="G911" s="139"/>
      <c r="H911" s="164"/>
      <c r="I911" s="164"/>
      <c r="J911" s="164"/>
      <c r="K911" s="139"/>
      <c r="L911" s="130"/>
      <c r="M911" s="130"/>
      <c r="N911" s="130"/>
      <c r="O911" s="130"/>
      <c r="P911" s="130"/>
      <c r="Q911" s="130"/>
    </row>
    <row r="912" spans="1:17" x14ac:dyDescent="0.25">
      <c r="A912" s="164"/>
      <c r="B912" s="164"/>
      <c r="C912" s="165"/>
      <c r="D912" s="164"/>
      <c r="E912" s="139"/>
      <c r="F912" s="164"/>
      <c r="G912" s="139"/>
      <c r="H912" s="164"/>
      <c r="I912" s="164"/>
      <c r="J912" s="164"/>
      <c r="K912" s="139"/>
      <c r="L912" s="130"/>
      <c r="M912" s="130"/>
      <c r="N912" s="130"/>
      <c r="O912" s="130"/>
      <c r="P912" s="130"/>
      <c r="Q912" s="130"/>
    </row>
    <row r="913" spans="1:17" x14ac:dyDescent="0.25">
      <c r="A913" s="164"/>
      <c r="B913" s="164"/>
      <c r="C913" s="165"/>
      <c r="D913" s="164"/>
      <c r="E913" s="139"/>
      <c r="F913" s="164"/>
      <c r="G913" s="139"/>
      <c r="H913" s="164"/>
      <c r="I913" s="164"/>
      <c r="J913" s="164"/>
      <c r="K913" s="139"/>
      <c r="L913" s="130"/>
      <c r="M913" s="130"/>
      <c r="N913" s="130"/>
      <c r="O913" s="130"/>
      <c r="P913" s="130"/>
      <c r="Q913" s="130"/>
    </row>
    <row r="914" spans="1:17" x14ac:dyDescent="0.25">
      <c r="A914" s="164"/>
      <c r="B914" s="164"/>
      <c r="C914" s="165"/>
      <c r="D914" s="164"/>
      <c r="E914" s="139"/>
      <c r="F914" s="164"/>
      <c r="G914" s="139"/>
      <c r="H914" s="164"/>
      <c r="I914" s="164"/>
      <c r="J914" s="164"/>
      <c r="K914" s="139"/>
      <c r="L914" s="130"/>
      <c r="M914" s="130"/>
      <c r="N914" s="130"/>
      <c r="O914" s="130"/>
      <c r="P914" s="130"/>
      <c r="Q914" s="130"/>
    </row>
    <row r="915" spans="1:17" x14ac:dyDescent="0.25">
      <c r="A915" s="164"/>
      <c r="B915" s="164"/>
      <c r="C915" s="165"/>
      <c r="D915" s="164"/>
      <c r="E915" s="139"/>
      <c r="F915" s="164"/>
      <c r="G915" s="139"/>
      <c r="H915" s="164"/>
      <c r="I915" s="164"/>
      <c r="J915" s="164"/>
      <c r="K915" s="139"/>
      <c r="L915" s="130"/>
      <c r="M915" s="130"/>
      <c r="N915" s="130"/>
      <c r="O915" s="130"/>
      <c r="P915" s="130"/>
      <c r="Q915" s="130"/>
    </row>
    <row r="916" spans="1:17" x14ac:dyDescent="0.25">
      <c r="A916" s="164"/>
      <c r="B916" s="164"/>
      <c r="C916" s="165"/>
      <c r="D916" s="164"/>
      <c r="E916" s="139"/>
      <c r="F916" s="164"/>
      <c r="G916" s="139"/>
      <c r="H916" s="164"/>
      <c r="I916" s="164"/>
      <c r="J916" s="164"/>
      <c r="K916" s="139"/>
      <c r="L916" s="130"/>
      <c r="M916" s="130"/>
      <c r="N916" s="130"/>
      <c r="O916" s="130"/>
      <c r="P916" s="130"/>
      <c r="Q916" s="130"/>
    </row>
    <row r="917" spans="1:17" x14ac:dyDescent="0.25">
      <c r="A917" s="164"/>
      <c r="B917" s="164"/>
      <c r="C917" s="165"/>
      <c r="D917" s="164"/>
      <c r="E917" s="139"/>
      <c r="F917" s="164"/>
      <c r="G917" s="139"/>
      <c r="H917" s="164"/>
      <c r="I917" s="164"/>
      <c r="J917" s="164"/>
      <c r="K917" s="139"/>
      <c r="L917" s="130"/>
      <c r="M917" s="130"/>
      <c r="N917" s="130"/>
      <c r="O917" s="130"/>
      <c r="P917" s="130"/>
      <c r="Q917" s="130"/>
    </row>
    <row r="918" spans="1:17" x14ac:dyDescent="0.25">
      <c r="A918" s="164"/>
      <c r="B918" s="164"/>
      <c r="C918" s="165"/>
      <c r="D918" s="164"/>
      <c r="E918" s="139"/>
      <c r="F918" s="164"/>
      <c r="G918" s="139"/>
      <c r="H918" s="164"/>
      <c r="I918" s="164"/>
      <c r="J918" s="164"/>
      <c r="K918" s="139"/>
      <c r="L918" s="130"/>
      <c r="M918" s="130"/>
      <c r="N918" s="130"/>
      <c r="O918" s="130"/>
      <c r="P918" s="130"/>
      <c r="Q918" s="130"/>
    </row>
    <row r="919" spans="1:17" x14ac:dyDescent="0.25">
      <c r="A919" s="164"/>
      <c r="B919" s="164"/>
      <c r="C919" s="165"/>
      <c r="D919" s="164"/>
      <c r="E919" s="139"/>
      <c r="F919" s="164"/>
      <c r="G919" s="139"/>
      <c r="H919" s="164"/>
      <c r="I919" s="164"/>
      <c r="J919" s="164"/>
      <c r="K919" s="139"/>
      <c r="L919" s="130"/>
      <c r="M919" s="130"/>
      <c r="N919" s="130"/>
      <c r="O919" s="130"/>
      <c r="P919" s="130"/>
      <c r="Q919" s="130"/>
    </row>
    <row r="920" spans="1:17" x14ac:dyDescent="0.25">
      <c r="A920" s="164"/>
      <c r="B920" s="164"/>
      <c r="C920" s="165"/>
      <c r="D920" s="164"/>
      <c r="E920" s="139"/>
      <c r="F920" s="164"/>
      <c r="G920" s="139"/>
      <c r="H920" s="164"/>
      <c r="I920" s="164"/>
      <c r="J920" s="164"/>
      <c r="K920" s="139"/>
      <c r="L920" s="130"/>
      <c r="M920" s="130"/>
      <c r="N920" s="130"/>
      <c r="O920" s="130"/>
      <c r="P920" s="130"/>
      <c r="Q920" s="130"/>
    </row>
    <row r="921" spans="1:17" x14ac:dyDescent="0.25">
      <c r="A921" s="164"/>
      <c r="B921" s="164"/>
      <c r="C921" s="165"/>
      <c r="D921" s="164"/>
      <c r="E921" s="139"/>
      <c r="F921" s="164"/>
      <c r="G921" s="139"/>
      <c r="H921" s="164"/>
      <c r="I921" s="164"/>
      <c r="J921" s="164"/>
      <c r="K921" s="139"/>
      <c r="L921" s="130"/>
      <c r="M921" s="130"/>
      <c r="N921" s="130"/>
      <c r="O921" s="130"/>
      <c r="P921" s="130"/>
      <c r="Q921" s="130"/>
    </row>
    <row r="922" spans="1:17" x14ac:dyDescent="0.25">
      <c r="A922" s="164"/>
      <c r="B922" s="164"/>
      <c r="C922" s="165"/>
      <c r="D922" s="164"/>
      <c r="E922" s="139"/>
      <c r="F922" s="164"/>
      <c r="G922" s="139"/>
      <c r="H922" s="164"/>
      <c r="I922" s="164"/>
      <c r="J922" s="164"/>
      <c r="K922" s="139"/>
      <c r="L922" s="130"/>
      <c r="M922" s="130"/>
      <c r="N922" s="130"/>
      <c r="O922" s="130"/>
      <c r="P922" s="130"/>
      <c r="Q922" s="130"/>
    </row>
    <row r="923" spans="1:17" x14ac:dyDescent="0.25">
      <c r="A923" s="164"/>
      <c r="B923" s="164"/>
      <c r="C923" s="165"/>
      <c r="D923" s="164"/>
      <c r="E923" s="139"/>
      <c r="F923" s="164"/>
      <c r="G923" s="139"/>
      <c r="H923" s="164"/>
      <c r="I923" s="164"/>
      <c r="J923" s="164"/>
      <c r="K923" s="139"/>
      <c r="L923" s="130"/>
      <c r="M923" s="130"/>
      <c r="N923" s="130"/>
      <c r="O923" s="130"/>
      <c r="P923" s="130"/>
      <c r="Q923" s="130"/>
    </row>
    <row r="924" spans="1:17" x14ac:dyDescent="0.25">
      <c r="A924" s="164"/>
      <c r="B924" s="164"/>
      <c r="C924" s="165"/>
      <c r="D924" s="164"/>
      <c r="E924" s="139"/>
      <c r="F924" s="164"/>
      <c r="G924" s="139"/>
      <c r="H924" s="164"/>
      <c r="I924" s="164"/>
      <c r="J924" s="164"/>
      <c r="K924" s="139"/>
      <c r="L924" s="130"/>
      <c r="M924" s="130"/>
      <c r="N924" s="130"/>
      <c r="O924" s="130"/>
      <c r="P924" s="130"/>
      <c r="Q924" s="130"/>
    </row>
    <row r="925" spans="1:17" x14ac:dyDescent="0.25">
      <c r="A925" s="164"/>
      <c r="B925" s="164"/>
      <c r="C925" s="165"/>
      <c r="D925" s="164"/>
      <c r="E925" s="139"/>
      <c r="F925" s="164"/>
      <c r="G925" s="139"/>
      <c r="H925" s="164"/>
      <c r="I925" s="164"/>
      <c r="J925" s="164"/>
      <c r="K925" s="139"/>
      <c r="L925" s="130"/>
      <c r="M925" s="130"/>
      <c r="N925" s="130"/>
      <c r="O925" s="130"/>
      <c r="P925" s="130"/>
      <c r="Q925" s="130"/>
    </row>
    <row r="926" spans="1:17" x14ac:dyDescent="0.25">
      <c r="A926" s="164"/>
      <c r="B926" s="164"/>
      <c r="C926" s="165"/>
      <c r="D926" s="164"/>
      <c r="E926" s="139"/>
      <c r="F926" s="164"/>
      <c r="G926" s="139"/>
      <c r="H926" s="164"/>
      <c r="I926" s="164"/>
      <c r="J926" s="164"/>
      <c r="K926" s="139"/>
      <c r="L926" s="130"/>
      <c r="M926" s="130"/>
      <c r="N926" s="130"/>
      <c r="O926" s="130"/>
      <c r="P926" s="130"/>
      <c r="Q926" s="130"/>
    </row>
    <row r="927" spans="1:17" x14ac:dyDescent="0.25">
      <c r="A927" s="164"/>
      <c r="B927" s="164"/>
      <c r="C927" s="165"/>
      <c r="D927" s="164"/>
      <c r="E927" s="139"/>
      <c r="F927" s="164"/>
      <c r="G927" s="139"/>
      <c r="H927" s="164"/>
      <c r="I927" s="164"/>
      <c r="J927" s="164"/>
      <c r="K927" s="139"/>
      <c r="L927" s="130"/>
      <c r="M927" s="130"/>
      <c r="N927" s="130"/>
      <c r="O927" s="130"/>
      <c r="P927" s="130"/>
      <c r="Q927" s="130"/>
    </row>
    <row r="928" spans="1:17" x14ac:dyDescent="0.25">
      <c r="A928" s="164"/>
      <c r="B928" s="164"/>
      <c r="C928" s="165"/>
      <c r="D928" s="164"/>
      <c r="E928" s="139"/>
      <c r="F928" s="164"/>
      <c r="G928" s="139"/>
      <c r="H928" s="164"/>
      <c r="I928" s="164"/>
      <c r="J928" s="164"/>
      <c r="K928" s="139"/>
      <c r="L928" s="130"/>
      <c r="M928" s="130"/>
      <c r="N928" s="130"/>
      <c r="O928" s="130"/>
      <c r="P928" s="130"/>
      <c r="Q928" s="130"/>
    </row>
    <row r="929" spans="1:17" x14ac:dyDescent="0.25">
      <c r="A929" s="164"/>
      <c r="B929" s="164"/>
      <c r="C929" s="165"/>
      <c r="D929" s="164"/>
      <c r="E929" s="139"/>
      <c r="F929" s="164"/>
      <c r="G929" s="139"/>
      <c r="H929" s="164"/>
      <c r="I929" s="164"/>
      <c r="J929" s="164"/>
      <c r="K929" s="139"/>
      <c r="L929" s="130"/>
      <c r="M929" s="130"/>
      <c r="N929" s="130"/>
      <c r="O929" s="130"/>
      <c r="P929" s="130"/>
      <c r="Q929" s="130"/>
    </row>
    <row r="930" spans="1:17" x14ac:dyDescent="0.25">
      <c r="A930" s="164"/>
      <c r="B930" s="164"/>
      <c r="C930" s="165"/>
      <c r="D930" s="164"/>
      <c r="E930" s="139"/>
      <c r="F930" s="164"/>
      <c r="G930" s="139"/>
      <c r="H930" s="164"/>
      <c r="I930" s="164"/>
      <c r="J930" s="164"/>
      <c r="K930" s="139"/>
      <c r="L930" s="130"/>
      <c r="M930" s="130"/>
      <c r="N930" s="130"/>
      <c r="O930" s="130"/>
      <c r="P930" s="130"/>
      <c r="Q930" s="130"/>
    </row>
    <row r="931" spans="1:17" x14ac:dyDescent="0.25">
      <c r="A931" s="164"/>
      <c r="B931" s="164"/>
      <c r="C931" s="165"/>
      <c r="D931" s="164"/>
      <c r="E931" s="139"/>
      <c r="F931" s="164"/>
      <c r="G931" s="139"/>
      <c r="H931" s="164"/>
      <c r="I931" s="164"/>
      <c r="J931" s="164"/>
      <c r="K931" s="139"/>
      <c r="L931" s="130"/>
      <c r="M931" s="130"/>
      <c r="N931" s="130"/>
      <c r="O931" s="130"/>
      <c r="P931" s="130"/>
      <c r="Q931" s="130"/>
    </row>
    <row r="932" spans="1:17" x14ac:dyDescent="0.25">
      <c r="A932" s="164"/>
      <c r="B932" s="164"/>
      <c r="C932" s="165"/>
      <c r="D932" s="164"/>
      <c r="E932" s="139"/>
      <c r="F932" s="164"/>
      <c r="G932" s="139"/>
      <c r="H932" s="164"/>
      <c r="I932" s="164"/>
      <c r="J932" s="164"/>
      <c r="K932" s="139"/>
      <c r="L932" s="130"/>
      <c r="M932" s="130"/>
      <c r="N932" s="130"/>
      <c r="O932" s="130"/>
      <c r="P932" s="130"/>
      <c r="Q932" s="130"/>
    </row>
    <row r="933" spans="1:17" x14ac:dyDescent="0.25">
      <c r="A933" s="164"/>
      <c r="B933" s="164"/>
      <c r="C933" s="165"/>
      <c r="D933" s="164"/>
      <c r="E933" s="139"/>
      <c r="F933" s="164"/>
      <c r="G933" s="139"/>
      <c r="H933" s="164"/>
      <c r="I933" s="164"/>
      <c r="J933" s="164"/>
      <c r="K933" s="139"/>
      <c r="L933" s="130"/>
      <c r="M933" s="130"/>
      <c r="N933" s="130"/>
      <c r="O933" s="130"/>
      <c r="P933" s="130"/>
      <c r="Q933" s="130"/>
    </row>
    <row r="934" spans="1:17" x14ac:dyDescent="0.25">
      <c r="A934" s="164"/>
      <c r="B934" s="164"/>
      <c r="C934" s="165"/>
      <c r="D934" s="164"/>
      <c r="E934" s="139"/>
      <c r="F934" s="164"/>
      <c r="G934" s="139"/>
      <c r="H934" s="164"/>
      <c r="I934" s="164"/>
      <c r="J934" s="164"/>
      <c r="K934" s="139"/>
      <c r="L934" s="130"/>
      <c r="M934" s="130"/>
      <c r="N934" s="130"/>
      <c r="O934" s="130"/>
      <c r="P934" s="130"/>
      <c r="Q934" s="130"/>
    </row>
    <row r="935" spans="1:17" x14ac:dyDescent="0.25">
      <c r="A935" s="164"/>
      <c r="B935" s="164"/>
      <c r="C935" s="165"/>
      <c r="D935" s="164"/>
      <c r="E935" s="139"/>
      <c r="F935" s="164"/>
      <c r="G935" s="139"/>
      <c r="H935" s="164"/>
      <c r="I935" s="164"/>
      <c r="J935" s="164"/>
      <c r="K935" s="139"/>
      <c r="L935" s="130"/>
      <c r="M935" s="130"/>
      <c r="N935" s="130"/>
      <c r="O935" s="130"/>
      <c r="P935" s="130"/>
      <c r="Q935" s="130"/>
    </row>
    <row r="936" spans="1:17" x14ac:dyDescent="0.25">
      <c r="A936" s="164"/>
      <c r="B936" s="164"/>
      <c r="C936" s="165"/>
      <c r="D936" s="164"/>
      <c r="E936" s="139"/>
      <c r="F936" s="164"/>
      <c r="G936" s="139"/>
      <c r="H936" s="164"/>
      <c r="I936" s="164"/>
      <c r="J936" s="164"/>
      <c r="K936" s="139"/>
      <c r="L936" s="130"/>
      <c r="M936" s="130"/>
      <c r="N936" s="130"/>
      <c r="O936" s="130"/>
      <c r="P936" s="130"/>
      <c r="Q936" s="130"/>
    </row>
    <row r="937" spans="1:17" x14ac:dyDescent="0.25">
      <c r="A937" s="164"/>
      <c r="B937" s="164"/>
      <c r="C937" s="165"/>
      <c r="D937" s="164"/>
      <c r="E937" s="139"/>
      <c r="F937" s="164"/>
      <c r="G937" s="139"/>
      <c r="H937" s="164"/>
      <c r="I937" s="164"/>
      <c r="J937" s="164"/>
      <c r="K937" s="139"/>
      <c r="L937" s="130"/>
      <c r="M937" s="130"/>
      <c r="N937" s="130"/>
      <c r="O937" s="130"/>
      <c r="P937" s="130"/>
      <c r="Q937" s="130"/>
    </row>
    <row r="938" spans="1:17" x14ac:dyDescent="0.25">
      <c r="A938" s="164"/>
      <c r="B938" s="164"/>
      <c r="C938" s="165"/>
      <c r="D938" s="164"/>
      <c r="E938" s="139"/>
      <c r="F938" s="164"/>
      <c r="G938" s="139"/>
      <c r="H938" s="164"/>
      <c r="I938" s="164"/>
      <c r="J938" s="164"/>
      <c r="K938" s="139"/>
      <c r="L938" s="130"/>
      <c r="M938" s="130"/>
      <c r="N938" s="130"/>
      <c r="O938" s="130"/>
      <c r="P938" s="130"/>
      <c r="Q938" s="130"/>
    </row>
    <row r="939" spans="1:17" x14ac:dyDescent="0.25">
      <c r="A939" s="164"/>
      <c r="B939" s="164"/>
      <c r="C939" s="165"/>
      <c r="D939" s="164"/>
      <c r="E939" s="139"/>
      <c r="F939" s="164"/>
      <c r="G939" s="139"/>
      <c r="H939" s="164"/>
      <c r="I939" s="164"/>
      <c r="J939" s="164"/>
      <c r="K939" s="139"/>
      <c r="L939" s="130"/>
      <c r="M939" s="130"/>
      <c r="N939" s="130"/>
      <c r="O939" s="130"/>
      <c r="P939" s="130"/>
      <c r="Q939" s="130"/>
    </row>
    <row r="940" spans="1:17" x14ac:dyDescent="0.25">
      <c r="A940" s="164"/>
      <c r="B940" s="164"/>
      <c r="C940" s="165"/>
      <c r="D940" s="164"/>
      <c r="E940" s="139"/>
      <c r="F940" s="164"/>
      <c r="G940" s="139"/>
      <c r="H940" s="164"/>
      <c r="I940" s="164"/>
      <c r="J940" s="164"/>
      <c r="K940" s="139"/>
      <c r="L940" s="130"/>
      <c r="M940" s="130"/>
      <c r="N940" s="130"/>
      <c r="O940" s="130"/>
      <c r="P940" s="130"/>
      <c r="Q940" s="130"/>
    </row>
    <row r="941" spans="1:17" x14ac:dyDescent="0.25">
      <c r="A941" s="164"/>
      <c r="B941" s="164"/>
      <c r="C941" s="165"/>
      <c r="D941" s="164"/>
      <c r="E941" s="139"/>
      <c r="F941" s="164"/>
      <c r="G941" s="139"/>
      <c r="H941" s="164"/>
      <c r="I941" s="164"/>
      <c r="J941" s="164"/>
      <c r="K941" s="139"/>
      <c r="L941" s="130"/>
      <c r="M941" s="130"/>
      <c r="N941" s="130"/>
      <c r="O941" s="130"/>
      <c r="P941" s="130"/>
      <c r="Q941" s="130"/>
    </row>
    <row r="942" spans="1:17" x14ac:dyDescent="0.25">
      <c r="A942" s="164"/>
      <c r="B942" s="164"/>
      <c r="C942" s="165"/>
      <c r="D942" s="164"/>
      <c r="E942" s="139"/>
      <c r="F942" s="164"/>
      <c r="G942" s="139"/>
      <c r="H942" s="164"/>
      <c r="I942" s="164"/>
      <c r="J942" s="164"/>
      <c r="K942" s="139"/>
      <c r="L942" s="130"/>
      <c r="M942" s="130"/>
      <c r="N942" s="130"/>
      <c r="O942" s="130"/>
      <c r="P942" s="130"/>
      <c r="Q942" s="130"/>
    </row>
    <row r="943" spans="1:17" x14ac:dyDescent="0.25">
      <c r="A943" s="164"/>
      <c r="B943" s="164"/>
      <c r="C943" s="165"/>
      <c r="D943" s="164"/>
      <c r="E943" s="139"/>
      <c r="F943" s="164"/>
      <c r="G943" s="139"/>
      <c r="H943" s="164"/>
      <c r="I943" s="164"/>
      <c r="J943" s="164"/>
      <c r="K943" s="139"/>
      <c r="L943" s="130"/>
      <c r="M943" s="130"/>
      <c r="N943" s="130"/>
      <c r="O943" s="130"/>
      <c r="P943" s="130"/>
      <c r="Q943" s="130"/>
    </row>
    <row r="944" spans="1:17" x14ac:dyDescent="0.25">
      <c r="A944" s="164"/>
      <c r="B944" s="164"/>
      <c r="C944" s="165"/>
      <c r="D944" s="164"/>
      <c r="E944" s="139"/>
      <c r="F944" s="164"/>
      <c r="G944" s="139"/>
      <c r="H944" s="164"/>
      <c r="I944" s="164"/>
      <c r="J944" s="164"/>
      <c r="K944" s="139"/>
      <c r="L944" s="130"/>
      <c r="M944" s="130"/>
      <c r="N944" s="130"/>
      <c r="O944" s="130"/>
      <c r="P944" s="130"/>
      <c r="Q944" s="130"/>
    </row>
    <row r="945" spans="1:17" x14ac:dyDescent="0.25">
      <c r="A945" s="164"/>
      <c r="B945" s="164"/>
      <c r="C945" s="165"/>
      <c r="D945" s="164"/>
      <c r="E945" s="139"/>
      <c r="F945" s="164"/>
      <c r="G945" s="139"/>
      <c r="H945" s="164"/>
      <c r="I945" s="164"/>
      <c r="J945" s="164"/>
      <c r="K945" s="139"/>
      <c r="L945" s="130"/>
      <c r="M945" s="130"/>
      <c r="N945" s="130"/>
      <c r="O945" s="130"/>
      <c r="P945" s="130"/>
      <c r="Q945" s="130"/>
    </row>
    <row r="946" spans="1:17" x14ac:dyDescent="0.25">
      <c r="A946" s="164"/>
      <c r="B946" s="164"/>
      <c r="C946" s="165"/>
      <c r="D946" s="164"/>
      <c r="E946" s="139"/>
      <c r="F946" s="164"/>
      <c r="G946" s="139"/>
      <c r="H946" s="164"/>
      <c r="I946" s="164"/>
      <c r="J946" s="164"/>
      <c r="K946" s="139"/>
      <c r="L946" s="130"/>
      <c r="M946" s="130"/>
      <c r="N946" s="130"/>
      <c r="O946" s="130"/>
      <c r="P946" s="130"/>
      <c r="Q946" s="130"/>
    </row>
    <row r="947" spans="1:17" x14ac:dyDescent="0.25">
      <c r="A947" s="164"/>
      <c r="B947" s="164"/>
      <c r="C947" s="165"/>
      <c r="D947" s="164"/>
      <c r="E947" s="139"/>
      <c r="F947" s="164"/>
      <c r="G947" s="139"/>
      <c r="H947" s="164"/>
      <c r="I947" s="164"/>
      <c r="J947" s="164"/>
      <c r="K947" s="139"/>
      <c r="L947" s="130"/>
      <c r="M947" s="130"/>
      <c r="N947" s="130"/>
      <c r="O947" s="130"/>
      <c r="P947" s="130"/>
      <c r="Q947" s="130"/>
    </row>
    <row r="948" spans="1:17" x14ac:dyDescent="0.25">
      <c r="A948" s="164"/>
      <c r="B948" s="164"/>
      <c r="C948" s="165"/>
      <c r="D948" s="164"/>
      <c r="E948" s="139"/>
      <c r="F948" s="164"/>
      <c r="G948" s="139"/>
      <c r="H948" s="164"/>
      <c r="I948" s="164"/>
      <c r="J948" s="164"/>
      <c r="K948" s="139"/>
      <c r="L948" s="130"/>
      <c r="M948" s="130"/>
      <c r="N948" s="130"/>
      <c r="O948" s="130"/>
      <c r="P948" s="130"/>
      <c r="Q948" s="130"/>
    </row>
    <row r="949" spans="1:17" x14ac:dyDescent="0.25">
      <c r="A949" s="164"/>
      <c r="B949" s="164"/>
      <c r="C949" s="165"/>
      <c r="D949" s="164"/>
      <c r="E949" s="139"/>
      <c r="F949" s="164"/>
      <c r="G949" s="139"/>
      <c r="H949" s="164"/>
      <c r="I949" s="164"/>
      <c r="J949" s="164"/>
      <c r="K949" s="139"/>
      <c r="L949" s="130"/>
      <c r="M949" s="130"/>
      <c r="N949" s="130"/>
      <c r="O949" s="130"/>
      <c r="P949" s="130"/>
      <c r="Q949" s="130"/>
    </row>
    <row r="950" spans="1:17" x14ac:dyDescent="0.25">
      <c r="A950" s="164"/>
      <c r="B950" s="164"/>
      <c r="C950" s="165"/>
      <c r="D950" s="164"/>
      <c r="E950" s="139"/>
      <c r="F950" s="164"/>
      <c r="G950" s="139"/>
      <c r="H950" s="164"/>
      <c r="I950" s="164"/>
      <c r="J950" s="164"/>
      <c r="K950" s="139"/>
      <c r="L950" s="130"/>
      <c r="M950" s="130"/>
      <c r="N950" s="130"/>
      <c r="O950" s="130"/>
      <c r="P950" s="130"/>
      <c r="Q950" s="130"/>
    </row>
    <row r="951" spans="1:17" x14ac:dyDescent="0.25">
      <c r="A951" s="164"/>
      <c r="B951" s="164"/>
      <c r="C951" s="165"/>
      <c r="D951" s="164"/>
      <c r="E951" s="139"/>
      <c r="F951" s="164"/>
      <c r="G951" s="139"/>
      <c r="H951" s="164"/>
      <c r="I951" s="164"/>
      <c r="J951" s="164"/>
      <c r="K951" s="139"/>
      <c r="L951" s="130"/>
      <c r="M951" s="130"/>
      <c r="N951" s="130"/>
      <c r="O951" s="130"/>
      <c r="P951" s="130"/>
      <c r="Q951" s="130"/>
    </row>
    <row r="952" spans="1:17" x14ac:dyDescent="0.25">
      <c r="A952" s="164"/>
      <c r="B952" s="164"/>
      <c r="C952" s="165"/>
      <c r="D952" s="164"/>
      <c r="E952" s="139"/>
      <c r="F952" s="164"/>
      <c r="G952" s="139"/>
      <c r="H952" s="164"/>
      <c r="I952" s="164"/>
      <c r="J952" s="164"/>
      <c r="K952" s="139"/>
      <c r="L952" s="130"/>
      <c r="M952" s="130"/>
      <c r="N952" s="130"/>
      <c r="O952" s="130"/>
      <c r="P952" s="130"/>
      <c r="Q952" s="130"/>
    </row>
    <row r="953" spans="1:17" x14ac:dyDescent="0.25">
      <c r="A953" s="164"/>
      <c r="B953" s="164"/>
      <c r="C953" s="165"/>
      <c r="D953" s="164"/>
      <c r="E953" s="139"/>
      <c r="F953" s="164"/>
      <c r="G953" s="139"/>
      <c r="H953" s="164"/>
      <c r="I953" s="164"/>
      <c r="J953" s="164"/>
      <c r="K953" s="139"/>
      <c r="L953" s="130"/>
      <c r="M953" s="130"/>
      <c r="N953" s="130"/>
      <c r="O953" s="130"/>
      <c r="P953" s="130"/>
      <c r="Q953" s="130"/>
    </row>
    <row r="954" spans="1:17" x14ac:dyDescent="0.25">
      <c r="A954" s="164"/>
      <c r="B954" s="164"/>
      <c r="C954" s="165"/>
      <c r="D954" s="164"/>
      <c r="E954" s="139"/>
      <c r="F954" s="164"/>
      <c r="G954" s="139"/>
      <c r="H954" s="164"/>
      <c r="I954" s="164"/>
      <c r="J954" s="164"/>
      <c r="K954" s="139"/>
      <c r="L954" s="130"/>
      <c r="M954" s="130"/>
      <c r="N954" s="130"/>
      <c r="O954" s="130"/>
      <c r="P954" s="130"/>
      <c r="Q954" s="130"/>
    </row>
    <row r="955" spans="1:17" x14ac:dyDescent="0.25">
      <c r="A955" s="164"/>
      <c r="B955" s="164"/>
      <c r="C955" s="165"/>
      <c r="D955" s="164"/>
      <c r="E955" s="139"/>
      <c r="F955" s="164"/>
      <c r="G955" s="139"/>
      <c r="H955" s="164"/>
      <c r="I955" s="164"/>
      <c r="J955" s="164"/>
      <c r="K955" s="139"/>
      <c r="L955" s="130"/>
      <c r="M955" s="130"/>
      <c r="N955" s="130"/>
      <c r="O955" s="130"/>
      <c r="P955" s="130"/>
      <c r="Q955" s="130"/>
    </row>
    <row r="956" spans="1:17" x14ac:dyDescent="0.25">
      <c r="A956" s="164"/>
      <c r="B956" s="164"/>
      <c r="C956" s="165"/>
      <c r="D956" s="164"/>
      <c r="E956" s="139"/>
      <c r="F956" s="164"/>
      <c r="G956" s="139"/>
      <c r="H956" s="164"/>
      <c r="I956" s="164"/>
      <c r="J956" s="164"/>
      <c r="K956" s="139"/>
      <c r="L956" s="130"/>
      <c r="M956" s="130"/>
      <c r="N956" s="130"/>
      <c r="O956" s="130"/>
      <c r="P956" s="130"/>
      <c r="Q956" s="130"/>
    </row>
    <row r="957" spans="1:17" x14ac:dyDescent="0.25">
      <c r="A957" s="164"/>
      <c r="B957" s="164"/>
      <c r="C957" s="165"/>
      <c r="D957" s="164"/>
      <c r="E957" s="139"/>
      <c r="F957" s="164"/>
      <c r="G957" s="139"/>
      <c r="H957" s="164"/>
      <c r="I957" s="164"/>
      <c r="J957" s="164"/>
      <c r="K957" s="139"/>
      <c r="L957" s="130"/>
      <c r="M957" s="130"/>
      <c r="N957" s="130"/>
      <c r="O957" s="130"/>
      <c r="P957" s="130"/>
      <c r="Q957" s="130"/>
    </row>
    <row r="958" spans="1:17" x14ac:dyDescent="0.25">
      <c r="A958" s="164"/>
      <c r="B958" s="164"/>
      <c r="C958" s="165"/>
      <c r="D958" s="164"/>
      <c r="E958" s="139"/>
      <c r="F958" s="164"/>
      <c r="G958" s="139"/>
      <c r="H958" s="164"/>
      <c r="I958" s="164"/>
      <c r="J958" s="164"/>
      <c r="K958" s="139"/>
      <c r="L958" s="130"/>
      <c r="M958" s="130"/>
      <c r="N958" s="130"/>
      <c r="O958" s="130"/>
      <c r="P958" s="130"/>
      <c r="Q958" s="130"/>
    </row>
    <row r="959" spans="1:17" x14ac:dyDescent="0.25">
      <c r="A959" s="164"/>
      <c r="B959" s="164"/>
      <c r="C959" s="165"/>
      <c r="D959" s="164"/>
      <c r="E959" s="139"/>
      <c r="F959" s="164"/>
      <c r="G959" s="139"/>
      <c r="H959" s="164"/>
      <c r="I959" s="164"/>
      <c r="J959" s="164"/>
      <c r="K959" s="139"/>
      <c r="L959" s="130"/>
      <c r="M959" s="130"/>
      <c r="N959" s="130"/>
      <c r="O959" s="130"/>
      <c r="P959" s="130"/>
      <c r="Q959" s="130"/>
    </row>
    <row r="960" spans="1:17" x14ac:dyDescent="0.25">
      <c r="A960" s="164"/>
      <c r="B960" s="164"/>
      <c r="C960" s="165"/>
      <c r="D960" s="164"/>
      <c r="E960" s="139"/>
      <c r="F960" s="164"/>
      <c r="G960" s="139"/>
      <c r="H960" s="164"/>
      <c r="I960" s="164"/>
      <c r="J960" s="164"/>
      <c r="K960" s="139"/>
      <c r="L960" s="130"/>
      <c r="M960" s="130"/>
      <c r="N960" s="130"/>
      <c r="O960" s="130"/>
      <c r="P960" s="130"/>
      <c r="Q960" s="130"/>
    </row>
    <row r="961" spans="1:17" x14ac:dyDescent="0.25">
      <c r="A961" s="164"/>
      <c r="B961" s="164"/>
      <c r="C961" s="165"/>
      <c r="D961" s="164"/>
      <c r="E961" s="139"/>
      <c r="F961" s="164"/>
      <c r="G961" s="139"/>
      <c r="H961" s="164"/>
      <c r="I961" s="164"/>
      <c r="J961" s="164"/>
      <c r="K961" s="139"/>
      <c r="L961" s="130"/>
      <c r="M961" s="130"/>
      <c r="N961" s="130"/>
      <c r="O961" s="130"/>
      <c r="P961" s="130"/>
      <c r="Q961" s="130"/>
    </row>
    <row r="962" spans="1:17" x14ac:dyDescent="0.25">
      <c r="A962" s="164"/>
      <c r="B962" s="164"/>
      <c r="C962" s="165"/>
      <c r="D962" s="164"/>
      <c r="E962" s="139"/>
      <c r="F962" s="164"/>
      <c r="G962" s="139"/>
      <c r="H962" s="164"/>
      <c r="I962" s="164"/>
      <c r="J962" s="164"/>
      <c r="K962" s="139"/>
      <c r="L962" s="130"/>
      <c r="M962" s="130"/>
      <c r="N962" s="130"/>
      <c r="O962" s="130"/>
      <c r="P962" s="130"/>
      <c r="Q962" s="130"/>
    </row>
    <row r="963" spans="1:17" x14ac:dyDescent="0.25">
      <c r="A963" s="164"/>
      <c r="B963" s="164"/>
      <c r="C963" s="165"/>
      <c r="D963" s="164"/>
      <c r="E963" s="139"/>
      <c r="F963" s="164"/>
      <c r="G963" s="139"/>
      <c r="H963" s="164"/>
      <c r="I963" s="164"/>
      <c r="J963" s="164"/>
      <c r="K963" s="139"/>
      <c r="L963" s="130"/>
      <c r="M963" s="130"/>
      <c r="N963" s="130"/>
      <c r="O963" s="130"/>
      <c r="P963" s="130"/>
      <c r="Q963" s="130"/>
    </row>
    <row r="964" spans="1:17" x14ac:dyDescent="0.25">
      <c r="A964" s="164"/>
      <c r="B964" s="164"/>
      <c r="C964" s="165"/>
      <c r="D964" s="164"/>
      <c r="E964" s="139"/>
      <c r="F964" s="164"/>
      <c r="G964" s="139"/>
      <c r="H964" s="164"/>
      <c r="I964" s="164"/>
      <c r="J964" s="164"/>
      <c r="K964" s="139"/>
      <c r="L964" s="130"/>
      <c r="M964" s="130"/>
      <c r="N964" s="130"/>
      <c r="O964" s="130"/>
      <c r="P964" s="130"/>
      <c r="Q964" s="130"/>
    </row>
    <row r="965" spans="1:17" x14ac:dyDescent="0.25">
      <c r="A965" s="164"/>
      <c r="B965" s="164"/>
      <c r="C965" s="165"/>
      <c r="D965" s="164"/>
      <c r="E965" s="139"/>
      <c r="F965" s="164"/>
      <c r="G965" s="139"/>
      <c r="H965" s="164"/>
      <c r="I965" s="164"/>
      <c r="J965" s="164"/>
      <c r="K965" s="139"/>
      <c r="L965" s="130"/>
      <c r="M965" s="130"/>
      <c r="N965" s="130"/>
      <c r="O965" s="130"/>
      <c r="P965" s="130"/>
      <c r="Q965" s="130"/>
    </row>
    <row r="966" spans="1:17" x14ac:dyDescent="0.25">
      <c r="A966" s="164"/>
      <c r="B966" s="164"/>
      <c r="C966" s="165"/>
      <c r="D966" s="164"/>
      <c r="E966" s="139"/>
      <c r="F966" s="164"/>
      <c r="G966" s="139"/>
      <c r="H966" s="164"/>
      <c r="I966" s="164"/>
      <c r="J966" s="164"/>
      <c r="K966" s="139"/>
      <c r="L966" s="130"/>
      <c r="M966" s="130"/>
      <c r="N966" s="130"/>
      <c r="O966" s="130"/>
      <c r="P966" s="130"/>
      <c r="Q966" s="130"/>
    </row>
    <row r="967" spans="1:17" x14ac:dyDescent="0.25">
      <c r="A967" s="164"/>
      <c r="B967" s="164"/>
      <c r="C967" s="165"/>
      <c r="D967" s="164"/>
      <c r="E967" s="139"/>
      <c r="F967" s="164"/>
      <c r="G967" s="139"/>
      <c r="H967" s="164"/>
      <c r="I967" s="164"/>
      <c r="J967" s="164"/>
      <c r="K967" s="139"/>
      <c r="L967" s="130"/>
      <c r="M967" s="130"/>
      <c r="N967" s="130"/>
      <c r="O967" s="130"/>
      <c r="P967" s="130"/>
      <c r="Q967" s="130"/>
    </row>
    <row r="968" spans="1:17" x14ac:dyDescent="0.25">
      <c r="A968" s="164"/>
      <c r="B968" s="164"/>
      <c r="C968" s="165"/>
      <c r="D968" s="164"/>
      <c r="E968" s="139"/>
      <c r="F968" s="164"/>
      <c r="G968" s="139"/>
      <c r="H968" s="164"/>
      <c r="I968" s="164"/>
      <c r="J968" s="164"/>
      <c r="K968" s="139"/>
      <c r="L968" s="130"/>
      <c r="M968" s="130"/>
      <c r="N968" s="130"/>
      <c r="O968" s="130"/>
      <c r="P968" s="130"/>
      <c r="Q968" s="130"/>
    </row>
    <row r="969" spans="1:17" x14ac:dyDescent="0.25">
      <c r="A969" s="164"/>
      <c r="B969" s="164"/>
      <c r="C969" s="165"/>
      <c r="D969" s="164"/>
      <c r="E969" s="139"/>
      <c r="F969" s="164"/>
      <c r="G969" s="139"/>
      <c r="H969" s="164"/>
      <c r="I969" s="164"/>
      <c r="J969" s="164"/>
      <c r="K969" s="139"/>
      <c r="L969" s="130"/>
      <c r="M969" s="130"/>
      <c r="N969" s="130"/>
      <c r="O969" s="130"/>
      <c r="P969" s="130"/>
      <c r="Q969" s="130"/>
    </row>
    <row r="970" spans="1:17" x14ac:dyDescent="0.25">
      <c r="A970" s="164"/>
      <c r="B970" s="164"/>
      <c r="C970" s="165"/>
      <c r="D970" s="164"/>
      <c r="E970" s="139"/>
      <c r="F970" s="164"/>
      <c r="G970" s="139"/>
      <c r="H970" s="164"/>
      <c r="I970" s="164"/>
      <c r="J970" s="164"/>
      <c r="K970" s="139"/>
      <c r="L970" s="130"/>
      <c r="M970" s="130"/>
      <c r="N970" s="130"/>
      <c r="O970" s="130"/>
      <c r="P970" s="130"/>
      <c r="Q970" s="130"/>
    </row>
    <row r="971" spans="1:17" x14ac:dyDescent="0.25">
      <c r="A971" s="164"/>
      <c r="B971" s="164"/>
      <c r="C971" s="165"/>
      <c r="D971" s="164"/>
      <c r="E971" s="139"/>
      <c r="F971" s="164"/>
      <c r="G971" s="139"/>
      <c r="H971" s="164"/>
      <c r="I971" s="164"/>
      <c r="J971" s="164"/>
      <c r="K971" s="139"/>
      <c r="L971" s="130"/>
      <c r="M971" s="130"/>
      <c r="N971" s="130"/>
      <c r="O971" s="130"/>
      <c r="P971" s="130"/>
      <c r="Q971" s="130"/>
    </row>
    <row r="972" spans="1:17" x14ac:dyDescent="0.25">
      <c r="A972" s="164"/>
      <c r="B972" s="164"/>
      <c r="C972" s="165"/>
      <c r="D972" s="164"/>
      <c r="E972" s="139"/>
      <c r="F972" s="164"/>
      <c r="G972" s="139"/>
      <c r="H972" s="164"/>
      <c r="I972" s="164"/>
      <c r="J972" s="164"/>
      <c r="K972" s="139"/>
      <c r="L972" s="130"/>
      <c r="M972" s="130"/>
      <c r="N972" s="130"/>
      <c r="O972" s="130"/>
      <c r="P972" s="130"/>
      <c r="Q972" s="130"/>
    </row>
    <row r="973" spans="1:17" x14ac:dyDescent="0.25">
      <c r="A973" s="164"/>
      <c r="B973" s="164"/>
      <c r="C973" s="165"/>
      <c r="D973" s="164"/>
      <c r="E973" s="139"/>
      <c r="F973" s="164"/>
      <c r="G973" s="139"/>
      <c r="H973" s="164"/>
      <c r="I973" s="164"/>
      <c r="J973" s="164"/>
      <c r="K973" s="139"/>
      <c r="L973" s="130"/>
      <c r="M973" s="130"/>
      <c r="N973" s="130"/>
      <c r="O973" s="130"/>
      <c r="P973" s="130"/>
      <c r="Q973" s="130"/>
    </row>
    <row r="974" spans="1:17" x14ac:dyDescent="0.25">
      <c r="A974" s="164"/>
      <c r="B974" s="164"/>
      <c r="C974" s="165"/>
      <c r="D974" s="164"/>
      <c r="E974" s="139"/>
      <c r="F974" s="164"/>
      <c r="G974" s="139"/>
      <c r="H974" s="164"/>
      <c r="I974" s="164"/>
      <c r="J974" s="164"/>
      <c r="K974" s="139"/>
      <c r="L974" s="130"/>
      <c r="M974" s="130"/>
      <c r="N974" s="130"/>
      <c r="O974" s="130"/>
      <c r="P974" s="130"/>
      <c r="Q974" s="130"/>
    </row>
    <row r="975" spans="1:17" x14ac:dyDescent="0.25">
      <c r="A975" s="164"/>
      <c r="B975" s="164"/>
      <c r="C975" s="165"/>
      <c r="D975" s="164"/>
      <c r="E975" s="139"/>
      <c r="F975" s="164"/>
      <c r="G975" s="139"/>
      <c r="H975" s="164"/>
      <c r="I975" s="164"/>
      <c r="J975" s="164"/>
      <c r="K975" s="139"/>
      <c r="L975" s="130"/>
      <c r="M975" s="130"/>
      <c r="N975" s="130"/>
      <c r="O975" s="130"/>
      <c r="P975" s="130"/>
      <c r="Q975" s="130"/>
    </row>
    <row r="976" spans="1:17" x14ac:dyDescent="0.25">
      <c r="A976" s="164"/>
      <c r="B976" s="164"/>
      <c r="C976" s="165"/>
      <c r="D976" s="164"/>
      <c r="E976" s="139"/>
      <c r="F976" s="164"/>
      <c r="G976" s="139"/>
      <c r="H976" s="164"/>
      <c r="I976" s="164"/>
      <c r="J976" s="164"/>
      <c r="K976" s="139"/>
      <c r="L976" s="130"/>
      <c r="M976" s="130"/>
      <c r="N976" s="130"/>
      <c r="O976" s="130"/>
      <c r="P976" s="130"/>
      <c r="Q976" s="130"/>
    </row>
    <row r="977" spans="1:17" x14ac:dyDescent="0.25">
      <c r="A977" s="164"/>
      <c r="B977" s="164"/>
      <c r="C977" s="165"/>
      <c r="D977" s="164"/>
      <c r="E977" s="139"/>
      <c r="F977" s="164"/>
      <c r="G977" s="139"/>
      <c r="H977" s="164"/>
      <c r="I977" s="164"/>
      <c r="J977" s="164"/>
      <c r="K977" s="139"/>
      <c r="L977" s="130"/>
      <c r="M977" s="130"/>
      <c r="N977" s="130"/>
      <c r="O977" s="130"/>
      <c r="P977" s="130"/>
      <c r="Q977" s="130"/>
    </row>
    <row r="978" spans="1:17" x14ac:dyDescent="0.25">
      <c r="A978" s="164"/>
      <c r="B978" s="164"/>
      <c r="C978" s="165"/>
      <c r="D978" s="164"/>
      <c r="E978" s="139"/>
      <c r="F978" s="164"/>
      <c r="G978" s="139"/>
      <c r="H978" s="164"/>
      <c r="I978" s="164"/>
      <c r="J978" s="164"/>
      <c r="K978" s="139"/>
      <c r="L978" s="130"/>
      <c r="M978" s="130"/>
      <c r="N978" s="130"/>
      <c r="O978" s="130"/>
      <c r="P978" s="130"/>
      <c r="Q978" s="130"/>
    </row>
    <row r="979" spans="1:17" x14ac:dyDescent="0.25">
      <c r="A979" s="164"/>
      <c r="B979" s="164"/>
      <c r="C979" s="165"/>
      <c r="D979" s="164"/>
      <c r="E979" s="139"/>
      <c r="F979" s="164"/>
      <c r="G979" s="139"/>
      <c r="H979" s="164"/>
      <c r="I979" s="164"/>
      <c r="J979" s="164"/>
      <c r="K979" s="139"/>
      <c r="L979" s="130"/>
      <c r="M979" s="130"/>
      <c r="N979" s="130"/>
      <c r="O979" s="130"/>
      <c r="P979" s="130"/>
      <c r="Q979" s="130"/>
    </row>
    <row r="980" spans="1:17" x14ac:dyDescent="0.25">
      <c r="A980" s="164"/>
      <c r="B980" s="164"/>
      <c r="C980" s="165"/>
      <c r="D980" s="164"/>
      <c r="E980" s="139"/>
      <c r="F980" s="164"/>
      <c r="G980" s="139"/>
      <c r="H980" s="164"/>
      <c r="I980" s="164"/>
      <c r="J980" s="164"/>
      <c r="K980" s="139"/>
      <c r="L980" s="130"/>
      <c r="M980" s="130"/>
      <c r="N980" s="130"/>
      <c r="O980" s="130"/>
      <c r="P980" s="130"/>
      <c r="Q980" s="130"/>
    </row>
    <row r="981" spans="1:17" x14ac:dyDescent="0.25">
      <c r="A981" s="164"/>
      <c r="B981" s="164"/>
      <c r="C981" s="165"/>
      <c r="D981" s="164"/>
      <c r="E981" s="139"/>
      <c r="F981" s="164"/>
      <c r="G981" s="139"/>
      <c r="H981" s="164"/>
      <c r="I981" s="164"/>
      <c r="J981" s="164"/>
      <c r="K981" s="139"/>
      <c r="L981" s="130"/>
      <c r="M981" s="130"/>
      <c r="N981" s="130"/>
      <c r="O981" s="130"/>
      <c r="P981" s="130"/>
      <c r="Q981" s="130"/>
    </row>
    <row r="982" spans="1:17" x14ac:dyDescent="0.25">
      <c r="A982" s="164"/>
      <c r="B982" s="164"/>
      <c r="C982" s="165"/>
      <c r="D982" s="164"/>
      <c r="E982" s="139"/>
      <c r="F982" s="164"/>
      <c r="G982" s="139"/>
      <c r="H982" s="164"/>
      <c r="I982" s="164"/>
      <c r="J982" s="164"/>
      <c r="K982" s="139"/>
      <c r="L982" s="130"/>
      <c r="M982" s="130"/>
      <c r="N982" s="130"/>
      <c r="O982" s="130"/>
      <c r="P982" s="130"/>
      <c r="Q982" s="130"/>
    </row>
    <row r="983" spans="1:17" x14ac:dyDescent="0.25">
      <c r="A983" s="164"/>
      <c r="B983" s="164"/>
      <c r="C983" s="165"/>
      <c r="D983" s="164"/>
      <c r="E983" s="139"/>
      <c r="F983" s="164"/>
      <c r="G983" s="139"/>
      <c r="H983" s="164"/>
      <c r="I983" s="164"/>
      <c r="J983" s="164"/>
      <c r="K983" s="139"/>
      <c r="L983" s="130"/>
      <c r="M983" s="130"/>
      <c r="N983" s="130"/>
      <c r="O983" s="130"/>
      <c r="P983" s="130"/>
      <c r="Q983" s="130"/>
    </row>
    <row r="984" spans="1:17" x14ac:dyDescent="0.25">
      <c r="A984" s="164"/>
      <c r="B984" s="164"/>
      <c r="C984" s="165"/>
      <c r="D984" s="164"/>
      <c r="E984" s="139"/>
      <c r="F984" s="164"/>
      <c r="G984" s="139"/>
      <c r="H984" s="164"/>
      <c r="I984" s="164"/>
      <c r="J984" s="164"/>
      <c r="K984" s="139"/>
      <c r="L984" s="130"/>
      <c r="M984" s="130"/>
      <c r="N984" s="130"/>
      <c r="O984" s="130"/>
      <c r="P984" s="130"/>
      <c r="Q984" s="130"/>
    </row>
    <row r="985" spans="1:17" x14ac:dyDescent="0.25">
      <c r="A985" s="164"/>
      <c r="B985" s="164"/>
      <c r="C985" s="165"/>
      <c r="D985" s="164"/>
      <c r="E985" s="139"/>
      <c r="F985" s="164"/>
      <c r="G985" s="139"/>
      <c r="H985" s="164"/>
      <c r="I985" s="164"/>
      <c r="J985" s="164"/>
      <c r="K985" s="139"/>
      <c r="L985" s="130"/>
      <c r="M985" s="130"/>
      <c r="N985" s="130"/>
      <c r="O985" s="130"/>
      <c r="P985" s="130"/>
      <c r="Q985" s="130"/>
    </row>
    <row r="986" spans="1:17" x14ac:dyDescent="0.25">
      <c r="A986" s="164"/>
      <c r="B986" s="164"/>
      <c r="C986" s="165"/>
      <c r="D986" s="164"/>
      <c r="E986" s="139"/>
      <c r="F986" s="164"/>
      <c r="G986" s="139"/>
      <c r="H986" s="164"/>
      <c r="I986" s="164"/>
      <c r="J986" s="164"/>
      <c r="K986" s="139"/>
      <c r="L986" s="130"/>
      <c r="M986" s="130"/>
      <c r="N986" s="130"/>
      <c r="O986" s="130"/>
      <c r="P986" s="130"/>
      <c r="Q986" s="130"/>
    </row>
    <row r="987" spans="1:17" x14ac:dyDescent="0.25">
      <c r="A987" s="164"/>
      <c r="B987" s="164"/>
      <c r="C987" s="165"/>
      <c r="D987" s="164"/>
      <c r="E987" s="139"/>
      <c r="F987" s="164"/>
      <c r="G987" s="139"/>
      <c r="H987" s="164"/>
      <c r="I987" s="164"/>
      <c r="J987" s="164"/>
      <c r="K987" s="139"/>
      <c r="L987" s="130"/>
      <c r="M987" s="130"/>
      <c r="N987" s="130"/>
      <c r="O987" s="130"/>
      <c r="P987" s="130"/>
      <c r="Q987" s="130"/>
    </row>
    <row r="988" spans="1:17" x14ac:dyDescent="0.25">
      <c r="A988" s="164"/>
      <c r="B988" s="164"/>
      <c r="C988" s="165"/>
      <c r="D988" s="164"/>
      <c r="E988" s="139"/>
      <c r="F988" s="164"/>
      <c r="G988" s="139"/>
      <c r="H988" s="164"/>
      <c r="I988" s="164"/>
      <c r="J988" s="164"/>
      <c r="K988" s="139"/>
      <c r="L988" s="130"/>
      <c r="M988" s="130"/>
      <c r="N988" s="130"/>
      <c r="O988" s="130"/>
      <c r="P988" s="130"/>
      <c r="Q988" s="130"/>
    </row>
    <row r="989" spans="1:17" x14ac:dyDescent="0.25">
      <c r="A989" s="164"/>
      <c r="B989" s="164"/>
      <c r="C989" s="165"/>
      <c r="D989" s="164"/>
      <c r="E989" s="139"/>
      <c r="F989" s="164"/>
      <c r="G989" s="139"/>
      <c r="H989" s="164"/>
      <c r="I989" s="164"/>
      <c r="J989" s="164"/>
      <c r="K989" s="139"/>
      <c r="L989" s="130"/>
      <c r="M989" s="130"/>
      <c r="N989" s="130"/>
      <c r="O989" s="130"/>
      <c r="P989" s="130"/>
      <c r="Q989" s="130"/>
    </row>
    <row r="990" spans="1:17" x14ac:dyDescent="0.25">
      <c r="A990" s="164"/>
      <c r="B990" s="164"/>
      <c r="C990" s="165"/>
      <c r="D990" s="164"/>
      <c r="E990" s="139"/>
      <c r="F990" s="164"/>
      <c r="G990" s="139"/>
      <c r="H990" s="164"/>
      <c r="I990" s="164"/>
      <c r="J990" s="164"/>
      <c r="K990" s="139"/>
      <c r="L990" s="130"/>
      <c r="M990" s="130"/>
      <c r="N990" s="130"/>
      <c r="O990" s="130"/>
      <c r="P990" s="130"/>
      <c r="Q990" s="130"/>
    </row>
    <row r="991" spans="1:17" x14ac:dyDescent="0.25">
      <c r="A991" s="164"/>
      <c r="B991" s="164"/>
      <c r="C991" s="165"/>
      <c r="D991" s="164"/>
      <c r="E991" s="139"/>
      <c r="F991" s="164"/>
      <c r="G991" s="139"/>
      <c r="H991" s="164"/>
      <c r="I991" s="164"/>
      <c r="J991" s="164"/>
      <c r="K991" s="139"/>
      <c r="L991" s="130"/>
      <c r="M991" s="130"/>
      <c r="N991" s="130"/>
      <c r="O991" s="130"/>
      <c r="P991" s="130"/>
      <c r="Q991" s="130"/>
    </row>
    <row r="992" spans="1:17" x14ac:dyDescent="0.25">
      <c r="A992" s="164"/>
      <c r="B992" s="164"/>
      <c r="C992" s="165"/>
      <c r="D992" s="164"/>
      <c r="E992" s="139"/>
      <c r="F992" s="164"/>
      <c r="G992" s="139"/>
      <c r="H992" s="164"/>
      <c r="I992" s="164"/>
      <c r="J992" s="164"/>
      <c r="K992" s="139"/>
      <c r="L992" s="130"/>
      <c r="M992" s="130"/>
      <c r="N992" s="130"/>
      <c r="O992" s="130"/>
      <c r="P992" s="130"/>
      <c r="Q992" s="130"/>
    </row>
    <row r="993" spans="1:17" x14ac:dyDescent="0.25">
      <c r="A993" s="164"/>
      <c r="B993" s="164"/>
      <c r="C993" s="165"/>
      <c r="D993" s="164"/>
      <c r="E993" s="139"/>
      <c r="F993" s="164"/>
      <c r="G993" s="139"/>
      <c r="H993" s="164"/>
      <c r="I993" s="164"/>
      <c r="J993" s="164"/>
      <c r="K993" s="139"/>
      <c r="L993" s="130"/>
      <c r="M993" s="130"/>
      <c r="N993" s="130"/>
      <c r="O993" s="130"/>
      <c r="P993" s="130"/>
      <c r="Q993" s="130"/>
    </row>
    <row r="994" spans="1:17" x14ac:dyDescent="0.25">
      <c r="A994" s="164"/>
      <c r="B994" s="164"/>
      <c r="C994" s="165"/>
      <c r="D994" s="164"/>
      <c r="E994" s="139"/>
      <c r="F994" s="164"/>
      <c r="G994" s="139"/>
      <c r="H994" s="164"/>
      <c r="I994" s="164"/>
      <c r="J994" s="164"/>
      <c r="K994" s="139"/>
      <c r="L994" s="130"/>
      <c r="M994" s="130"/>
      <c r="N994" s="130"/>
      <c r="O994" s="130"/>
      <c r="P994" s="130"/>
      <c r="Q994" s="130"/>
    </row>
    <row r="995" spans="1:17" x14ac:dyDescent="0.25">
      <c r="A995" s="164"/>
      <c r="B995" s="164"/>
      <c r="C995" s="165"/>
      <c r="D995" s="164"/>
      <c r="E995" s="139"/>
      <c r="F995" s="164"/>
      <c r="G995" s="139"/>
      <c r="H995" s="164"/>
      <c r="I995" s="164"/>
      <c r="J995" s="164"/>
      <c r="K995" s="139"/>
      <c r="L995" s="130"/>
      <c r="M995" s="130"/>
      <c r="N995" s="130"/>
      <c r="O995" s="130"/>
      <c r="P995" s="130"/>
      <c r="Q995" s="130"/>
    </row>
    <row r="996" spans="1:17" x14ac:dyDescent="0.25">
      <c r="A996" s="164"/>
      <c r="B996" s="164"/>
      <c r="C996" s="165"/>
      <c r="D996" s="164"/>
      <c r="E996" s="139"/>
      <c r="F996" s="164"/>
      <c r="G996" s="139"/>
      <c r="H996" s="164"/>
      <c r="I996" s="164"/>
      <c r="J996" s="164"/>
      <c r="K996" s="139"/>
      <c r="L996" s="130"/>
      <c r="M996" s="130"/>
      <c r="N996" s="130"/>
      <c r="O996" s="130"/>
      <c r="P996" s="130"/>
      <c r="Q996" s="130"/>
    </row>
    <row r="997" spans="1:17" x14ac:dyDescent="0.25">
      <c r="A997" s="164"/>
      <c r="B997" s="164"/>
      <c r="C997" s="165"/>
      <c r="D997" s="164"/>
      <c r="E997" s="139"/>
      <c r="F997" s="164"/>
      <c r="G997" s="139"/>
      <c r="H997" s="164"/>
      <c r="I997" s="164"/>
      <c r="J997" s="164"/>
      <c r="K997" s="139"/>
      <c r="L997" s="130"/>
      <c r="M997" s="130"/>
      <c r="N997" s="130"/>
      <c r="O997" s="130"/>
      <c r="P997" s="130"/>
      <c r="Q997" s="130"/>
    </row>
    <row r="998" spans="1:17" x14ac:dyDescent="0.25">
      <c r="A998" s="164"/>
      <c r="B998" s="164"/>
      <c r="C998" s="165"/>
      <c r="D998" s="164"/>
      <c r="E998" s="139"/>
      <c r="F998" s="164"/>
      <c r="G998" s="139"/>
      <c r="H998" s="164"/>
      <c r="I998" s="164"/>
      <c r="J998" s="164"/>
      <c r="K998" s="139"/>
      <c r="L998" s="130"/>
      <c r="M998" s="130"/>
      <c r="N998" s="130"/>
      <c r="O998" s="130"/>
      <c r="P998" s="130"/>
      <c r="Q998" s="130"/>
    </row>
    <row r="999" spans="1:17" x14ac:dyDescent="0.25">
      <c r="A999" s="164"/>
      <c r="B999" s="164"/>
      <c r="C999" s="165"/>
      <c r="D999" s="164"/>
      <c r="E999" s="139"/>
      <c r="F999" s="164"/>
      <c r="G999" s="139"/>
      <c r="H999" s="164"/>
      <c r="I999" s="164"/>
      <c r="J999" s="164"/>
      <c r="K999" s="139"/>
      <c r="L999" s="130"/>
      <c r="M999" s="130"/>
      <c r="N999" s="130"/>
      <c r="O999" s="130"/>
      <c r="P999" s="130"/>
      <c r="Q999" s="130"/>
    </row>
    <row r="1000" spans="1:17" x14ac:dyDescent="0.25">
      <c r="A1000" s="164"/>
      <c r="B1000" s="164"/>
      <c r="C1000" s="165"/>
      <c r="D1000" s="164"/>
      <c r="E1000" s="139"/>
      <c r="F1000" s="164"/>
      <c r="G1000" s="139"/>
      <c r="H1000" s="164"/>
      <c r="I1000" s="164"/>
      <c r="J1000" s="164"/>
      <c r="K1000" s="139"/>
      <c r="L1000" s="130"/>
      <c r="M1000" s="130"/>
      <c r="N1000" s="130"/>
      <c r="O1000" s="130"/>
      <c r="P1000" s="130"/>
      <c r="Q1000" s="130"/>
    </row>
    <row r="1001" spans="1:17" x14ac:dyDescent="0.25">
      <c r="A1001" s="164"/>
      <c r="B1001" s="164"/>
      <c r="C1001" s="165"/>
      <c r="D1001" s="164"/>
      <c r="E1001" s="139"/>
      <c r="F1001" s="164"/>
      <c r="G1001" s="139"/>
      <c r="H1001" s="164"/>
      <c r="I1001" s="164"/>
      <c r="J1001" s="164"/>
      <c r="K1001" s="139"/>
      <c r="L1001" s="130"/>
      <c r="M1001" s="130"/>
      <c r="N1001" s="130"/>
      <c r="O1001" s="130"/>
      <c r="P1001" s="130"/>
      <c r="Q1001" s="130"/>
    </row>
    <row r="1002" spans="1:17" x14ac:dyDescent="0.25">
      <c r="A1002" s="164"/>
      <c r="B1002" s="164"/>
      <c r="C1002" s="165"/>
      <c r="D1002" s="164"/>
      <c r="E1002" s="139"/>
      <c r="F1002" s="164"/>
      <c r="G1002" s="139"/>
      <c r="H1002" s="164"/>
      <c r="I1002" s="164"/>
      <c r="J1002" s="164"/>
      <c r="K1002" s="139"/>
      <c r="L1002" s="130"/>
      <c r="M1002" s="130"/>
      <c r="N1002" s="130"/>
      <c r="O1002" s="130"/>
      <c r="P1002" s="130"/>
      <c r="Q1002" s="130"/>
    </row>
    <row r="1003" spans="1:17" x14ac:dyDescent="0.25">
      <c r="A1003" s="164"/>
      <c r="B1003" s="164"/>
      <c r="C1003" s="165"/>
      <c r="D1003" s="164"/>
      <c r="E1003" s="139"/>
      <c r="F1003" s="164"/>
      <c r="G1003" s="139"/>
      <c r="H1003" s="164"/>
      <c r="I1003" s="164"/>
      <c r="J1003" s="164"/>
      <c r="K1003" s="139"/>
      <c r="L1003" s="130"/>
      <c r="M1003" s="130"/>
      <c r="N1003" s="130"/>
      <c r="O1003" s="130"/>
      <c r="P1003" s="130"/>
      <c r="Q1003" s="130"/>
    </row>
    <row r="1004" spans="1:17" x14ac:dyDescent="0.25">
      <c r="A1004" s="164"/>
      <c r="B1004" s="164"/>
      <c r="C1004" s="165"/>
      <c r="D1004" s="164"/>
      <c r="E1004" s="139"/>
      <c r="F1004" s="164"/>
      <c r="G1004" s="139"/>
      <c r="H1004" s="164"/>
      <c r="I1004" s="164"/>
      <c r="J1004" s="164"/>
      <c r="K1004" s="139"/>
      <c r="L1004" s="130"/>
      <c r="M1004" s="130"/>
      <c r="N1004" s="130"/>
      <c r="O1004" s="130"/>
      <c r="P1004" s="130"/>
      <c r="Q1004" s="130"/>
    </row>
    <row r="1005" spans="1:17" x14ac:dyDescent="0.25">
      <c r="A1005" s="164"/>
      <c r="B1005" s="164"/>
      <c r="C1005" s="165"/>
      <c r="D1005" s="164"/>
      <c r="E1005" s="139"/>
      <c r="F1005" s="164"/>
      <c r="G1005" s="139"/>
      <c r="H1005" s="164"/>
      <c r="I1005" s="164"/>
      <c r="J1005" s="164"/>
      <c r="K1005" s="139"/>
      <c r="L1005" s="130"/>
      <c r="M1005" s="130"/>
      <c r="N1005" s="130"/>
      <c r="O1005" s="130"/>
      <c r="P1005" s="130"/>
      <c r="Q1005" s="130"/>
    </row>
    <row r="1006" spans="1:17" x14ac:dyDescent="0.25">
      <c r="A1006" s="164"/>
      <c r="B1006" s="164"/>
      <c r="C1006" s="165"/>
      <c r="D1006" s="164"/>
      <c r="E1006" s="139"/>
      <c r="F1006" s="164"/>
      <c r="G1006" s="139"/>
      <c r="H1006" s="164"/>
      <c r="I1006" s="164"/>
      <c r="J1006" s="164"/>
      <c r="K1006" s="139"/>
      <c r="L1006" s="130"/>
      <c r="M1006" s="130"/>
      <c r="N1006" s="130"/>
      <c r="O1006" s="130"/>
      <c r="P1006" s="130"/>
      <c r="Q1006" s="130"/>
    </row>
    <row r="1007" spans="1:17" x14ac:dyDescent="0.25">
      <c r="A1007" s="164"/>
      <c r="B1007" s="164"/>
      <c r="C1007" s="165"/>
      <c r="D1007" s="164"/>
      <c r="E1007" s="139"/>
      <c r="F1007" s="164"/>
      <c r="G1007" s="139"/>
      <c r="H1007" s="164"/>
      <c r="I1007" s="164"/>
      <c r="J1007" s="164"/>
      <c r="K1007" s="139"/>
      <c r="L1007" s="130"/>
      <c r="M1007" s="130"/>
      <c r="N1007" s="130"/>
      <c r="O1007" s="130"/>
      <c r="P1007" s="130"/>
      <c r="Q1007" s="130"/>
    </row>
    <row r="1008" spans="1:17" x14ac:dyDescent="0.25">
      <c r="A1008" s="164"/>
      <c r="B1008" s="164"/>
      <c r="C1008" s="165"/>
      <c r="D1008" s="164"/>
      <c r="E1008" s="139"/>
      <c r="F1008" s="164"/>
      <c r="G1008" s="139"/>
      <c r="H1008" s="164"/>
      <c r="I1008" s="164"/>
      <c r="J1008" s="164"/>
      <c r="K1008" s="139"/>
      <c r="L1008" s="130"/>
      <c r="M1008" s="130"/>
      <c r="N1008" s="130"/>
      <c r="O1008" s="130"/>
      <c r="P1008" s="130"/>
      <c r="Q1008" s="130"/>
    </row>
    <row r="1009" spans="1:17" x14ac:dyDescent="0.25">
      <c r="A1009" s="164"/>
      <c r="B1009" s="164"/>
      <c r="C1009" s="165"/>
      <c r="D1009" s="164"/>
      <c r="E1009" s="139"/>
      <c r="F1009" s="164"/>
      <c r="G1009" s="139"/>
      <c r="H1009" s="164"/>
      <c r="I1009" s="164"/>
      <c r="J1009" s="164"/>
      <c r="K1009" s="139"/>
      <c r="L1009" s="130"/>
      <c r="M1009" s="130"/>
      <c r="N1009" s="130"/>
      <c r="O1009" s="130"/>
      <c r="P1009" s="130"/>
      <c r="Q1009" s="130"/>
    </row>
    <row r="1010" spans="1:17" x14ac:dyDescent="0.25">
      <c r="A1010" s="164"/>
      <c r="B1010" s="164"/>
      <c r="C1010" s="165"/>
      <c r="D1010" s="164"/>
      <c r="E1010" s="139"/>
      <c r="F1010" s="164"/>
      <c r="G1010" s="139"/>
      <c r="H1010" s="164"/>
      <c r="I1010" s="164"/>
      <c r="J1010" s="164"/>
      <c r="K1010" s="139"/>
      <c r="L1010" s="130"/>
      <c r="M1010" s="130"/>
      <c r="N1010" s="130"/>
      <c r="O1010" s="130"/>
      <c r="P1010" s="130"/>
      <c r="Q1010" s="130"/>
    </row>
    <row r="1011" spans="1:17" x14ac:dyDescent="0.25">
      <c r="A1011" s="164"/>
      <c r="B1011" s="164"/>
      <c r="C1011" s="165"/>
      <c r="D1011" s="164"/>
      <c r="E1011" s="139"/>
      <c r="F1011" s="164"/>
      <c r="G1011" s="139"/>
      <c r="H1011" s="164"/>
      <c r="I1011" s="164"/>
      <c r="J1011" s="164"/>
      <c r="K1011" s="139"/>
      <c r="L1011" s="130"/>
      <c r="M1011" s="130"/>
      <c r="N1011" s="130"/>
      <c r="O1011" s="130"/>
      <c r="P1011" s="130"/>
      <c r="Q1011" s="130"/>
    </row>
    <row r="1012" spans="1:17" x14ac:dyDescent="0.25">
      <c r="A1012" s="164"/>
      <c r="B1012" s="164"/>
      <c r="C1012" s="165"/>
      <c r="D1012" s="164"/>
      <c r="E1012" s="139"/>
      <c r="F1012" s="164"/>
      <c r="G1012" s="139"/>
      <c r="H1012" s="164"/>
      <c r="I1012" s="164"/>
      <c r="J1012" s="164"/>
      <c r="K1012" s="139"/>
      <c r="L1012" s="130"/>
      <c r="M1012" s="130"/>
      <c r="N1012" s="130"/>
      <c r="O1012" s="130"/>
      <c r="P1012" s="130"/>
      <c r="Q1012" s="130"/>
    </row>
    <row r="1013" spans="1:17" x14ac:dyDescent="0.25">
      <c r="A1013" s="164"/>
      <c r="B1013" s="164"/>
      <c r="C1013" s="165"/>
      <c r="D1013" s="164"/>
      <c r="E1013" s="139"/>
      <c r="F1013" s="164"/>
      <c r="G1013" s="139"/>
      <c r="H1013" s="164"/>
      <c r="I1013" s="164"/>
      <c r="J1013" s="164"/>
      <c r="K1013" s="139"/>
      <c r="L1013" s="130"/>
      <c r="M1013" s="130"/>
      <c r="N1013" s="130"/>
      <c r="O1013" s="130"/>
      <c r="P1013" s="130"/>
      <c r="Q1013" s="130"/>
    </row>
    <row r="1014" spans="1:17" x14ac:dyDescent="0.25">
      <c r="A1014" s="164"/>
      <c r="B1014" s="164"/>
      <c r="C1014" s="165"/>
      <c r="D1014" s="164"/>
      <c r="E1014" s="139"/>
      <c r="F1014" s="164"/>
      <c r="G1014" s="139"/>
      <c r="H1014" s="164"/>
      <c r="I1014" s="164"/>
      <c r="J1014" s="164"/>
      <c r="K1014" s="139"/>
      <c r="L1014" s="130"/>
      <c r="M1014" s="130"/>
      <c r="N1014" s="130"/>
      <c r="O1014" s="130"/>
      <c r="P1014" s="130"/>
      <c r="Q1014" s="130"/>
    </row>
    <row r="1015" spans="1:17" x14ac:dyDescent="0.25">
      <c r="A1015" s="164"/>
      <c r="B1015" s="164"/>
      <c r="C1015" s="165"/>
      <c r="D1015" s="164"/>
      <c r="E1015" s="139"/>
      <c r="F1015" s="164"/>
      <c r="G1015" s="139"/>
      <c r="H1015" s="164"/>
      <c r="I1015" s="164"/>
      <c r="J1015" s="164"/>
      <c r="K1015" s="139"/>
      <c r="L1015" s="130"/>
      <c r="M1015" s="130"/>
      <c r="N1015" s="130"/>
      <c r="O1015" s="130"/>
      <c r="P1015" s="130"/>
      <c r="Q1015" s="130"/>
    </row>
    <row r="1016" spans="1:17" x14ac:dyDescent="0.25">
      <c r="A1016" s="164"/>
      <c r="B1016" s="164"/>
      <c r="C1016" s="165"/>
      <c r="D1016" s="164"/>
      <c r="E1016" s="139"/>
      <c r="F1016" s="164"/>
      <c r="G1016" s="139"/>
      <c r="H1016" s="164"/>
      <c r="I1016" s="164"/>
      <c r="J1016" s="164"/>
      <c r="K1016" s="139"/>
      <c r="L1016" s="130"/>
      <c r="M1016" s="130"/>
      <c r="N1016" s="130"/>
      <c r="O1016" s="130"/>
      <c r="P1016" s="130"/>
      <c r="Q1016" s="130"/>
    </row>
    <row r="1017" spans="1:17" x14ac:dyDescent="0.25">
      <c r="A1017" s="164"/>
      <c r="B1017" s="164"/>
      <c r="C1017" s="165"/>
      <c r="D1017" s="164"/>
      <c r="E1017" s="139"/>
      <c r="F1017" s="164"/>
      <c r="G1017" s="139"/>
      <c r="H1017" s="164"/>
      <c r="I1017" s="164"/>
      <c r="J1017" s="164"/>
      <c r="K1017" s="139"/>
      <c r="L1017" s="130"/>
      <c r="M1017" s="130"/>
      <c r="N1017" s="130"/>
      <c r="O1017" s="130"/>
      <c r="P1017" s="130"/>
      <c r="Q1017" s="130"/>
    </row>
    <row r="1018" spans="1:17" x14ac:dyDescent="0.25">
      <c r="A1018" s="164"/>
      <c r="B1018" s="164"/>
      <c r="C1018" s="165"/>
      <c r="D1018" s="164"/>
      <c r="E1018" s="139"/>
      <c r="F1018" s="164"/>
      <c r="G1018" s="139"/>
      <c r="H1018" s="164"/>
      <c r="I1018" s="164"/>
      <c r="J1018" s="164"/>
      <c r="K1018" s="139"/>
      <c r="L1018" s="130"/>
      <c r="M1018" s="130"/>
      <c r="N1018" s="130"/>
      <c r="O1018" s="130"/>
      <c r="P1018" s="130"/>
      <c r="Q1018" s="130"/>
    </row>
    <row r="1019" spans="1:17" x14ac:dyDescent="0.25">
      <c r="A1019" s="164"/>
      <c r="B1019" s="164"/>
      <c r="C1019" s="165"/>
      <c r="D1019" s="164"/>
      <c r="E1019" s="139"/>
      <c r="F1019" s="164"/>
      <c r="G1019" s="139"/>
      <c r="H1019" s="164"/>
      <c r="I1019" s="164"/>
      <c r="J1019" s="164"/>
      <c r="K1019" s="139"/>
      <c r="L1019" s="130"/>
      <c r="M1019" s="130"/>
      <c r="N1019" s="130"/>
      <c r="O1019" s="130"/>
      <c r="P1019" s="130"/>
      <c r="Q1019" s="130"/>
    </row>
    <row r="1020" spans="1:17" x14ac:dyDescent="0.25">
      <c r="A1020" s="164"/>
      <c r="B1020" s="164"/>
      <c r="C1020" s="165"/>
      <c r="D1020" s="164"/>
      <c r="E1020" s="139"/>
      <c r="F1020" s="164"/>
      <c r="G1020" s="139"/>
      <c r="H1020" s="164"/>
      <c r="I1020" s="164"/>
      <c r="J1020" s="164"/>
      <c r="K1020" s="139"/>
      <c r="L1020" s="130"/>
      <c r="M1020" s="130"/>
      <c r="N1020" s="130"/>
      <c r="O1020" s="130"/>
      <c r="P1020" s="130"/>
      <c r="Q1020" s="130"/>
    </row>
    <row r="1021" spans="1:17" x14ac:dyDescent="0.25">
      <c r="A1021" s="164"/>
      <c r="B1021" s="164"/>
      <c r="C1021" s="165"/>
      <c r="D1021" s="164"/>
      <c r="E1021" s="139"/>
      <c r="F1021" s="164"/>
      <c r="G1021" s="139"/>
      <c r="H1021" s="164"/>
      <c r="I1021" s="164"/>
      <c r="J1021" s="164"/>
      <c r="K1021" s="139"/>
      <c r="L1021" s="130"/>
      <c r="M1021" s="130"/>
      <c r="N1021" s="130"/>
      <c r="O1021" s="130"/>
      <c r="P1021" s="130"/>
      <c r="Q1021" s="130"/>
    </row>
    <row r="1022" spans="1:17" x14ac:dyDescent="0.25">
      <c r="A1022" s="164"/>
      <c r="B1022" s="164"/>
      <c r="C1022" s="165"/>
      <c r="D1022" s="164"/>
      <c r="E1022" s="139"/>
      <c r="F1022" s="164"/>
      <c r="G1022" s="139"/>
      <c r="H1022" s="164"/>
      <c r="I1022" s="164"/>
      <c r="J1022" s="164"/>
      <c r="K1022" s="139"/>
      <c r="L1022" s="130"/>
      <c r="M1022" s="130"/>
      <c r="N1022" s="130"/>
      <c r="O1022" s="130"/>
      <c r="P1022" s="130"/>
      <c r="Q1022" s="130"/>
    </row>
    <row r="1023" spans="1:17" x14ac:dyDescent="0.25">
      <c r="A1023" s="164"/>
      <c r="B1023" s="164"/>
      <c r="C1023" s="165"/>
      <c r="D1023" s="164"/>
      <c r="E1023" s="139"/>
      <c r="F1023" s="164"/>
      <c r="G1023" s="139"/>
      <c r="H1023" s="164"/>
      <c r="I1023" s="164"/>
      <c r="J1023" s="164"/>
      <c r="K1023" s="139"/>
      <c r="L1023" s="130"/>
      <c r="M1023" s="130"/>
      <c r="N1023" s="130"/>
      <c r="O1023" s="130"/>
      <c r="P1023" s="130"/>
      <c r="Q1023" s="130"/>
    </row>
    <row r="1024" spans="1:17" x14ac:dyDescent="0.25">
      <c r="A1024" s="164"/>
      <c r="B1024" s="164"/>
      <c r="C1024" s="165"/>
      <c r="D1024" s="164"/>
      <c r="E1024" s="139"/>
      <c r="F1024" s="164"/>
      <c r="G1024" s="139"/>
      <c r="H1024" s="164"/>
      <c r="I1024" s="164"/>
      <c r="J1024" s="164"/>
      <c r="K1024" s="139"/>
      <c r="L1024" s="130"/>
      <c r="M1024" s="130"/>
      <c r="N1024" s="130"/>
      <c r="O1024" s="130"/>
      <c r="P1024" s="130"/>
      <c r="Q1024" s="130"/>
    </row>
    <row r="1025" spans="1:17" x14ac:dyDescent="0.25">
      <c r="A1025" s="164"/>
      <c r="B1025" s="164"/>
      <c r="C1025" s="165"/>
      <c r="D1025" s="164"/>
      <c r="E1025" s="139"/>
      <c r="F1025" s="164"/>
      <c r="G1025" s="139"/>
      <c r="H1025" s="164"/>
      <c r="I1025" s="164"/>
      <c r="J1025" s="164"/>
      <c r="K1025" s="139"/>
      <c r="L1025" s="130"/>
      <c r="M1025" s="130"/>
      <c r="N1025" s="130"/>
      <c r="O1025" s="130"/>
      <c r="P1025" s="130"/>
      <c r="Q1025" s="130"/>
    </row>
    <row r="1026" spans="1:17" x14ac:dyDescent="0.25">
      <c r="A1026" s="164"/>
      <c r="B1026" s="164"/>
      <c r="C1026" s="165"/>
      <c r="D1026" s="164"/>
      <c r="E1026" s="139"/>
      <c r="F1026" s="164"/>
      <c r="G1026" s="139"/>
      <c r="H1026" s="164"/>
      <c r="I1026" s="164"/>
      <c r="J1026" s="164"/>
      <c r="K1026" s="139"/>
      <c r="L1026" s="130"/>
      <c r="M1026" s="130"/>
      <c r="N1026" s="130"/>
      <c r="O1026" s="130"/>
      <c r="P1026" s="130"/>
      <c r="Q1026" s="130"/>
    </row>
    <row r="1027" spans="1:17" x14ac:dyDescent="0.25">
      <c r="A1027" s="164"/>
      <c r="B1027" s="164"/>
      <c r="C1027" s="165"/>
      <c r="D1027" s="164"/>
      <c r="E1027" s="139"/>
      <c r="F1027" s="164"/>
      <c r="G1027" s="139"/>
      <c r="H1027" s="164"/>
      <c r="I1027" s="164"/>
      <c r="J1027" s="164"/>
      <c r="K1027" s="139"/>
      <c r="L1027" s="130"/>
      <c r="M1027" s="130"/>
      <c r="N1027" s="130"/>
      <c r="O1027" s="130"/>
      <c r="P1027" s="130"/>
      <c r="Q1027" s="130"/>
    </row>
    <row r="1028" spans="1:17" x14ac:dyDescent="0.25">
      <c r="A1028" s="164"/>
      <c r="B1028" s="164"/>
      <c r="C1028" s="165"/>
      <c r="D1028" s="164"/>
      <c r="E1028" s="139"/>
      <c r="F1028" s="164"/>
      <c r="G1028" s="139"/>
      <c r="H1028" s="164"/>
      <c r="I1028" s="164"/>
      <c r="J1028" s="164"/>
      <c r="K1028" s="139"/>
      <c r="L1028" s="130"/>
      <c r="M1028" s="130"/>
      <c r="N1028" s="130"/>
      <c r="O1028" s="130"/>
      <c r="P1028" s="130"/>
      <c r="Q1028" s="130"/>
    </row>
    <row r="1029" spans="1:17" x14ac:dyDescent="0.25">
      <c r="A1029" s="164"/>
      <c r="B1029" s="164"/>
      <c r="C1029" s="165"/>
      <c r="D1029" s="164"/>
      <c r="E1029" s="139"/>
      <c r="F1029" s="164"/>
      <c r="G1029" s="139"/>
      <c r="H1029" s="164"/>
      <c r="I1029" s="164"/>
      <c r="J1029" s="164"/>
      <c r="K1029" s="139"/>
      <c r="L1029" s="130"/>
      <c r="M1029" s="130"/>
      <c r="N1029" s="130"/>
      <c r="O1029" s="130"/>
      <c r="P1029" s="130"/>
      <c r="Q1029" s="130"/>
    </row>
    <row r="1030" spans="1:17" x14ac:dyDescent="0.25">
      <c r="A1030" s="164"/>
      <c r="B1030" s="164"/>
      <c r="C1030" s="165"/>
      <c r="D1030" s="164"/>
      <c r="E1030" s="139"/>
      <c r="F1030" s="164"/>
      <c r="G1030" s="139"/>
      <c r="H1030" s="164"/>
      <c r="I1030" s="164"/>
      <c r="J1030" s="164"/>
      <c r="K1030" s="139"/>
      <c r="L1030" s="130"/>
      <c r="M1030" s="130"/>
      <c r="N1030" s="130"/>
      <c r="O1030" s="130"/>
      <c r="P1030" s="130"/>
      <c r="Q1030" s="130"/>
    </row>
    <row r="1031" spans="1:17" x14ac:dyDescent="0.25">
      <c r="A1031" s="164"/>
      <c r="B1031" s="164"/>
      <c r="C1031" s="165"/>
      <c r="D1031" s="164"/>
      <c r="E1031" s="139"/>
      <c r="F1031" s="164"/>
      <c r="G1031" s="139"/>
      <c r="H1031" s="164"/>
      <c r="I1031" s="164"/>
      <c r="J1031" s="164"/>
      <c r="K1031" s="139"/>
      <c r="L1031" s="130"/>
      <c r="M1031" s="130"/>
      <c r="N1031" s="130"/>
      <c r="O1031" s="130"/>
      <c r="P1031" s="130"/>
      <c r="Q1031" s="130"/>
    </row>
    <row r="1032" spans="1:17" x14ac:dyDescent="0.25">
      <c r="A1032" s="164"/>
      <c r="B1032" s="164"/>
      <c r="C1032" s="165"/>
      <c r="D1032" s="164"/>
      <c r="E1032" s="139"/>
      <c r="F1032" s="164"/>
      <c r="G1032" s="139"/>
      <c r="H1032" s="164"/>
      <c r="I1032" s="164"/>
      <c r="J1032" s="164"/>
      <c r="K1032" s="139"/>
      <c r="L1032" s="130"/>
      <c r="M1032" s="130"/>
      <c r="N1032" s="130"/>
      <c r="O1032" s="130"/>
      <c r="P1032" s="130"/>
      <c r="Q1032" s="130"/>
    </row>
    <row r="1033" spans="1:17" x14ac:dyDescent="0.25">
      <c r="A1033" s="164"/>
      <c r="B1033" s="164"/>
      <c r="C1033" s="165"/>
      <c r="D1033" s="164"/>
      <c r="E1033" s="139"/>
      <c r="F1033" s="164"/>
      <c r="G1033" s="139"/>
      <c r="H1033" s="164"/>
      <c r="I1033" s="164"/>
      <c r="J1033" s="164"/>
      <c r="K1033" s="139"/>
      <c r="L1033" s="130"/>
      <c r="M1033" s="130"/>
      <c r="N1033" s="130"/>
      <c r="O1033" s="130"/>
      <c r="P1033" s="130"/>
      <c r="Q1033" s="130"/>
    </row>
    <row r="1034" spans="1:17" x14ac:dyDescent="0.25">
      <c r="A1034" s="164"/>
      <c r="B1034" s="164"/>
      <c r="C1034" s="165"/>
      <c r="D1034" s="164"/>
      <c r="E1034" s="139"/>
      <c r="F1034" s="164"/>
      <c r="G1034" s="139"/>
      <c r="H1034" s="164"/>
      <c r="I1034" s="164"/>
      <c r="J1034" s="164"/>
      <c r="K1034" s="139"/>
      <c r="L1034" s="130"/>
      <c r="M1034" s="130"/>
      <c r="N1034" s="130"/>
      <c r="O1034" s="130"/>
      <c r="P1034" s="130"/>
      <c r="Q1034" s="130"/>
    </row>
    <row r="1035" spans="1:17" x14ac:dyDescent="0.25">
      <c r="A1035" s="164"/>
      <c r="B1035" s="164"/>
      <c r="C1035" s="165"/>
      <c r="D1035" s="164"/>
      <c r="E1035" s="139"/>
      <c r="F1035" s="164"/>
      <c r="G1035" s="139"/>
      <c r="H1035" s="164"/>
      <c r="I1035" s="164"/>
      <c r="J1035" s="164"/>
      <c r="K1035" s="139"/>
      <c r="L1035" s="130"/>
      <c r="M1035" s="130"/>
      <c r="N1035" s="130"/>
      <c r="O1035" s="130"/>
      <c r="P1035" s="130"/>
      <c r="Q1035" s="130"/>
    </row>
    <row r="1036" spans="1:17" x14ac:dyDescent="0.25">
      <c r="A1036" s="164"/>
      <c r="B1036" s="164"/>
      <c r="C1036" s="165"/>
      <c r="D1036" s="164"/>
      <c r="E1036" s="139"/>
      <c r="F1036" s="164"/>
      <c r="G1036" s="139"/>
      <c r="H1036" s="164"/>
      <c r="I1036" s="164"/>
      <c r="J1036" s="164"/>
      <c r="K1036" s="139"/>
      <c r="L1036" s="130"/>
      <c r="M1036" s="130"/>
      <c r="N1036" s="130"/>
      <c r="O1036" s="130"/>
      <c r="P1036" s="130"/>
      <c r="Q1036" s="130"/>
    </row>
    <row r="1037" spans="1:17" x14ac:dyDescent="0.25">
      <c r="A1037" s="164"/>
      <c r="B1037" s="164"/>
      <c r="C1037" s="165"/>
      <c r="D1037" s="164"/>
      <c r="E1037" s="139"/>
      <c r="F1037" s="164"/>
      <c r="G1037" s="139"/>
      <c r="H1037" s="164"/>
      <c r="I1037" s="164"/>
      <c r="J1037" s="164"/>
      <c r="K1037" s="139"/>
      <c r="L1037" s="130"/>
      <c r="M1037" s="130"/>
      <c r="N1037" s="130"/>
      <c r="O1037" s="130"/>
      <c r="P1037" s="130"/>
      <c r="Q1037" s="130"/>
    </row>
    <row r="1038" spans="1:17" x14ac:dyDescent="0.25">
      <c r="A1038" s="164"/>
      <c r="B1038" s="164"/>
      <c r="C1038" s="165"/>
      <c r="D1038" s="164"/>
      <c r="E1038" s="139"/>
      <c r="F1038" s="164"/>
      <c r="G1038" s="139"/>
      <c r="H1038" s="164"/>
      <c r="I1038" s="164"/>
      <c r="J1038" s="164"/>
      <c r="K1038" s="139"/>
      <c r="L1038" s="130"/>
      <c r="M1038" s="130"/>
      <c r="N1038" s="130"/>
      <c r="O1038" s="130"/>
      <c r="P1038" s="130"/>
      <c r="Q1038" s="130"/>
    </row>
    <row r="1039" spans="1:17" x14ac:dyDescent="0.25">
      <c r="A1039" s="164"/>
      <c r="B1039" s="164"/>
      <c r="C1039" s="165"/>
      <c r="D1039" s="164"/>
      <c r="E1039" s="139"/>
      <c r="F1039" s="164"/>
      <c r="G1039" s="139"/>
      <c r="H1039" s="164"/>
      <c r="I1039" s="164"/>
      <c r="J1039" s="164"/>
      <c r="K1039" s="139"/>
      <c r="L1039" s="130"/>
      <c r="M1039" s="130"/>
      <c r="N1039" s="130"/>
      <c r="O1039" s="130"/>
      <c r="P1039" s="130"/>
      <c r="Q1039" s="130"/>
    </row>
    <row r="1040" spans="1:17" x14ac:dyDescent="0.25">
      <c r="A1040" s="164"/>
      <c r="B1040" s="164"/>
      <c r="C1040" s="165"/>
      <c r="D1040" s="164"/>
      <c r="E1040" s="139"/>
      <c r="F1040" s="164"/>
      <c r="G1040" s="139"/>
      <c r="H1040" s="164"/>
      <c r="I1040" s="164"/>
      <c r="J1040" s="164"/>
      <c r="K1040" s="139"/>
      <c r="L1040" s="130"/>
      <c r="M1040" s="130"/>
      <c r="N1040" s="130"/>
      <c r="O1040" s="130"/>
      <c r="P1040" s="130"/>
      <c r="Q1040" s="130"/>
    </row>
    <row r="1041" spans="1:17" x14ac:dyDescent="0.25">
      <c r="A1041" s="164"/>
      <c r="B1041" s="164"/>
      <c r="C1041" s="165"/>
      <c r="D1041" s="164"/>
      <c r="E1041" s="139"/>
      <c r="F1041" s="164"/>
      <c r="G1041" s="139"/>
      <c r="H1041" s="164"/>
      <c r="I1041" s="164"/>
      <c r="J1041" s="164"/>
      <c r="K1041" s="139"/>
      <c r="L1041" s="130"/>
      <c r="M1041" s="130"/>
      <c r="N1041" s="130"/>
      <c r="O1041" s="130"/>
      <c r="P1041" s="130"/>
      <c r="Q1041" s="130"/>
    </row>
    <row r="1042" spans="1:17" x14ac:dyDescent="0.25">
      <c r="A1042" s="164"/>
      <c r="B1042" s="164"/>
      <c r="C1042" s="165"/>
      <c r="D1042" s="164"/>
      <c r="E1042" s="139"/>
      <c r="F1042" s="164"/>
      <c r="G1042" s="139"/>
      <c r="H1042" s="164"/>
      <c r="I1042" s="164"/>
      <c r="J1042" s="164"/>
      <c r="K1042" s="139"/>
      <c r="L1042" s="130"/>
      <c r="M1042" s="130"/>
      <c r="N1042" s="130"/>
      <c r="O1042" s="130"/>
      <c r="P1042" s="130"/>
      <c r="Q1042" s="130"/>
    </row>
    <row r="1043" spans="1:17" x14ac:dyDescent="0.25">
      <c r="A1043" s="164"/>
      <c r="B1043" s="164"/>
      <c r="C1043" s="165"/>
      <c r="D1043" s="164"/>
      <c r="E1043" s="139"/>
      <c r="F1043" s="164"/>
      <c r="G1043" s="139"/>
      <c r="H1043" s="164"/>
      <c r="I1043" s="164"/>
      <c r="J1043" s="164"/>
      <c r="K1043" s="139"/>
      <c r="L1043" s="130"/>
      <c r="M1043" s="130"/>
      <c r="N1043" s="130"/>
      <c r="O1043" s="130"/>
      <c r="P1043" s="130"/>
      <c r="Q1043" s="130"/>
    </row>
    <row r="1044" spans="1:17" x14ac:dyDescent="0.25">
      <c r="A1044" s="164"/>
      <c r="B1044" s="164"/>
      <c r="C1044" s="165"/>
      <c r="D1044" s="164"/>
      <c r="E1044" s="139"/>
      <c r="F1044" s="164"/>
      <c r="G1044" s="139"/>
      <c r="H1044" s="164"/>
      <c r="I1044" s="164"/>
      <c r="J1044" s="164"/>
      <c r="K1044" s="139"/>
      <c r="L1044" s="130"/>
      <c r="M1044" s="130"/>
      <c r="N1044" s="130"/>
      <c r="O1044" s="130"/>
      <c r="P1044" s="130"/>
      <c r="Q1044" s="130"/>
    </row>
    <row r="1045" spans="1:17" x14ac:dyDescent="0.25">
      <c r="A1045" s="164"/>
      <c r="B1045" s="164"/>
      <c r="C1045" s="165"/>
      <c r="D1045" s="164"/>
      <c r="E1045" s="139"/>
      <c r="F1045" s="164"/>
      <c r="G1045" s="139"/>
      <c r="H1045" s="164"/>
      <c r="I1045" s="164"/>
      <c r="J1045" s="164"/>
      <c r="K1045" s="139"/>
      <c r="L1045" s="130"/>
      <c r="M1045" s="130"/>
      <c r="N1045" s="130"/>
      <c r="O1045" s="130"/>
      <c r="P1045" s="130"/>
      <c r="Q1045" s="130"/>
    </row>
    <row r="1046" spans="1:17" x14ac:dyDescent="0.25">
      <c r="A1046" s="164"/>
      <c r="B1046" s="164"/>
      <c r="C1046" s="165"/>
      <c r="D1046" s="164"/>
      <c r="E1046" s="139"/>
      <c r="F1046" s="164"/>
      <c r="G1046" s="139"/>
      <c r="H1046" s="164"/>
      <c r="I1046" s="164"/>
      <c r="J1046" s="164"/>
      <c r="K1046" s="139"/>
      <c r="L1046" s="130"/>
      <c r="M1046" s="130"/>
      <c r="N1046" s="130"/>
      <c r="O1046" s="130"/>
      <c r="P1046" s="130"/>
      <c r="Q1046" s="130"/>
    </row>
    <row r="1047" spans="1:17" x14ac:dyDescent="0.25">
      <c r="A1047" s="164"/>
      <c r="B1047" s="164"/>
      <c r="C1047" s="165"/>
      <c r="D1047" s="164"/>
      <c r="E1047" s="139"/>
      <c r="F1047" s="164"/>
      <c r="G1047" s="139"/>
      <c r="H1047" s="164"/>
      <c r="I1047" s="164"/>
      <c r="J1047" s="164"/>
      <c r="K1047" s="139"/>
      <c r="L1047" s="130"/>
      <c r="M1047" s="130"/>
      <c r="N1047" s="130"/>
      <c r="O1047" s="130"/>
      <c r="P1047" s="130"/>
      <c r="Q1047" s="130"/>
    </row>
    <row r="1048" spans="1:17" x14ac:dyDescent="0.25">
      <c r="A1048" s="164"/>
      <c r="B1048" s="164"/>
      <c r="C1048" s="165"/>
      <c r="D1048" s="164"/>
      <c r="E1048" s="139"/>
      <c r="F1048" s="164"/>
      <c r="G1048" s="139"/>
      <c r="H1048" s="164"/>
      <c r="I1048" s="164"/>
      <c r="J1048" s="164"/>
      <c r="K1048" s="139"/>
      <c r="L1048" s="130"/>
      <c r="M1048" s="130"/>
      <c r="N1048" s="130"/>
      <c r="O1048" s="130"/>
      <c r="P1048" s="130"/>
      <c r="Q1048" s="130"/>
    </row>
    <row r="1049" spans="1:17" x14ac:dyDescent="0.25">
      <c r="A1049" s="164"/>
      <c r="B1049" s="164"/>
      <c r="C1049" s="165"/>
      <c r="D1049" s="164"/>
      <c r="E1049" s="139"/>
      <c r="F1049" s="164"/>
      <c r="G1049" s="139"/>
      <c r="H1049" s="164"/>
      <c r="I1049" s="164"/>
      <c r="J1049" s="164"/>
      <c r="K1049" s="139"/>
      <c r="L1049" s="130"/>
      <c r="M1049" s="130"/>
      <c r="N1049" s="130"/>
      <c r="O1049" s="130"/>
      <c r="P1049" s="130"/>
      <c r="Q1049" s="130"/>
    </row>
    <row r="1050" spans="1:17" x14ac:dyDescent="0.25">
      <c r="A1050" s="164"/>
      <c r="B1050" s="164"/>
      <c r="C1050" s="165"/>
      <c r="D1050" s="164"/>
      <c r="E1050" s="139"/>
      <c r="F1050" s="164"/>
      <c r="G1050" s="139"/>
      <c r="H1050" s="164"/>
      <c r="I1050" s="164"/>
      <c r="J1050" s="164"/>
      <c r="K1050" s="139"/>
      <c r="L1050" s="130"/>
      <c r="M1050" s="130"/>
      <c r="N1050" s="130"/>
      <c r="O1050" s="130"/>
      <c r="P1050" s="130"/>
      <c r="Q1050" s="130"/>
    </row>
    <row r="1051" spans="1:17" x14ac:dyDescent="0.25">
      <c r="A1051" s="164"/>
      <c r="B1051" s="164"/>
      <c r="C1051" s="165"/>
      <c r="D1051" s="164"/>
      <c r="E1051" s="139"/>
      <c r="F1051" s="164"/>
      <c r="G1051" s="139"/>
      <c r="H1051" s="164"/>
      <c r="I1051" s="164"/>
      <c r="J1051" s="164"/>
      <c r="K1051" s="139"/>
      <c r="L1051" s="130"/>
      <c r="M1051" s="130"/>
      <c r="N1051" s="130"/>
      <c r="O1051" s="130"/>
      <c r="P1051" s="130"/>
      <c r="Q1051" s="130"/>
    </row>
    <row r="1052" spans="1:17" x14ac:dyDescent="0.25">
      <c r="A1052" s="164"/>
      <c r="B1052" s="164"/>
      <c r="C1052" s="165"/>
      <c r="D1052" s="164"/>
      <c r="E1052" s="139"/>
      <c r="F1052" s="164"/>
      <c r="G1052" s="139"/>
      <c r="H1052" s="164"/>
      <c r="I1052" s="164"/>
      <c r="J1052" s="164"/>
      <c r="K1052" s="139"/>
      <c r="L1052" s="130"/>
      <c r="M1052" s="130"/>
      <c r="N1052" s="130"/>
      <c r="O1052" s="130"/>
      <c r="P1052" s="130"/>
      <c r="Q1052" s="130"/>
    </row>
    <row r="1053" spans="1:17" x14ac:dyDescent="0.25">
      <c r="A1053" s="164"/>
      <c r="B1053" s="164"/>
      <c r="C1053" s="165"/>
      <c r="D1053" s="164"/>
      <c r="E1053" s="139"/>
      <c r="F1053" s="164"/>
      <c r="G1053" s="139"/>
      <c r="H1053" s="164"/>
      <c r="I1053" s="164"/>
      <c r="J1053" s="164"/>
      <c r="K1053" s="139"/>
      <c r="L1053" s="130"/>
      <c r="M1053" s="130"/>
      <c r="N1053" s="130"/>
      <c r="O1053" s="130"/>
      <c r="P1053" s="130"/>
      <c r="Q1053" s="130"/>
    </row>
    <row r="1054" spans="1:17" x14ac:dyDescent="0.25">
      <c r="A1054" s="164"/>
      <c r="B1054" s="164"/>
      <c r="C1054" s="165"/>
      <c r="D1054" s="164"/>
      <c r="E1054" s="139"/>
      <c r="F1054" s="164"/>
      <c r="G1054" s="139"/>
      <c r="H1054" s="164"/>
      <c r="I1054" s="164"/>
      <c r="J1054" s="164"/>
      <c r="K1054" s="139"/>
      <c r="L1054" s="130"/>
      <c r="M1054" s="130"/>
      <c r="N1054" s="130"/>
      <c r="O1054" s="130"/>
      <c r="P1054" s="130"/>
      <c r="Q1054" s="130"/>
    </row>
    <row r="1055" spans="1:17" x14ac:dyDescent="0.25">
      <c r="A1055" s="164"/>
      <c r="B1055" s="164"/>
      <c r="C1055" s="165"/>
      <c r="D1055" s="164"/>
      <c r="E1055" s="139"/>
      <c r="F1055" s="164"/>
      <c r="G1055" s="139"/>
      <c r="H1055" s="164"/>
      <c r="I1055" s="164"/>
      <c r="J1055" s="164"/>
      <c r="K1055" s="139"/>
      <c r="L1055" s="130"/>
      <c r="M1055" s="130"/>
      <c r="N1055" s="130"/>
      <c r="O1055" s="130"/>
      <c r="P1055" s="130"/>
      <c r="Q1055" s="130"/>
    </row>
    <row r="1056" spans="1:17" x14ac:dyDescent="0.25">
      <c r="A1056" s="164"/>
      <c r="B1056" s="164"/>
      <c r="C1056" s="165"/>
      <c r="D1056" s="164"/>
      <c r="E1056" s="139"/>
      <c r="F1056" s="164"/>
      <c r="G1056" s="139"/>
      <c r="H1056" s="164"/>
      <c r="I1056" s="164"/>
      <c r="J1056" s="164"/>
      <c r="K1056" s="139"/>
      <c r="L1056" s="130"/>
      <c r="M1056" s="130"/>
      <c r="N1056" s="130"/>
      <c r="O1056" s="130"/>
      <c r="P1056" s="130"/>
      <c r="Q1056" s="130"/>
    </row>
    <row r="1057" spans="1:17" x14ac:dyDescent="0.25">
      <c r="A1057" s="164"/>
      <c r="B1057" s="164"/>
      <c r="C1057" s="165"/>
      <c r="D1057" s="164"/>
      <c r="E1057" s="139"/>
      <c r="F1057" s="164"/>
      <c r="G1057" s="139"/>
      <c r="H1057" s="164"/>
      <c r="I1057" s="164"/>
      <c r="J1057" s="164"/>
      <c r="K1057" s="139"/>
      <c r="L1057" s="130"/>
      <c r="M1057" s="130"/>
      <c r="N1057" s="130"/>
      <c r="O1057" s="130"/>
      <c r="P1057" s="130"/>
      <c r="Q1057" s="130"/>
    </row>
    <row r="1058" spans="1:17" x14ac:dyDescent="0.25">
      <c r="A1058" s="164"/>
      <c r="B1058" s="164"/>
      <c r="C1058" s="165"/>
      <c r="D1058" s="164"/>
      <c r="E1058" s="139"/>
      <c r="F1058" s="164"/>
      <c r="G1058" s="139"/>
      <c r="H1058" s="164"/>
      <c r="I1058" s="164"/>
      <c r="J1058" s="164"/>
      <c r="K1058" s="139"/>
      <c r="L1058" s="130"/>
      <c r="M1058" s="130"/>
      <c r="N1058" s="130"/>
      <c r="O1058" s="130"/>
      <c r="P1058" s="130"/>
      <c r="Q1058" s="130"/>
    </row>
    <row r="1059" spans="1:17" x14ac:dyDescent="0.25">
      <c r="A1059" s="164"/>
      <c r="B1059" s="164"/>
      <c r="C1059" s="165"/>
      <c r="D1059" s="164"/>
      <c r="E1059" s="139"/>
      <c r="F1059" s="164"/>
      <c r="G1059" s="139"/>
      <c r="H1059" s="164"/>
      <c r="I1059" s="164"/>
      <c r="J1059" s="164"/>
      <c r="K1059" s="139"/>
      <c r="L1059" s="130"/>
      <c r="M1059" s="130"/>
      <c r="N1059" s="130"/>
      <c r="O1059" s="130"/>
      <c r="P1059" s="130"/>
      <c r="Q1059" s="130"/>
    </row>
    <row r="1060" spans="1:17" x14ac:dyDescent="0.25">
      <c r="A1060" s="164"/>
      <c r="B1060" s="164"/>
      <c r="C1060" s="165"/>
      <c r="D1060" s="164"/>
      <c r="E1060" s="139"/>
      <c r="F1060" s="164"/>
      <c r="G1060" s="139"/>
      <c r="H1060" s="164"/>
      <c r="I1060" s="164"/>
      <c r="J1060" s="164"/>
      <c r="K1060" s="139"/>
      <c r="L1060" s="130"/>
      <c r="M1060" s="130"/>
      <c r="N1060" s="130"/>
      <c r="O1060" s="130"/>
      <c r="P1060" s="130"/>
      <c r="Q1060" s="130"/>
    </row>
    <row r="1061" spans="1:17" x14ac:dyDescent="0.25">
      <c r="A1061" s="164"/>
      <c r="B1061" s="164"/>
      <c r="C1061" s="165"/>
      <c r="D1061" s="164"/>
      <c r="E1061" s="139"/>
      <c r="F1061" s="164"/>
      <c r="G1061" s="139"/>
      <c r="H1061" s="164"/>
      <c r="I1061" s="164"/>
      <c r="J1061" s="164"/>
      <c r="K1061" s="139"/>
      <c r="L1061" s="130"/>
      <c r="M1061" s="130"/>
      <c r="N1061" s="130"/>
      <c r="O1061" s="130"/>
      <c r="P1061" s="130"/>
      <c r="Q1061" s="130"/>
    </row>
    <row r="1062" spans="1:17" x14ac:dyDescent="0.25">
      <c r="A1062" s="164"/>
      <c r="B1062" s="164"/>
      <c r="C1062" s="165"/>
      <c r="D1062" s="164"/>
      <c r="E1062" s="139"/>
      <c r="F1062" s="164"/>
      <c r="G1062" s="139"/>
      <c r="H1062" s="164"/>
      <c r="I1062" s="164"/>
      <c r="J1062" s="164"/>
      <c r="K1062" s="139"/>
      <c r="L1062" s="130"/>
      <c r="M1062" s="130"/>
      <c r="N1062" s="130"/>
      <c r="O1062" s="130"/>
      <c r="P1062" s="130"/>
      <c r="Q1062" s="130"/>
    </row>
    <row r="1063" spans="1:17" x14ac:dyDescent="0.25">
      <c r="A1063" s="164"/>
      <c r="B1063" s="164"/>
      <c r="C1063" s="165"/>
      <c r="D1063" s="164"/>
      <c r="E1063" s="139"/>
      <c r="F1063" s="164"/>
      <c r="G1063" s="139"/>
      <c r="H1063" s="164"/>
      <c r="I1063" s="164"/>
      <c r="J1063" s="164"/>
      <c r="K1063" s="139"/>
      <c r="L1063" s="130"/>
      <c r="M1063" s="130"/>
      <c r="N1063" s="130"/>
      <c r="O1063" s="130"/>
      <c r="P1063" s="130"/>
      <c r="Q1063" s="130"/>
    </row>
    <row r="1064" spans="1:17" x14ac:dyDescent="0.25">
      <c r="A1064" s="164"/>
      <c r="B1064" s="164"/>
      <c r="C1064" s="165"/>
      <c r="D1064" s="164"/>
      <c r="E1064" s="139"/>
      <c r="F1064" s="164"/>
      <c r="G1064" s="139"/>
      <c r="H1064" s="164"/>
      <c r="I1064" s="164"/>
      <c r="J1064" s="164"/>
      <c r="K1064" s="139"/>
      <c r="L1064" s="130"/>
      <c r="M1064" s="130"/>
      <c r="N1064" s="130"/>
      <c r="O1064" s="130"/>
      <c r="P1064" s="130"/>
      <c r="Q1064" s="130"/>
    </row>
    <row r="1065" spans="1:17" x14ac:dyDescent="0.25">
      <c r="A1065" s="164"/>
      <c r="B1065" s="164"/>
      <c r="C1065" s="165"/>
      <c r="D1065" s="164"/>
      <c r="E1065" s="139"/>
      <c r="F1065" s="164"/>
      <c r="G1065" s="139"/>
      <c r="H1065" s="164"/>
      <c r="I1065" s="164"/>
      <c r="J1065" s="164"/>
      <c r="K1065" s="139"/>
      <c r="L1065" s="130"/>
      <c r="M1065" s="130"/>
      <c r="N1065" s="130"/>
      <c r="O1065" s="130"/>
      <c r="P1065" s="130"/>
      <c r="Q1065" s="130"/>
    </row>
    <row r="1066" spans="1:17" x14ac:dyDescent="0.25">
      <c r="A1066" s="164"/>
      <c r="B1066" s="164"/>
      <c r="C1066" s="165"/>
      <c r="D1066" s="164"/>
      <c r="E1066" s="139"/>
      <c r="F1066" s="164"/>
      <c r="G1066" s="139"/>
      <c r="H1066" s="164"/>
      <c r="I1066" s="164"/>
      <c r="J1066" s="164"/>
      <c r="K1066" s="139"/>
      <c r="L1066" s="130"/>
      <c r="M1066" s="130"/>
      <c r="N1066" s="130"/>
      <c r="O1066" s="130"/>
      <c r="P1066" s="130"/>
      <c r="Q1066" s="130"/>
    </row>
    <row r="1067" spans="1:17" x14ac:dyDescent="0.25">
      <c r="A1067" s="164"/>
      <c r="B1067" s="164"/>
      <c r="C1067" s="165"/>
      <c r="D1067" s="164"/>
      <c r="E1067" s="139"/>
      <c r="F1067" s="164"/>
      <c r="G1067" s="139"/>
      <c r="H1067" s="164"/>
      <c r="I1067" s="164"/>
      <c r="J1067" s="164"/>
      <c r="K1067" s="139"/>
      <c r="L1067" s="130"/>
      <c r="M1067" s="130"/>
      <c r="N1067" s="130"/>
      <c r="O1067" s="130"/>
      <c r="P1067" s="130"/>
      <c r="Q1067" s="130"/>
    </row>
    <row r="1068" spans="1:17" x14ac:dyDescent="0.25">
      <c r="A1068" s="164"/>
      <c r="B1068" s="164"/>
      <c r="C1068" s="165"/>
      <c r="D1068" s="164"/>
      <c r="E1068" s="139"/>
      <c r="F1068" s="164"/>
      <c r="G1068" s="139"/>
      <c r="H1068" s="164"/>
      <c r="I1068" s="164"/>
      <c r="J1068" s="164"/>
      <c r="K1068" s="139"/>
      <c r="L1068" s="130"/>
      <c r="M1068" s="130"/>
      <c r="N1068" s="130"/>
      <c r="O1068" s="130"/>
      <c r="P1068" s="130"/>
      <c r="Q1068" s="130"/>
    </row>
    <row r="1069" spans="1:17" x14ac:dyDescent="0.25">
      <c r="A1069" s="164"/>
      <c r="B1069" s="164"/>
      <c r="C1069" s="165"/>
      <c r="D1069" s="164"/>
      <c r="E1069" s="139"/>
      <c r="F1069" s="164"/>
      <c r="G1069" s="139"/>
      <c r="H1069" s="164"/>
      <c r="I1069" s="164"/>
      <c r="J1069" s="164"/>
      <c r="K1069" s="139"/>
      <c r="L1069" s="130"/>
      <c r="M1069" s="130"/>
      <c r="N1069" s="130"/>
      <c r="O1069" s="130"/>
      <c r="P1069" s="130"/>
      <c r="Q1069" s="130"/>
    </row>
    <row r="1070" spans="1:17" x14ac:dyDescent="0.25">
      <c r="A1070" s="164"/>
      <c r="B1070" s="164"/>
      <c r="C1070" s="165"/>
      <c r="D1070" s="164"/>
      <c r="E1070" s="139"/>
      <c r="F1070" s="164"/>
      <c r="G1070" s="139"/>
      <c r="H1070" s="164"/>
      <c r="I1070" s="164"/>
      <c r="J1070" s="164"/>
      <c r="K1070" s="139"/>
      <c r="L1070" s="130"/>
      <c r="M1070" s="130"/>
      <c r="N1070" s="130"/>
      <c r="O1070" s="130"/>
      <c r="P1070" s="130"/>
      <c r="Q1070" s="130"/>
    </row>
    <row r="1071" spans="1:17" x14ac:dyDescent="0.25">
      <c r="A1071" s="164"/>
      <c r="B1071" s="164"/>
      <c r="C1071" s="165"/>
      <c r="D1071" s="164"/>
      <c r="E1071" s="139"/>
      <c r="F1071" s="164"/>
      <c r="G1071" s="139"/>
      <c r="H1071" s="164"/>
      <c r="I1071" s="164"/>
      <c r="J1071" s="164"/>
      <c r="K1071" s="139"/>
      <c r="L1071" s="130"/>
      <c r="M1071" s="130"/>
      <c r="N1071" s="130"/>
      <c r="O1071" s="130"/>
      <c r="P1071" s="130"/>
      <c r="Q1071" s="130"/>
    </row>
    <row r="1072" spans="1:17" x14ac:dyDescent="0.25">
      <c r="A1072" s="164"/>
      <c r="B1072" s="164"/>
      <c r="C1072" s="165"/>
      <c r="D1072" s="164"/>
      <c r="E1072" s="139"/>
      <c r="F1072" s="164"/>
      <c r="G1072" s="139"/>
      <c r="H1072" s="164"/>
      <c r="I1072" s="164"/>
      <c r="J1072" s="164"/>
      <c r="K1072" s="139"/>
      <c r="L1072" s="130"/>
      <c r="M1072" s="130"/>
      <c r="N1072" s="130"/>
      <c r="O1072" s="130"/>
      <c r="P1072" s="130"/>
      <c r="Q1072" s="130"/>
    </row>
    <row r="1073" spans="1:17" x14ac:dyDescent="0.25">
      <c r="A1073" s="164"/>
      <c r="B1073" s="164"/>
      <c r="C1073" s="165"/>
      <c r="D1073" s="164"/>
      <c r="E1073" s="139"/>
      <c r="F1073" s="164"/>
      <c r="G1073" s="139"/>
      <c r="H1073" s="164"/>
      <c r="I1073" s="164"/>
      <c r="J1073" s="164"/>
      <c r="K1073" s="139"/>
      <c r="L1073" s="130"/>
      <c r="M1073" s="130"/>
      <c r="N1073" s="130"/>
      <c r="O1073" s="130"/>
      <c r="P1073" s="130"/>
      <c r="Q1073" s="130"/>
    </row>
    <row r="1074" spans="1:17" x14ac:dyDescent="0.25">
      <c r="A1074" s="164"/>
      <c r="B1074" s="164"/>
      <c r="C1074" s="165"/>
      <c r="D1074" s="164"/>
      <c r="E1074" s="139"/>
      <c r="F1074" s="164"/>
      <c r="G1074" s="139"/>
      <c r="H1074" s="164"/>
      <c r="I1074" s="164"/>
      <c r="J1074" s="164"/>
      <c r="K1074" s="139"/>
      <c r="L1074" s="130"/>
      <c r="M1074" s="130"/>
      <c r="N1074" s="130"/>
      <c r="O1074" s="130"/>
      <c r="P1074" s="130"/>
      <c r="Q1074" s="130"/>
    </row>
    <row r="1075" spans="1:17" x14ac:dyDescent="0.25">
      <c r="A1075" s="164"/>
      <c r="B1075" s="164"/>
      <c r="C1075" s="165"/>
      <c r="D1075" s="164"/>
      <c r="E1075" s="139"/>
      <c r="F1075" s="164"/>
      <c r="G1075" s="139"/>
      <c r="H1075" s="164"/>
      <c r="I1075" s="164"/>
      <c r="J1075" s="164"/>
      <c r="K1075" s="139"/>
      <c r="L1075" s="130"/>
      <c r="M1075" s="130"/>
      <c r="N1075" s="130"/>
      <c r="O1075" s="130"/>
      <c r="P1075" s="130"/>
      <c r="Q1075" s="130"/>
    </row>
    <row r="1076" spans="1:17" x14ac:dyDescent="0.25">
      <c r="A1076" s="164"/>
      <c r="B1076" s="164"/>
      <c r="C1076" s="165"/>
      <c r="D1076" s="164"/>
      <c r="E1076" s="139"/>
      <c r="F1076" s="164"/>
      <c r="G1076" s="139"/>
      <c r="H1076" s="164"/>
      <c r="I1076" s="164"/>
      <c r="J1076" s="164"/>
      <c r="K1076" s="139"/>
      <c r="L1076" s="130"/>
      <c r="M1076" s="130"/>
      <c r="N1076" s="130"/>
      <c r="O1076" s="130"/>
      <c r="P1076" s="130"/>
      <c r="Q1076" s="130"/>
    </row>
    <row r="1077" spans="1:17" x14ac:dyDescent="0.25">
      <c r="A1077" s="164"/>
      <c r="B1077" s="164"/>
      <c r="C1077" s="165"/>
      <c r="D1077" s="164"/>
      <c r="E1077" s="139"/>
      <c r="F1077" s="164"/>
      <c r="G1077" s="139"/>
      <c r="H1077" s="164"/>
      <c r="I1077" s="164"/>
      <c r="J1077" s="164"/>
      <c r="K1077" s="139"/>
      <c r="L1077" s="130"/>
      <c r="M1077" s="130"/>
      <c r="N1077" s="130"/>
      <c r="O1077" s="130"/>
      <c r="P1077" s="130"/>
      <c r="Q1077" s="130"/>
    </row>
    <row r="1078" spans="1:17" x14ac:dyDescent="0.25">
      <c r="A1078" s="164"/>
      <c r="B1078" s="164"/>
      <c r="C1078" s="165"/>
      <c r="D1078" s="164"/>
      <c r="E1078" s="139"/>
      <c r="F1078" s="164"/>
      <c r="G1078" s="139"/>
      <c r="H1078" s="164"/>
      <c r="I1078" s="164"/>
      <c r="J1078" s="164"/>
      <c r="K1078" s="139"/>
      <c r="L1078" s="130"/>
      <c r="M1078" s="130"/>
      <c r="N1078" s="130"/>
      <c r="O1078" s="130"/>
      <c r="P1078" s="130"/>
      <c r="Q1078" s="130"/>
    </row>
    <row r="1079" spans="1:17" x14ac:dyDescent="0.25">
      <c r="A1079" s="164"/>
      <c r="B1079" s="164"/>
      <c r="C1079" s="165"/>
      <c r="D1079" s="164"/>
      <c r="E1079" s="139"/>
      <c r="F1079" s="164"/>
      <c r="G1079" s="139"/>
      <c r="H1079" s="164"/>
      <c r="I1079" s="164"/>
      <c r="J1079" s="164"/>
      <c r="K1079" s="139"/>
      <c r="L1079" s="130"/>
      <c r="M1079" s="130"/>
      <c r="N1079" s="130"/>
      <c r="O1079" s="130"/>
      <c r="P1079" s="130"/>
      <c r="Q1079" s="130"/>
    </row>
    <row r="1080" spans="1:17" x14ac:dyDescent="0.25">
      <c r="A1080" s="164"/>
      <c r="B1080" s="164"/>
      <c r="C1080" s="165"/>
      <c r="D1080" s="164"/>
      <c r="E1080" s="139"/>
      <c r="F1080" s="164"/>
      <c r="G1080" s="139"/>
      <c r="H1080" s="164"/>
      <c r="I1080" s="164"/>
      <c r="J1080" s="164"/>
      <c r="K1080" s="139"/>
      <c r="L1080" s="130"/>
      <c r="M1080" s="130"/>
      <c r="N1080" s="130"/>
      <c r="O1080" s="130"/>
      <c r="P1080" s="130"/>
      <c r="Q1080" s="130"/>
    </row>
    <row r="1081" spans="1:17" x14ac:dyDescent="0.25">
      <c r="A1081" s="164"/>
      <c r="B1081" s="164"/>
      <c r="C1081" s="165"/>
      <c r="D1081" s="164"/>
      <c r="E1081" s="139"/>
      <c r="F1081" s="164"/>
      <c r="G1081" s="139"/>
      <c r="H1081" s="164"/>
      <c r="I1081" s="164"/>
      <c r="J1081" s="164"/>
      <c r="K1081" s="139"/>
      <c r="L1081" s="130"/>
      <c r="M1081" s="130"/>
      <c r="N1081" s="130"/>
      <c r="O1081" s="130"/>
      <c r="P1081" s="130"/>
      <c r="Q1081" s="130"/>
    </row>
    <row r="1082" spans="1:17" x14ac:dyDescent="0.25">
      <c r="A1082" s="164"/>
      <c r="B1082" s="164"/>
      <c r="C1082" s="165"/>
      <c r="D1082" s="164"/>
      <c r="E1082" s="139"/>
      <c r="F1082" s="164"/>
      <c r="G1082" s="139"/>
      <c r="H1082" s="164"/>
      <c r="I1082" s="164"/>
      <c r="J1082" s="164"/>
      <c r="K1082" s="139"/>
      <c r="L1082" s="130"/>
      <c r="M1082" s="130"/>
      <c r="N1082" s="130"/>
      <c r="O1082" s="130"/>
      <c r="P1082" s="130"/>
      <c r="Q1082" s="130"/>
    </row>
    <row r="1083" spans="1:17" x14ac:dyDescent="0.25">
      <c r="A1083" s="164"/>
      <c r="B1083" s="164"/>
      <c r="C1083" s="165"/>
      <c r="D1083" s="164"/>
      <c r="E1083" s="139"/>
      <c r="F1083" s="164"/>
      <c r="G1083" s="139"/>
      <c r="H1083" s="164"/>
      <c r="I1083" s="164"/>
      <c r="J1083" s="164"/>
      <c r="K1083" s="139"/>
      <c r="L1083" s="130"/>
      <c r="M1083" s="130"/>
      <c r="N1083" s="130"/>
      <c r="O1083" s="130"/>
      <c r="P1083" s="130"/>
      <c r="Q1083" s="130"/>
    </row>
    <row r="1084" spans="1:17" x14ac:dyDescent="0.25">
      <c r="A1084" s="164"/>
      <c r="B1084" s="164"/>
      <c r="C1084" s="165"/>
      <c r="D1084" s="164"/>
      <c r="E1084" s="139"/>
      <c r="F1084" s="164"/>
      <c r="G1084" s="139"/>
      <c r="H1084" s="164"/>
      <c r="I1084" s="164"/>
      <c r="J1084" s="164"/>
      <c r="K1084" s="139"/>
      <c r="L1084" s="130"/>
      <c r="M1084" s="130"/>
      <c r="N1084" s="130"/>
      <c r="O1084" s="130"/>
      <c r="P1084" s="130"/>
      <c r="Q1084" s="130"/>
    </row>
    <row r="1085" spans="1:17" x14ac:dyDescent="0.25">
      <c r="A1085" s="164"/>
      <c r="B1085" s="164"/>
      <c r="C1085" s="165"/>
      <c r="D1085" s="164"/>
      <c r="E1085" s="139"/>
      <c r="F1085" s="164"/>
      <c r="G1085" s="139"/>
      <c r="H1085" s="164"/>
      <c r="I1085" s="164"/>
      <c r="J1085" s="164"/>
      <c r="K1085" s="139"/>
      <c r="L1085" s="130"/>
      <c r="M1085" s="130"/>
      <c r="N1085" s="130"/>
      <c r="O1085" s="130"/>
      <c r="P1085" s="130"/>
      <c r="Q1085" s="130"/>
    </row>
    <row r="1086" spans="1:17" x14ac:dyDescent="0.25">
      <c r="A1086" s="164"/>
      <c r="B1086" s="164"/>
      <c r="C1086" s="165"/>
      <c r="D1086" s="164"/>
      <c r="E1086" s="139"/>
      <c r="F1086" s="164"/>
      <c r="G1086" s="139"/>
      <c r="H1086" s="164"/>
      <c r="I1086" s="164"/>
      <c r="J1086" s="164"/>
      <c r="K1086" s="139"/>
      <c r="L1086" s="130"/>
      <c r="M1086" s="130"/>
      <c r="N1086" s="130"/>
      <c r="O1086" s="130"/>
      <c r="P1086" s="130"/>
      <c r="Q1086" s="130"/>
    </row>
    <row r="1087" spans="1:17" x14ac:dyDescent="0.25">
      <c r="A1087" s="164"/>
      <c r="B1087" s="164"/>
      <c r="C1087" s="165"/>
      <c r="D1087" s="164"/>
      <c r="E1087" s="139"/>
      <c r="F1087" s="164"/>
      <c r="G1087" s="139"/>
      <c r="H1087" s="164"/>
      <c r="I1087" s="164"/>
      <c r="J1087" s="164"/>
      <c r="K1087" s="139"/>
      <c r="L1087" s="130"/>
      <c r="M1087" s="130"/>
      <c r="N1087" s="130"/>
      <c r="O1087" s="130"/>
      <c r="P1087" s="130"/>
      <c r="Q1087" s="130"/>
    </row>
    <row r="1088" spans="1:17" x14ac:dyDescent="0.25">
      <c r="A1088" s="164"/>
      <c r="B1088" s="164"/>
      <c r="C1088" s="165"/>
      <c r="D1088" s="164"/>
      <c r="E1088" s="139"/>
      <c r="F1088" s="164"/>
      <c r="G1088" s="139"/>
      <c r="H1088" s="164"/>
      <c r="I1088" s="164"/>
      <c r="J1088" s="164"/>
      <c r="K1088" s="139"/>
      <c r="L1088" s="130"/>
      <c r="M1088" s="130"/>
      <c r="N1088" s="130"/>
      <c r="O1088" s="130"/>
      <c r="P1088" s="130"/>
      <c r="Q1088" s="130"/>
    </row>
    <row r="1089" spans="1:17" x14ac:dyDescent="0.25">
      <c r="A1089" s="164"/>
      <c r="B1089" s="164"/>
      <c r="C1089" s="165"/>
      <c r="D1089" s="164"/>
      <c r="E1089" s="139"/>
      <c r="F1089" s="164"/>
      <c r="G1089" s="139"/>
      <c r="H1089" s="164"/>
      <c r="I1089" s="164"/>
      <c r="J1089" s="164"/>
      <c r="K1089" s="139"/>
      <c r="L1089" s="130"/>
      <c r="M1089" s="130"/>
      <c r="N1089" s="130"/>
      <c r="O1089" s="130"/>
      <c r="P1089" s="130"/>
      <c r="Q1089" s="130"/>
    </row>
    <row r="1090" spans="1:17" x14ac:dyDescent="0.25">
      <c r="A1090" s="164"/>
      <c r="B1090" s="164"/>
      <c r="C1090" s="165"/>
      <c r="D1090" s="164"/>
      <c r="E1090" s="139"/>
      <c r="F1090" s="164"/>
      <c r="G1090" s="139"/>
      <c r="H1090" s="164"/>
      <c r="I1090" s="164"/>
      <c r="J1090" s="164"/>
      <c r="K1090" s="139"/>
      <c r="L1090" s="130"/>
      <c r="M1090" s="130"/>
      <c r="N1090" s="130"/>
      <c r="O1090" s="130"/>
      <c r="P1090" s="130"/>
      <c r="Q1090" s="130"/>
    </row>
    <row r="1091" spans="1:17" x14ac:dyDescent="0.25">
      <c r="A1091" s="164"/>
      <c r="B1091" s="164"/>
      <c r="C1091" s="165"/>
      <c r="D1091" s="164"/>
      <c r="E1091" s="139"/>
      <c r="F1091" s="164"/>
      <c r="G1091" s="139"/>
      <c r="H1091" s="164"/>
      <c r="I1091" s="164"/>
      <c r="J1091" s="164"/>
      <c r="K1091" s="139"/>
      <c r="L1091" s="130"/>
      <c r="M1091" s="130"/>
      <c r="N1091" s="130"/>
      <c r="O1091" s="130"/>
      <c r="P1091" s="130"/>
      <c r="Q1091" s="130"/>
    </row>
    <row r="1092" spans="1:17" x14ac:dyDescent="0.25">
      <c r="A1092" s="164"/>
      <c r="B1092" s="164"/>
      <c r="C1092" s="165"/>
      <c r="D1092" s="164"/>
      <c r="E1092" s="139"/>
      <c r="F1092" s="164"/>
      <c r="G1092" s="139"/>
      <c r="H1092" s="164"/>
      <c r="I1092" s="164"/>
      <c r="J1092" s="164"/>
      <c r="K1092" s="139"/>
      <c r="L1092" s="130"/>
      <c r="M1092" s="130"/>
      <c r="N1092" s="130"/>
      <c r="O1092" s="130"/>
      <c r="P1092" s="130"/>
      <c r="Q1092" s="130"/>
    </row>
    <row r="1093" spans="1:17" x14ac:dyDescent="0.25">
      <c r="A1093" s="164"/>
      <c r="B1093" s="164"/>
      <c r="C1093" s="165"/>
      <c r="D1093" s="164"/>
      <c r="E1093" s="139"/>
      <c r="F1093" s="164"/>
      <c r="G1093" s="139"/>
      <c r="H1093" s="164"/>
      <c r="I1093" s="164"/>
      <c r="J1093" s="164"/>
      <c r="K1093" s="139"/>
      <c r="L1093" s="130"/>
      <c r="M1093" s="130"/>
      <c r="N1093" s="130"/>
      <c r="O1093" s="130"/>
      <c r="P1093" s="130"/>
      <c r="Q1093" s="130"/>
    </row>
    <row r="1094" spans="1:17" x14ac:dyDescent="0.25">
      <c r="A1094" s="164"/>
      <c r="B1094" s="164"/>
      <c r="C1094" s="165"/>
      <c r="D1094" s="164"/>
      <c r="E1094" s="139"/>
      <c r="F1094" s="164"/>
      <c r="G1094" s="139"/>
      <c r="H1094" s="164"/>
      <c r="I1094" s="164"/>
      <c r="J1094" s="164"/>
      <c r="K1094" s="139"/>
      <c r="L1094" s="130"/>
      <c r="M1094" s="130"/>
      <c r="N1094" s="130"/>
      <c r="O1094" s="130"/>
      <c r="P1094" s="130"/>
      <c r="Q1094" s="130"/>
    </row>
    <row r="1095" spans="1:17" x14ac:dyDescent="0.25">
      <c r="A1095" s="164"/>
      <c r="B1095" s="164"/>
      <c r="C1095" s="165"/>
      <c r="D1095" s="164"/>
      <c r="E1095" s="139"/>
      <c r="F1095" s="164"/>
      <c r="G1095" s="139"/>
      <c r="H1095" s="164"/>
      <c r="I1095" s="164"/>
      <c r="J1095" s="164"/>
      <c r="K1095" s="139"/>
      <c r="L1095" s="130"/>
      <c r="M1095" s="130"/>
      <c r="N1095" s="130"/>
      <c r="O1095" s="130"/>
      <c r="P1095" s="130"/>
      <c r="Q1095" s="130"/>
    </row>
    <row r="1096" spans="1:17" x14ac:dyDescent="0.25">
      <c r="A1096" s="164"/>
      <c r="B1096" s="164"/>
      <c r="C1096" s="165"/>
      <c r="D1096" s="164"/>
      <c r="E1096" s="139"/>
      <c r="F1096" s="164"/>
      <c r="G1096" s="139"/>
      <c r="H1096" s="164"/>
      <c r="I1096" s="164"/>
      <c r="J1096" s="164"/>
      <c r="K1096" s="139"/>
      <c r="L1096" s="130"/>
      <c r="M1096" s="130"/>
      <c r="N1096" s="130"/>
      <c r="O1096" s="130"/>
      <c r="P1096" s="130"/>
      <c r="Q1096" s="130"/>
    </row>
    <row r="1097" spans="1:17" x14ac:dyDescent="0.25">
      <c r="A1097" s="164"/>
      <c r="B1097" s="164"/>
      <c r="C1097" s="165"/>
      <c r="D1097" s="164"/>
      <c r="E1097" s="139"/>
      <c r="F1097" s="164"/>
      <c r="G1097" s="139"/>
      <c r="H1097" s="164"/>
      <c r="I1097" s="164"/>
      <c r="J1097" s="164"/>
      <c r="K1097" s="139"/>
      <c r="L1097" s="130"/>
      <c r="M1097" s="130"/>
      <c r="N1097" s="130"/>
      <c r="O1097" s="130"/>
      <c r="P1097" s="130"/>
      <c r="Q1097" s="130"/>
    </row>
    <row r="1098" spans="1:17" x14ac:dyDescent="0.25">
      <c r="A1098" s="164"/>
      <c r="B1098" s="164"/>
      <c r="C1098" s="165"/>
      <c r="D1098" s="164"/>
      <c r="E1098" s="139"/>
      <c r="F1098" s="164"/>
      <c r="G1098" s="139"/>
      <c r="H1098" s="164"/>
      <c r="I1098" s="164"/>
      <c r="J1098" s="164"/>
      <c r="K1098" s="139"/>
      <c r="L1098" s="130"/>
      <c r="M1098" s="130"/>
      <c r="N1098" s="130"/>
      <c r="O1098" s="130"/>
      <c r="P1098" s="130"/>
      <c r="Q1098" s="130"/>
    </row>
    <row r="1099" spans="1:17" x14ac:dyDescent="0.25">
      <c r="A1099" s="164"/>
      <c r="B1099" s="164"/>
      <c r="C1099" s="165"/>
      <c r="D1099" s="164"/>
      <c r="E1099" s="139"/>
      <c r="F1099" s="164"/>
      <c r="G1099" s="139"/>
      <c r="H1099" s="164"/>
      <c r="I1099" s="164"/>
      <c r="J1099" s="164"/>
      <c r="K1099" s="139"/>
      <c r="L1099" s="130"/>
      <c r="M1099" s="130"/>
      <c r="N1099" s="130"/>
      <c r="O1099" s="130"/>
      <c r="P1099" s="130"/>
      <c r="Q1099" s="130"/>
    </row>
    <row r="1100" spans="1:17" x14ac:dyDescent="0.25">
      <c r="A1100" s="164"/>
      <c r="B1100" s="164"/>
      <c r="C1100" s="165"/>
      <c r="D1100" s="164"/>
      <c r="E1100" s="139"/>
      <c r="F1100" s="164"/>
      <c r="G1100" s="139"/>
      <c r="H1100" s="164"/>
      <c r="I1100" s="164"/>
      <c r="J1100" s="164"/>
      <c r="K1100" s="139"/>
      <c r="L1100" s="130"/>
      <c r="M1100" s="130"/>
      <c r="N1100" s="130"/>
      <c r="O1100" s="130"/>
      <c r="P1100" s="130"/>
      <c r="Q1100" s="130"/>
    </row>
    <row r="1101" spans="1:17" x14ac:dyDescent="0.25">
      <c r="A1101" s="164"/>
      <c r="B1101" s="164"/>
      <c r="C1101" s="165"/>
      <c r="D1101" s="164"/>
      <c r="E1101" s="139"/>
      <c r="F1101" s="164"/>
      <c r="G1101" s="139"/>
      <c r="H1101" s="164"/>
      <c r="I1101" s="164"/>
      <c r="J1101" s="164"/>
      <c r="K1101" s="139"/>
      <c r="L1101" s="130"/>
      <c r="M1101" s="130"/>
      <c r="N1101" s="130"/>
      <c r="O1101" s="130"/>
      <c r="P1101" s="130"/>
      <c r="Q1101" s="130"/>
    </row>
    <row r="1102" spans="1:17" x14ac:dyDescent="0.25">
      <c r="A1102" s="164"/>
      <c r="B1102" s="164"/>
      <c r="C1102" s="165"/>
      <c r="D1102" s="164"/>
      <c r="E1102" s="139"/>
      <c r="F1102" s="164"/>
      <c r="G1102" s="139"/>
      <c r="H1102" s="164"/>
      <c r="I1102" s="164"/>
      <c r="J1102" s="164"/>
      <c r="K1102" s="139"/>
      <c r="L1102" s="130"/>
      <c r="M1102" s="130"/>
      <c r="N1102" s="130"/>
      <c r="O1102" s="130"/>
      <c r="P1102" s="130"/>
      <c r="Q1102" s="130"/>
    </row>
    <row r="1103" spans="1:17" x14ac:dyDescent="0.25">
      <c r="A1103" s="164"/>
      <c r="B1103" s="164"/>
      <c r="C1103" s="165"/>
      <c r="D1103" s="164"/>
      <c r="E1103" s="139"/>
      <c r="F1103" s="164"/>
      <c r="G1103" s="139"/>
      <c r="H1103" s="164"/>
      <c r="I1103" s="164"/>
      <c r="J1103" s="164"/>
      <c r="K1103" s="139"/>
      <c r="L1103" s="130"/>
      <c r="M1103" s="130"/>
      <c r="N1103" s="130"/>
      <c r="O1103" s="130"/>
      <c r="P1103" s="130"/>
      <c r="Q1103" s="130"/>
    </row>
    <row r="1104" spans="1:10" x14ac:dyDescent="0.25">
      <c r="A1104" t="s">
        <v>62</v>
      </c>
      <c r="B1104" t="s">
        <v>2364</v>
      </c>
      <c r="C1104" t="s">
        <v>2365</v>
      </c>
      <c r="D1104" t="s">
        <v>731</v>
      </c>
      <c r="E1104">
        <v>0.12</v>
      </c>
      <c r="F1104">
        <v>0.16999999999999998</v>
      </c>
      <c r="G1104" t="s">
        <v>3622</v>
      </c>
      <c r="I1104" t="s">
        <v>2366</v>
      </c>
      <c r="J1104" t="s">
        <v>241</v>
      </c>
    </row>
    <row r="1105" spans="1:10" x14ac:dyDescent="0.25">
      <c r="A1105" t="s">
        <v>683</v>
      </c>
      <c r="B1105" t="s">
        <v>2367</v>
      </c>
      <c r="C1105" t="s">
        <v>2368</v>
      </c>
      <c r="D1105" t="s">
        <v>780</v>
      </c>
      <c r="E1105">
        <v>0.15</v>
      </c>
      <c r="F1105">
        <v>0.2</v>
      </c>
      <c r="G1105" t="s">
        <v>3623</v>
      </c>
      <c r="I1105" t="s">
        <v>2369</v>
      </c>
      <c r="J1105" t="s">
        <v>256</v>
      </c>
    </row>
    <row r="1106" spans="1:10" x14ac:dyDescent="0.25">
      <c r="A1106" t="s">
        <v>685</v>
      </c>
      <c r="B1106" t="s">
        <v>2370</v>
      </c>
      <c r="C1106" t="s">
        <v>2371</v>
      </c>
      <c r="D1106" t="s">
        <v>745</v>
      </c>
      <c r="E1106">
        <v>0.65</v>
      </c>
      <c r="F1106">
        <v>0.7000000000000001</v>
      </c>
      <c r="G1106" t="s">
        <v>3624</v>
      </c>
      <c r="I1106" t="s">
        <v>2372</v>
      </c>
      <c r="J1106" t="s">
        <v>297</v>
      </c>
    </row>
    <row r="1107" spans="1:10" x14ac:dyDescent="0.25">
      <c r="A1107" t="s">
        <v>63</v>
      </c>
      <c r="B1107" t="s">
        <v>2373</v>
      </c>
      <c r="C1107" t="s">
        <v>2374</v>
      </c>
      <c r="D1107" t="s">
        <v>731</v>
      </c>
      <c r="E1107">
        <v>0.09</v>
      </c>
      <c r="F1107">
        <v>0.14</v>
      </c>
      <c r="G1107" t="s">
        <v>3625</v>
      </c>
      <c r="I1107" t="s">
        <v>2375</v>
      </c>
      <c r="J1107" t="s">
        <v>241</v>
      </c>
    </row>
    <row r="1108" spans="1:10" x14ac:dyDescent="0.25">
      <c r="A1108" t="s">
        <v>688</v>
      </c>
      <c r="B1108" t="s">
        <v>2376</v>
      </c>
      <c r="C1108" t="s">
        <v>2377</v>
      </c>
      <c r="D1108" t="s">
        <v>784</v>
      </c>
      <c r="E1108">
        <v>0.3</v>
      </c>
      <c r="F1108">
        <v>0.35</v>
      </c>
      <c r="G1108" t="s">
        <v>3626</v>
      </c>
      <c r="I1108" t="s">
        <v>2378</v>
      </c>
      <c r="J1108" t="s">
        <v>256</v>
      </c>
    </row>
  </sheetData>
  <hyperlinks>
    <hyperlink ref="K2" r:id="rId1"/>
    <hyperlink ref="K5" r:id="rId2"/>
    <hyperlink ref="K6" r:id="rId3"/>
    <hyperlink ref="K38" r:id="rId4"/>
    <hyperlink ref="K39" r:id="rId5"/>
    <hyperlink ref="K42" r:id="rId6"/>
    <hyperlink ref="K43" r:id="rId7"/>
    <hyperlink ref="K55" r:id="rId8"/>
    <hyperlink ref="K56" r:id="rId9"/>
    <hyperlink ref="K57" r:id="rId10"/>
    <hyperlink ref="K59" r:id="rId11"/>
    <hyperlink ref="K60" r:id="rId12"/>
    <hyperlink ref="K61" r:id="rId13"/>
    <hyperlink ref="K62" r:id="rId14"/>
    <hyperlink ref="K63" r:id="rId15"/>
    <hyperlink ref="K64" r:id="rId16"/>
    <hyperlink ref="K65" r:id="rId17"/>
    <hyperlink ref="K66" r:id="rId18"/>
    <hyperlink ref="K67" r:id="rId19"/>
    <hyperlink ref="K70" r:id="rId20"/>
    <hyperlink ref="K71" r:id="rId21"/>
    <hyperlink ref="K72" r:id="rId22"/>
    <hyperlink ref="K73" r:id="rId23"/>
    <hyperlink ref="K75" r:id="rId24"/>
    <hyperlink ref="K76" r:id="rId25"/>
    <hyperlink ref="K79" r:id="rId26"/>
    <hyperlink ref="K80" r:id="rId27"/>
    <hyperlink ref="K81" r:id="rId28"/>
    <hyperlink ref="K89" r:id="rId29"/>
    <hyperlink ref="K90" r:id="rId30"/>
    <hyperlink ref="K91" r:id="rId31"/>
    <hyperlink ref="K92" r:id="rId32"/>
    <hyperlink ref="K93" r:id="rId33"/>
    <hyperlink ref="K94" r:id="rId34"/>
    <hyperlink ref="K95" r:id="rId35"/>
    <hyperlink ref="K96" r:id="rId36"/>
    <hyperlink ref="K97" r:id="rId37"/>
    <hyperlink ref="K99" r:id="rId38"/>
    <hyperlink ref="K101" r:id="rId39"/>
    <hyperlink ref="K102" r:id="rId40"/>
    <hyperlink ref="K103" r:id="rId41"/>
    <hyperlink ref="K104" r:id="rId42"/>
    <hyperlink ref="K105" r:id="rId43"/>
    <hyperlink ref="K113" r:id="rId44"/>
    <hyperlink ref="K114" r:id="rId45"/>
    <hyperlink ref="K115" r:id="rId46"/>
    <hyperlink ref="K116" r:id="rId47"/>
    <hyperlink ref="K117" r:id="rId48"/>
    <hyperlink ref="K119" r:id="rId49"/>
    <hyperlink ref="K120" r:id="rId50"/>
    <hyperlink ref="K121" r:id="rId51"/>
    <hyperlink ref="K122" r:id="rId52"/>
    <hyperlink ref="K123" r:id="rId53"/>
    <hyperlink ref="K124" r:id="rId54"/>
    <hyperlink ref="K125" r:id="rId55"/>
    <hyperlink ref="K126" r:id="rId56"/>
    <hyperlink ref="K130" r:id="rId57"/>
    <hyperlink ref="K131" r:id="rId58"/>
    <hyperlink ref="K134" r:id="rId59"/>
    <hyperlink ref="K137" r:id="rId60"/>
    <hyperlink ref="K139" r:id="rId61"/>
    <hyperlink ref="K140" r:id="rId62"/>
    <hyperlink ref="K141" r:id="rId63"/>
    <hyperlink ref="K142" r:id="rId64"/>
    <hyperlink ref="K143" r:id="rId65"/>
    <hyperlink ref="K144" r:id="rId66"/>
    <hyperlink ref="K145" r:id="rId67"/>
    <hyperlink ref="K146" r:id="rId68"/>
    <hyperlink ref="K147" r:id="rId69"/>
    <hyperlink ref="K148" r:id="rId70"/>
    <hyperlink ref="K149" r:id="rId71"/>
    <hyperlink ref="K150" r:id="rId72"/>
    <hyperlink ref="K152" r:id="rId73"/>
    <hyperlink ref="K153" r:id="rId74"/>
    <hyperlink ref="K158" r:id="rId75"/>
    <hyperlink ref="K159" r:id="rId76"/>
    <hyperlink ref="K160" r:id="rId77"/>
    <hyperlink ref="K161" r:id="rId78"/>
    <hyperlink ref="K163" r:id="rId79"/>
    <hyperlink ref="K164" r:id="rId80"/>
    <hyperlink ref="K165" r:id="rId81"/>
    <hyperlink ref="K168" r:id="rId82"/>
    <hyperlink ref="K169" r:id="rId83"/>
    <hyperlink ref="K170" r:id="rId84"/>
    <hyperlink ref="K175" r:id="rId85"/>
    <hyperlink ref="K176" r:id="rId86"/>
    <hyperlink ref="K177" r:id="rId87"/>
    <hyperlink ref="K178" r:id="rId88"/>
    <hyperlink ref="K179" r:id="rId89"/>
    <hyperlink ref="K186" r:id="rId90"/>
    <hyperlink ref="K187" r:id="rId91"/>
    <hyperlink ref="K188" r:id="rId92"/>
    <hyperlink ref="K189" r:id="rId93"/>
    <hyperlink ref="K190" r:id="rId94"/>
    <hyperlink ref="K211" r:id="rId95"/>
    <hyperlink ref="K212" r:id="rId96"/>
    <hyperlink ref="K213" r:id="rId97"/>
    <hyperlink ref="K214" r:id="rId98"/>
    <hyperlink ref="K215" r:id="rId99"/>
    <hyperlink ref="K216" r:id="rId100"/>
    <hyperlink ref="K218" r:id="rId101"/>
    <hyperlink ref="K219" r:id="rId102"/>
    <hyperlink ref="K220" r:id="rId103"/>
    <hyperlink ref="K221" r:id="rId104"/>
    <hyperlink ref="K222" r:id="rId105"/>
    <hyperlink ref="K223" r:id="rId106"/>
    <hyperlink ref="K224" r:id="rId107"/>
    <hyperlink ref="K225" r:id="rId108"/>
    <hyperlink ref="K226" r:id="rId109"/>
    <hyperlink ref="K227" r:id="rId110"/>
    <hyperlink ref="K228" r:id="rId111"/>
    <hyperlink ref="K229" r:id="rId112"/>
    <hyperlink ref="K230" r:id="rId113"/>
    <hyperlink ref="K237" r:id="rId114"/>
    <hyperlink ref="K239" r:id="rId115"/>
    <hyperlink ref="K240" r:id="rId116"/>
    <hyperlink ref="K241" r:id="rId117"/>
    <hyperlink ref="K242" r:id="rId118"/>
    <hyperlink ref="K243" r:id="rId119"/>
    <hyperlink ref="K244" r:id="rId120"/>
    <hyperlink ref="K248" r:id="rId121"/>
    <hyperlink ref="K249" r:id="rId122"/>
    <hyperlink ref="K254" r:id="rId123"/>
    <hyperlink ref="K255" r:id="rId124"/>
    <hyperlink ref="K256" r:id="rId125"/>
    <hyperlink ref="K257" r:id="rId126"/>
    <hyperlink ref="K263" r:id="rId127"/>
    <hyperlink ref="K264" r:id="rId128"/>
    <hyperlink ref="K265" r:id="rId129"/>
    <hyperlink ref="K266" r:id="rId130"/>
    <hyperlink ref="K267" r:id="rId131"/>
    <hyperlink ref="K268" r:id="rId132"/>
    <hyperlink ref="K269" r:id="rId133"/>
    <hyperlink ref="K270" r:id="rId134"/>
    <hyperlink ref="K271" r:id="rId135"/>
    <hyperlink ref="K272" r:id="rId136"/>
    <hyperlink ref="K273" r:id="rId137"/>
    <hyperlink ref="K274" r:id="rId138"/>
    <hyperlink ref="K275" r:id="rId139"/>
    <hyperlink ref="K276" r:id="rId140"/>
    <hyperlink ref="K277" r:id="rId141"/>
    <hyperlink ref="K278" r:id="rId142"/>
    <hyperlink ref="K280" r:id="rId143"/>
    <hyperlink ref="K281" r:id="rId144"/>
    <hyperlink ref="K282" r:id="rId145"/>
    <hyperlink ref="K283" r:id="rId146"/>
    <hyperlink ref="K284" r:id="rId147"/>
    <hyperlink ref="K285" r:id="rId148"/>
    <hyperlink ref="K288" r:id="rId149"/>
    <hyperlink ref="K289" r:id="rId150"/>
    <hyperlink ref="K290" r:id="rId151"/>
    <hyperlink ref="K291" r:id="rId152"/>
    <hyperlink ref="K294" r:id="rId153"/>
    <hyperlink ref="K295" r:id="rId154"/>
    <hyperlink ref="K296" r:id="rId155"/>
    <hyperlink ref="K297" r:id="rId156"/>
    <hyperlink ref="K298" r:id="rId157"/>
    <hyperlink ref="K301" r:id="rId158"/>
    <hyperlink ref="K303" r:id="rId159"/>
    <hyperlink ref="K305" r:id="rId160"/>
    <hyperlink ref="K307" r:id="rId161"/>
    <hyperlink ref="K308" r:id="rId162"/>
    <hyperlink ref="K309" r:id="rId163"/>
    <hyperlink ref="K311" r:id="rId164"/>
    <hyperlink ref="K312" r:id="rId165"/>
    <hyperlink ref="K313" r:id="rId166"/>
    <hyperlink ref="K314" r:id="rId167"/>
    <hyperlink ref="K317" r:id="rId168"/>
    <hyperlink ref="K318" r:id="rId169"/>
    <hyperlink ref="K319" r:id="rId170"/>
    <hyperlink ref="K320" r:id="rId171"/>
    <hyperlink ref="K327" r:id="rId172"/>
    <hyperlink ref="K329" r:id="rId173"/>
    <hyperlink ref="K330" r:id="rId174"/>
    <hyperlink ref="K331" r:id="rId175"/>
    <hyperlink ref="K332" r:id="rId176"/>
    <hyperlink ref="K334" r:id="rId177"/>
    <hyperlink ref="K336" r:id="rId178"/>
    <hyperlink ref="K338" r:id="rId179"/>
    <hyperlink ref="K344" r:id="rId180"/>
    <hyperlink ref="K345" r:id="rId181"/>
    <hyperlink ref="K346" r:id="rId182"/>
    <hyperlink ref="K350" r:id="rId183"/>
    <hyperlink ref="K351" r:id="rId184"/>
    <hyperlink ref="K356" r:id="rId185"/>
    <hyperlink ref="K357" r:id="rId186"/>
    <hyperlink ref="K358" r:id="rId187"/>
    <hyperlink ref="K359" r:id="rId188"/>
    <hyperlink ref="K360" r:id="rId189"/>
    <hyperlink ref="K362" r:id="rId190"/>
    <hyperlink ref="K366" r:id="rId191"/>
    <hyperlink ref="K367" r:id="rId192"/>
    <hyperlink ref="K373" r:id="rId193"/>
    <hyperlink ref="K374" r:id="rId194"/>
    <hyperlink ref="K375" r:id="rId195"/>
    <hyperlink ref="K376" r:id="rId196"/>
    <hyperlink ref="K377" r:id="rId197"/>
    <hyperlink ref="K378" r:id="rId198"/>
    <hyperlink ref="K379" r:id="rId199"/>
    <hyperlink ref="K380" r:id="rId200"/>
    <hyperlink ref="K381" r:id="rId201"/>
    <hyperlink ref="K382" r:id="rId202"/>
    <hyperlink ref="K393" r:id="rId203"/>
    <hyperlink ref="K394" r:id="rId204"/>
    <hyperlink ref="K395" r:id="rId205"/>
    <hyperlink ref="K417" r:id="rId206"/>
    <hyperlink ref="K425" r:id="rId207"/>
    <hyperlink ref="K427" r:id="rId208"/>
    <hyperlink ref="K430" r:id="rId209"/>
    <hyperlink ref="K436" r:id="rId210"/>
    <hyperlink ref="K437" r:id="rId211"/>
    <hyperlink ref="K438" r:id="rId212"/>
    <hyperlink ref="K439" r:id="rId213"/>
    <hyperlink ref="K445" r:id="rId214"/>
  </hyperlin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140"/>
  <sheetViews>
    <sheetView workbookViewId="0" zoomScale="100" zoomScaleNormal="100"/>
  </sheetViews>
  <sheetFormatPr defaultRowHeight="15.75" outlineLevelRow="0" outlineLevelCol="0" x14ac:dyDescent="0" defaultColWidth="12.63" customHeight="1"/>
  <sheetData>
    <row r="1" spans="1:23" x14ac:dyDescent="0.25">
      <c r="A1" s="166" t="s">
        <v>3627</v>
      </c>
      <c r="B1" s="166" t="s">
        <v>2</v>
      </c>
      <c r="C1" s="167" t="s">
        <v>709</v>
      </c>
      <c r="D1" s="168" t="s">
        <v>3628</v>
      </c>
      <c r="E1" s="168" t="s">
        <v>3629</v>
      </c>
      <c r="F1" s="169" t="s">
        <v>3630</v>
      </c>
      <c r="G1" s="170" t="s">
        <v>240</v>
      </c>
      <c r="H1" s="20"/>
      <c r="I1" s="20"/>
      <c r="J1" s="20"/>
      <c r="K1" s="20"/>
      <c r="L1" s="20"/>
      <c r="M1" s="20"/>
      <c r="N1" s="20"/>
      <c r="O1" s="20"/>
      <c r="P1" s="20"/>
      <c r="Q1" s="20"/>
      <c r="R1" s="20"/>
      <c r="S1" s="20"/>
      <c r="T1" s="20"/>
      <c r="U1" s="20"/>
      <c r="V1" s="20"/>
      <c r="W1" s="20"/>
    </row>
    <row r="2" spans="1:23" x14ac:dyDescent="0.25">
      <c r="A2" s="171" t="s">
        <v>3631</v>
      </c>
      <c r="B2" s="171" t="s">
        <v>123</v>
      </c>
      <c r="C2" s="172" t="s">
        <v>3632</v>
      </c>
      <c r="D2" s="173" t="s">
        <v>3633</v>
      </c>
      <c r="E2" s="173" t="s">
        <v>3634</v>
      </c>
      <c r="F2" s="20"/>
      <c r="G2" s="174">
        <v>20</v>
      </c>
      <c r="H2" s="20"/>
      <c r="I2" s="20"/>
      <c r="J2" s="20"/>
      <c r="K2" s="20"/>
      <c r="L2" s="20"/>
      <c r="M2" s="20"/>
      <c r="N2" s="20"/>
      <c r="O2" s="20"/>
      <c r="P2" s="20"/>
      <c r="Q2" s="20"/>
      <c r="R2" s="20"/>
      <c r="S2" s="20"/>
      <c r="T2" s="20"/>
      <c r="U2" s="20"/>
      <c r="V2" s="20"/>
      <c r="W2" s="20"/>
    </row>
    <row r="3" spans="1:23" x14ac:dyDescent="0.25">
      <c r="A3" s="171" t="s">
        <v>3635</v>
      </c>
      <c r="B3" s="171" t="s">
        <v>788</v>
      </c>
      <c r="C3" s="172" t="s">
        <v>3636</v>
      </c>
      <c r="D3" s="173" t="s">
        <v>3633</v>
      </c>
      <c r="E3" s="173" t="s">
        <v>3637</v>
      </c>
      <c r="F3" s="20"/>
      <c r="G3" s="175"/>
      <c r="H3" s="20"/>
      <c r="I3" s="20"/>
      <c r="J3" s="20"/>
      <c r="K3" s="20"/>
      <c r="L3" s="20"/>
      <c r="M3" s="20"/>
      <c r="N3" s="20"/>
      <c r="O3" s="20"/>
      <c r="P3" s="20"/>
      <c r="Q3" s="20"/>
      <c r="R3" s="20"/>
      <c r="S3" s="20"/>
      <c r="T3" s="20"/>
      <c r="U3" s="20"/>
      <c r="V3" s="20"/>
      <c r="W3" s="20"/>
    </row>
    <row r="4" spans="1:23" x14ac:dyDescent="0.25">
      <c r="A4" s="171" t="s">
        <v>3638</v>
      </c>
      <c r="B4" s="171" t="s">
        <v>215</v>
      </c>
      <c r="C4" s="172" t="s">
        <v>3639</v>
      </c>
      <c r="D4" s="173" t="s">
        <v>3633</v>
      </c>
      <c r="E4" s="173" t="s">
        <v>3640</v>
      </c>
      <c r="F4" s="20"/>
      <c r="G4" s="174">
        <v>15</v>
      </c>
      <c r="H4" s="20"/>
      <c r="I4" s="20"/>
      <c r="J4" s="20"/>
      <c r="K4" s="20"/>
      <c r="L4" s="20"/>
      <c r="M4" s="20"/>
      <c r="N4" s="20"/>
      <c r="O4" s="20"/>
      <c r="P4" s="20"/>
      <c r="Q4" s="20"/>
      <c r="R4" s="20"/>
      <c r="S4" s="20"/>
      <c r="T4" s="20"/>
      <c r="U4" s="20"/>
      <c r="V4" s="20"/>
      <c r="W4" s="20"/>
    </row>
    <row r="5" spans="1:23" x14ac:dyDescent="0.25">
      <c r="A5" s="171" t="s">
        <v>3641</v>
      </c>
      <c r="B5" s="171" t="s">
        <v>796</v>
      </c>
      <c r="C5" s="172" t="s">
        <v>3642</v>
      </c>
      <c r="D5" s="173" t="s">
        <v>3633</v>
      </c>
      <c r="E5" s="173" t="s">
        <v>3643</v>
      </c>
      <c r="F5" s="20"/>
      <c r="G5" s="175"/>
      <c r="H5" s="20"/>
      <c r="I5" s="20"/>
      <c r="J5" s="20"/>
      <c r="K5" s="20"/>
      <c r="L5" s="20"/>
      <c r="M5" s="20"/>
      <c r="N5" s="20"/>
      <c r="O5" s="20"/>
      <c r="P5" s="20"/>
      <c r="Q5" s="20"/>
      <c r="R5" s="20"/>
      <c r="S5" s="20"/>
      <c r="T5" s="20"/>
      <c r="U5" s="20"/>
      <c r="V5" s="20"/>
      <c r="W5" s="20"/>
    </row>
    <row r="6" spans="1:23" x14ac:dyDescent="0.25">
      <c r="A6" s="171" t="s">
        <v>3644</v>
      </c>
      <c r="B6" s="171" t="s">
        <v>291</v>
      </c>
      <c r="C6" s="172" t="s">
        <v>3645</v>
      </c>
      <c r="D6" s="173" t="s">
        <v>3633</v>
      </c>
      <c r="E6" s="173" t="s">
        <v>3646</v>
      </c>
      <c r="F6" s="20"/>
      <c r="G6" s="174">
        <v>15</v>
      </c>
      <c r="H6" s="20"/>
      <c r="I6" s="20"/>
      <c r="J6" s="20"/>
      <c r="K6" s="20"/>
      <c r="L6" s="20"/>
      <c r="M6" s="20"/>
      <c r="N6" s="20"/>
      <c r="O6" s="20"/>
      <c r="P6" s="20"/>
      <c r="Q6" s="20"/>
      <c r="R6" s="20"/>
      <c r="S6" s="20"/>
      <c r="T6" s="20"/>
      <c r="U6" s="20"/>
      <c r="V6" s="20"/>
      <c r="W6" s="20"/>
    </row>
    <row r="7" spans="1:23" x14ac:dyDescent="0.25">
      <c r="A7" s="171" t="s">
        <v>3647</v>
      </c>
      <c r="B7" s="171" t="s">
        <v>221</v>
      </c>
      <c r="C7" s="172" t="s">
        <v>3648</v>
      </c>
      <c r="D7" s="173" t="s">
        <v>3633</v>
      </c>
      <c r="E7" s="173" t="s">
        <v>3649</v>
      </c>
      <c r="F7" s="20"/>
      <c r="G7" s="175"/>
      <c r="H7" s="20"/>
      <c r="I7" s="20"/>
      <c r="J7" s="20"/>
      <c r="K7" s="20"/>
      <c r="L7" s="20"/>
      <c r="M7" s="20"/>
      <c r="N7" s="20"/>
      <c r="O7" s="20"/>
      <c r="P7" s="20"/>
      <c r="Q7" s="20"/>
      <c r="R7" s="20"/>
      <c r="S7" s="20"/>
      <c r="T7" s="20"/>
      <c r="U7" s="20"/>
      <c r="V7" s="20"/>
      <c r="W7" s="20"/>
    </row>
    <row r="8" spans="1:23" x14ac:dyDescent="0.25">
      <c r="A8" s="171" t="s">
        <v>3650</v>
      </c>
      <c r="B8" s="171" t="s">
        <v>226</v>
      </c>
      <c r="C8" s="172" t="s">
        <v>3651</v>
      </c>
      <c r="D8" s="173" t="s">
        <v>3633</v>
      </c>
      <c r="E8" s="173" t="s">
        <v>3652</v>
      </c>
      <c r="F8" s="20"/>
      <c r="G8" s="175"/>
      <c r="H8" s="20"/>
      <c r="I8" s="20"/>
      <c r="J8" s="20"/>
      <c r="K8" s="20"/>
      <c r="L8" s="20"/>
      <c r="M8" s="20"/>
      <c r="N8" s="20"/>
      <c r="O8" s="20"/>
      <c r="P8" s="20"/>
      <c r="Q8" s="20"/>
      <c r="R8" s="20"/>
      <c r="S8" s="20"/>
      <c r="T8" s="20"/>
      <c r="U8" s="20"/>
      <c r="V8" s="20"/>
      <c r="W8" s="20"/>
    </row>
    <row r="9" spans="1:23" x14ac:dyDescent="0.25">
      <c r="A9" s="171" t="s">
        <v>3653</v>
      </c>
      <c r="B9" s="171" t="s">
        <v>228</v>
      </c>
      <c r="C9" s="172" t="s">
        <v>3654</v>
      </c>
      <c r="D9" s="173" t="s">
        <v>3633</v>
      </c>
      <c r="E9" s="173" t="s">
        <v>3655</v>
      </c>
      <c r="F9" s="20"/>
      <c r="G9" s="175"/>
      <c r="H9" s="20"/>
      <c r="I9" s="20"/>
      <c r="J9" s="20"/>
      <c r="K9" s="20"/>
      <c r="L9" s="20"/>
      <c r="M9" s="20"/>
      <c r="N9" s="20"/>
      <c r="O9" s="20"/>
      <c r="P9" s="20"/>
      <c r="Q9" s="20"/>
      <c r="R9" s="20"/>
      <c r="S9" s="20"/>
      <c r="T9" s="20"/>
      <c r="U9" s="20"/>
      <c r="V9" s="20"/>
      <c r="W9" s="20"/>
    </row>
    <row r="10" spans="1:23" x14ac:dyDescent="0.25">
      <c r="A10" s="171" t="s">
        <v>3656</v>
      </c>
      <c r="B10" s="171" t="s">
        <v>3657</v>
      </c>
      <c r="C10" s="173" t="s">
        <v>3658</v>
      </c>
      <c r="D10" s="173" t="s">
        <v>3633</v>
      </c>
      <c r="E10" s="173" t="s">
        <v>3658</v>
      </c>
      <c r="F10" s="20"/>
      <c r="G10" s="175"/>
      <c r="H10" s="20"/>
      <c r="I10" s="20"/>
      <c r="J10" s="20"/>
      <c r="K10" s="20"/>
      <c r="L10" s="20"/>
      <c r="M10" s="20"/>
      <c r="N10" s="20"/>
      <c r="O10" s="20"/>
      <c r="P10" s="20"/>
      <c r="Q10" s="20"/>
      <c r="R10" s="20"/>
      <c r="S10" s="20"/>
      <c r="T10" s="20"/>
      <c r="U10" s="20"/>
      <c r="V10" s="20"/>
      <c r="W10" s="20"/>
    </row>
    <row r="11" spans="1:23" x14ac:dyDescent="0.25">
      <c r="A11" s="171" t="s">
        <v>3659</v>
      </c>
      <c r="B11" s="171" t="s">
        <v>3660</v>
      </c>
      <c r="C11" s="173" t="s">
        <v>3658</v>
      </c>
      <c r="D11" s="173" t="s">
        <v>3633</v>
      </c>
      <c r="E11" s="173" t="s">
        <v>3658</v>
      </c>
      <c r="F11" s="20"/>
      <c r="G11" s="175"/>
      <c r="H11" s="20"/>
      <c r="I11" s="20"/>
      <c r="J11" s="20"/>
      <c r="K11" s="20"/>
      <c r="L11" s="20"/>
      <c r="M11" s="20"/>
      <c r="N11" s="20"/>
      <c r="O11" s="20"/>
      <c r="P11" s="20"/>
      <c r="Q11" s="20"/>
      <c r="R11" s="20"/>
      <c r="S11" s="20"/>
      <c r="T11" s="20"/>
      <c r="U11" s="20"/>
      <c r="V11" s="20"/>
      <c r="W11" s="20"/>
    </row>
    <row r="12" spans="1:23" x14ac:dyDescent="0.25">
      <c r="A12" s="171" t="s">
        <v>3661</v>
      </c>
      <c r="B12" s="171" t="s">
        <v>1194</v>
      </c>
      <c r="C12" s="172" t="s">
        <v>3662</v>
      </c>
      <c r="D12" s="173" t="s">
        <v>3633</v>
      </c>
      <c r="E12" s="173" t="s">
        <v>3663</v>
      </c>
      <c r="F12" s="20"/>
      <c r="G12" s="175"/>
      <c r="H12" s="20"/>
      <c r="I12" s="20"/>
      <c r="J12" s="20"/>
      <c r="K12" s="20"/>
      <c r="L12" s="20"/>
      <c r="M12" s="20"/>
      <c r="N12" s="20"/>
      <c r="O12" s="20"/>
      <c r="P12" s="20"/>
      <c r="Q12" s="20"/>
      <c r="R12" s="20"/>
      <c r="S12" s="20"/>
      <c r="T12" s="20"/>
      <c r="U12" s="20"/>
      <c r="V12" s="20"/>
      <c r="W12" s="20"/>
    </row>
    <row r="13" spans="1:23" x14ac:dyDescent="0.25">
      <c r="A13" s="171" t="s">
        <v>3664</v>
      </c>
      <c r="B13" s="171" t="s">
        <v>3665</v>
      </c>
      <c r="C13" s="173" t="s">
        <v>3658</v>
      </c>
      <c r="D13" s="173" t="s">
        <v>3633</v>
      </c>
      <c r="E13" s="173" t="s">
        <v>3658</v>
      </c>
      <c r="F13" s="20"/>
      <c r="G13" s="175"/>
      <c r="H13" s="20"/>
      <c r="I13" s="20"/>
      <c r="J13" s="20"/>
      <c r="K13" s="20"/>
      <c r="L13" s="20"/>
      <c r="M13" s="20"/>
      <c r="N13" s="20"/>
      <c r="O13" s="20"/>
      <c r="P13" s="20"/>
      <c r="Q13" s="20"/>
      <c r="R13" s="20"/>
      <c r="S13" s="20"/>
      <c r="T13" s="20"/>
      <c r="U13" s="20"/>
      <c r="V13" s="20"/>
      <c r="W13" s="20"/>
    </row>
    <row r="14" spans="1:23" x14ac:dyDescent="0.25">
      <c r="A14" s="171" t="s">
        <v>3666</v>
      </c>
      <c r="B14" s="171" t="s">
        <v>791</v>
      </c>
      <c r="C14" s="172" t="s">
        <v>3667</v>
      </c>
      <c r="D14" s="173" t="s">
        <v>3633</v>
      </c>
      <c r="E14" s="173" t="s">
        <v>3668</v>
      </c>
      <c r="F14" s="20"/>
      <c r="G14" s="175"/>
      <c r="H14" s="20"/>
      <c r="I14" s="20"/>
      <c r="J14" s="20"/>
      <c r="K14" s="20"/>
      <c r="L14" s="20"/>
      <c r="M14" s="20"/>
      <c r="N14" s="20"/>
      <c r="O14" s="20"/>
      <c r="P14" s="20"/>
      <c r="Q14" s="20"/>
      <c r="R14" s="20"/>
      <c r="S14" s="20"/>
      <c r="T14" s="20"/>
      <c r="U14" s="20"/>
      <c r="V14" s="20"/>
      <c r="W14" s="20"/>
    </row>
    <row r="15" spans="1:23" x14ac:dyDescent="0.25">
      <c r="A15" s="171" t="s">
        <v>3669</v>
      </c>
      <c r="B15" s="171" t="s">
        <v>171</v>
      </c>
      <c r="C15" s="172" t="s">
        <v>3670</v>
      </c>
      <c r="D15" s="173" t="s">
        <v>3633</v>
      </c>
      <c r="E15" s="173" t="s">
        <v>3671</v>
      </c>
      <c r="F15" s="20"/>
      <c r="G15" s="174">
        <v>20</v>
      </c>
      <c r="H15" s="20"/>
      <c r="I15" s="20"/>
      <c r="J15" s="20"/>
      <c r="K15" s="20"/>
      <c r="L15" s="20"/>
      <c r="M15" s="20"/>
      <c r="N15" s="20"/>
      <c r="O15" s="20"/>
      <c r="P15" s="20"/>
      <c r="Q15" s="20"/>
      <c r="R15" s="20"/>
      <c r="S15" s="20"/>
      <c r="T15" s="20"/>
      <c r="U15" s="20"/>
      <c r="V15" s="20"/>
      <c r="W15" s="20"/>
    </row>
    <row r="16" spans="1:23" x14ac:dyDescent="0.25">
      <c r="A16" s="171" t="s">
        <v>3672</v>
      </c>
      <c r="B16" s="171" t="s">
        <v>803</v>
      </c>
      <c r="C16" s="172" t="s">
        <v>3673</v>
      </c>
      <c r="D16" s="173" t="s">
        <v>3633</v>
      </c>
      <c r="E16" s="173" t="s">
        <v>3674</v>
      </c>
      <c r="F16" s="20"/>
      <c r="G16" s="175"/>
      <c r="H16" s="20"/>
      <c r="I16" s="20"/>
      <c r="J16" s="20"/>
      <c r="K16" s="20"/>
      <c r="L16" s="20"/>
      <c r="M16" s="20"/>
      <c r="N16" s="20"/>
      <c r="O16" s="20"/>
      <c r="P16" s="20"/>
      <c r="Q16" s="20"/>
      <c r="R16" s="20"/>
      <c r="S16" s="20"/>
      <c r="T16" s="20"/>
      <c r="U16" s="20"/>
      <c r="V16" s="20"/>
      <c r="W16" s="20"/>
    </row>
    <row r="17" spans="1:23" x14ac:dyDescent="0.25">
      <c r="A17" s="171" t="s">
        <v>3675</v>
      </c>
      <c r="B17" s="171" t="s">
        <v>210</v>
      </c>
      <c r="C17" s="172" t="s">
        <v>3676</v>
      </c>
      <c r="D17" s="173" t="s">
        <v>3633</v>
      </c>
      <c r="E17" s="173" t="s">
        <v>3677</v>
      </c>
      <c r="F17" s="20"/>
      <c r="G17" s="174">
        <v>15</v>
      </c>
      <c r="H17" s="20"/>
      <c r="I17" s="20"/>
      <c r="J17" s="20"/>
      <c r="K17" s="20"/>
      <c r="L17" s="20"/>
      <c r="M17" s="20"/>
      <c r="N17" s="20"/>
      <c r="O17" s="20"/>
      <c r="P17" s="20"/>
      <c r="Q17" s="20"/>
      <c r="R17" s="20"/>
      <c r="S17" s="20"/>
      <c r="T17" s="20"/>
      <c r="U17" s="20"/>
      <c r="V17" s="20"/>
      <c r="W17" s="20"/>
    </row>
    <row r="18" spans="1:23" x14ac:dyDescent="0.25">
      <c r="A18" s="171" t="s">
        <v>3678</v>
      </c>
      <c r="B18" s="171" t="s">
        <v>3679</v>
      </c>
      <c r="C18" s="172" t="s">
        <v>3680</v>
      </c>
      <c r="D18" s="173" t="s">
        <v>3633</v>
      </c>
      <c r="E18" s="173" t="s">
        <v>3681</v>
      </c>
      <c r="F18" s="20"/>
      <c r="G18" s="175"/>
      <c r="H18" s="20"/>
      <c r="I18" s="20"/>
      <c r="J18" s="20"/>
      <c r="K18" s="20"/>
      <c r="L18" s="20"/>
      <c r="M18" s="20"/>
      <c r="N18" s="20"/>
      <c r="O18" s="20"/>
      <c r="P18" s="20"/>
      <c r="Q18" s="20"/>
      <c r="R18" s="20"/>
      <c r="S18" s="20"/>
      <c r="T18" s="20"/>
      <c r="U18" s="20"/>
      <c r="V18" s="20"/>
      <c r="W18" s="20"/>
    </row>
    <row r="19" spans="1:23" x14ac:dyDescent="0.25">
      <c r="A19" s="171" t="s">
        <v>3682</v>
      </c>
      <c r="B19" s="171" t="s">
        <v>202</v>
      </c>
      <c r="C19" s="172" t="s">
        <v>3683</v>
      </c>
      <c r="D19" s="173" t="s">
        <v>3633</v>
      </c>
      <c r="E19" s="173" t="s">
        <v>3684</v>
      </c>
      <c r="F19" s="20"/>
      <c r="G19" s="174">
        <v>10</v>
      </c>
      <c r="H19" s="20"/>
      <c r="I19" s="20"/>
      <c r="J19" s="20"/>
      <c r="K19" s="20"/>
      <c r="L19" s="20"/>
      <c r="M19" s="20"/>
      <c r="N19" s="20"/>
      <c r="O19" s="20"/>
      <c r="P19" s="20"/>
      <c r="Q19" s="20"/>
      <c r="R19" s="20"/>
      <c r="S19" s="20"/>
      <c r="T19" s="20"/>
      <c r="U19" s="20"/>
      <c r="V19" s="20"/>
      <c r="W19" s="20"/>
    </row>
    <row r="20" spans="1:23" x14ac:dyDescent="0.25">
      <c r="A20" s="171" t="s">
        <v>3685</v>
      </c>
      <c r="B20" s="171" t="s">
        <v>799</v>
      </c>
      <c r="C20" s="172" t="s">
        <v>3686</v>
      </c>
      <c r="D20" s="173" t="s">
        <v>3633</v>
      </c>
      <c r="E20" s="173" t="s">
        <v>3687</v>
      </c>
      <c r="F20" s="20"/>
      <c r="G20" s="175"/>
      <c r="H20" s="20"/>
      <c r="I20" s="20"/>
      <c r="J20" s="20"/>
      <c r="K20" s="20"/>
      <c r="L20" s="20"/>
      <c r="M20" s="20"/>
      <c r="N20" s="20"/>
      <c r="O20" s="20"/>
      <c r="P20" s="20"/>
      <c r="Q20" s="20"/>
      <c r="R20" s="20"/>
      <c r="S20" s="20"/>
      <c r="T20" s="20"/>
      <c r="U20" s="20"/>
      <c r="V20" s="20"/>
      <c r="W20" s="20"/>
    </row>
    <row r="21" spans="1:23" x14ac:dyDescent="0.25">
      <c r="A21" s="171" t="s">
        <v>3688</v>
      </c>
      <c r="B21" s="171" t="s">
        <v>290</v>
      </c>
      <c r="C21" s="172" t="s">
        <v>3689</v>
      </c>
      <c r="D21" s="173" t="s">
        <v>3633</v>
      </c>
      <c r="E21" s="173" t="s">
        <v>3690</v>
      </c>
      <c r="F21" s="20"/>
      <c r="G21" s="174">
        <v>15</v>
      </c>
      <c r="H21" s="20"/>
      <c r="I21" s="20"/>
      <c r="J21" s="20"/>
      <c r="K21" s="20"/>
      <c r="L21" s="20"/>
      <c r="M21" s="20"/>
      <c r="N21" s="20"/>
      <c r="O21" s="20"/>
      <c r="P21" s="20"/>
      <c r="Q21" s="20"/>
      <c r="R21" s="20"/>
      <c r="S21" s="20"/>
      <c r="T21" s="20"/>
      <c r="U21" s="20"/>
      <c r="V21" s="20"/>
      <c r="W21" s="20"/>
    </row>
    <row r="22" spans="1:23" x14ac:dyDescent="0.25">
      <c r="A22" s="171" t="s">
        <v>3691</v>
      </c>
      <c r="B22" s="171" t="s">
        <v>3692</v>
      </c>
      <c r="C22" s="173" t="s">
        <v>3658</v>
      </c>
      <c r="D22" s="173" t="s">
        <v>3633</v>
      </c>
      <c r="E22" s="173" t="s">
        <v>3658</v>
      </c>
      <c r="F22" s="20"/>
      <c r="G22" s="175"/>
      <c r="H22" s="20"/>
      <c r="I22" s="20"/>
      <c r="J22" s="20"/>
      <c r="K22" s="20"/>
      <c r="L22" s="20"/>
      <c r="M22" s="20"/>
      <c r="N22" s="20"/>
      <c r="O22" s="20"/>
      <c r="P22" s="20"/>
      <c r="Q22" s="20"/>
      <c r="R22" s="20"/>
      <c r="S22" s="20"/>
      <c r="T22" s="20"/>
      <c r="U22" s="20"/>
      <c r="V22" s="20"/>
      <c r="W22" s="20"/>
    </row>
    <row r="23" spans="1:23" x14ac:dyDescent="0.25">
      <c r="A23" s="171" t="s">
        <v>3693</v>
      </c>
      <c r="B23" s="171" t="s">
        <v>187</v>
      </c>
      <c r="C23" s="172" t="s">
        <v>3694</v>
      </c>
      <c r="D23" s="173" t="s">
        <v>3633</v>
      </c>
      <c r="E23" s="173" t="s">
        <v>3695</v>
      </c>
      <c r="F23" s="20"/>
      <c r="G23" s="174">
        <v>20</v>
      </c>
      <c r="H23" s="20"/>
      <c r="I23" s="20"/>
      <c r="J23" s="20"/>
      <c r="K23" s="20"/>
      <c r="L23" s="20"/>
      <c r="M23" s="20"/>
      <c r="N23" s="20"/>
      <c r="O23" s="20"/>
      <c r="P23" s="20"/>
      <c r="Q23" s="20"/>
      <c r="R23" s="20"/>
      <c r="S23" s="20"/>
      <c r="T23" s="20"/>
      <c r="U23" s="20"/>
      <c r="V23" s="20"/>
      <c r="W23" s="20"/>
    </row>
    <row r="24" spans="1:23" x14ac:dyDescent="0.25">
      <c r="A24" s="171" t="s">
        <v>3696</v>
      </c>
      <c r="B24" s="171" t="s">
        <v>3697</v>
      </c>
      <c r="C24" s="173" t="s">
        <v>3658</v>
      </c>
      <c r="D24" s="173" t="s">
        <v>3633</v>
      </c>
      <c r="E24" s="173" t="s">
        <v>3658</v>
      </c>
      <c r="F24" s="20"/>
      <c r="G24" s="175"/>
      <c r="H24" s="20"/>
      <c r="I24" s="20"/>
      <c r="J24" s="20"/>
      <c r="K24" s="20"/>
      <c r="L24" s="20"/>
      <c r="M24" s="20"/>
      <c r="N24" s="20"/>
      <c r="O24" s="20"/>
      <c r="P24" s="20"/>
      <c r="Q24" s="20"/>
      <c r="R24" s="20"/>
      <c r="S24" s="20"/>
      <c r="T24" s="20"/>
      <c r="U24" s="20"/>
      <c r="V24" s="20"/>
      <c r="W24" s="20"/>
    </row>
    <row r="25" spans="1:23" x14ac:dyDescent="0.25">
      <c r="A25" s="171" t="s">
        <v>3698</v>
      </c>
      <c r="B25" s="171" t="s">
        <v>10</v>
      </c>
      <c r="C25" s="172" t="s">
        <v>3699</v>
      </c>
      <c r="D25" s="173" t="s">
        <v>3633</v>
      </c>
      <c r="E25" s="173" t="s">
        <v>3700</v>
      </c>
      <c r="F25" s="20"/>
      <c r="G25" s="174">
        <v>10</v>
      </c>
      <c r="H25" s="20"/>
      <c r="I25" s="20"/>
      <c r="J25" s="20"/>
      <c r="K25" s="20"/>
      <c r="L25" s="20"/>
      <c r="M25" s="20"/>
      <c r="N25" s="20"/>
      <c r="O25" s="20"/>
      <c r="P25" s="20"/>
      <c r="Q25" s="20"/>
      <c r="R25" s="20"/>
      <c r="S25" s="20"/>
      <c r="T25" s="20"/>
      <c r="U25" s="20"/>
      <c r="V25" s="20"/>
      <c r="W25" s="20"/>
    </row>
    <row r="26" spans="1:23" x14ac:dyDescent="0.25">
      <c r="A26" s="171" t="s">
        <v>3701</v>
      </c>
      <c r="B26" s="171" t="s">
        <v>11</v>
      </c>
      <c r="C26" s="172" t="s">
        <v>3702</v>
      </c>
      <c r="D26" s="173" t="s">
        <v>3633</v>
      </c>
      <c r="E26" s="173" t="s">
        <v>3703</v>
      </c>
      <c r="F26" s="20"/>
      <c r="G26" s="174">
        <v>15</v>
      </c>
      <c r="H26" s="20"/>
      <c r="I26" s="20"/>
      <c r="J26" s="20"/>
      <c r="K26" s="20"/>
      <c r="L26" s="20"/>
      <c r="M26" s="20"/>
      <c r="N26" s="20"/>
      <c r="O26" s="20"/>
      <c r="P26" s="20"/>
      <c r="Q26" s="20"/>
      <c r="R26" s="20"/>
      <c r="S26" s="20"/>
      <c r="T26" s="20"/>
      <c r="U26" s="20"/>
      <c r="V26" s="20"/>
      <c r="W26" s="20"/>
    </row>
    <row r="27" spans="1:23" x14ac:dyDescent="0.25">
      <c r="A27" s="171" t="s">
        <v>3704</v>
      </c>
      <c r="B27" s="171" t="s">
        <v>810</v>
      </c>
      <c r="C27" s="172" t="s">
        <v>3705</v>
      </c>
      <c r="D27" s="173" t="s">
        <v>3633</v>
      </c>
      <c r="E27" s="173" t="s">
        <v>3706</v>
      </c>
      <c r="F27" s="20"/>
      <c r="G27" s="175"/>
      <c r="H27" s="20"/>
      <c r="I27" s="20"/>
      <c r="J27" s="20"/>
      <c r="K27" s="20"/>
      <c r="L27" s="20"/>
      <c r="M27" s="20"/>
      <c r="N27" s="20"/>
      <c r="O27" s="20"/>
      <c r="P27" s="20"/>
      <c r="Q27" s="20"/>
      <c r="R27" s="20"/>
      <c r="S27" s="20"/>
      <c r="T27" s="20"/>
      <c r="U27" s="20"/>
      <c r="V27" s="20"/>
      <c r="W27" s="20"/>
    </row>
    <row r="28" spans="1:23" x14ac:dyDescent="0.25">
      <c r="A28" s="171" t="s">
        <v>3707</v>
      </c>
      <c r="B28" s="171" t="s">
        <v>12</v>
      </c>
      <c r="C28" s="172" t="s">
        <v>3708</v>
      </c>
      <c r="D28" s="173" t="s">
        <v>3633</v>
      </c>
      <c r="E28" s="173" t="s">
        <v>3709</v>
      </c>
      <c r="F28" s="20"/>
      <c r="G28" s="174">
        <v>10</v>
      </c>
      <c r="H28" s="20"/>
      <c r="I28" s="20"/>
      <c r="J28" s="20"/>
      <c r="K28" s="20"/>
      <c r="L28" s="20"/>
      <c r="M28" s="20"/>
      <c r="N28" s="20"/>
      <c r="O28" s="20"/>
      <c r="P28" s="20"/>
      <c r="Q28" s="20"/>
      <c r="R28" s="20"/>
      <c r="S28" s="20"/>
      <c r="T28" s="20"/>
      <c r="U28" s="20"/>
      <c r="V28" s="20"/>
      <c r="W28" s="20"/>
    </row>
    <row r="29" spans="1:23" x14ac:dyDescent="0.25">
      <c r="A29" s="171" t="s">
        <v>3710</v>
      </c>
      <c r="B29" s="171" t="s">
        <v>13</v>
      </c>
      <c r="C29" s="172" t="s">
        <v>3711</v>
      </c>
      <c r="D29" s="173" t="s">
        <v>3633</v>
      </c>
      <c r="E29" s="173" t="s">
        <v>3712</v>
      </c>
      <c r="F29" s="20"/>
      <c r="G29" s="174">
        <v>10</v>
      </c>
      <c r="H29" s="20"/>
      <c r="I29" s="20"/>
      <c r="J29" s="20"/>
      <c r="K29" s="20"/>
      <c r="L29" s="20"/>
      <c r="M29" s="20"/>
      <c r="N29" s="20"/>
      <c r="O29" s="20"/>
      <c r="P29" s="20"/>
      <c r="Q29" s="20"/>
      <c r="R29" s="20"/>
      <c r="S29" s="20"/>
      <c r="T29" s="20"/>
      <c r="U29" s="20"/>
      <c r="V29" s="20"/>
      <c r="W29" s="20"/>
    </row>
    <row r="30" spans="1:23" x14ac:dyDescent="0.25">
      <c r="A30" s="171" t="s">
        <v>3713</v>
      </c>
      <c r="B30" s="171" t="s">
        <v>3714</v>
      </c>
      <c r="C30" s="173" t="s">
        <v>3658</v>
      </c>
      <c r="D30" s="173" t="s">
        <v>3715</v>
      </c>
      <c r="E30" s="173" t="s">
        <v>3658</v>
      </c>
      <c r="F30" s="20"/>
      <c r="G30" s="175"/>
      <c r="H30" s="20"/>
      <c r="I30" s="20"/>
      <c r="J30" s="20"/>
      <c r="K30" s="20"/>
      <c r="L30" s="20"/>
      <c r="M30" s="20"/>
      <c r="N30" s="20"/>
      <c r="O30" s="20"/>
      <c r="P30" s="20"/>
      <c r="Q30" s="20"/>
      <c r="R30" s="20"/>
      <c r="S30" s="20"/>
      <c r="T30" s="20"/>
      <c r="U30" s="20"/>
      <c r="V30" s="20"/>
      <c r="W30" s="20"/>
    </row>
    <row r="31" spans="1:23" x14ac:dyDescent="0.25">
      <c r="A31" s="171" t="s">
        <v>3716</v>
      </c>
      <c r="B31" s="171" t="s">
        <v>315</v>
      </c>
      <c r="C31" s="172" t="s">
        <v>3717</v>
      </c>
      <c r="D31" s="173" t="s">
        <v>3715</v>
      </c>
      <c r="E31" s="173" t="s">
        <v>3718</v>
      </c>
      <c r="F31" s="20"/>
      <c r="G31" s="174">
        <v>40</v>
      </c>
      <c r="H31" s="20"/>
      <c r="I31" s="20"/>
      <c r="J31" s="20"/>
      <c r="K31" s="20"/>
      <c r="L31" s="20"/>
      <c r="M31" s="20"/>
      <c r="N31" s="20"/>
      <c r="O31" s="20"/>
      <c r="P31" s="20"/>
      <c r="Q31" s="20"/>
      <c r="R31" s="20"/>
      <c r="S31" s="20"/>
      <c r="T31" s="20"/>
      <c r="U31" s="20"/>
      <c r="V31" s="20"/>
      <c r="W31" s="20"/>
    </row>
    <row r="32" spans="1:23" x14ac:dyDescent="0.25">
      <c r="A32" s="171" t="s">
        <v>3719</v>
      </c>
      <c r="B32" s="171" t="s">
        <v>313</v>
      </c>
      <c r="C32" s="172" t="s">
        <v>3720</v>
      </c>
      <c r="D32" s="173" t="s">
        <v>3715</v>
      </c>
      <c r="E32" s="173" t="s">
        <v>3721</v>
      </c>
      <c r="F32" s="20"/>
      <c r="G32" s="174">
        <v>50</v>
      </c>
      <c r="H32" s="20"/>
      <c r="I32" s="20"/>
      <c r="J32" s="20"/>
      <c r="K32" s="20"/>
      <c r="L32" s="20"/>
      <c r="M32" s="20"/>
      <c r="N32" s="20"/>
      <c r="O32" s="20"/>
      <c r="P32" s="20"/>
      <c r="Q32" s="20"/>
      <c r="R32" s="20"/>
      <c r="S32" s="20"/>
      <c r="T32" s="20"/>
      <c r="U32" s="20"/>
      <c r="V32" s="20"/>
      <c r="W32" s="20"/>
    </row>
    <row r="33" spans="1:23" x14ac:dyDescent="0.25">
      <c r="A33" s="171" t="s">
        <v>3722</v>
      </c>
      <c r="B33" s="171" t="s">
        <v>1209</v>
      </c>
      <c r="C33" s="172" t="s">
        <v>3723</v>
      </c>
      <c r="D33" s="173" t="s">
        <v>3715</v>
      </c>
      <c r="E33" s="173" t="s">
        <v>3724</v>
      </c>
      <c r="F33" s="20"/>
      <c r="G33" s="175"/>
      <c r="H33" s="20"/>
      <c r="I33" s="20"/>
      <c r="J33" s="20"/>
      <c r="K33" s="20"/>
      <c r="L33" s="20"/>
      <c r="M33" s="20"/>
      <c r="N33" s="20"/>
      <c r="O33" s="20"/>
      <c r="P33" s="20"/>
      <c r="Q33" s="20"/>
      <c r="R33" s="20"/>
      <c r="S33" s="20"/>
      <c r="T33" s="20"/>
      <c r="U33" s="20"/>
      <c r="V33" s="20"/>
      <c r="W33" s="20"/>
    </row>
    <row r="34" spans="1:23" x14ac:dyDescent="0.25">
      <c r="A34" s="171" t="s">
        <v>3725</v>
      </c>
      <c r="B34" s="171" t="s">
        <v>2761</v>
      </c>
      <c r="C34" s="172" t="s">
        <v>3726</v>
      </c>
      <c r="D34" s="173" t="s">
        <v>3715</v>
      </c>
      <c r="E34" s="173" t="s">
        <v>3727</v>
      </c>
      <c r="F34" s="20"/>
      <c r="G34" s="175"/>
      <c r="H34" s="20"/>
      <c r="I34" s="20"/>
      <c r="J34" s="20"/>
      <c r="K34" s="20"/>
      <c r="L34" s="20"/>
      <c r="M34" s="20"/>
      <c r="N34" s="20"/>
      <c r="O34" s="20"/>
      <c r="P34" s="20"/>
      <c r="Q34" s="20"/>
      <c r="R34" s="20"/>
      <c r="S34" s="20"/>
      <c r="T34" s="20"/>
      <c r="U34" s="20"/>
      <c r="V34" s="20"/>
      <c r="W34" s="20"/>
    </row>
    <row r="35" spans="1:23" x14ac:dyDescent="0.25">
      <c r="A35" s="171" t="s">
        <v>3728</v>
      </c>
      <c r="B35" s="171" t="s">
        <v>2766</v>
      </c>
      <c r="C35" s="172" t="s">
        <v>3729</v>
      </c>
      <c r="D35" s="173" t="s">
        <v>3715</v>
      </c>
      <c r="E35" s="173" t="s">
        <v>3730</v>
      </c>
      <c r="F35" s="20"/>
      <c r="G35" s="175"/>
      <c r="H35" s="20"/>
      <c r="I35" s="20"/>
      <c r="J35" s="20"/>
      <c r="K35" s="20"/>
      <c r="L35" s="20"/>
      <c r="M35" s="20"/>
      <c r="N35" s="20"/>
      <c r="O35" s="20"/>
      <c r="P35" s="20"/>
      <c r="Q35" s="20"/>
      <c r="R35" s="20"/>
      <c r="S35" s="20"/>
      <c r="T35" s="20"/>
      <c r="U35" s="20"/>
      <c r="V35" s="20"/>
      <c r="W35" s="20"/>
    </row>
    <row r="36" spans="1:23" x14ac:dyDescent="0.25">
      <c r="A36" s="171" t="s">
        <v>3731</v>
      </c>
      <c r="B36" s="171" t="s">
        <v>3732</v>
      </c>
      <c r="C36" s="172" t="s">
        <v>3733</v>
      </c>
      <c r="D36" s="173" t="s">
        <v>3715</v>
      </c>
      <c r="E36" s="173" t="s">
        <v>3734</v>
      </c>
      <c r="F36" s="20"/>
      <c r="G36" s="175"/>
      <c r="H36" s="20"/>
      <c r="I36" s="20"/>
      <c r="J36" s="20"/>
      <c r="K36" s="20"/>
      <c r="L36" s="20"/>
      <c r="M36" s="20"/>
      <c r="N36" s="20"/>
      <c r="O36" s="20"/>
      <c r="P36" s="20"/>
      <c r="Q36" s="20"/>
      <c r="R36" s="20"/>
      <c r="S36" s="20"/>
      <c r="T36" s="20"/>
      <c r="U36" s="20"/>
      <c r="V36" s="20"/>
      <c r="W36" s="20"/>
    </row>
    <row r="37" spans="1:23" x14ac:dyDescent="0.25">
      <c r="A37" s="171" t="s">
        <v>3735</v>
      </c>
      <c r="B37" s="171" t="s">
        <v>304</v>
      </c>
      <c r="C37" s="172" t="s">
        <v>3736</v>
      </c>
      <c r="D37" s="173" t="s">
        <v>3715</v>
      </c>
      <c r="E37" s="173" t="s">
        <v>3737</v>
      </c>
      <c r="F37" s="20"/>
      <c r="G37" s="174">
        <v>50</v>
      </c>
      <c r="H37" s="20"/>
      <c r="I37" s="20"/>
      <c r="J37" s="20"/>
      <c r="K37" s="20"/>
      <c r="L37" s="20"/>
      <c r="M37" s="20"/>
      <c r="N37" s="20"/>
      <c r="O37" s="20"/>
      <c r="P37" s="20"/>
      <c r="Q37" s="20"/>
      <c r="R37" s="20"/>
      <c r="S37" s="20"/>
      <c r="T37" s="20"/>
      <c r="U37" s="20"/>
      <c r="V37" s="20"/>
      <c r="W37" s="20"/>
    </row>
    <row r="38" spans="1:23" x14ac:dyDescent="0.25">
      <c r="A38" s="171" t="s">
        <v>3738</v>
      </c>
      <c r="B38" s="171" t="s">
        <v>306</v>
      </c>
      <c r="C38" s="172" t="s">
        <v>3739</v>
      </c>
      <c r="D38" s="173" t="s">
        <v>3715</v>
      </c>
      <c r="E38" s="173" t="s">
        <v>3740</v>
      </c>
      <c r="F38" s="20"/>
      <c r="G38" s="174">
        <v>50</v>
      </c>
      <c r="H38" s="20"/>
      <c r="I38" s="20"/>
      <c r="J38" s="20"/>
      <c r="K38" s="20"/>
      <c r="L38" s="20"/>
      <c r="M38" s="20"/>
      <c r="N38" s="20"/>
      <c r="O38" s="20"/>
      <c r="P38" s="20"/>
      <c r="Q38" s="20"/>
      <c r="R38" s="20"/>
      <c r="S38" s="20"/>
      <c r="T38" s="20"/>
      <c r="U38" s="20"/>
      <c r="V38" s="20"/>
      <c r="W38" s="20"/>
    </row>
    <row r="39" spans="1:23" x14ac:dyDescent="0.25">
      <c r="A39" s="171" t="s">
        <v>3741</v>
      </c>
      <c r="B39" s="171" t="s">
        <v>311</v>
      </c>
      <c r="C39" s="172" t="s">
        <v>3742</v>
      </c>
      <c r="D39" s="173" t="s">
        <v>3715</v>
      </c>
      <c r="E39" s="173" t="s">
        <v>3743</v>
      </c>
      <c r="F39" s="20"/>
      <c r="G39" s="174">
        <v>50</v>
      </c>
      <c r="H39" s="20"/>
      <c r="I39" s="20"/>
      <c r="J39" s="20"/>
      <c r="K39" s="20"/>
      <c r="L39" s="20"/>
      <c r="M39" s="20"/>
      <c r="N39" s="20"/>
      <c r="O39" s="20"/>
      <c r="P39" s="20"/>
      <c r="Q39" s="20"/>
      <c r="R39" s="20"/>
      <c r="S39" s="20"/>
      <c r="T39" s="20"/>
      <c r="U39" s="20"/>
      <c r="V39" s="20"/>
      <c r="W39" s="20"/>
    </row>
    <row r="40" spans="1:23" x14ac:dyDescent="0.25">
      <c r="A40" s="171" t="s">
        <v>3744</v>
      </c>
      <c r="B40" s="171" t="s">
        <v>312</v>
      </c>
      <c r="C40" s="172" t="s">
        <v>3745</v>
      </c>
      <c r="D40" s="173" t="s">
        <v>3715</v>
      </c>
      <c r="E40" s="173" t="s">
        <v>3746</v>
      </c>
      <c r="F40" s="20"/>
      <c r="G40" s="174">
        <v>50</v>
      </c>
      <c r="H40" s="20"/>
      <c r="I40" s="20"/>
      <c r="J40" s="20"/>
      <c r="K40" s="20"/>
      <c r="L40" s="20"/>
      <c r="M40" s="20"/>
      <c r="N40" s="20"/>
      <c r="O40" s="20"/>
      <c r="P40" s="20"/>
      <c r="Q40" s="20"/>
      <c r="R40" s="20"/>
      <c r="S40" s="20"/>
      <c r="T40" s="20"/>
      <c r="U40" s="20"/>
      <c r="V40" s="20"/>
      <c r="W40" s="20"/>
    </row>
    <row r="41" spans="1:23" x14ac:dyDescent="0.25">
      <c r="A41" s="171" t="s">
        <v>3747</v>
      </c>
      <c r="B41" s="171" t="s">
        <v>302</v>
      </c>
      <c r="C41" s="172" t="s">
        <v>3748</v>
      </c>
      <c r="D41" s="173" t="s">
        <v>3715</v>
      </c>
      <c r="E41" s="173" t="s">
        <v>3749</v>
      </c>
      <c r="F41" s="20"/>
      <c r="G41" s="174">
        <v>20</v>
      </c>
      <c r="H41" s="20"/>
      <c r="I41" s="20"/>
      <c r="J41" s="20"/>
      <c r="K41" s="20"/>
      <c r="L41" s="20"/>
      <c r="M41" s="20"/>
      <c r="N41" s="20"/>
      <c r="O41" s="20"/>
      <c r="P41" s="20"/>
      <c r="Q41" s="20"/>
      <c r="R41" s="20"/>
      <c r="S41" s="20"/>
      <c r="T41" s="20"/>
      <c r="U41" s="20"/>
      <c r="V41" s="20"/>
      <c r="W41" s="20"/>
    </row>
    <row r="42" spans="1:23" x14ac:dyDescent="0.25">
      <c r="A42" s="171" t="s">
        <v>3750</v>
      </c>
      <c r="B42" s="171" t="s">
        <v>1473</v>
      </c>
      <c r="C42" s="172" t="s">
        <v>3751</v>
      </c>
      <c r="D42" s="173" t="s">
        <v>3715</v>
      </c>
      <c r="E42" s="173" t="s">
        <v>3752</v>
      </c>
      <c r="F42" s="20"/>
      <c r="G42" s="175"/>
      <c r="H42" s="20"/>
      <c r="I42" s="20"/>
      <c r="J42" s="20"/>
      <c r="K42" s="20"/>
      <c r="L42" s="20"/>
      <c r="M42" s="20"/>
      <c r="N42" s="20"/>
      <c r="O42" s="20"/>
      <c r="P42" s="20"/>
      <c r="Q42" s="20"/>
      <c r="R42" s="20"/>
      <c r="S42" s="20"/>
      <c r="T42" s="20"/>
      <c r="U42" s="20"/>
      <c r="V42" s="20"/>
      <c r="W42" s="20"/>
    </row>
    <row r="43" spans="1:23" x14ac:dyDescent="0.25">
      <c r="A43" s="171" t="s">
        <v>3753</v>
      </c>
      <c r="B43" s="171" t="s">
        <v>1479</v>
      </c>
      <c r="C43" s="172" t="s">
        <v>3754</v>
      </c>
      <c r="D43" s="173" t="s">
        <v>3715</v>
      </c>
      <c r="E43" s="173" t="s">
        <v>3755</v>
      </c>
      <c r="F43" s="20"/>
      <c r="G43" s="175"/>
      <c r="H43" s="20"/>
      <c r="I43" s="20"/>
      <c r="J43" s="20"/>
      <c r="K43" s="20"/>
      <c r="L43" s="20"/>
      <c r="M43" s="20"/>
      <c r="N43" s="20"/>
      <c r="O43" s="20"/>
      <c r="P43" s="20"/>
      <c r="Q43" s="20"/>
      <c r="R43" s="20"/>
      <c r="S43" s="20"/>
      <c r="T43" s="20"/>
      <c r="U43" s="20"/>
      <c r="V43" s="20"/>
      <c r="W43" s="20"/>
    </row>
    <row r="44" spans="1:23" x14ac:dyDescent="0.25">
      <c r="A44" s="171" t="s">
        <v>3756</v>
      </c>
      <c r="B44" s="171" t="s">
        <v>3757</v>
      </c>
      <c r="C44" s="173" t="s">
        <v>3658</v>
      </c>
      <c r="D44" s="173" t="s">
        <v>3715</v>
      </c>
      <c r="E44" s="173" t="s">
        <v>3658</v>
      </c>
      <c r="F44" s="20"/>
      <c r="G44" s="175"/>
      <c r="H44" s="20"/>
      <c r="I44" s="20"/>
      <c r="J44" s="20"/>
      <c r="K44" s="20"/>
      <c r="L44" s="20"/>
      <c r="M44" s="20"/>
      <c r="N44" s="20"/>
      <c r="O44" s="20"/>
      <c r="P44" s="20"/>
      <c r="Q44" s="20"/>
      <c r="R44" s="20"/>
      <c r="S44" s="20"/>
      <c r="T44" s="20"/>
      <c r="U44" s="20"/>
      <c r="V44" s="20"/>
      <c r="W44" s="20"/>
    </row>
    <row r="45" spans="1:23" x14ac:dyDescent="0.25">
      <c r="A45" s="171" t="s">
        <v>3758</v>
      </c>
      <c r="B45" s="171" t="s">
        <v>3759</v>
      </c>
      <c r="C45" s="173" t="s">
        <v>3760</v>
      </c>
      <c r="D45" s="173" t="s">
        <v>3715</v>
      </c>
      <c r="E45" s="173" t="s">
        <v>3761</v>
      </c>
      <c r="F45" s="20"/>
      <c r="G45" s="175"/>
      <c r="H45" s="20"/>
      <c r="I45" s="20"/>
      <c r="J45" s="20"/>
      <c r="K45" s="20"/>
      <c r="L45" s="20"/>
      <c r="M45" s="20"/>
      <c r="N45" s="20"/>
      <c r="O45" s="20"/>
      <c r="P45" s="20"/>
      <c r="Q45" s="20"/>
      <c r="R45" s="20"/>
      <c r="S45" s="20"/>
      <c r="T45" s="20"/>
      <c r="U45" s="20"/>
      <c r="V45" s="20"/>
      <c r="W45" s="20"/>
    </row>
    <row r="46" spans="1:23" x14ac:dyDescent="0.25">
      <c r="A46" s="171" t="s">
        <v>3762</v>
      </c>
      <c r="B46" s="171" t="s">
        <v>3763</v>
      </c>
      <c r="C46" s="173" t="s">
        <v>3764</v>
      </c>
      <c r="D46" s="173" t="s">
        <v>3715</v>
      </c>
      <c r="E46" s="173" t="s">
        <v>3765</v>
      </c>
      <c r="F46" s="20"/>
      <c r="G46" s="175"/>
      <c r="H46" s="20"/>
      <c r="I46" s="20"/>
      <c r="J46" s="20"/>
      <c r="K46" s="20"/>
      <c r="L46" s="20"/>
      <c r="M46" s="20"/>
      <c r="N46" s="20"/>
      <c r="O46" s="20"/>
      <c r="P46" s="20"/>
      <c r="Q46" s="20"/>
      <c r="R46" s="20"/>
      <c r="S46" s="20"/>
      <c r="T46" s="20"/>
      <c r="U46" s="20"/>
      <c r="V46" s="20"/>
      <c r="W46" s="20"/>
    </row>
    <row r="47" spans="1:23" x14ac:dyDescent="0.25">
      <c r="A47" s="171" t="s">
        <v>3766</v>
      </c>
      <c r="B47" s="171" t="s">
        <v>24</v>
      </c>
      <c r="C47" s="172" t="s">
        <v>3767</v>
      </c>
      <c r="D47" s="173" t="s">
        <v>3715</v>
      </c>
      <c r="E47" s="173" t="s">
        <v>3768</v>
      </c>
      <c r="F47" s="20"/>
      <c r="G47" s="174">
        <v>50</v>
      </c>
      <c r="H47" s="20"/>
      <c r="I47" s="20"/>
      <c r="J47" s="20"/>
      <c r="K47" s="20"/>
      <c r="L47" s="20"/>
      <c r="M47" s="20"/>
      <c r="N47" s="20"/>
      <c r="O47" s="20"/>
      <c r="P47" s="20"/>
      <c r="Q47" s="20"/>
      <c r="R47" s="20"/>
      <c r="S47" s="20"/>
      <c r="T47" s="20"/>
      <c r="U47" s="20"/>
      <c r="V47" s="20"/>
      <c r="W47" s="20"/>
    </row>
    <row r="48" spans="1:23" x14ac:dyDescent="0.25">
      <c r="A48" s="171" t="s">
        <v>3769</v>
      </c>
      <c r="B48" s="171" t="s">
        <v>3770</v>
      </c>
      <c r="C48" s="173" t="s">
        <v>3771</v>
      </c>
      <c r="D48" s="173" t="s">
        <v>3633</v>
      </c>
      <c r="E48" s="173" t="s">
        <v>3772</v>
      </c>
      <c r="F48" s="20"/>
      <c r="G48" s="175"/>
      <c r="H48" s="20"/>
      <c r="I48" s="20"/>
      <c r="J48" s="20"/>
      <c r="K48" s="20"/>
      <c r="L48" s="20"/>
      <c r="M48" s="20"/>
      <c r="N48" s="20"/>
      <c r="O48" s="20"/>
      <c r="P48" s="20"/>
      <c r="Q48" s="20"/>
      <c r="R48" s="20"/>
      <c r="S48" s="20"/>
      <c r="T48" s="20"/>
      <c r="U48" s="20"/>
      <c r="V48" s="20"/>
      <c r="W48" s="20"/>
    </row>
    <row r="49" spans="1:23" x14ac:dyDescent="0.25">
      <c r="A49" s="171" t="s">
        <v>3773</v>
      </c>
      <c r="B49" s="171" t="s">
        <v>3774</v>
      </c>
      <c r="C49" s="173" t="s">
        <v>3775</v>
      </c>
      <c r="D49" s="173" t="s">
        <v>3633</v>
      </c>
      <c r="E49" s="173" t="s">
        <v>3776</v>
      </c>
      <c r="F49" s="20"/>
      <c r="G49" s="175"/>
      <c r="H49" s="20"/>
      <c r="I49" s="20"/>
      <c r="J49" s="20"/>
      <c r="K49" s="20"/>
      <c r="L49" s="20"/>
      <c r="M49" s="20"/>
      <c r="N49" s="20"/>
      <c r="O49" s="20"/>
      <c r="P49" s="20"/>
      <c r="Q49" s="20"/>
      <c r="R49" s="20"/>
      <c r="S49" s="20"/>
      <c r="T49" s="20"/>
      <c r="U49" s="20"/>
      <c r="V49" s="20"/>
      <c r="W49" s="20"/>
    </row>
    <row r="50" spans="1:23" x14ac:dyDescent="0.25">
      <c r="A50" s="171" t="s">
        <v>3777</v>
      </c>
      <c r="B50" s="171" t="s">
        <v>3778</v>
      </c>
      <c r="C50" s="173" t="s">
        <v>3779</v>
      </c>
      <c r="D50" s="173" t="s">
        <v>3633</v>
      </c>
      <c r="E50" s="173" t="s">
        <v>3780</v>
      </c>
      <c r="F50" s="20"/>
      <c r="G50" s="175"/>
      <c r="H50" s="20"/>
      <c r="I50" s="20"/>
      <c r="J50" s="20"/>
      <c r="K50" s="20"/>
      <c r="L50" s="20"/>
      <c r="M50" s="20"/>
      <c r="N50" s="20"/>
      <c r="O50" s="20"/>
      <c r="P50" s="20"/>
      <c r="Q50" s="20"/>
      <c r="R50" s="20"/>
      <c r="S50" s="20"/>
      <c r="T50" s="20"/>
      <c r="U50" s="20"/>
      <c r="V50" s="20"/>
      <c r="W50" s="20"/>
    </row>
    <row r="51" spans="1:23" x14ac:dyDescent="0.25">
      <c r="A51" s="171" t="s">
        <v>3781</v>
      </c>
      <c r="B51" s="171" t="s">
        <v>3782</v>
      </c>
      <c r="C51" s="173" t="s">
        <v>3783</v>
      </c>
      <c r="D51" s="173" t="s">
        <v>3633</v>
      </c>
      <c r="E51" s="173" t="s">
        <v>3784</v>
      </c>
      <c r="F51" s="20"/>
      <c r="G51" s="175"/>
      <c r="H51" s="20"/>
      <c r="I51" s="20"/>
      <c r="J51" s="20"/>
      <c r="K51" s="20"/>
      <c r="L51" s="20"/>
      <c r="M51" s="20"/>
      <c r="N51" s="20"/>
      <c r="O51" s="20"/>
      <c r="P51" s="20"/>
      <c r="Q51" s="20"/>
      <c r="R51" s="20"/>
      <c r="S51" s="20"/>
      <c r="T51" s="20"/>
      <c r="U51" s="20"/>
      <c r="V51" s="20"/>
      <c r="W51" s="20"/>
    </row>
    <row r="52" spans="1:23" x14ac:dyDescent="0.25">
      <c r="A52" s="171" t="s">
        <v>3785</v>
      </c>
      <c r="B52" s="171" t="s">
        <v>3786</v>
      </c>
      <c r="C52" s="173" t="s">
        <v>3787</v>
      </c>
      <c r="D52" s="173" t="s">
        <v>3633</v>
      </c>
      <c r="E52" s="173" t="s">
        <v>3788</v>
      </c>
      <c r="F52" s="20"/>
      <c r="G52" s="175"/>
      <c r="H52" s="20"/>
      <c r="I52" s="20"/>
      <c r="J52" s="20"/>
      <c r="K52" s="20"/>
      <c r="L52" s="20"/>
      <c r="M52" s="20"/>
      <c r="N52" s="20"/>
      <c r="O52" s="20"/>
      <c r="P52" s="20"/>
      <c r="Q52" s="20"/>
      <c r="R52" s="20"/>
      <c r="S52" s="20"/>
      <c r="T52" s="20"/>
      <c r="U52" s="20"/>
      <c r="V52" s="20"/>
      <c r="W52" s="20"/>
    </row>
    <row r="53" spans="1:23" x14ac:dyDescent="0.25">
      <c r="A53" s="171" t="s">
        <v>3789</v>
      </c>
      <c r="B53" s="171" t="s">
        <v>3790</v>
      </c>
      <c r="C53" s="173" t="s">
        <v>3791</v>
      </c>
      <c r="D53" s="173" t="s">
        <v>3633</v>
      </c>
      <c r="E53" s="173" t="s">
        <v>3792</v>
      </c>
      <c r="F53" s="20"/>
      <c r="G53" s="175"/>
      <c r="H53" s="20"/>
      <c r="I53" s="20"/>
      <c r="J53" s="20"/>
      <c r="K53" s="20"/>
      <c r="L53" s="20"/>
      <c r="M53" s="20"/>
      <c r="N53" s="20"/>
      <c r="O53" s="20"/>
      <c r="P53" s="20"/>
      <c r="Q53" s="20"/>
      <c r="R53" s="20"/>
      <c r="S53" s="20"/>
      <c r="T53" s="20"/>
      <c r="U53" s="20"/>
      <c r="V53" s="20"/>
      <c r="W53" s="20"/>
    </row>
    <row r="54" spans="1:23" x14ac:dyDescent="0.25">
      <c r="A54" s="171" t="s">
        <v>3793</v>
      </c>
      <c r="B54" s="171" t="s">
        <v>194</v>
      </c>
      <c r="C54" s="173" t="s">
        <v>3794</v>
      </c>
      <c r="D54" s="173" t="s">
        <v>3633</v>
      </c>
      <c r="E54" s="173" t="s">
        <v>3795</v>
      </c>
      <c r="F54" s="20"/>
      <c r="G54" s="175"/>
      <c r="H54" s="20"/>
      <c r="I54" s="20"/>
      <c r="J54" s="20"/>
      <c r="K54" s="20"/>
      <c r="L54" s="20"/>
      <c r="M54" s="20"/>
      <c r="N54" s="20"/>
      <c r="O54" s="20"/>
      <c r="P54" s="20"/>
      <c r="Q54" s="20"/>
      <c r="R54" s="20"/>
      <c r="S54" s="20"/>
      <c r="T54" s="20"/>
      <c r="U54" s="20"/>
      <c r="V54" s="20"/>
      <c r="W54" s="20"/>
    </row>
    <row r="55" spans="1:23" x14ac:dyDescent="0.25">
      <c r="A55" s="171" t="s">
        <v>3796</v>
      </c>
      <c r="B55" s="171" t="s">
        <v>200</v>
      </c>
      <c r="C55" s="173" t="s">
        <v>3797</v>
      </c>
      <c r="D55" s="173" t="s">
        <v>3633</v>
      </c>
      <c r="E55" s="173" t="s">
        <v>3798</v>
      </c>
      <c r="F55" s="20"/>
      <c r="G55" s="175"/>
      <c r="H55" s="20"/>
      <c r="I55" s="20"/>
      <c r="J55" s="20"/>
      <c r="K55" s="20"/>
      <c r="L55" s="20"/>
      <c r="M55" s="20"/>
      <c r="N55" s="20"/>
      <c r="O55" s="20"/>
      <c r="P55" s="20"/>
      <c r="Q55" s="20"/>
      <c r="R55" s="20"/>
      <c r="S55" s="20"/>
      <c r="T55" s="20"/>
      <c r="U55" s="20"/>
      <c r="V55" s="20"/>
      <c r="W55" s="20"/>
    </row>
    <row r="56" spans="1:23" x14ac:dyDescent="0.25">
      <c r="A56" s="171" t="s">
        <v>3799</v>
      </c>
      <c r="B56" s="171" t="s">
        <v>3800</v>
      </c>
      <c r="C56" s="173" t="s">
        <v>3658</v>
      </c>
      <c r="D56" s="173" t="s">
        <v>3633</v>
      </c>
      <c r="E56" s="173" t="s">
        <v>3658</v>
      </c>
      <c r="F56" s="20"/>
      <c r="G56" s="175"/>
      <c r="H56" s="20"/>
      <c r="I56" s="20"/>
      <c r="J56" s="20"/>
      <c r="K56" s="20"/>
      <c r="L56" s="20"/>
      <c r="M56" s="20"/>
      <c r="N56" s="20"/>
      <c r="O56" s="20"/>
      <c r="P56" s="20"/>
      <c r="Q56" s="20"/>
      <c r="R56" s="20"/>
      <c r="S56" s="20"/>
      <c r="T56" s="20"/>
      <c r="U56" s="20"/>
      <c r="V56" s="20"/>
      <c r="W56" s="20"/>
    </row>
    <row r="57" spans="1:23" x14ac:dyDescent="0.25">
      <c r="A57" s="171" t="s">
        <v>3801</v>
      </c>
      <c r="B57" s="171" t="s">
        <v>3802</v>
      </c>
      <c r="C57" s="173" t="s">
        <v>3658</v>
      </c>
      <c r="D57" s="173" t="s">
        <v>3633</v>
      </c>
      <c r="E57" s="173" t="s">
        <v>3658</v>
      </c>
      <c r="F57" s="20"/>
      <c r="G57" s="175"/>
      <c r="H57" s="20"/>
      <c r="I57" s="20"/>
      <c r="J57" s="20"/>
      <c r="K57" s="20"/>
      <c r="L57" s="20"/>
      <c r="M57" s="20"/>
      <c r="N57" s="20"/>
      <c r="O57" s="20"/>
      <c r="P57" s="20"/>
      <c r="Q57" s="20"/>
      <c r="R57" s="20"/>
      <c r="S57" s="20"/>
      <c r="T57" s="20"/>
      <c r="U57" s="20"/>
      <c r="V57" s="20"/>
      <c r="W57" s="20"/>
    </row>
    <row r="58" spans="1:23" x14ac:dyDescent="0.25">
      <c r="A58" s="171" t="s">
        <v>3803</v>
      </c>
      <c r="B58" s="171" t="s">
        <v>1463</v>
      </c>
      <c r="C58" s="173" t="s">
        <v>3804</v>
      </c>
      <c r="D58" s="173" t="s">
        <v>3633</v>
      </c>
      <c r="E58" s="173" t="s">
        <v>3805</v>
      </c>
      <c r="F58" s="20"/>
      <c r="G58" s="175"/>
      <c r="H58" s="20"/>
      <c r="I58" s="20"/>
      <c r="J58" s="20"/>
      <c r="K58" s="20"/>
      <c r="L58" s="20"/>
      <c r="M58" s="20"/>
      <c r="N58" s="20"/>
      <c r="O58" s="20"/>
      <c r="P58" s="20"/>
      <c r="Q58" s="20"/>
      <c r="R58" s="20"/>
      <c r="S58" s="20"/>
      <c r="T58" s="20"/>
      <c r="U58" s="20"/>
      <c r="V58" s="20"/>
      <c r="W58" s="20"/>
    </row>
    <row r="59" spans="1:23" x14ac:dyDescent="0.25">
      <c r="A59" s="171" t="s">
        <v>3806</v>
      </c>
      <c r="B59" s="171" t="s">
        <v>3807</v>
      </c>
      <c r="C59" s="173" t="s">
        <v>3808</v>
      </c>
      <c r="D59" s="173" t="s">
        <v>3633</v>
      </c>
      <c r="E59" s="173" t="s">
        <v>3809</v>
      </c>
      <c r="F59" s="20"/>
      <c r="G59" s="175"/>
      <c r="H59" s="20"/>
      <c r="I59" s="20"/>
      <c r="J59" s="20"/>
      <c r="K59" s="20"/>
      <c r="L59" s="20"/>
      <c r="M59" s="20"/>
      <c r="N59" s="20"/>
      <c r="O59" s="20"/>
      <c r="P59" s="20"/>
      <c r="Q59" s="20"/>
      <c r="R59" s="20"/>
      <c r="S59" s="20"/>
      <c r="T59" s="20"/>
      <c r="U59" s="20"/>
      <c r="V59" s="20"/>
      <c r="W59" s="20"/>
    </row>
    <row r="60" spans="1:23" x14ac:dyDescent="0.25">
      <c r="A60" s="171" t="s">
        <v>3810</v>
      </c>
      <c r="B60" s="171" t="s">
        <v>292</v>
      </c>
      <c r="C60" s="173" t="s">
        <v>3811</v>
      </c>
      <c r="D60" s="173" t="s">
        <v>3633</v>
      </c>
      <c r="E60" s="173" t="s">
        <v>3812</v>
      </c>
      <c r="F60" s="20"/>
      <c r="G60" s="175"/>
      <c r="H60" s="20"/>
      <c r="I60" s="20"/>
      <c r="J60" s="20"/>
      <c r="K60" s="20"/>
      <c r="L60" s="20"/>
      <c r="M60" s="20"/>
      <c r="N60" s="20"/>
      <c r="O60" s="20"/>
      <c r="P60" s="20"/>
      <c r="Q60" s="20"/>
      <c r="R60" s="20"/>
      <c r="S60" s="20"/>
      <c r="T60" s="20"/>
      <c r="U60" s="20"/>
      <c r="V60" s="20"/>
      <c r="W60" s="20"/>
    </row>
    <row r="61" spans="1:23" x14ac:dyDescent="0.25">
      <c r="A61" s="171" t="s">
        <v>3813</v>
      </c>
      <c r="B61" s="171" t="s">
        <v>3814</v>
      </c>
      <c r="C61" s="173" t="s">
        <v>3815</v>
      </c>
      <c r="D61" s="173" t="s">
        <v>3633</v>
      </c>
      <c r="E61" s="173" t="s">
        <v>3816</v>
      </c>
      <c r="F61" s="20"/>
      <c r="G61" s="175"/>
      <c r="H61" s="20"/>
      <c r="I61" s="20"/>
      <c r="J61" s="20"/>
      <c r="K61" s="20"/>
      <c r="L61" s="20"/>
      <c r="M61" s="20"/>
      <c r="N61" s="20"/>
      <c r="O61" s="20"/>
      <c r="P61" s="20"/>
      <c r="Q61" s="20"/>
      <c r="R61" s="20"/>
      <c r="S61" s="20"/>
      <c r="T61" s="20"/>
      <c r="U61" s="20"/>
      <c r="V61" s="20"/>
      <c r="W61" s="20"/>
    </row>
    <row r="62" spans="1:23" x14ac:dyDescent="0.25">
      <c r="A62" s="171" t="s">
        <v>3817</v>
      </c>
      <c r="B62" s="171" t="s">
        <v>2006</v>
      </c>
      <c r="C62" s="173" t="s">
        <v>3818</v>
      </c>
      <c r="D62" s="173" t="s">
        <v>3633</v>
      </c>
      <c r="E62" s="173" t="s">
        <v>3819</v>
      </c>
      <c r="F62" s="20"/>
      <c r="G62" s="175"/>
      <c r="H62" s="20"/>
      <c r="I62" s="20"/>
      <c r="J62" s="20"/>
      <c r="K62" s="20"/>
      <c r="L62" s="20"/>
      <c r="M62" s="20"/>
      <c r="N62" s="20"/>
      <c r="O62" s="20"/>
      <c r="P62" s="20"/>
      <c r="Q62" s="20"/>
      <c r="R62" s="20"/>
      <c r="S62" s="20"/>
      <c r="T62" s="20"/>
      <c r="U62" s="20"/>
      <c r="V62" s="20"/>
      <c r="W62" s="20"/>
    </row>
    <row r="63" spans="1:23" x14ac:dyDescent="0.25">
      <c r="A63" s="171" t="s">
        <v>3820</v>
      </c>
      <c r="B63" s="171" t="s">
        <v>26</v>
      </c>
      <c r="C63" s="173" t="s">
        <v>3821</v>
      </c>
      <c r="D63" s="173" t="s">
        <v>3715</v>
      </c>
      <c r="E63" s="173" t="s">
        <v>3822</v>
      </c>
      <c r="F63" s="20"/>
      <c r="G63" s="174">
        <v>20</v>
      </c>
      <c r="H63" s="20"/>
      <c r="I63" s="20"/>
      <c r="J63" s="20"/>
      <c r="K63" s="20"/>
      <c r="L63" s="20"/>
      <c r="M63" s="20"/>
      <c r="N63" s="20"/>
      <c r="O63" s="20"/>
      <c r="P63" s="20"/>
      <c r="Q63" s="20"/>
      <c r="R63" s="20"/>
      <c r="S63" s="20"/>
      <c r="T63" s="20"/>
      <c r="U63" s="20"/>
      <c r="V63" s="20"/>
      <c r="W63" s="20"/>
    </row>
    <row r="64" spans="1:23" x14ac:dyDescent="0.25">
      <c r="A64" s="171" t="s">
        <v>3823</v>
      </c>
      <c r="B64" s="171" t="s">
        <v>1372</v>
      </c>
      <c r="C64" s="172" t="s">
        <v>3824</v>
      </c>
      <c r="D64" s="173" t="s">
        <v>3715</v>
      </c>
      <c r="E64" s="173" t="s">
        <v>3825</v>
      </c>
      <c r="F64" s="20"/>
      <c r="G64" s="175"/>
      <c r="H64" s="20"/>
      <c r="I64" s="20"/>
      <c r="J64" s="20"/>
      <c r="K64" s="20"/>
      <c r="L64" s="20"/>
      <c r="M64" s="20"/>
      <c r="N64" s="20"/>
      <c r="O64" s="20"/>
      <c r="P64" s="20"/>
      <c r="Q64" s="20"/>
      <c r="R64" s="20"/>
      <c r="S64" s="20"/>
      <c r="T64" s="20"/>
      <c r="U64" s="20"/>
      <c r="V64" s="20"/>
      <c r="W64" s="20"/>
    </row>
    <row r="65" spans="1:23" x14ac:dyDescent="0.25">
      <c r="A65" s="171" t="s">
        <v>3826</v>
      </c>
      <c r="B65" s="171" t="s">
        <v>3827</v>
      </c>
      <c r="C65" s="173" t="s">
        <v>3828</v>
      </c>
      <c r="D65" s="173" t="s">
        <v>3715</v>
      </c>
      <c r="E65" s="173" t="s">
        <v>3829</v>
      </c>
      <c r="F65" s="20"/>
      <c r="G65" s="175"/>
      <c r="H65" s="20"/>
      <c r="I65" s="20"/>
      <c r="J65" s="20"/>
      <c r="K65" s="20"/>
      <c r="L65" s="20"/>
      <c r="M65" s="20"/>
      <c r="N65" s="20"/>
      <c r="O65" s="20"/>
      <c r="P65" s="20"/>
      <c r="Q65" s="20"/>
      <c r="R65" s="20"/>
      <c r="S65" s="20"/>
      <c r="T65" s="20"/>
      <c r="U65" s="20"/>
      <c r="V65" s="20"/>
      <c r="W65" s="20"/>
    </row>
    <row r="66" spans="1:23" x14ac:dyDescent="0.25">
      <c r="A66" s="171" t="s">
        <v>3830</v>
      </c>
      <c r="B66" s="171" t="s">
        <v>3831</v>
      </c>
      <c r="C66" s="173" t="s">
        <v>3832</v>
      </c>
      <c r="D66" s="173" t="s">
        <v>3715</v>
      </c>
      <c r="E66" s="173" t="s">
        <v>3833</v>
      </c>
      <c r="F66" s="20"/>
      <c r="G66" s="175"/>
      <c r="H66" s="20"/>
      <c r="I66" s="20"/>
      <c r="J66" s="20"/>
      <c r="K66" s="20"/>
      <c r="L66" s="20"/>
      <c r="M66" s="20"/>
      <c r="N66" s="20"/>
      <c r="O66" s="20"/>
      <c r="P66" s="20"/>
      <c r="Q66" s="20"/>
      <c r="R66" s="20"/>
      <c r="S66" s="20"/>
      <c r="T66" s="20"/>
      <c r="U66" s="20"/>
      <c r="V66" s="20"/>
      <c r="W66" s="20"/>
    </row>
    <row r="67" spans="1:23" x14ac:dyDescent="0.25">
      <c r="A67" s="171" t="s">
        <v>3834</v>
      </c>
      <c r="B67" s="171" t="s">
        <v>303</v>
      </c>
      <c r="C67" s="172" t="s">
        <v>3835</v>
      </c>
      <c r="D67" s="173" t="s">
        <v>3715</v>
      </c>
      <c r="E67" s="173" t="s">
        <v>3836</v>
      </c>
      <c r="F67" s="20"/>
      <c r="G67" s="174">
        <v>50</v>
      </c>
      <c r="H67" s="20"/>
      <c r="I67" s="20"/>
      <c r="J67" s="20"/>
      <c r="K67" s="20"/>
      <c r="L67" s="20"/>
      <c r="M67" s="20"/>
      <c r="N67" s="20"/>
      <c r="O67" s="20"/>
      <c r="P67" s="20"/>
      <c r="Q67" s="20"/>
      <c r="R67" s="20"/>
      <c r="S67" s="20"/>
      <c r="T67" s="20"/>
      <c r="U67" s="20"/>
      <c r="V67" s="20"/>
      <c r="W67" s="20"/>
    </row>
    <row r="68" spans="1:23" x14ac:dyDescent="0.25">
      <c r="A68" s="171" t="s">
        <v>3837</v>
      </c>
      <c r="B68" s="171" t="s">
        <v>1217</v>
      </c>
      <c r="C68" s="172" t="s">
        <v>3838</v>
      </c>
      <c r="D68" s="173" t="s">
        <v>3715</v>
      </c>
      <c r="E68" s="173" t="s">
        <v>3839</v>
      </c>
      <c r="F68" s="20"/>
      <c r="G68" s="175"/>
      <c r="H68" s="20"/>
      <c r="I68" s="20"/>
      <c r="J68" s="20"/>
      <c r="K68" s="20"/>
      <c r="L68" s="20"/>
      <c r="M68" s="20"/>
      <c r="N68" s="20"/>
      <c r="O68" s="20"/>
      <c r="P68" s="20"/>
      <c r="Q68" s="20"/>
      <c r="R68" s="20"/>
      <c r="S68" s="20"/>
      <c r="T68" s="20"/>
      <c r="U68" s="20"/>
      <c r="V68" s="20"/>
      <c r="W68" s="20"/>
    </row>
    <row r="69" spans="1:23" x14ac:dyDescent="0.25">
      <c r="A69" s="171" t="s">
        <v>3840</v>
      </c>
      <c r="B69" s="171" t="s">
        <v>3841</v>
      </c>
      <c r="C69" s="173" t="s">
        <v>3842</v>
      </c>
      <c r="D69" s="173" t="s">
        <v>3715</v>
      </c>
      <c r="E69" s="173" t="s">
        <v>3843</v>
      </c>
      <c r="F69" s="20"/>
      <c r="G69" s="175"/>
      <c r="H69" s="20"/>
      <c r="I69" s="20"/>
      <c r="J69" s="20"/>
      <c r="K69" s="20"/>
      <c r="L69" s="20"/>
      <c r="M69" s="20"/>
      <c r="N69" s="20"/>
      <c r="O69" s="20"/>
      <c r="P69" s="20"/>
      <c r="Q69" s="20"/>
      <c r="R69" s="20"/>
      <c r="S69" s="20"/>
      <c r="T69" s="20"/>
      <c r="U69" s="20"/>
      <c r="V69" s="20"/>
      <c r="W69" s="20"/>
    </row>
    <row r="70" spans="1:23" x14ac:dyDescent="0.25">
      <c r="A70" s="171" t="s">
        <v>3844</v>
      </c>
      <c r="B70" s="171" t="s">
        <v>3845</v>
      </c>
      <c r="C70" s="173" t="s">
        <v>3846</v>
      </c>
      <c r="D70" s="173" t="s">
        <v>3715</v>
      </c>
      <c r="E70" s="173" t="s">
        <v>3847</v>
      </c>
      <c r="F70" s="20"/>
      <c r="G70" s="175"/>
      <c r="H70" s="20"/>
      <c r="I70" s="20"/>
      <c r="J70" s="20"/>
      <c r="K70" s="20"/>
      <c r="L70" s="20"/>
      <c r="M70" s="20"/>
      <c r="N70" s="20"/>
      <c r="O70" s="20"/>
      <c r="P70" s="20"/>
      <c r="Q70" s="20"/>
      <c r="R70" s="20"/>
      <c r="S70" s="20"/>
      <c r="T70" s="20"/>
      <c r="U70" s="20"/>
      <c r="V70" s="20"/>
      <c r="W70" s="20"/>
    </row>
    <row r="71" spans="1:23" x14ac:dyDescent="0.25">
      <c r="A71" s="171" t="s">
        <v>3848</v>
      </c>
      <c r="B71" s="171" t="s">
        <v>3849</v>
      </c>
      <c r="C71" s="173" t="s">
        <v>3850</v>
      </c>
      <c r="D71" s="173" t="s">
        <v>3715</v>
      </c>
      <c r="E71" s="173" t="s">
        <v>3851</v>
      </c>
      <c r="F71" s="20"/>
      <c r="G71" s="175"/>
      <c r="H71" s="20"/>
      <c r="I71" s="20"/>
      <c r="J71" s="20"/>
      <c r="K71" s="20"/>
      <c r="L71" s="20"/>
      <c r="M71" s="20"/>
      <c r="N71" s="20"/>
      <c r="O71" s="20"/>
      <c r="P71" s="20"/>
      <c r="Q71" s="20"/>
      <c r="R71" s="20"/>
      <c r="S71" s="20"/>
      <c r="T71" s="20"/>
      <c r="U71" s="20"/>
      <c r="V71" s="20"/>
      <c r="W71" s="20"/>
    </row>
    <row r="72" spans="1:23" x14ac:dyDescent="0.25">
      <c r="A72" s="171" t="s">
        <v>3852</v>
      </c>
      <c r="B72" s="171" t="s">
        <v>1344</v>
      </c>
      <c r="C72" s="172" t="s">
        <v>3853</v>
      </c>
      <c r="D72" s="173" t="s">
        <v>3715</v>
      </c>
      <c r="E72" s="173" t="s">
        <v>3854</v>
      </c>
      <c r="F72" s="20"/>
      <c r="G72" s="175"/>
      <c r="H72" s="20"/>
      <c r="I72" s="20"/>
      <c r="J72" s="20"/>
      <c r="K72" s="20"/>
      <c r="L72" s="20"/>
      <c r="M72" s="20"/>
      <c r="N72" s="20"/>
      <c r="O72" s="20"/>
      <c r="P72" s="20"/>
      <c r="Q72" s="20"/>
      <c r="R72" s="20"/>
      <c r="S72" s="20"/>
      <c r="T72" s="20"/>
      <c r="U72" s="20"/>
      <c r="V72" s="20"/>
      <c r="W72" s="20"/>
    </row>
    <row r="73" spans="1:23" x14ac:dyDescent="0.25">
      <c r="A73" s="171" t="s">
        <v>3855</v>
      </c>
      <c r="B73" s="171" t="s">
        <v>3856</v>
      </c>
      <c r="C73" s="173" t="s">
        <v>3857</v>
      </c>
      <c r="D73" s="173" t="s">
        <v>3715</v>
      </c>
      <c r="E73" s="173" t="s">
        <v>3858</v>
      </c>
      <c r="F73" s="20"/>
      <c r="G73" s="175"/>
      <c r="H73" s="20"/>
      <c r="I73" s="20"/>
      <c r="J73" s="20"/>
      <c r="K73" s="20"/>
      <c r="L73" s="20"/>
      <c r="M73" s="20"/>
      <c r="N73" s="20"/>
      <c r="O73" s="20"/>
      <c r="P73" s="20"/>
      <c r="Q73" s="20"/>
      <c r="R73" s="20"/>
      <c r="S73" s="20"/>
      <c r="T73" s="20"/>
      <c r="U73" s="20"/>
      <c r="V73" s="20"/>
      <c r="W73" s="20"/>
    </row>
    <row r="74" spans="1:23" x14ac:dyDescent="0.25">
      <c r="A74" s="171" t="s">
        <v>3859</v>
      </c>
      <c r="B74" s="171" t="s">
        <v>3231</v>
      </c>
      <c r="C74" s="173" t="s">
        <v>3860</v>
      </c>
      <c r="D74" s="173" t="s">
        <v>3715</v>
      </c>
      <c r="E74" s="173" t="s">
        <v>3861</v>
      </c>
      <c r="F74" s="20"/>
      <c r="G74" s="175"/>
      <c r="H74" s="20"/>
      <c r="I74" s="20"/>
      <c r="J74" s="20"/>
      <c r="K74" s="20"/>
      <c r="L74" s="20"/>
      <c r="M74" s="20"/>
      <c r="N74" s="20"/>
      <c r="O74" s="20"/>
      <c r="P74" s="20"/>
      <c r="Q74" s="20"/>
      <c r="R74" s="20"/>
      <c r="S74" s="20"/>
      <c r="T74" s="20"/>
      <c r="U74" s="20"/>
      <c r="V74" s="20"/>
      <c r="W74" s="20"/>
    </row>
    <row r="75" spans="1:23" x14ac:dyDescent="0.25">
      <c r="A75" s="171" t="s">
        <v>3862</v>
      </c>
      <c r="B75" s="171" t="s">
        <v>3236</v>
      </c>
      <c r="C75" s="173" t="s">
        <v>3863</v>
      </c>
      <c r="D75" s="173" t="s">
        <v>3715</v>
      </c>
      <c r="E75" s="173" t="s">
        <v>3864</v>
      </c>
      <c r="F75" s="20"/>
      <c r="G75" s="175"/>
      <c r="H75" s="20"/>
      <c r="I75" s="20"/>
      <c r="J75" s="20"/>
      <c r="K75" s="20"/>
      <c r="L75" s="20"/>
      <c r="M75" s="20"/>
      <c r="N75" s="20"/>
      <c r="O75" s="20"/>
      <c r="P75" s="20"/>
      <c r="Q75" s="20"/>
      <c r="R75" s="20"/>
      <c r="S75" s="20"/>
      <c r="T75" s="20"/>
      <c r="U75" s="20"/>
      <c r="V75" s="20"/>
      <c r="W75" s="20"/>
    </row>
    <row r="76" spans="1:23" x14ac:dyDescent="0.25">
      <c r="A76" s="171" t="s">
        <v>3865</v>
      </c>
      <c r="B76" s="171" t="s">
        <v>3238</v>
      </c>
      <c r="C76" s="173" t="s">
        <v>3866</v>
      </c>
      <c r="D76" s="173" t="s">
        <v>3715</v>
      </c>
      <c r="E76" s="173" t="s">
        <v>3867</v>
      </c>
      <c r="F76" s="20"/>
      <c r="G76" s="175"/>
      <c r="H76" s="20"/>
      <c r="I76" s="20"/>
      <c r="J76" s="20"/>
      <c r="K76" s="20"/>
      <c r="L76" s="20"/>
      <c r="M76" s="20"/>
      <c r="N76" s="20"/>
      <c r="O76" s="20"/>
      <c r="P76" s="20"/>
      <c r="Q76" s="20"/>
      <c r="R76" s="20"/>
      <c r="S76" s="20"/>
      <c r="T76" s="20"/>
      <c r="U76" s="20"/>
      <c r="V76" s="20"/>
      <c r="W76" s="20"/>
    </row>
    <row r="77" spans="1:23" x14ac:dyDescent="0.25">
      <c r="A77" s="171" t="s">
        <v>3868</v>
      </c>
      <c r="B77" s="171" t="s">
        <v>3869</v>
      </c>
      <c r="C77" s="173" t="s">
        <v>3860</v>
      </c>
      <c r="D77" s="173" t="s">
        <v>3715</v>
      </c>
      <c r="E77" s="173" t="s">
        <v>3870</v>
      </c>
      <c r="F77" s="20"/>
      <c r="G77" s="175"/>
      <c r="H77" s="20"/>
      <c r="I77" s="20"/>
      <c r="J77" s="20"/>
      <c r="K77" s="20"/>
      <c r="L77" s="20"/>
      <c r="M77" s="20"/>
      <c r="N77" s="20"/>
      <c r="O77" s="20"/>
      <c r="P77" s="20"/>
      <c r="Q77" s="20"/>
      <c r="R77" s="20"/>
      <c r="S77" s="20"/>
      <c r="T77" s="20"/>
      <c r="U77" s="20"/>
      <c r="V77" s="20"/>
      <c r="W77" s="20"/>
    </row>
    <row r="78" spans="1:23" x14ac:dyDescent="0.25">
      <c r="A78" s="171" t="s">
        <v>3871</v>
      </c>
      <c r="B78" s="171" t="s">
        <v>3278</v>
      </c>
      <c r="C78" s="173" t="s">
        <v>3872</v>
      </c>
      <c r="D78" s="173" t="s">
        <v>3715</v>
      </c>
      <c r="E78" s="173" t="s">
        <v>3873</v>
      </c>
      <c r="F78" s="20"/>
      <c r="G78" s="175"/>
      <c r="H78" s="20"/>
      <c r="I78" s="20"/>
      <c r="J78" s="20"/>
      <c r="K78" s="20"/>
      <c r="L78" s="20"/>
      <c r="M78" s="20"/>
      <c r="N78" s="20"/>
      <c r="O78" s="20"/>
      <c r="P78" s="20"/>
      <c r="Q78" s="20"/>
      <c r="R78" s="20"/>
      <c r="S78" s="20"/>
      <c r="T78" s="20"/>
      <c r="U78" s="20"/>
      <c r="V78" s="20"/>
      <c r="W78" s="20"/>
    </row>
    <row r="79" spans="1:23" x14ac:dyDescent="0.25">
      <c r="A79" s="171" t="s">
        <v>3874</v>
      </c>
      <c r="B79" s="171" t="s">
        <v>3875</v>
      </c>
      <c r="C79" s="173" t="s">
        <v>3876</v>
      </c>
      <c r="D79" s="173" t="s">
        <v>3715</v>
      </c>
      <c r="E79" s="173" t="s">
        <v>3877</v>
      </c>
      <c r="F79" s="20"/>
      <c r="G79" s="175"/>
      <c r="H79" s="20"/>
      <c r="I79" s="20"/>
      <c r="J79" s="20"/>
      <c r="K79" s="20"/>
      <c r="L79" s="20"/>
      <c r="M79" s="20"/>
      <c r="N79" s="20"/>
      <c r="O79" s="20"/>
      <c r="P79" s="20"/>
      <c r="Q79" s="20"/>
      <c r="R79" s="20"/>
      <c r="S79" s="20"/>
      <c r="T79" s="20"/>
      <c r="U79" s="20"/>
      <c r="V79" s="20"/>
      <c r="W79" s="20"/>
    </row>
    <row r="80" spans="1:23" x14ac:dyDescent="0.25">
      <c r="A80" s="171" t="s">
        <v>3878</v>
      </c>
      <c r="B80" s="171" t="s">
        <v>259</v>
      </c>
      <c r="C80" s="176" t="s">
        <v>3879</v>
      </c>
      <c r="D80" s="173" t="s">
        <v>3880</v>
      </c>
      <c r="E80" s="173" t="s">
        <v>3658</v>
      </c>
      <c r="F80" s="20"/>
      <c r="G80" s="174">
        <v>10</v>
      </c>
      <c r="H80" s="20"/>
      <c r="I80" s="20"/>
      <c r="J80" s="20"/>
      <c r="K80" s="20"/>
      <c r="L80" s="20"/>
      <c r="M80" s="20"/>
      <c r="N80" s="20"/>
      <c r="O80" s="20"/>
      <c r="P80" s="20"/>
      <c r="Q80" s="20"/>
      <c r="R80" s="20"/>
      <c r="S80" s="20"/>
      <c r="T80" s="20"/>
      <c r="U80" s="20"/>
      <c r="V80" s="20"/>
      <c r="W80" s="20"/>
    </row>
    <row r="81" spans="1:23" x14ac:dyDescent="0.25">
      <c r="A81" s="171" t="s">
        <v>3881</v>
      </c>
      <c r="B81" s="171" t="s">
        <v>255</v>
      </c>
      <c r="C81" s="176" t="s">
        <v>1874</v>
      </c>
      <c r="D81" s="173" t="s">
        <v>3880</v>
      </c>
      <c r="E81" s="173" t="s">
        <v>3658</v>
      </c>
      <c r="F81" s="20"/>
      <c r="G81" s="174">
        <v>10</v>
      </c>
      <c r="H81" s="20"/>
      <c r="I81" s="20"/>
      <c r="J81" s="20"/>
      <c r="K81" s="20"/>
      <c r="L81" s="20"/>
      <c r="M81" s="20"/>
      <c r="N81" s="20"/>
      <c r="O81" s="20"/>
      <c r="P81" s="20"/>
      <c r="Q81" s="20"/>
      <c r="R81" s="20"/>
      <c r="S81" s="20"/>
      <c r="T81" s="20"/>
      <c r="U81" s="20"/>
      <c r="V81" s="20"/>
      <c r="W81" s="20"/>
    </row>
    <row r="82" spans="1:23" x14ac:dyDescent="0.25">
      <c r="A82" s="171" t="s">
        <v>3882</v>
      </c>
      <c r="B82" s="171" t="s">
        <v>2442</v>
      </c>
      <c r="C82" s="176" t="s">
        <v>3883</v>
      </c>
      <c r="D82" s="173" t="s">
        <v>3880</v>
      </c>
      <c r="E82" s="173" t="s">
        <v>3658</v>
      </c>
      <c r="F82" s="20"/>
      <c r="G82" s="174">
        <v>10</v>
      </c>
      <c r="H82" s="20"/>
      <c r="I82" s="20"/>
      <c r="J82" s="20"/>
      <c r="K82" s="20"/>
      <c r="L82" s="20"/>
      <c r="M82" s="20"/>
      <c r="N82" s="20"/>
      <c r="O82" s="20"/>
      <c r="P82" s="20"/>
      <c r="Q82" s="20"/>
      <c r="R82" s="20"/>
      <c r="S82" s="20"/>
      <c r="T82" s="20"/>
      <c r="U82" s="20"/>
      <c r="V82" s="20"/>
      <c r="W82" s="20"/>
    </row>
    <row r="83" spans="1:23" x14ac:dyDescent="0.25">
      <c r="A83" s="171" t="s">
        <v>3884</v>
      </c>
      <c r="B83" s="171" t="s">
        <v>3885</v>
      </c>
      <c r="C83" s="176" t="s">
        <v>3658</v>
      </c>
      <c r="D83" s="173" t="s">
        <v>3880</v>
      </c>
      <c r="E83" s="173" t="s">
        <v>3658</v>
      </c>
      <c r="F83" s="20"/>
      <c r="G83" s="174">
        <v>10</v>
      </c>
      <c r="H83" s="20"/>
      <c r="I83" s="20"/>
      <c r="J83" s="20"/>
      <c r="K83" s="20"/>
      <c r="L83" s="20"/>
      <c r="M83" s="20"/>
      <c r="N83" s="20"/>
      <c r="O83" s="20"/>
      <c r="P83" s="20"/>
      <c r="Q83" s="20"/>
      <c r="R83" s="20"/>
      <c r="S83" s="20"/>
      <c r="T83" s="20"/>
      <c r="U83" s="20"/>
      <c r="V83" s="20"/>
      <c r="W83" s="20"/>
    </row>
    <row r="84" spans="1:23" x14ac:dyDescent="0.25">
      <c r="A84" s="171" t="s">
        <v>3886</v>
      </c>
      <c r="B84" s="171" t="s">
        <v>1837</v>
      </c>
      <c r="C84" s="176" t="s">
        <v>1838</v>
      </c>
      <c r="D84" s="173" t="s">
        <v>3880</v>
      </c>
      <c r="E84" s="173" t="s">
        <v>3658</v>
      </c>
      <c r="F84" s="20"/>
      <c r="G84" s="174">
        <v>10</v>
      </c>
      <c r="H84" s="20"/>
      <c r="I84" s="20"/>
      <c r="J84" s="20"/>
      <c r="K84" s="20"/>
      <c r="L84" s="20"/>
      <c r="M84" s="20"/>
      <c r="N84" s="20"/>
      <c r="O84" s="20"/>
      <c r="P84" s="20"/>
      <c r="Q84" s="20"/>
      <c r="R84" s="20"/>
      <c r="S84" s="20"/>
      <c r="T84" s="20"/>
      <c r="U84" s="20"/>
      <c r="V84" s="20"/>
      <c r="W84" s="20"/>
    </row>
    <row r="85" spans="1:23" x14ac:dyDescent="0.25">
      <c r="A85" s="171" t="s">
        <v>3887</v>
      </c>
      <c r="B85" s="171" t="s">
        <v>2408</v>
      </c>
      <c r="C85" s="176" t="s">
        <v>3888</v>
      </c>
      <c r="D85" s="173" t="s">
        <v>3880</v>
      </c>
      <c r="E85" s="173" t="s">
        <v>3658</v>
      </c>
      <c r="F85" s="20"/>
      <c r="G85" s="174">
        <v>10</v>
      </c>
      <c r="H85" s="20"/>
      <c r="I85" s="20"/>
      <c r="J85" s="20"/>
      <c r="K85" s="20"/>
      <c r="L85" s="20"/>
      <c r="M85" s="20"/>
      <c r="N85" s="20"/>
      <c r="O85" s="20"/>
      <c r="P85" s="20"/>
      <c r="Q85" s="20"/>
      <c r="R85" s="20"/>
      <c r="S85" s="20"/>
      <c r="T85" s="20"/>
      <c r="U85" s="20"/>
      <c r="V85" s="20"/>
      <c r="W85" s="20"/>
    </row>
    <row r="86" spans="1:23" x14ac:dyDescent="0.25">
      <c r="A86" s="171" t="s">
        <v>3889</v>
      </c>
      <c r="B86" s="171" t="s">
        <v>3890</v>
      </c>
      <c r="C86" s="176" t="s">
        <v>3658</v>
      </c>
      <c r="D86" s="173" t="s">
        <v>3880</v>
      </c>
      <c r="E86" s="173" t="s">
        <v>3658</v>
      </c>
      <c r="F86" s="20"/>
      <c r="G86" s="174">
        <v>10</v>
      </c>
      <c r="H86" s="20"/>
      <c r="I86" s="20"/>
      <c r="J86" s="20"/>
      <c r="K86" s="20"/>
      <c r="L86" s="20"/>
      <c r="M86" s="20"/>
      <c r="N86" s="20"/>
      <c r="O86" s="20"/>
      <c r="P86" s="20"/>
      <c r="Q86" s="20"/>
      <c r="R86" s="20"/>
      <c r="S86" s="20"/>
      <c r="T86" s="20"/>
      <c r="U86" s="20"/>
      <c r="V86" s="20"/>
      <c r="W86" s="20"/>
    </row>
    <row r="87" spans="1:23" x14ac:dyDescent="0.25">
      <c r="A87" s="171" t="s">
        <v>3891</v>
      </c>
      <c r="B87" s="171" t="s">
        <v>1806</v>
      </c>
      <c r="C87" s="176" t="s">
        <v>1807</v>
      </c>
      <c r="D87" s="173" t="s">
        <v>3880</v>
      </c>
      <c r="E87" s="173" t="s">
        <v>3658</v>
      </c>
      <c r="F87" s="20"/>
      <c r="G87" s="174">
        <v>10</v>
      </c>
      <c r="H87" s="20"/>
      <c r="I87" s="20"/>
      <c r="J87" s="20"/>
      <c r="K87" s="20"/>
      <c r="L87" s="20"/>
      <c r="M87" s="20"/>
      <c r="N87" s="20"/>
      <c r="O87" s="20"/>
      <c r="P87" s="20"/>
      <c r="Q87" s="20"/>
      <c r="R87" s="20"/>
      <c r="S87" s="20"/>
      <c r="T87" s="20"/>
      <c r="U87" s="20"/>
      <c r="V87" s="20"/>
      <c r="W87" s="20"/>
    </row>
    <row r="88" spans="1:23" x14ac:dyDescent="0.25">
      <c r="A88" s="171" t="s">
        <v>3892</v>
      </c>
      <c r="B88" s="171" t="s">
        <v>2447</v>
      </c>
      <c r="C88" s="176" t="s">
        <v>3893</v>
      </c>
      <c r="D88" s="173" t="s">
        <v>3880</v>
      </c>
      <c r="E88" s="173" t="s">
        <v>3658</v>
      </c>
      <c r="F88" s="20"/>
      <c r="G88" s="174">
        <v>10</v>
      </c>
      <c r="H88" s="20"/>
      <c r="I88" s="20"/>
      <c r="J88" s="20"/>
      <c r="K88" s="20"/>
      <c r="L88" s="20"/>
      <c r="M88" s="20"/>
      <c r="N88" s="20"/>
      <c r="O88" s="20"/>
      <c r="P88" s="20"/>
      <c r="Q88" s="20"/>
      <c r="R88" s="20"/>
      <c r="S88" s="20"/>
      <c r="T88" s="20"/>
      <c r="U88" s="20"/>
      <c r="V88" s="20"/>
      <c r="W88" s="20"/>
    </row>
    <row r="89" spans="1:23" x14ac:dyDescent="0.25">
      <c r="A89" s="171" t="s">
        <v>3894</v>
      </c>
      <c r="B89" s="171" t="s">
        <v>1809</v>
      </c>
      <c r="C89" s="176" t="s">
        <v>1810</v>
      </c>
      <c r="D89" s="173" t="s">
        <v>3880</v>
      </c>
      <c r="E89" s="173" t="s">
        <v>3658</v>
      </c>
      <c r="F89" s="20"/>
      <c r="G89" s="174">
        <v>10</v>
      </c>
      <c r="H89" s="20"/>
      <c r="I89" s="20"/>
      <c r="J89" s="20"/>
      <c r="K89" s="20"/>
      <c r="L89" s="20"/>
      <c r="M89" s="20"/>
      <c r="N89" s="20"/>
      <c r="O89" s="20"/>
      <c r="P89" s="20"/>
      <c r="Q89" s="20"/>
      <c r="R89" s="20"/>
      <c r="S89" s="20"/>
      <c r="T89" s="20"/>
      <c r="U89" s="20"/>
      <c r="V89" s="20"/>
      <c r="W89" s="20"/>
    </row>
    <row r="90" spans="1:23" x14ac:dyDescent="0.25">
      <c r="A90" s="171" t="s">
        <v>3895</v>
      </c>
      <c r="B90" s="171" t="s">
        <v>1840</v>
      </c>
      <c r="C90" s="176" t="s">
        <v>1841</v>
      </c>
      <c r="D90" s="173" t="s">
        <v>3880</v>
      </c>
      <c r="E90" s="173" t="s">
        <v>3658</v>
      </c>
      <c r="F90" s="20"/>
      <c r="G90" s="174">
        <v>10</v>
      </c>
      <c r="H90" s="20"/>
      <c r="I90" s="20"/>
      <c r="J90" s="20"/>
      <c r="K90" s="20"/>
      <c r="L90" s="20"/>
      <c r="M90" s="20"/>
      <c r="N90" s="20"/>
      <c r="O90" s="20"/>
      <c r="P90" s="20"/>
      <c r="Q90" s="20"/>
      <c r="R90" s="20"/>
      <c r="S90" s="20"/>
      <c r="T90" s="20"/>
      <c r="U90" s="20"/>
      <c r="V90" s="20"/>
      <c r="W90" s="20"/>
    </row>
    <row r="91" spans="1:23" x14ac:dyDescent="0.25">
      <c r="A91" s="171" t="s">
        <v>3896</v>
      </c>
      <c r="B91" s="171" t="s">
        <v>1843</v>
      </c>
      <c r="C91" s="176" t="s">
        <v>1844</v>
      </c>
      <c r="D91" s="173" t="s">
        <v>3880</v>
      </c>
      <c r="E91" s="173" t="s">
        <v>3658</v>
      </c>
      <c r="F91" s="20"/>
      <c r="G91" s="174">
        <v>10</v>
      </c>
      <c r="H91" s="20"/>
      <c r="I91" s="20"/>
      <c r="J91" s="20"/>
      <c r="K91" s="20"/>
      <c r="L91" s="20"/>
      <c r="M91" s="20"/>
      <c r="N91" s="20"/>
      <c r="O91" s="20"/>
      <c r="P91" s="20"/>
      <c r="Q91" s="20"/>
      <c r="R91" s="20"/>
      <c r="S91" s="20"/>
      <c r="T91" s="20"/>
      <c r="U91" s="20"/>
      <c r="V91" s="20"/>
      <c r="W91" s="20"/>
    </row>
    <row r="92" spans="1:23" x14ac:dyDescent="0.25">
      <c r="A92" s="171" t="s">
        <v>3897</v>
      </c>
      <c r="B92" s="171" t="s">
        <v>3898</v>
      </c>
      <c r="C92" s="176" t="s">
        <v>3658</v>
      </c>
      <c r="D92" s="173" t="s">
        <v>3880</v>
      </c>
      <c r="E92" s="173" t="s">
        <v>3658</v>
      </c>
      <c r="F92" s="20"/>
      <c r="G92" s="174">
        <v>10</v>
      </c>
      <c r="H92" s="20"/>
      <c r="I92" s="20"/>
      <c r="J92" s="20"/>
      <c r="K92" s="20"/>
      <c r="L92" s="20"/>
      <c r="M92" s="20"/>
      <c r="N92" s="20"/>
      <c r="O92" s="20"/>
      <c r="P92" s="20"/>
      <c r="Q92" s="20"/>
      <c r="R92" s="20"/>
      <c r="S92" s="20"/>
      <c r="T92" s="20"/>
      <c r="U92" s="20"/>
      <c r="V92" s="20"/>
      <c r="W92" s="20"/>
    </row>
    <row r="93" spans="1:23" x14ac:dyDescent="0.25">
      <c r="A93" s="171" t="s">
        <v>3899</v>
      </c>
      <c r="B93" s="171" t="s">
        <v>1846</v>
      </c>
      <c r="C93" s="176" t="s">
        <v>1847</v>
      </c>
      <c r="D93" s="173" t="s">
        <v>3880</v>
      </c>
      <c r="E93" s="173" t="s">
        <v>3658</v>
      </c>
      <c r="F93" s="20"/>
      <c r="G93" s="174">
        <v>10</v>
      </c>
      <c r="H93" s="20"/>
      <c r="I93" s="20"/>
      <c r="J93" s="20"/>
      <c r="K93" s="20"/>
      <c r="L93" s="20"/>
      <c r="M93" s="20"/>
      <c r="N93" s="20"/>
      <c r="O93" s="20"/>
      <c r="P93" s="20"/>
      <c r="Q93" s="20"/>
      <c r="R93" s="20"/>
      <c r="S93" s="20"/>
      <c r="T93" s="20"/>
      <c r="U93" s="20"/>
      <c r="V93" s="20"/>
      <c r="W93" s="20"/>
    </row>
    <row r="94" spans="1:23" x14ac:dyDescent="0.25">
      <c r="A94" s="171" t="s">
        <v>3900</v>
      </c>
      <c r="B94" s="171" t="s">
        <v>3901</v>
      </c>
      <c r="C94" s="176" t="s">
        <v>3658</v>
      </c>
      <c r="D94" s="173" t="s">
        <v>3880</v>
      </c>
      <c r="E94" s="173" t="s">
        <v>3658</v>
      </c>
      <c r="F94" s="20"/>
      <c r="G94" s="174">
        <v>10</v>
      </c>
      <c r="H94" s="20"/>
      <c r="I94" s="20"/>
      <c r="J94" s="20"/>
      <c r="K94" s="20"/>
      <c r="L94" s="20"/>
      <c r="M94" s="20"/>
      <c r="N94" s="20"/>
      <c r="O94" s="20"/>
      <c r="P94" s="20"/>
      <c r="Q94" s="20"/>
      <c r="R94" s="20"/>
      <c r="S94" s="20"/>
      <c r="T94" s="20"/>
      <c r="U94" s="20"/>
      <c r="V94" s="20"/>
      <c r="W94" s="20"/>
    </row>
    <row r="95" spans="1:23" x14ac:dyDescent="0.25">
      <c r="A95" s="171" t="s">
        <v>3902</v>
      </c>
      <c r="B95" s="171" t="s">
        <v>3903</v>
      </c>
      <c r="C95" s="176" t="s">
        <v>3658</v>
      </c>
      <c r="D95" s="173" t="s">
        <v>3880</v>
      </c>
      <c r="E95" s="173" t="s">
        <v>3658</v>
      </c>
      <c r="F95" s="20"/>
      <c r="G95" s="174">
        <v>10</v>
      </c>
      <c r="H95" s="20"/>
      <c r="I95" s="20"/>
      <c r="J95" s="20"/>
      <c r="K95" s="20"/>
      <c r="L95" s="20"/>
      <c r="M95" s="20"/>
      <c r="N95" s="20"/>
      <c r="O95" s="20"/>
      <c r="P95" s="20"/>
      <c r="Q95" s="20"/>
      <c r="R95" s="20"/>
      <c r="S95" s="20"/>
      <c r="T95" s="20"/>
      <c r="U95" s="20"/>
      <c r="V95" s="20"/>
      <c r="W95" s="20"/>
    </row>
    <row r="96" spans="1:23" x14ac:dyDescent="0.25">
      <c r="A96" s="171" t="s">
        <v>3904</v>
      </c>
      <c r="B96" s="171" t="s">
        <v>1812</v>
      </c>
      <c r="C96" s="176" t="s">
        <v>1813</v>
      </c>
      <c r="D96" s="173" t="s">
        <v>3880</v>
      </c>
      <c r="E96" s="173" t="s">
        <v>3658</v>
      </c>
      <c r="F96" s="20"/>
      <c r="G96" s="174">
        <v>10</v>
      </c>
      <c r="H96" s="20"/>
      <c r="I96" s="20"/>
      <c r="J96" s="20"/>
      <c r="K96" s="20"/>
      <c r="L96" s="20"/>
      <c r="M96" s="20"/>
      <c r="N96" s="20"/>
      <c r="O96" s="20"/>
      <c r="P96" s="20"/>
      <c r="Q96" s="20"/>
      <c r="R96" s="20"/>
      <c r="S96" s="20"/>
      <c r="T96" s="20"/>
      <c r="U96" s="20"/>
      <c r="V96" s="20"/>
      <c r="W96" s="20"/>
    </row>
    <row r="97" spans="1:23" x14ac:dyDescent="0.25">
      <c r="A97" s="171" t="s">
        <v>3905</v>
      </c>
      <c r="B97" s="171" t="s">
        <v>3906</v>
      </c>
      <c r="C97" s="176" t="s">
        <v>3907</v>
      </c>
      <c r="D97" s="173" t="s">
        <v>3880</v>
      </c>
      <c r="E97" s="173" t="s">
        <v>3658</v>
      </c>
      <c r="F97" s="20"/>
      <c r="G97" s="174">
        <v>10</v>
      </c>
      <c r="H97" s="20"/>
      <c r="I97" s="20"/>
      <c r="J97" s="20"/>
      <c r="K97" s="20"/>
      <c r="L97" s="20"/>
      <c r="M97" s="20"/>
      <c r="N97" s="20"/>
      <c r="O97" s="20"/>
      <c r="P97" s="20"/>
      <c r="Q97" s="20"/>
      <c r="R97" s="20"/>
      <c r="S97" s="20"/>
      <c r="T97" s="20"/>
      <c r="U97" s="20"/>
      <c r="V97" s="20"/>
      <c r="W97" s="20"/>
    </row>
    <row r="98" spans="1:23" x14ac:dyDescent="0.25">
      <c r="A98" s="171" t="s">
        <v>3908</v>
      </c>
      <c r="B98" s="171" t="s">
        <v>3909</v>
      </c>
      <c r="C98" s="176" t="s">
        <v>3658</v>
      </c>
      <c r="D98" s="173" t="s">
        <v>3880</v>
      </c>
      <c r="E98" s="173" t="s">
        <v>3658</v>
      </c>
      <c r="F98" s="20"/>
      <c r="G98" s="174">
        <v>10</v>
      </c>
      <c r="H98" s="20"/>
      <c r="I98" s="20"/>
      <c r="J98" s="20"/>
      <c r="K98" s="20"/>
      <c r="L98" s="20"/>
      <c r="M98" s="20"/>
      <c r="N98" s="20"/>
      <c r="O98" s="20"/>
      <c r="P98" s="20"/>
      <c r="Q98" s="20"/>
      <c r="R98" s="20"/>
      <c r="S98" s="20"/>
      <c r="T98" s="20"/>
      <c r="U98" s="20"/>
      <c r="V98" s="20"/>
      <c r="W98" s="20"/>
    </row>
    <row r="99" spans="1:23" x14ac:dyDescent="0.25">
      <c r="A99" s="171" t="s">
        <v>3910</v>
      </c>
      <c r="B99" s="171" t="s">
        <v>3911</v>
      </c>
      <c r="C99" s="176" t="s">
        <v>3658</v>
      </c>
      <c r="D99" s="173" t="s">
        <v>3880</v>
      </c>
      <c r="E99" s="173" t="s">
        <v>3658</v>
      </c>
      <c r="F99" s="20"/>
      <c r="G99" s="174">
        <v>10</v>
      </c>
      <c r="H99" s="20"/>
      <c r="I99" s="20"/>
      <c r="J99" s="20"/>
      <c r="K99" s="20"/>
      <c r="L99" s="20"/>
      <c r="M99" s="20"/>
      <c r="N99" s="20"/>
      <c r="O99" s="20"/>
      <c r="P99" s="20"/>
      <c r="Q99" s="20"/>
      <c r="R99" s="20"/>
      <c r="S99" s="20"/>
      <c r="T99" s="20"/>
      <c r="U99" s="20"/>
      <c r="V99" s="20"/>
      <c r="W99" s="20"/>
    </row>
    <row r="100" spans="1:23" x14ac:dyDescent="0.25">
      <c r="A100" s="171" t="s">
        <v>3912</v>
      </c>
      <c r="B100" s="171" t="s">
        <v>1832</v>
      </c>
      <c r="C100" s="176" t="s">
        <v>1833</v>
      </c>
      <c r="D100" s="173" t="s">
        <v>3880</v>
      </c>
      <c r="E100" s="173" t="s">
        <v>3658</v>
      </c>
      <c r="F100" s="20"/>
      <c r="G100" s="174">
        <v>10</v>
      </c>
      <c r="H100" s="20"/>
      <c r="I100" s="20"/>
      <c r="J100" s="20"/>
      <c r="K100" s="20"/>
      <c r="L100" s="20"/>
      <c r="M100" s="20"/>
      <c r="N100" s="20"/>
      <c r="O100" s="20"/>
      <c r="P100" s="20"/>
      <c r="Q100" s="20"/>
      <c r="R100" s="20"/>
      <c r="S100" s="20"/>
      <c r="T100" s="20"/>
      <c r="U100" s="20"/>
      <c r="V100" s="20"/>
      <c r="W100" s="20"/>
    </row>
    <row r="101" spans="1:23" x14ac:dyDescent="0.25">
      <c r="A101" s="171" t="s">
        <v>3913</v>
      </c>
      <c r="B101" s="171" t="s">
        <v>1815</v>
      </c>
      <c r="C101" s="176" t="s">
        <v>1816</v>
      </c>
      <c r="D101" s="173" t="s">
        <v>3880</v>
      </c>
      <c r="E101" s="173" t="s">
        <v>3658</v>
      </c>
      <c r="F101" s="20"/>
      <c r="G101" s="174">
        <v>10</v>
      </c>
      <c r="H101" s="20"/>
      <c r="I101" s="20"/>
      <c r="J101" s="20"/>
      <c r="K101" s="20"/>
      <c r="L101" s="20"/>
      <c r="M101" s="20"/>
      <c r="N101" s="20"/>
      <c r="O101" s="20"/>
      <c r="P101" s="20"/>
      <c r="Q101" s="20"/>
      <c r="R101" s="20"/>
      <c r="S101" s="20"/>
      <c r="T101" s="20"/>
      <c r="U101" s="20"/>
      <c r="V101" s="20"/>
      <c r="W101" s="20"/>
    </row>
    <row r="102" spans="1:23" x14ac:dyDescent="0.25">
      <c r="A102" s="171" t="s">
        <v>3914</v>
      </c>
      <c r="B102" s="171" t="s">
        <v>1823</v>
      </c>
      <c r="C102" s="176" t="s">
        <v>1824</v>
      </c>
      <c r="D102" s="173" t="s">
        <v>3880</v>
      </c>
      <c r="E102" s="173" t="s">
        <v>3658</v>
      </c>
      <c r="F102" s="20"/>
      <c r="G102" s="174">
        <v>10</v>
      </c>
      <c r="H102" s="20"/>
      <c r="I102" s="20"/>
      <c r="J102" s="20"/>
      <c r="K102" s="20"/>
      <c r="L102" s="20"/>
      <c r="M102" s="20"/>
      <c r="N102" s="20"/>
      <c r="O102" s="20"/>
      <c r="P102" s="20"/>
      <c r="Q102" s="20"/>
      <c r="R102" s="20"/>
      <c r="S102" s="20"/>
      <c r="T102" s="20"/>
      <c r="U102" s="20"/>
      <c r="V102" s="20"/>
      <c r="W102" s="20"/>
    </row>
    <row r="103" spans="1:23" x14ac:dyDescent="0.25">
      <c r="A103" s="171" t="s">
        <v>3915</v>
      </c>
      <c r="B103" s="171" t="s">
        <v>1849</v>
      </c>
      <c r="C103" s="176" t="s">
        <v>1850</v>
      </c>
      <c r="D103" s="173" t="s">
        <v>3880</v>
      </c>
      <c r="E103" s="173" t="s">
        <v>3658</v>
      </c>
      <c r="F103" s="20"/>
      <c r="G103" s="174">
        <v>10</v>
      </c>
      <c r="H103" s="20"/>
      <c r="I103" s="20"/>
      <c r="J103" s="20"/>
      <c r="K103" s="20"/>
      <c r="L103" s="20"/>
      <c r="M103" s="20"/>
      <c r="N103" s="20"/>
      <c r="O103" s="20"/>
      <c r="P103" s="20"/>
      <c r="Q103" s="20"/>
      <c r="R103" s="20"/>
      <c r="S103" s="20"/>
      <c r="T103" s="20"/>
      <c r="U103" s="20"/>
      <c r="V103" s="20"/>
      <c r="W103" s="20"/>
    </row>
    <row r="104" spans="1:23" x14ac:dyDescent="0.25">
      <c r="A104" s="171" t="s">
        <v>3916</v>
      </c>
      <c r="B104" s="171" t="s">
        <v>2427</v>
      </c>
      <c r="C104" s="176" t="s">
        <v>3917</v>
      </c>
      <c r="D104" s="173" t="s">
        <v>3880</v>
      </c>
      <c r="E104" s="173" t="s">
        <v>3658</v>
      </c>
      <c r="F104" s="20"/>
      <c r="G104" s="174">
        <v>10</v>
      </c>
      <c r="H104" s="20"/>
      <c r="I104" s="20"/>
      <c r="J104" s="20"/>
      <c r="K104" s="20"/>
      <c r="L104" s="20"/>
      <c r="M104" s="20"/>
      <c r="N104" s="20"/>
      <c r="O104" s="20"/>
      <c r="P104" s="20"/>
      <c r="Q104" s="20"/>
      <c r="R104" s="20"/>
      <c r="S104" s="20"/>
      <c r="T104" s="20"/>
      <c r="U104" s="20"/>
      <c r="V104" s="20"/>
      <c r="W104" s="20"/>
    </row>
    <row r="105" spans="1:23" x14ac:dyDescent="0.25">
      <c r="A105" s="171" t="s">
        <v>3918</v>
      </c>
      <c r="B105" s="171" t="s">
        <v>1829</v>
      </c>
      <c r="C105" s="176" t="s">
        <v>1830</v>
      </c>
      <c r="D105" s="173" t="s">
        <v>3880</v>
      </c>
      <c r="E105" s="173" t="s">
        <v>3658</v>
      </c>
      <c r="F105" s="20"/>
      <c r="G105" s="174">
        <v>10</v>
      </c>
      <c r="H105" s="20"/>
      <c r="I105" s="20"/>
      <c r="J105" s="20"/>
      <c r="K105" s="20"/>
      <c r="L105" s="20"/>
      <c r="M105" s="20"/>
      <c r="N105" s="20"/>
      <c r="O105" s="20"/>
      <c r="P105" s="20"/>
      <c r="Q105" s="20"/>
      <c r="R105" s="20"/>
      <c r="S105" s="20"/>
      <c r="T105" s="20"/>
      <c r="U105" s="20"/>
      <c r="V105" s="20"/>
      <c r="W105" s="20"/>
    </row>
    <row r="106" spans="1:23" x14ac:dyDescent="0.25">
      <c r="A106" s="171" t="s">
        <v>3919</v>
      </c>
      <c r="B106" s="171" t="s">
        <v>1855</v>
      </c>
      <c r="C106" s="176" t="s">
        <v>1856</v>
      </c>
      <c r="D106" s="173" t="s">
        <v>3880</v>
      </c>
      <c r="E106" s="173" t="s">
        <v>3658</v>
      </c>
      <c r="F106" s="20"/>
      <c r="G106" s="174">
        <v>10</v>
      </c>
      <c r="H106" s="20"/>
      <c r="I106" s="20"/>
      <c r="J106" s="20"/>
      <c r="K106" s="20"/>
      <c r="L106" s="20"/>
      <c r="M106" s="20"/>
      <c r="N106" s="20"/>
      <c r="O106" s="20"/>
      <c r="P106" s="20"/>
      <c r="Q106" s="20"/>
      <c r="R106" s="20"/>
      <c r="S106" s="20"/>
      <c r="T106" s="20"/>
      <c r="U106" s="20"/>
      <c r="V106" s="20"/>
      <c r="W106" s="20"/>
    </row>
    <row r="107" spans="1:23" x14ac:dyDescent="0.25">
      <c r="A107" s="171" t="s">
        <v>3920</v>
      </c>
      <c r="B107" s="171" t="s">
        <v>1852</v>
      </c>
      <c r="C107" s="176" t="s">
        <v>1853</v>
      </c>
      <c r="D107" s="173" t="s">
        <v>3880</v>
      </c>
      <c r="E107" s="173" t="s">
        <v>3658</v>
      </c>
      <c r="F107" s="20"/>
      <c r="G107" s="174">
        <v>10</v>
      </c>
      <c r="H107" s="20"/>
      <c r="I107" s="20"/>
      <c r="J107" s="20"/>
      <c r="K107" s="20"/>
      <c r="L107" s="20"/>
      <c r="M107" s="20"/>
      <c r="N107" s="20"/>
      <c r="O107" s="20"/>
      <c r="P107" s="20"/>
      <c r="Q107" s="20"/>
      <c r="R107" s="20"/>
      <c r="S107" s="20"/>
      <c r="T107" s="20"/>
      <c r="U107" s="20"/>
      <c r="V107" s="20"/>
      <c r="W107" s="20"/>
    </row>
    <row r="108" spans="1:23" x14ac:dyDescent="0.25">
      <c r="A108" s="171" t="s">
        <v>3921</v>
      </c>
      <c r="B108" s="171" t="s">
        <v>1818</v>
      </c>
      <c r="C108" s="176" t="s">
        <v>1819</v>
      </c>
      <c r="D108" s="173" t="s">
        <v>3880</v>
      </c>
      <c r="E108" s="173" t="s">
        <v>3658</v>
      </c>
      <c r="F108" s="20"/>
      <c r="G108" s="174">
        <v>10</v>
      </c>
      <c r="H108" s="20"/>
      <c r="I108" s="20"/>
      <c r="J108" s="20"/>
      <c r="K108" s="20"/>
      <c r="L108" s="20"/>
      <c r="M108" s="20"/>
      <c r="N108" s="20"/>
      <c r="O108" s="20"/>
      <c r="P108" s="20"/>
      <c r="Q108" s="20"/>
      <c r="R108" s="20"/>
      <c r="S108" s="20"/>
      <c r="T108" s="20"/>
      <c r="U108" s="20"/>
      <c r="V108" s="20"/>
      <c r="W108" s="20"/>
    </row>
    <row r="109" spans="1:23" x14ac:dyDescent="0.25">
      <c r="A109" s="171" t="s">
        <v>3922</v>
      </c>
      <c r="B109" s="171" t="s">
        <v>260</v>
      </c>
      <c r="C109" s="176" t="s">
        <v>1867</v>
      </c>
      <c r="D109" s="173" t="s">
        <v>3880</v>
      </c>
      <c r="E109" s="173" t="s">
        <v>3658</v>
      </c>
      <c r="F109" s="20"/>
      <c r="G109" s="174">
        <v>10</v>
      </c>
      <c r="H109" s="20"/>
      <c r="I109" s="20"/>
      <c r="J109" s="20"/>
      <c r="K109" s="20"/>
      <c r="L109" s="20"/>
      <c r="M109" s="20"/>
      <c r="N109" s="20"/>
      <c r="O109" s="20"/>
      <c r="P109" s="20"/>
      <c r="Q109" s="20"/>
      <c r="R109" s="20"/>
      <c r="S109" s="20"/>
      <c r="T109" s="20"/>
      <c r="U109" s="20"/>
      <c r="V109" s="20"/>
      <c r="W109" s="20"/>
    </row>
    <row r="110" spans="1:23" x14ac:dyDescent="0.25">
      <c r="A110" s="171" t="s">
        <v>3923</v>
      </c>
      <c r="B110" s="171" t="s">
        <v>1858</v>
      </c>
      <c r="C110" s="176" t="s">
        <v>1859</v>
      </c>
      <c r="D110" s="173" t="s">
        <v>3880</v>
      </c>
      <c r="E110" s="173" t="s">
        <v>3658</v>
      </c>
      <c r="F110" s="20"/>
      <c r="G110" s="174">
        <v>10</v>
      </c>
      <c r="H110" s="20"/>
      <c r="I110" s="20"/>
      <c r="J110" s="20"/>
      <c r="K110" s="20"/>
      <c r="L110" s="20"/>
      <c r="M110" s="20"/>
      <c r="N110" s="20"/>
      <c r="O110" s="20"/>
      <c r="P110" s="20"/>
      <c r="Q110" s="20"/>
      <c r="R110" s="20"/>
      <c r="S110" s="20"/>
      <c r="T110" s="20"/>
      <c r="U110" s="20"/>
      <c r="V110" s="20"/>
      <c r="W110" s="20"/>
    </row>
    <row r="111" spans="1:23" x14ac:dyDescent="0.25">
      <c r="A111" s="171" t="s">
        <v>3924</v>
      </c>
      <c r="B111" s="171" t="s">
        <v>1861</v>
      </c>
      <c r="C111" s="176" t="s">
        <v>1862</v>
      </c>
      <c r="D111" s="173" t="s">
        <v>3880</v>
      </c>
      <c r="E111" s="173" t="s">
        <v>3658</v>
      </c>
      <c r="F111" s="20"/>
      <c r="G111" s="174">
        <v>10</v>
      </c>
      <c r="H111" s="20"/>
      <c r="I111" s="20"/>
      <c r="J111" s="20"/>
      <c r="K111" s="20"/>
      <c r="L111" s="20"/>
      <c r="M111" s="20"/>
      <c r="N111" s="20"/>
      <c r="O111" s="20"/>
      <c r="P111" s="20"/>
      <c r="Q111" s="20"/>
      <c r="R111" s="20"/>
      <c r="S111" s="20"/>
      <c r="T111" s="20"/>
      <c r="U111" s="20"/>
      <c r="V111" s="20"/>
      <c r="W111" s="20"/>
    </row>
    <row r="112" spans="1:23" x14ac:dyDescent="0.25">
      <c r="A112" s="171" t="s">
        <v>3925</v>
      </c>
      <c r="B112" s="171" t="s">
        <v>2466</v>
      </c>
      <c r="C112" s="176" t="s">
        <v>3926</v>
      </c>
      <c r="D112" s="173" t="s">
        <v>3880</v>
      </c>
      <c r="E112" s="173" t="s">
        <v>3658</v>
      </c>
      <c r="F112" s="20"/>
      <c r="G112" s="174">
        <v>10</v>
      </c>
      <c r="H112" s="20"/>
      <c r="I112" s="20"/>
      <c r="J112" s="20"/>
      <c r="K112" s="20"/>
      <c r="L112" s="20"/>
      <c r="M112" s="20"/>
      <c r="N112" s="20"/>
      <c r="O112" s="20"/>
      <c r="P112" s="20"/>
      <c r="Q112" s="20"/>
      <c r="R112" s="20"/>
      <c r="S112" s="20"/>
      <c r="T112" s="20"/>
      <c r="U112" s="20"/>
      <c r="V112" s="20"/>
      <c r="W112" s="20"/>
    </row>
    <row r="113" spans="1:23" x14ac:dyDescent="0.25">
      <c r="A113" s="171" t="s">
        <v>3927</v>
      </c>
      <c r="B113" s="171" t="s">
        <v>1864</v>
      </c>
      <c r="C113" s="176" t="s">
        <v>1865</v>
      </c>
      <c r="D113" s="173" t="s">
        <v>3880</v>
      </c>
      <c r="E113" s="173" t="s">
        <v>3658</v>
      </c>
      <c r="F113" s="20"/>
      <c r="G113" s="174">
        <v>10</v>
      </c>
      <c r="H113" s="20"/>
      <c r="I113" s="20"/>
      <c r="J113" s="20"/>
      <c r="K113" s="20"/>
      <c r="L113" s="20"/>
      <c r="M113" s="20"/>
      <c r="N113" s="20"/>
      <c r="O113" s="20"/>
      <c r="P113" s="20"/>
      <c r="Q113" s="20"/>
      <c r="R113" s="20"/>
      <c r="S113" s="20"/>
      <c r="T113" s="20"/>
      <c r="U113" s="20"/>
      <c r="V113" s="20"/>
      <c r="W113" s="20"/>
    </row>
    <row r="114" spans="1:23" x14ac:dyDescent="0.25">
      <c r="A114" s="171" t="s">
        <v>3928</v>
      </c>
      <c r="B114" s="171" t="s">
        <v>258</v>
      </c>
      <c r="C114" s="176" t="s">
        <v>1835</v>
      </c>
      <c r="D114" s="173" t="s">
        <v>3880</v>
      </c>
      <c r="E114" s="173" t="s">
        <v>3658</v>
      </c>
      <c r="F114" s="20"/>
      <c r="G114" s="174">
        <v>10</v>
      </c>
      <c r="H114" s="20"/>
      <c r="I114" s="20"/>
      <c r="J114" s="20"/>
      <c r="K114" s="20"/>
      <c r="L114" s="20"/>
      <c r="M114" s="20"/>
      <c r="N114" s="20"/>
      <c r="O114" s="20"/>
      <c r="P114" s="20"/>
      <c r="Q114" s="20"/>
      <c r="R114" s="20"/>
      <c r="S114" s="20"/>
      <c r="T114" s="20"/>
      <c r="U114" s="20"/>
      <c r="V114" s="20"/>
      <c r="W114" s="20"/>
    </row>
    <row r="115" spans="1:23" x14ac:dyDescent="0.25">
      <c r="A115" s="171" t="s">
        <v>3929</v>
      </c>
      <c r="B115" s="171" t="s">
        <v>1821</v>
      </c>
      <c r="C115" s="176" t="s">
        <v>1822</v>
      </c>
      <c r="D115" s="173" t="s">
        <v>3880</v>
      </c>
      <c r="E115" s="173" t="s">
        <v>3658</v>
      </c>
      <c r="F115" s="20"/>
      <c r="G115" s="174">
        <v>10</v>
      </c>
      <c r="H115" s="20"/>
      <c r="I115" s="20"/>
      <c r="J115" s="20"/>
      <c r="K115" s="20"/>
      <c r="L115" s="20"/>
      <c r="M115" s="20"/>
      <c r="N115" s="20"/>
      <c r="O115" s="20"/>
      <c r="P115" s="20"/>
      <c r="Q115" s="20"/>
      <c r="R115" s="20"/>
      <c r="S115" s="20"/>
      <c r="T115" s="20"/>
      <c r="U115" s="20"/>
      <c r="V115" s="20"/>
      <c r="W115" s="20"/>
    </row>
    <row r="116" spans="1:23" x14ac:dyDescent="0.25">
      <c r="A116" s="171" t="s">
        <v>3930</v>
      </c>
      <c r="B116" s="171" t="s">
        <v>257</v>
      </c>
      <c r="C116" s="176" t="s">
        <v>1876</v>
      </c>
      <c r="D116" s="173" t="s">
        <v>3880</v>
      </c>
      <c r="E116" s="173" t="s">
        <v>3658</v>
      </c>
      <c r="F116" s="20"/>
      <c r="G116" s="174">
        <v>10</v>
      </c>
      <c r="H116" s="20"/>
      <c r="I116" s="20"/>
      <c r="J116" s="20"/>
      <c r="K116" s="20"/>
      <c r="L116" s="20"/>
      <c r="M116" s="20"/>
      <c r="N116" s="20"/>
      <c r="O116" s="20"/>
      <c r="P116" s="20"/>
      <c r="Q116" s="20"/>
      <c r="R116" s="20"/>
      <c r="S116" s="20"/>
      <c r="T116" s="20"/>
      <c r="U116" s="20"/>
      <c r="V116" s="20"/>
      <c r="W116" s="20"/>
    </row>
    <row r="117" spans="1:23" x14ac:dyDescent="0.25">
      <c r="A117" s="171" t="s">
        <v>3931</v>
      </c>
      <c r="B117" s="171" t="s">
        <v>1826</v>
      </c>
      <c r="C117" s="176" t="s">
        <v>1827</v>
      </c>
      <c r="D117" s="173" t="s">
        <v>3880</v>
      </c>
      <c r="E117" s="173" t="s">
        <v>3658</v>
      </c>
      <c r="F117" s="20"/>
      <c r="G117" s="174">
        <v>10</v>
      </c>
      <c r="H117" s="20"/>
      <c r="I117" s="20"/>
      <c r="J117" s="20"/>
      <c r="K117" s="20"/>
      <c r="L117" s="20"/>
      <c r="M117" s="20"/>
      <c r="N117" s="20"/>
      <c r="O117" s="20"/>
      <c r="P117" s="20"/>
      <c r="Q117" s="20"/>
      <c r="R117" s="20"/>
      <c r="S117" s="20"/>
      <c r="T117" s="20"/>
      <c r="U117" s="20"/>
      <c r="V117" s="20"/>
      <c r="W117" s="20"/>
    </row>
    <row r="118" spans="1:23" x14ac:dyDescent="0.25">
      <c r="A118" s="171" t="s">
        <v>3932</v>
      </c>
      <c r="B118" s="171" t="s">
        <v>1871</v>
      </c>
      <c r="C118" s="176" t="s">
        <v>1872</v>
      </c>
      <c r="D118" s="173" t="s">
        <v>3880</v>
      </c>
      <c r="E118" s="173" t="s">
        <v>3658</v>
      </c>
      <c r="F118" s="20"/>
      <c r="G118" s="174">
        <v>10</v>
      </c>
      <c r="H118" s="20"/>
      <c r="I118" s="20"/>
      <c r="J118" s="20"/>
      <c r="K118" s="20"/>
      <c r="L118" s="20"/>
      <c r="M118" s="20"/>
      <c r="N118" s="20"/>
      <c r="O118" s="20"/>
      <c r="P118" s="20"/>
      <c r="Q118" s="20"/>
      <c r="R118" s="20"/>
      <c r="S118" s="20"/>
      <c r="T118" s="20"/>
      <c r="U118" s="20"/>
      <c r="V118" s="20"/>
      <c r="W118" s="20"/>
    </row>
    <row r="119" spans="1:23" x14ac:dyDescent="0.25">
      <c r="A119" s="171" t="s">
        <v>3933</v>
      </c>
      <c r="B119" s="171" t="s">
        <v>261</v>
      </c>
      <c r="C119" s="176" t="s">
        <v>1869</v>
      </c>
      <c r="D119" s="173" t="s">
        <v>3880</v>
      </c>
      <c r="E119" s="173" t="s">
        <v>3658</v>
      </c>
      <c r="F119" s="20"/>
      <c r="G119" s="174">
        <v>10</v>
      </c>
      <c r="H119" s="20"/>
      <c r="I119" s="20"/>
      <c r="J119" s="20"/>
      <c r="K119" s="20"/>
      <c r="L119" s="20"/>
      <c r="M119" s="20"/>
      <c r="N119" s="20"/>
      <c r="O119" s="20"/>
      <c r="P119" s="20"/>
      <c r="Q119" s="20"/>
      <c r="R119" s="20"/>
      <c r="S119" s="20"/>
      <c r="T119" s="20"/>
      <c r="U119" s="20"/>
      <c r="V119" s="20"/>
      <c r="W119" s="20"/>
    </row>
    <row r="120" spans="1:23" x14ac:dyDescent="0.25">
      <c r="A120" s="171" t="s">
        <v>3934</v>
      </c>
      <c r="B120" s="171" t="s">
        <v>262</v>
      </c>
      <c r="C120" s="176" t="s">
        <v>3935</v>
      </c>
      <c r="D120" s="173" t="s">
        <v>3880</v>
      </c>
      <c r="E120" s="173" t="s">
        <v>3658</v>
      </c>
      <c r="F120" s="20"/>
      <c r="G120" s="174">
        <v>10</v>
      </c>
      <c r="H120" s="20"/>
      <c r="I120" s="20"/>
      <c r="J120" s="20"/>
      <c r="K120" s="20"/>
      <c r="L120" s="20"/>
      <c r="M120" s="20"/>
      <c r="N120" s="20"/>
      <c r="O120" s="20"/>
      <c r="P120" s="20"/>
      <c r="Q120" s="20"/>
      <c r="R120" s="20"/>
      <c r="S120" s="20"/>
      <c r="T120" s="20"/>
      <c r="U120" s="20"/>
      <c r="V120" s="20"/>
      <c r="W120" s="20"/>
    </row>
    <row r="121" spans="1:23" x14ac:dyDescent="0.25">
      <c r="A121" s="171" t="s">
        <v>3936</v>
      </c>
      <c r="B121" s="171" t="s">
        <v>263</v>
      </c>
      <c r="C121" s="176" t="s">
        <v>3937</v>
      </c>
      <c r="D121" s="173" t="s">
        <v>3880</v>
      </c>
      <c r="E121" s="173" t="s">
        <v>3658</v>
      </c>
      <c r="F121" s="20"/>
      <c r="G121" s="174">
        <v>10</v>
      </c>
      <c r="H121" s="20"/>
      <c r="I121" s="20"/>
      <c r="J121" s="20"/>
      <c r="K121" s="20"/>
      <c r="L121" s="20"/>
      <c r="M121" s="20"/>
      <c r="N121" s="20"/>
      <c r="O121" s="20"/>
      <c r="P121" s="20"/>
      <c r="Q121" s="20"/>
      <c r="R121" s="20"/>
      <c r="S121" s="20"/>
      <c r="T121" s="20"/>
      <c r="U121" s="20"/>
      <c r="V121" s="20"/>
      <c r="W121" s="20"/>
    </row>
    <row r="122" spans="1:23" x14ac:dyDescent="0.25">
      <c r="A122" s="171" t="s">
        <v>3938</v>
      </c>
      <c r="B122" s="171" t="s">
        <v>1165</v>
      </c>
      <c r="C122" s="176" t="s">
        <v>3939</v>
      </c>
      <c r="D122" s="173" t="s">
        <v>3880</v>
      </c>
      <c r="E122" s="173" t="s">
        <v>3658</v>
      </c>
      <c r="F122" s="20"/>
      <c r="G122" s="174">
        <v>10</v>
      </c>
      <c r="H122" s="20"/>
      <c r="I122" s="20"/>
      <c r="J122" s="20"/>
      <c r="K122" s="20"/>
      <c r="L122" s="20"/>
      <c r="M122" s="20"/>
      <c r="N122" s="20"/>
      <c r="O122" s="20"/>
      <c r="P122" s="20"/>
      <c r="Q122" s="20"/>
      <c r="R122" s="20"/>
      <c r="S122" s="20"/>
      <c r="T122" s="20"/>
      <c r="U122" s="20"/>
      <c r="V122" s="20"/>
      <c r="W122" s="20"/>
    </row>
    <row r="123" spans="1:23" x14ac:dyDescent="0.25">
      <c r="A123" s="171" t="s">
        <v>3940</v>
      </c>
      <c r="B123" s="171" t="s">
        <v>264</v>
      </c>
      <c r="C123" s="176" t="s">
        <v>3941</v>
      </c>
      <c r="D123" s="173" t="s">
        <v>3880</v>
      </c>
      <c r="E123" s="173" t="s">
        <v>3658</v>
      </c>
      <c r="F123" s="20"/>
      <c r="G123" s="174">
        <v>10</v>
      </c>
      <c r="H123" s="20"/>
      <c r="I123" s="20"/>
      <c r="J123" s="20"/>
      <c r="K123" s="20"/>
      <c r="L123" s="20"/>
      <c r="M123" s="20"/>
      <c r="N123" s="20"/>
      <c r="O123" s="20"/>
      <c r="P123" s="20"/>
      <c r="Q123" s="20"/>
      <c r="R123" s="20"/>
      <c r="S123" s="20"/>
      <c r="T123" s="20"/>
      <c r="U123" s="20"/>
      <c r="V123" s="20"/>
      <c r="W123" s="20"/>
    </row>
    <row r="124" spans="1:23" x14ac:dyDescent="0.25">
      <c r="A124" s="171" t="s">
        <v>3942</v>
      </c>
      <c r="B124" s="171" t="s">
        <v>265</v>
      </c>
      <c r="C124" s="176" t="s">
        <v>3943</v>
      </c>
      <c r="D124" s="173" t="s">
        <v>3880</v>
      </c>
      <c r="E124" s="173" t="s">
        <v>3658</v>
      </c>
      <c r="F124" s="20"/>
      <c r="G124" s="174">
        <v>10</v>
      </c>
      <c r="H124" s="20"/>
      <c r="I124" s="20"/>
      <c r="J124" s="20"/>
      <c r="K124" s="20"/>
      <c r="L124" s="20"/>
      <c r="M124" s="20"/>
      <c r="N124" s="20"/>
      <c r="O124" s="20"/>
      <c r="P124" s="20"/>
      <c r="Q124" s="20"/>
      <c r="R124" s="20"/>
      <c r="S124" s="20"/>
      <c r="T124" s="20"/>
      <c r="U124" s="20"/>
      <c r="V124" s="20"/>
      <c r="W124" s="20"/>
    </row>
    <row r="125" spans="1:23" x14ac:dyDescent="0.25">
      <c r="A125" s="171" t="s">
        <v>3944</v>
      </c>
      <c r="B125" s="171" t="s">
        <v>266</v>
      </c>
      <c r="C125" s="176" t="s">
        <v>3945</v>
      </c>
      <c r="D125" s="173" t="s">
        <v>3880</v>
      </c>
      <c r="E125" s="173" t="s">
        <v>3658</v>
      </c>
      <c r="F125" s="20"/>
      <c r="G125" s="174">
        <v>10</v>
      </c>
      <c r="H125" s="20"/>
      <c r="I125" s="20"/>
      <c r="J125" s="20"/>
      <c r="K125" s="20"/>
      <c r="L125" s="20"/>
      <c r="M125" s="20"/>
      <c r="N125" s="20"/>
      <c r="O125" s="20"/>
      <c r="P125" s="20"/>
      <c r="Q125" s="20"/>
      <c r="R125" s="20"/>
      <c r="S125" s="20"/>
      <c r="T125" s="20"/>
      <c r="U125" s="20"/>
      <c r="V125" s="20"/>
      <c r="W125" s="20"/>
    </row>
    <row r="126" spans="1:23" x14ac:dyDescent="0.25">
      <c r="A126" s="171" t="s">
        <v>3946</v>
      </c>
      <c r="B126" s="171" t="s">
        <v>1174</v>
      </c>
      <c r="C126" s="176" t="s">
        <v>3947</v>
      </c>
      <c r="D126" s="173" t="s">
        <v>3880</v>
      </c>
      <c r="E126" s="173" t="s">
        <v>3658</v>
      </c>
      <c r="F126" s="20"/>
      <c r="G126" s="174">
        <v>10</v>
      </c>
      <c r="H126" s="20"/>
      <c r="I126" s="20"/>
      <c r="J126" s="20"/>
      <c r="K126" s="20"/>
      <c r="L126" s="20"/>
      <c r="M126" s="20"/>
      <c r="N126" s="20"/>
      <c r="O126" s="20"/>
      <c r="P126" s="20"/>
      <c r="Q126" s="20"/>
      <c r="R126" s="20"/>
      <c r="S126" s="20"/>
      <c r="T126" s="20"/>
      <c r="U126" s="20"/>
      <c r="V126" s="20"/>
      <c r="W126" s="20"/>
    </row>
    <row r="127" spans="1:23" x14ac:dyDescent="0.25">
      <c r="A127" s="171" t="s">
        <v>3948</v>
      </c>
      <c r="B127" s="171" t="s">
        <v>267</v>
      </c>
      <c r="C127" s="176" t="s">
        <v>3949</v>
      </c>
      <c r="D127" s="173" t="s">
        <v>3880</v>
      </c>
      <c r="E127" s="173" t="s">
        <v>3658</v>
      </c>
      <c r="F127" s="20"/>
      <c r="G127" s="174">
        <v>10</v>
      </c>
      <c r="H127" s="20"/>
      <c r="I127" s="20"/>
      <c r="J127" s="20"/>
      <c r="K127" s="20"/>
      <c r="L127" s="20"/>
      <c r="M127" s="20"/>
      <c r="N127" s="20"/>
      <c r="O127" s="20"/>
      <c r="P127" s="20"/>
      <c r="Q127" s="20"/>
      <c r="R127" s="20"/>
      <c r="S127" s="20"/>
      <c r="T127" s="20"/>
      <c r="U127" s="20"/>
      <c r="V127" s="20"/>
      <c r="W127" s="20"/>
    </row>
    <row r="128" spans="1:23" x14ac:dyDescent="0.25">
      <c r="A128" s="171" t="s">
        <v>3950</v>
      </c>
      <c r="B128" s="171" t="s">
        <v>268</v>
      </c>
      <c r="C128" s="176" t="s">
        <v>3951</v>
      </c>
      <c r="D128" s="173" t="s">
        <v>3880</v>
      </c>
      <c r="E128" s="173" t="s">
        <v>3658</v>
      </c>
      <c r="F128" s="20"/>
      <c r="G128" s="174">
        <v>10</v>
      </c>
      <c r="H128" s="20"/>
      <c r="I128" s="20"/>
      <c r="J128" s="20"/>
      <c r="K128" s="20"/>
      <c r="L128" s="20"/>
      <c r="M128" s="20"/>
      <c r="N128" s="20"/>
      <c r="O128" s="20"/>
      <c r="P128" s="20"/>
      <c r="Q128" s="20"/>
      <c r="R128" s="20"/>
      <c r="S128" s="20"/>
      <c r="T128" s="20"/>
      <c r="U128" s="20"/>
      <c r="V128" s="20"/>
      <c r="W128" s="20"/>
    </row>
    <row r="129" spans="1:23" x14ac:dyDescent="0.25">
      <c r="A129" s="171" t="s">
        <v>3952</v>
      </c>
      <c r="B129" s="171" t="s">
        <v>269</v>
      </c>
      <c r="C129" s="176" t="s">
        <v>3953</v>
      </c>
      <c r="D129" s="173" t="s">
        <v>3880</v>
      </c>
      <c r="E129" s="173" t="s">
        <v>3658</v>
      </c>
      <c r="F129" s="20"/>
      <c r="G129" s="174">
        <v>10</v>
      </c>
      <c r="H129" s="20"/>
      <c r="I129" s="20"/>
      <c r="J129" s="20"/>
      <c r="K129" s="20"/>
      <c r="L129" s="20"/>
      <c r="M129" s="20"/>
      <c r="N129" s="20"/>
      <c r="O129" s="20"/>
      <c r="P129" s="20"/>
      <c r="Q129" s="20"/>
      <c r="R129" s="20"/>
      <c r="S129" s="20"/>
      <c r="T129" s="20"/>
      <c r="U129" s="20"/>
      <c r="V129" s="20"/>
      <c r="W129" s="20"/>
    </row>
    <row r="130" spans="1:23" x14ac:dyDescent="0.25">
      <c r="A130" s="171" t="s">
        <v>3954</v>
      </c>
      <c r="B130" s="171" t="s">
        <v>270</v>
      </c>
      <c r="C130" s="176" t="s">
        <v>3955</v>
      </c>
      <c r="D130" s="173" t="s">
        <v>3880</v>
      </c>
      <c r="E130" s="173" t="s">
        <v>3658</v>
      </c>
      <c r="F130" s="20"/>
      <c r="G130" s="174">
        <v>10</v>
      </c>
      <c r="H130" s="20"/>
      <c r="I130" s="20"/>
      <c r="J130" s="20"/>
      <c r="K130" s="20"/>
      <c r="L130" s="20"/>
      <c r="M130" s="20"/>
      <c r="N130" s="20"/>
      <c r="O130" s="20"/>
      <c r="P130" s="20"/>
      <c r="Q130" s="20"/>
      <c r="R130" s="20"/>
      <c r="S130" s="20"/>
      <c r="T130" s="20"/>
      <c r="U130" s="20"/>
      <c r="V130" s="20"/>
      <c r="W130" s="20"/>
    </row>
    <row r="131" spans="1:23" x14ac:dyDescent="0.25">
      <c r="A131" s="171" t="s">
        <v>3956</v>
      </c>
      <c r="B131" s="171" t="s">
        <v>1185</v>
      </c>
      <c r="C131" s="176" t="s">
        <v>3957</v>
      </c>
      <c r="D131" s="173" t="s">
        <v>3880</v>
      </c>
      <c r="E131" s="173" t="s">
        <v>3658</v>
      </c>
      <c r="F131" s="20"/>
      <c r="G131" s="174">
        <v>10</v>
      </c>
      <c r="H131" s="20"/>
      <c r="I131" s="20"/>
      <c r="J131" s="20"/>
      <c r="K131" s="20"/>
      <c r="L131" s="20"/>
      <c r="M131" s="20"/>
      <c r="N131" s="20"/>
      <c r="O131" s="20"/>
      <c r="P131" s="20"/>
      <c r="Q131" s="20"/>
      <c r="R131" s="20"/>
      <c r="S131" s="20"/>
      <c r="T131" s="20"/>
      <c r="U131" s="20"/>
      <c r="V131" s="20"/>
      <c r="W131" s="20"/>
    </row>
    <row r="132" spans="1:23" x14ac:dyDescent="0.25">
      <c r="A132" s="171" t="s">
        <v>3958</v>
      </c>
      <c r="B132" s="171" t="s">
        <v>1188</v>
      </c>
      <c r="C132" s="176" t="s">
        <v>3959</v>
      </c>
      <c r="D132" s="173" t="s">
        <v>3880</v>
      </c>
      <c r="E132" s="173" t="s">
        <v>3658</v>
      </c>
      <c r="F132" s="20"/>
      <c r="G132" s="174">
        <v>10</v>
      </c>
      <c r="H132" s="20"/>
      <c r="I132" s="20"/>
      <c r="J132" s="20"/>
      <c r="K132" s="20"/>
      <c r="L132" s="20"/>
      <c r="M132" s="20"/>
      <c r="N132" s="20"/>
      <c r="O132" s="20"/>
      <c r="P132" s="20"/>
      <c r="Q132" s="20"/>
      <c r="R132" s="20"/>
      <c r="S132" s="20"/>
      <c r="T132" s="20"/>
      <c r="U132" s="20"/>
      <c r="V132" s="20"/>
      <c r="W132" s="20"/>
    </row>
    <row r="133" spans="1:23" x14ac:dyDescent="0.25">
      <c r="A133" s="171" t="s">
        <v>3960</v>
      </c>
      <c r="B133" s="171" t="s">
        <v>15</v>
      </c>
      <c r="C133" s="173" t="s">
        <v>3961</v>
      </c>
      <c r="D133" s="173" t="s">
        <v>3633</v>
      </c>
      <c r="E133" s="173" t="s">
        <v>3962</v>
      </c>
      <c r="F133" s="20"/>
      <c r="G133" s="175"/>
      <c r="H133" s="20"/>
      <c r="I133" s="20"/>
      <c r="J133" s="20"/>
      <c r="K133" s="20"/>
      <c r="L133" s="20"/>
      <c r="M133" s="20"/>
      <c r="N133" s="20"/>
      <c r="O133" s="20"/>
      <c r="P133" s="20"/>
      <c r="Q133" s="20"/>
      <c r="R133" s="20"/>
      <c r="S133" s="20"/>
      <c r="T133" s="20"/>
      <c r="U133" s="20"/>
      <c r="V133" s="20"/>
      <c r="W133" s="20"/>
    </row>
    <row r="134" spans="1:23" x14ac:dyDescent="0.25">
      <c r="A134" s="171" t="s">
        <v>3963</v>
      </c>
      <c r="B134" s="171" t="s">
        <v>17</v>
      </c>
      <c r="C134" s="173" t="s">
        <v>3964</v>
      </c>
      <c r="D134" s="173" t="s">
        <v>3633</v>
      </c>
      <c r="E134" s="173" t="s">
        <v>3965</v>
      </c>
      <c r="F134" s="20"/>
      <c r="G134" s="175"/>
      <c r="H134" s="20"/>
      <c r="I134" s="20"/>
      <c r="J134" s="20"/>
      <c r="K134" s="20"/>
      <c r="L134" s="20"/>
      <c r="M134" s="20"/>
      <c r="N134" s="20"/>
      <c r="O134" s="20"/>
      <c r="P134" s="20"/>
      <c r="Q134" s="20"/>
      <c r="R134" s="20"/>
      <c r="S134" s="20"/>
      <c r="T134" s="20"/>
      <c r="U134" s="20"/>
      <c r="V134" s="20"/>
      <c r="W134" s="20"/>
    </row>
    <row r="135" spans="1:23" x14ac:dyDescent="0.25">
      <c r="A135" s="177" t="s">
        <v>3966</v>
      </c>
      <c r="B135" s="177" t="s">
        <v>2089</v>
      </c>
      <c r="C135" s="178" t="s">
        <v>3967</v>
      </c>
      <c r="D135" s="173" t="s">
        <v>3968</v>
      </c>
      <c r="E135" s="20"/>
      <c r="F135" s="20"/>
      <c r="G135" s="175"/>
      <c r="H135" s="20"/>
      <c r="I135" s="20"/>
      <c r="J135" s="20"/>
      <c r="K135" s="20"/>
      <c r="L135" s="20"/>
      <c r="M135" s="20"/>
      <c r="N135" s="20"/>
      <c r="O135" s="20"/>
      <c r="P135" s="20"/>
      <c r="Q135" s="20"/>
      <c r="R135" s="20"/>
      <c r="S135" s="20"/>
      <c r="T135" s="20"/>
      <c r="U135" s="20"/>
      <c r="V135" s="20"/>
      <c r="W135" s="20"/>
    </row>
    <row r="136" spans="1:23" x14ac:dyDescent="0.25">
      <c r="A136" s="177" t="s">
        <v>3969</v>
      </c>
      <c r="B136" s="177" t="s">
        <v>627</v>
      </c>
      <c r="C136" s="178" t="s">
        <v>3970</v>
      </c>
      <c r="D136" s="173" t="s">
        <v>3968</v>
      </c>
      <c r="E136" s="20"/>
      <c r="F136" s="20"/>
      <c r="G136" s="175"/>
      <c r="H136" s="20"/>
      <c r="I136" s="20"/>
      <c r="J136" s="20"/>
      <c r="K136" s="20"/>
      <c r="L136" s="20"/>
      <c r="M136" s="20"/>
      <c r="N136" s="20"/>
      <c r="O136" s="20"/>
      <c r="P136" s="20"/>
      <c r="Q136" s="20"/>
      <c r="R136" s="20"/>
      <c r="S136" s="20"/>
      <c r="T136" s="20"/>
      <c r="U136" s="20"/>
      <c r="V136" s="20"/>
      <c r="W136" s="20"/>
    </row>
    <row r="137" spans="1:23" x14ac:dyDescent="0.25">
      <c r="A137" s="177" t="s">
        <v>3971</v>
      </c>
      <c r="B137" s="177" t="s">
        <v>628</v>
      </c>
      <c r="C137" s="178" t="s">
        <v>3972</v>
      </c>
      <c r="D137" s="173" t="s">
        <v>3968</v>
      </c>
      <c r="E137" s="20"/>
      <c r="F137" s="20"/>
      <c r="G137" s="175"/>
      <c r="H137" s="20"/>
      <c r="I137" s="20"/>
      <c r="J137" s="20"/>
      <c r="K137" s="20"/>
      <c r="L137" s="20"/>
      <c r="M137" s="20"/>
      <c r="N137" s="20"/>
      <c r="O137" s="20"/>
      <c r="P137" s="20"/>
      <c r="Q137" s="20"/>
      <c r="R137" s="20"/>
      <c r="S137" s="20"/>
      <c r="T137" s="20"/>
      <c r="U137" s="20"/>
      <c r="V137" s="20"/>
      <c r="W137" s="20"/>
    </row>
    <row r="138" spans="1:23" x14ac:dyDescent="0.25">
      <c r="A138" s="177" t="s">
        <v>3973</v>
      </c>
      <c r="B138" s="177" t="s">
        <v>629</v>
      </c>
      <c r="C138" s="178" t="s">
        <v>3974</v>
      </c>
      <c r="D138" s="173" t="s">
        <v>3968</v>
      </c>
      <c r="E138" s="20"/>
      <c r="F138" s="20"/>
      <c r="G138" s="175"/>
      <c r="H138" s="20"/>
      <c r="I138" s="20"/>
      <c r="J138" s="20"/>
      <c r="K138" s="20"/>
      <c r="L138" s="20"/>
      <c r="M138" s="20"/>
      <c r="N138" s="20"/>
      <c r="O138" s="20"/>
      <c r="P138" s="20"/>
      <c r="Q138" s="20"/>
      <c r="R138" s="20"/>
      <c r="S138" s="20"/>
      <c r="T138" s="20"/>
      <c r="U138" s="20"/>
      <c r="V138" s="20"/>
      <c r="W138" s="20"/>
    </row>
    <row r="139" spans="1:23" x14ac:dyDescent="0.25">
      <c r="A139" s="177" t="s">
        <v>3975</v>
      </c>
      <c r="B139" s="177" t="s">
        <v>630</v>
      </c>
      <c r="C139" s="178" t="s">
        <v>3976</v>
      </c>
      <c r="D139" s="173" t="s">
        <v>3968</v>
      </c>
      <c r="E139" s="20"/>
      <c r="F139" s="20"/>
      <c r="G139" s="175"/>
      <c r="H139" s="20"/>
      <c r="I139" s="20"/>
      <c r="J139" s="20"/>
      <c r="K139" s="20"/>
      <c r="L139" s="20"/>
      <c r="M139" s="20"/>
      <c r="N139" s="20"/>
      <c r="O139" s="20"/>
      <c r="P139" s="20"/>
      <c r="Q139" s="20"/>
      <c r="R139" s="20"/>
      <c r="S139" s="20"/>
      <c r="T139" s="20"/>
      <c r="U139" s="20"/>
      <c r="V139" s="20"/>
      <c r="W139" s="20"/>
    </row>
    <row r="140" spans="1:23" x14ac:dyDescent="0.25">
      <c r="A140" s="177" t="s">
        <v>3977</v>
      </c>
      <c r="B140" s="177" t="s">
        <v>621</v>
      </c>
      <c r="C140" s="178" t="s">
        <v>3978</v>
      </c>
      <c r="D140" s="173" t="s">
        <v>3968</v>
      </c>
      <c r="E140" s="20"/>
      <c r="F140" s="20"/>
      <c r="G140" s="175"/>
      <c r="H140" s="20"/>
      <c r="I140" s="20"/>
      <c r="J140" s="20"/>
      <c r="K140" s="20"/>
      <c r="L140" s="20"/>
      <c r="M140" s="20"/>
      <c r="N140" s="20"/>
      <c r="O140" s="20"/>
      <c r="P140" s="20"/>
      <c r="Q140" s="20"/>
      <c r="R140" s="20"/>
      <c r="S140" s="20"/>
      <c r="T140" s="20"/>
      <c r="U140" s="20"/>
      <c r="V140" s="20"/>
      <c r="W140" s="20"/>
    </row>
    <row r="141" spans="1:23" x14ac:dyDescent="0.25">
      <c r="A141" s="177" t="s">
        <v>3979</v>
      </c>
      <c r="B141" s="177" t="s">
        <v>622</v>
      </c>
      <c r="C141" s="178" t="s">
        <v>3980</v>
      </c>
      <c r="D141" s="173" t="s">
        <v>3968</v>
      </c>
      <c r="E141" s="20"/>
      <c r="F141" s="20"/>
      <c r="G141" s="175"/>
      <c r="H141" s="20"/>
      <c r="I141" s="20"/>
      <c r="J141" s="20"/>
      <c r="K141" s="20"/>
      <c r="L141" s="20"/>
      <c r="M141" s="20"/>
      <c r="N141" s="20"/>
      <c r="O141" s="20"/>
      <c r="P141" s="20"/>
      <c r="Q141" s="20"/>
      <c r="R141" s="20"/>
      <c r="S141" s="20"/>
      <c r="T141" s="20"/>
      <c r="U141" s="20"/>
      <c r="V141" s="20"/>
      <c r="W141" s="20"/>
    </row>
    <row r="142" spans="1:23" x14ac:dyDescent="0.25">
      <c r="A142" s="177" t="s">
        <v>3981</v>
      </c>
      <c r="B142" s="177" t="s">
        <v>623</v>
      </c>
      <c r="C142" s="178" t="s">
        <v>3982</v>
      </c>
      <c r="D142" s="173" t="s">
        <v>3968</v>
      </c>
      <c r="E142" s="20"/>
      <c r="F142" s="20"/>
      <c r="G142" s="175"/>
      <c r="H142" s="20"/>
      <c r="I142" s="20"/>
      <c r="J142" s="20"/>
      <c r="K142" s="20"/>
      <c r="L142" s="20"/>
      <c r="M142" s="20"/>
      <c r="N142" s="20"/>
      <c r="O142" s="20"/>
      <c r="P142" s="20"/>
      <c r="Q142" s="20"/>
      <c r="R142" s="20"/>
      <c r="S142" s="20"/>
      <c r="T142" s="20"/>
      <c r="U142" s="20"/>
      <c r="V142" s="20"/>
      <c r="W142" s="20"/>
    </row>
    <row r="143" spans="1:23" x14ac:dyDescent="0.25">
      <c r="A143" s="177" t="s">
        <v>3983</v>
      </c>
      <c r="B143" s="177" t="s">
        <v>624</v>
      </c>
      <c r="C143" s="178" t="s">
        <v>3984</v>
      </c>
      <c r="D143" s="173" t="s">
        <v>3968</v>
      </c>
      <c r="E143" s="20"/>
      <c r="F143" s="20"/>
      <c r="G143" s="175"/>
      <c r="H143" s="20"/>
      <c r="I143" s="20"/>
      <c r="J143" s="20"/>
      <c r="K143" s="20"/>
      <c r="L143" s="20"/>
      <c r="M143" s="20"/>
      <c r="N143" s="20"/>
      <c r="O143" s="20"/>
      <c r="P143" s="20"/>
      <c r="Q143" s="20"/>
      <c r="R143" s="20"/>
      <c r="S143" s="20"/>
      <c r="T143" s="20"/>
      <c r="U143" s="20"/>
      <c r="V143" s="20"/>
      <c r="W143" s="20"/>
    </row>
    <row r="144" spans="1:23" x14ac:dyDescent="0.25">
      <c r="A144" s="177" t="s">
        <v>3985</v>
      </c>
      <c r="B144" s="177" t="s">
        <v>625</v>
      </c>
      <c r="C144" s="178" t="s">
        <v>3986</v>
      </c>
      <c r="D144" s="173" t="s">
        <v>3968</v>
      </c>
      <c r="E144" s="20"/>
      <c r="F144" s="20"/>
      <c r="G144" s="175"/>
      <c r="H144" s="20"/>
      <c r="I144" s="20"/>
      <c r="J144" s="20"/>
      <c r="K144" s="20"/>
      <c r="L144" s="20"/>
      <c r="M144" s="20"/>
      <c r="N144" s="20"/>
      <c r="O144" s="20"/>
      <c r="P144" s="20"/>
      <c r="Q144" s="20"/>
      <c r="R144" s="20"/>
      <c r="S144" s="20"/>
      <c r="T144" s="20"/>
      <c r="U144" s="20"/>
      <c r="V144" s="20"/>
      <c r="W144" s="20"/>
    </row>
    <row r="145" spans="1:23" x14ac:dyDescent="0.25">
      <c r="A145" s="177" t="s">
        <v>3987</v>
      </c>
      <c r="B145" s="177" t="s">
        <v>626</v>
      </c>
      <c r="C145" s="178" t="s">
        <v>3988</v>
      </c>
      <c r="D145" s="173" t="s">
        <v>3968</v>
      </c>
      <c r="E145" s="20"/>
      <c r="F145" s="20"/>
      <c r="G145" s="175"/>
      <c r="H145" s="20"/>
      <c r="I145" s="20"/>
      <c r="J145" s="20"/>
      <c r="K145" s="20"/>
      <c r="L145" s="20"/>
      <c r="M145" s="20"/>
      <c r="N145" s="20"/>
      <c r="O145" s="20"/>
      <c r="P145" s="20"/>
      <c r="Q145" s="20"/>
      <c r="R145" s="20"/>
      <c r="S145" s="20"/>
      <c r="T145" s="20"/>
      <c r="U145" s="20"/>
      <c r="V145" s="20"/>
      <c r="W145" s="20"/>
    </row>
    <row r="146" spans="1:23" x14ac:dyDescent="0.25">
      <c r="A146" s="177" t="s">
        <v>3989</v>
      </c>
      <c r="B146" s="177" t="s">
        <v>319</v>
      </c>
      <c r="C146" s="178" t="s">
        <v>3990</v>
      </c>
      <c r="D146" s="173" t="s">
        <v>3968</v>
      </c>
      <c r="E146" s="20"/>
      <c r="F146" s="20"/>
      <c r="G146" s="175"/>
      <c r="H146" s="20"/>
      <c r="I146" s="20"/>
      <c r="J146" s="20"/>
      <c r="K146" s="20"/>
      <c r="L146" s="20"/>
      <c r="M146" s="20"/>
      <c r="N146" s="20"/>
      <c r="O146" s="20"/>
      <c r="P146" s="20"/>
      <c r="Q146" s="20"/>
      <c r="R146" s="20"/>
      <c r="S146" s="20"/>
      <c r="T146" s="20"/>
      <c r="U146" s="20"/>
      <c r="V146" s="20"/>
      <c r="W146" s="20"/>
    </row>
    <row r="147" spans="1:23" x14ac:dyDescent="0.25">
      <c r="A147" s="177" t="s">
        <v>3991</v>
      </c>
      <c r="B147" s="177" t="s">
        <v>3992</v>
      </c>
      <c r="C147" s="178" t="s">
        <v>3993</v>
      </c>
      <c r="D147" s="173" t="s">
        <v>3968</v>
      </c>
      <c r="E147" s="20"/>
      <c r="F147" s="20"/>
      <c r="G147" s="175"/>
      <c r="H147" s="20"/>
      <c r="I147" s="20"/>
      <c r="J147" s="20"/>
      <c r="K147" s="20"/>
      <c r="L147" s="20"/>
      <c r="M147" s="20"/>
      <c r="N147" s="20"/>
      <c r="O147" s="20"/>
      <c r="P147" s="20"/>
      <c r="Q147" s="20"/>
      <c r="R147" s="20"/>
      <c r="S147" s="20"/>
      <c r="T147" s="20"/>
      <c r="U147" s="20"/>
      <c r="V147" s="20"/>
      <c r="W147" s="20"/>
    </row>
    <row r="148" spans="1:23" x14ac:dyDescent="0.25">
      <c r="A148" s="171" t="s">
        <v>3994</v>
      </c>
      <c r="B148" s="177" t="s">
        <v>3995</v>
      </c>
      <c r="C148" s="178" t="s">
        <v>3996</v>
      </c>
      <c r="D148" s="173" t="s">
        <v>3968</v>
      </c>
      <c r="E148" s="20"/>
      <c r="F148" s="20"/>
      <c r="G148" s="175"/>
      <c r="H148" s="20"/>
      <c r="I148" s="20"/>
      <c r="J148" s="20"/>
      <c r="K148" s="20"/>
      <c r="L148" s="20"/>
      <c r="M148" s="20"/>
      <c r="N148" s="20"/>
      <c r="O148" s="20"/>
      <c r="P148" s="20"/>
      <c r="Q148" s="20"/>
      <c r="R148" s="20"/>
      <c r="S148" s="20"/>
      <c r="T148" s="20"/>
      <c r="U148" s="20"/>
      <c r="V148" s="20"/>
      <c r="W148" s="20"/>
    </row>
    <row r="149" spans="1:23" x14ac:dyDescent="0.25">
      <c r="A149" s="177" t="s">
        <v>3997</v>
      </c>
      <c r="B149" s="177" t="s">
        <v>3998</v>
      </c>
      <c r="C149" s="178" t="s">
        <v>3999</v>
      </c>
      <c r="D149" s="173" t="s">
        <v>3968</v>
      </c>
      <c r="E149" s="20"/>
      <c r="F149" s="20"/>
      <c r="G149" s="175"/>
      <c r="H149" s="20"/>
      <c r="I149" s="20"/>
      <c r="J149" s="20"/>
      <c r="K149" s="20"/>
      <c r="L149" s="20"/>
      <c r="M149" s="20"/>
      <c r="N149" s="20"/>
      <c r="O149" s="20"/>
      <c r="P149" s="20"/>
      <c r="Q149" s="20"/>
      <c r="R149" s="20"/>
      <c r="S149" s="20"/>
      <c r="T149" s="20"/>
      <c r="U149" s="20"/>
      <c r="V149" s="20"/>
      <c r="W149" s="20"/>
    </row>
    <row r="150" spans="1:23" x14ac:dyDescent="0.25">
      <c r="A150" s="177" t="s">
        <v>4000</v>
      </c>
      <c r="B150" s="177" t="s">
        <v>4001</v>
      </c>
      <c r="C150" s="178" t="s">
        <v>4002</v>
      </c>
      <c r="D150" s="173" t="s">
        <v>3968</v>
      </c>
      <c r="E150" s="20"/>
      <c r="F150" s="20"/>
      <c r="G150" s="175"/>
      <c r="H150" s="20"/>
      <c r="I150" s="20"/>
      <c r="J150" s="20"/>
      <c r="K150" s="20"/>
      <c r="L150" s="20"/>
      <c r="M150" s="20"/>
      <c r="N150" s="20"/>
      <c r="O150" s="20"/>
      <c r="P150" s="20"/>
      <c r="Q150" s="20"/>
      <c r="R150" s="20"/>
      <c r="S150" s="20"/>
      <c r="T150" s="20"/>
      <c r="U150" s="20"/>
      <c r="V150" s="20"/>
      <c r="W150" s="20"/>
    </row>
    <row r="151" spans="1:23" x14ac:dyDescent="0.25">
      <c r="A151" s="177" t="s">
        <v>4003</v>
      </c>
      <c r="B151" s="177" t="s">
        <v>4004</v>
      </c>
      <c r="C151" s="178" t="s">
        <v>4005</v>
      </c>
      <c r="D151" s="173" t="s">
        <v>3968</v>
      </c>
      <c r="E151" s="20"/>
      <c r="F151" s="20"/>
      <c r="G151" s="175"/>
      <c r="H151" s="20"/>
      <c r="I151" s="20"/>
      <c r="J151" s="20"/>
      <c r="K151" s="20"/>
      <c r="L151" s="20"/>
      <c r="M151" s="20"/>
      <c r="N151" s="20"/>
      <c r="O151" s="20"/>
      <c r="P151" s="20"/>
      <c r="Q151" s="20"/>
      <c r="R151" s="20"/>
      <c r="S151" s="20"/>
      <c r="T151" s="20"/>
      <c r="U151" s="20"/>
      <c r="V151" s="20"/>
      <c r="W151" s="20"/>
    </row>
    <row r="152" spans="1:23" x14ac:dyDescent="0.25">
      <c r="A152" s="177" t="s">
        <v>4006</v>
      </c>
      <c r="B152" s="177" t="s">
        <v>4007</v>
      </c>
      <c r="C152" s="178" t="s">
        <v>4008</v>
      </c>
      <c r="D152" s="173" t="s">
        <v>3968</v>
      </c>
      <c r="E152" s="20"/>
      <c r="F152" s="20"/>
      <c r="G152" s="175"/>
      <c r="H152" s="20"/>
      <c r="I152" s="20"/>
      <c r="J152" s="20"/>
      <c r="K152" s="20"/>
      <c r="L152" s="20"/>
      <c r="M152" s="20"/>
      <c r="N152" s="20"/>
      <c r="O152" s="20"/>
      <c r="P152" s="20"/>
      <c r="Q152" s="20"/>
      <c r="R152" s="20"/>
      <c r="S152" s="20"/>
      <c r="T152" s="20"/>
      <c r="U152" s="20"/>
      <c r="V152" s="20"/>
      <c r="W152" s="20"/>
    </row>
    <row r="153" spans="1:23" x14ac:dyDescent="0.25">
      <c r="A153" s="177" t="s">
        <v>4009</v>
      </c>
      <c r="B153" s="177" t="s">
        <v>4010</v>
      </c>
      <c r="C153" s="178" t="s">
        <v>4011</v>
      </c>
      <c r="D153" s="173" t="s">
        <v>3968</v>
      </c>
      <c r="E153" s="20"/>
      <c r="F153" s="20"/>
      <c r="G153" s="175"/>
      <c r="H153" s="20"/>
      <c r="I153" s="20"/>
      <c r="J153" s="20"/>
      <c r="K153" s="20"/>
      <c r="L153" s="20"/>
      <c r="M153" s="20"/>
      <c r="N153" s="20"/>
      <c r="O153" s="20"/>
      <c r="P153" s="20"/>
      <c r="Q153" s="20"/>
      <c r="R153" s="20"/>
      <c r="S153" s="20"/>
      <c r="T153" s="20"/>
      <c r="U153" s="20"/>
      <c r="V153" s="20"/>
      <c r="W153" s="20"/>
    </row>
    <row r="154" spans="1:23" x14ac:dyDescent="0.25">
      <c r="A154" s="177" t="s">
        <v>4012</v>
      </c>
      <c r="B154" s="177" t="s">
        <v>4013</v>
      </c>
      <c r="C154" s="178" t="s">
        <v>4014</v>
      </c>
      <c r="D154" s="173" t="s">
        <v>3968</v>
      </c>
      <c r="E154" s="20"/>
      <c r="F154" s="20"/>
      <c r="G154" s="175"/>
      <c r="H154" s="20"/>
      <c r="I154" s="20"/>
      <c r="J154" s="20"/>
      <c r="K154" s="20"/>
      <c r="L154" s="20"/>
      <c r="M154" s="20"/>
      <c r="N154" s="20"/>
      <c r="O154" s="20"/>
      <c r="P154" s="20"/>
      <c r="Q154" s="20"/>
      <c r="R154" s="20"/>
      <c r="S154" s="20"/>
      <c r="T154" s="20"/>
      <c r="U154" s="20"/>
      <c r="V154" s="20"/>
      <c r="W154" s="20"/>
    </row>
    <row r="155" spans="1:23" x14ac:dyDescent="0.25">
      <c r="A155" s="177" t="s">
        <v>4015</v>
      </c>
      <c r="B155" s="177" t="s">
        <v>4016</v>
      </c>
      <c r="C155" s="178" t="s">
        <v>4017</v>
      </c>
      <c r="D155" s="173" t="s">
        <v>3968</v>
      </c>
      <c r="E155" s="20"/>
      <c r="F155" s="20"/>
      <c r="G155" s="175"/>
      <c r="H155" s="20"/>
      <c r="I155" s="20"/>
      <c r="J155" s="20"/>
      <c r="K155" s="20"/>
      <c r="L155" s="20"/>
      <c r="M155" s="20"/>
      <c r="N155" s="20"/>
      <c r="O155" s="20"/>
      <c r="P155" s="20"/>
      <c r="Q155" s="20"/>
      <c r="R155" s="20"/>
      <c r="S155" s="20"/>
      <c r="T155" s="20"/>
      <c r="U155" s="20"/>
      <c r="V155" s="20"/>
      <c r="W155" s="20"/>
    </row>
    <row r="156" spans="1:23" x14ac:dyDescent="0.25">
      <c r="A156" s="177" t="s">
        <v>4018</v>
      </c>
      <c r="B156" s="177" t="s">
        <v>4019</v>
      </c>
      <c r="C156" s="178" t="s">
        <v>4020</v>
      </c>
      <c r="D156" s="173" t="s">
        <v>3968</v>
      </c>
      <c r="E156" s="20"/>
      <c r="F156" s="20"/>
      <c r="G156" s="175"/>
      <c r="H156" s="20"/>
      <c r="I156" s="20"/>
      <c r="J156" s="20"/>
      <c r="K156" s="20"/>
      <c r="L156" s="20"/>
      <c r="M156" s="20"/>
      <c r="N156" s="20"/>
      <c r="O156" s="20"/>
      <c r="P156" s="20"/>
      <c r="Q156" s="20"/>
      <c r="R156" s="20"/>
      <c r="S156" s="20"/>
      <c r="T156" s="20"/>
      <c r="U156" s="20"/>
      <c r="V156" s="20"/>
      <c r="W156" s="20"/>
    </row>
    <row r="157" spans="1:23" x14ac:dyDescent="0.25">
      <c r="A157" s="177" t="s">
        <v>4021</v>
      </c>
      <c r="B157" s="177" t="s">
        <v>4022</v>
      </c>
      <c r="C157" s="178" t="s">
        <v>4023</v>
      </c>
      <c r="D157" s="173" t="s">
        <v>3968</v>
      </c>
      <c r="E157" s="20"/>
      <c r="F157" s="20"/>
      <c r="G157" s="175"/>
      <c r="H157" s="20"/>
      <c r="I157" s="20"/>
      <c r="J157" s="20"/>
      <c r="K157" s="20"/>
      <c r="L157" s="20"/>
      <c r="M157" s="20"/>
      <c r="N157" s="20"/>
      <c r="O157" s="20"/>
      <c r="P157" s="20"/>
      <c r="Q157" s="20"/>
      <c r="R157" s="20"/>
      <c r="S157" s="20"/>
      <c r="T157" s="20"/>
      <c r="U157" s="20"/>
      <c r="V157" s="20"/>
      <c r="W157" s="20"/>
    </row>
    <row r="158" spans="1:23" x14ac:dyDescent="0.25">
      <c r="A158" s="177" t="s">
        <v>4024</v>
      </c>
      <c r="B158" s="177" t="s">
        <v>4025</v>
      </c>
      <c r="C158" s="178" t="s">
        <v>4026</v>
      </c>
      <c r="D158" s="173" t="s">
        <v>3968</v>
      </c>
      <c r="E158" s="20"/>
      <c r="F158" s="20"/>
      <c r="G158" s="175"/>
      <c r="H158" s="20"/>
      <c r="I158" s="20"/>
      <c r="J158" s="20"/>
      <c r="K158" s="20"/>
      <c r="L158" s="20"/>
      <c r="M158" s="20"/>
      <c r="N158" s="20"/>
      <c r="O158" s="20"/>
      <c r="P158" s="20"/>
      <c r="Q158" s="20"/>
      <c r="R158" s="20"/>
      <c r="S158" s="20"/>
      <c r="T158" s="20"/>
      <c r="U158" s="20"/>
      <c r="V158" s="20"/>
      <c r="W158" s="20"/>
    </row>
    <row r="159" spans="1:23" x14ac:dyDescent="0.25">
      <c r="A159" s="177" t="s">
        <v>4027</v>
      </c>
      <c r="B159" s="177" t="s">
        <v>4028</v>
      </c>
      <c r="C159" s="178" t="s">
        <v>4029</v>
      </c>
      <c r="D159" s="173" t="s">
        <v>3968</v>
      </c>
      <c r="E159" s="20"/>
      <c r="F159" s="20"/>
      <c r="G159" s="175"/>
      <c r="H159" s="20"/>
      <c r="I159" s="20"/>
      <c r="J159" s="20"/>
      <c r="K159" s="20"/>
      <c r="L159" s="20"/>
      <c r="M159" s="20"/>
      <c r="N159" s="20"/>
      <c r="O159" s="20"/>
      <c r="P159" s="20"/>
      <c r="Q159" s="20"/>
      <c r="R159" s="20"/>
      <c r="S159" s="20"/>
      <c r="T159" s="20"/>
      <c r="U159" s="20"/>
      <c r="V159" s="20"/>
      <c r="W159" s="20"/>
    </row>
    <row r="160" spans="1:23" x14ac:dyDescent="0.25">
      <c r="A160" s="177" t="s">
        <v>4030</v>
      </c>
      <c r="B160" s="177" t="s">
        <v>4031</v>
      </c>
      <c r="C160" s="178" t="s">
        <v>4032</v>
      </c>
      <c r="D160" s="173" t="s">
        <v>3968</v>
      </c>
      <c r="E160" s="20"/>
      <c r="F160" s="20"/>
      <c r="G160" s="175"/>
      <c r="H160" s="20"/>
      <c r="I160" s="20"/>
      <c r="J160" s="20"/>
      <c r="K160" s="20"/>
      <c r="L160" s="20"/>
      <c r="M160" s="20"/>
      <c r="N160" s="20"/>
      <c r="O160" s="20"/>
      <c r="P160" s="20"/>
      <c r="Q160" s="20"/>
      <c r="R160" s="20"/>
      <c r="S160" s="20"/>
      <c r="T160" s="20"/>
      <c r="U160" s="20"/>
      <c r="V160" s="20"/>
      <c r="W160" s="20"/>
    </row>
    <row r="161" spans="1:23" x14ac:dyDescent="0.25">
      <c r="A161" s="177" t="s">
        <v>4033</v>
      </c>
      <c r="B161" s="177" t="s">
        <v>4034</v>
      </c>
      <c r="C161" s="178" t="s">
        <v>4035</v>
      </c>
      <c r="D161" s="173" t="s">
        <v>3968</v>
      </c>
      <c r="E161" s="20"/>
      <c r="F161" s="20"/>
      <c r="G161" s="175"/>
      <c r="H161" s="20"/>
      <c r="I161" s="20"/>
      <c r="J161" s="20"/>
      <c r="K161" s="20"/>
      <c r="L161" s="20"/>
      <c r="M161" s="20"/>
      <c r="N161" s="20"/>
      <c r="O161" s="20"/>
      <c r="P161" s="20"/>
      <c r="Q161" s="20"/>
      <c r="R161" s="20"/>
      <c r="S161" s="20"/>
      <c r="T161" s="20"/>
      <c r="U161" s="20"/>
      <c r="V161" s="20"/>
      <c r="W161" s="20"/>
    </row>
    <row r="162" spans="1:23" x14ac:dyDescent="0.25">
      <c r="A162" s="177" t="s">
        <v>4036</v>
      </c>
      <c r="B162" s="177" t="s">
        <v>2091</v>
      </c>
      <c r="C162" s="178" t="s">
        <v>4037</v>
      </c>
      <c r="D162" s="173" t="s">
        <v>3968</v>
      </c>
      <c r="E162" s="20"/>
      <c r="F162" s="20"/>
      <c r="G162" s="175"/>
      <c r="H162" s="20"/>
      <c r="I162" s="20"/>
      <c r="J162" s="20"/>
      <c r="K162" s="20"/>
      <c r="L162" s="20"/>
      <c r="M162" s="20"/>
      <c r="N162" s="20"/>
      <c r="O162" s="20"/>
      <c r="P162" s="20"/>
      <c r="Q162" s="20"/>
      <c r="R162" s="20"/>
      <c r="S162" s="20"/>
      <c r="T162" s="20"/>
      <c r="U162" s="20"/>
      <c r="V162" s="20"/>
      <c r="W162" s="20"/>
    </row>
    <row r="163" spans="1:23" x14ac:dyDescent="0.25">
      <c r="A163" s="177" t="s">
        <v>4038</v>
      </c>
      <c r="B163" s="177" t="s">
        <v>4039</v>
      </c>
      <c r="C163" s="178" t="s">
        <v>4040</v>
      </c>
      <c r="D163" s="173" t="s">
        <v>3968</v>
      </c>
      <c r="E163" s="20"/>
      <c r="F163" s="20"/>
      <c r="G163" s="175"/>
      <c r="H163" s="20"/>
      <c r="I163" s="20"/>
      <c r="J163" s="20"/>
      <c r="K163" s="20"/>
      <c r="L163" s="20"/>
      <c r="M163" s="20"/>
      <c r="N163" s="20"/>
      <c r="O163" s="20"/>
      <c r="P163" s="20"/>
      <c r="Q163" s="20"/>
      <c r="R163" s="20"/>
      <c r="S163" s="20"/>
      <c r="T163" s="20"/>
      <c r="U163" s="20"/>
      <c r="V163" s="20"/>
      <c r="W163" s="20"/>
    </row>
    <row r="164" spans="1:23" x14ac:dyDescent="0.25">
      <c r="A164" s="177" t="s">
        <v>4041</v>
      </c>
      <c r="B164" s="177" t="s">
        <v>1644</v>
      </c>
      <c r="C164" s="178" t="s">
        <v>4042</v>
      </c>
      <c r="D164" s="173" t="s">
        <v>3968</v>
      </c>
      <c r="E164" s="20"/>
      <c r="F164" s="20"/>
      <c r="G164" s="175"/>
      <c r="H164" s="20"/>
      <c r="I164" s="20"/>
      <c r="J164" s="20"/>
      <c r="K164" s="20"/>
      <c r="L164" s="20"/>
      <c r="M164" s="20"/>
      <c r="N164" s="20"/>
      <c r="O164" s="20"/>
      <c r="P164" s="20"/>
      <c r="Q164" s="20"/>
      <c r="R164" s="20"/>
      <c r="S164" s="20"/>
      <c r="T164" s="20"/>
      <c r="U164" s="20"/>
      <c r="V164" s="20"/>
      <c r="W164" s="20"/>
    </row>
    <row r="165" spans="1:23" x14ac:dyDescent="0.25">
      <c r="A165" s="177" t="s">
        <v>4043</v>
      </c>
      <c r="B165" s="177" t="s">
        <v>4044</v>
      </c>
      <c r="C165" s="178" t="s">
        <v>4045</v>
      </c>
      <c r="D165" s="173" t="s">
        <v>3968</v>
      </c>
      <c r="E165" s="20"/>
      <c r="F165" s="20"/>
      <c r="G165" s="175"/>
      <c r="H165" s="20"/>
      <c r="I165" s="20"/>
      <c r="J165" s="20"/>
      <c r="K165" s="20"/>
      <c r="L165" s="20"/>
      <c r="M165" s="20"/>
      <c r="N165" s="20"/>
      <c r="O165" s="20"/>
      <c r="P165" s="20"/>
      <c r="Q165" s="20"/>
      <c r="R165" s="20"/>
      <c r="S165" s="20"/>
      <c r="T165" s="20"/>
      <c r="U165" s="20"/>
      <c r="V165" s="20"/>
      <c r="W165" s="20"/>
    </row>
    <row r="166" spans="1:23" x14ac:dyDescent="0.25">
      <c r="A166" s="177" t="s">
        <v>4046</v>
      </c>
      <c r="B166" s="177" t="s">
        <v>4047</v>
      </c>
      <c r="C166" s="178" t="s">
        <v>4048</v>
      </c>
      <c r="D166" s="173" t="s">
        <v>3968</v>
      </c>
      <c r="E166" s="20"/>
      <c r="F166" s="20"/>
      <c r="G166" s="175"/>
      <c r="H166" s="20"/>
      <c r="I166" s="20"/>
      <c r="J166" s="20"/>
      <c r="K166" s="20"/>
      <c r="L166" s="20"/>
      <c r="M166" s="20"/>
      <c r="N166" s="20"/>
      <c r="O166" s="20"/>
      <c r="P166" s="20"/>
      <c r="Q166" s="20"/>
      <c r="R166" s="20"/>
      <c r="S166" s="20"/>
      <c r="T166" s="20"/>
      <c r="U166" s="20"/>
      <c r="V166" s="20"/>
      <c r="W166" s="20"/>
    </row>
    <row r="167" spans="1:23" x14ac:dyDescent="0.25">
      <c r="A167" s="177" t="s">
        <v>4049</v>
      </c>
      <c r="B167" s="177" t="s">
        <v>4050</v>
      </c>
      <c r="C167" s="178" t="s">
        <v>4051</v>
      </c>
      <c r="D167" s="173" t="s">
        <v>3968</v>
      </c>
      <c r="E167" s="20"/>
      <c r="F167" s="20"/>
      <c r="G167" s="175"/>
      <c r="H167" s="20"/>
      <c r="I167" s="20"/>
      <c r="J167" s="20"/>
      <c r="K167" s="20"/>
      <c r="L167" s="20"/>
      <c r="M167" s="20"/>
      <c r="N167" s="20"/>
      <c r="O167" s="20"/>
      <c r="P167" s="20"/>
      <c r="Q167" s="20"/>
      <c r="R167" s="20"/>
      <c r="S167" s="20"/>
      <c r="T167" s="20"/>
      <c r="U167" s="20"/>
      <c r="V167" s="20"/>
      <c r="W167" s="20"/>
    </row>
    <row r="168" spans="1:23" x14ac:dyDescent="0.25">
      <c r="A168" s="177" t="s">
        <v>4052</v>
      </c>
      <c r="B168" s="177" t="s">
        <v>568</v>
      </c>
      <c r="C168" s="178" t="s">
        <v>4053</v>
      </c>
      <c r="D168" s="173" t="s">
        <v>3968</v>
      </c>
      <c r="E168" s="20"/>
      <c r="F168" s="20"/>
      <c r="G168" s="175"/>
      <c r="H168" s="20"/>
      <c r="I168" s="20"/>
      <c r="J168" s="20"/>
      <c r="K168" s="20"/>
      <c r="L168" s="20"/>
      <c r="M168" s="20"/>
      <c r="N168" s="20"/>
      <c r="O168" s="20"/>
      <c r="P168" s="20"/>
      <c r="Q168" s="20"/>
      <c r="R168" s="20"/>
      <c r="S168" s="20"/>
      <c r="T168" s="20"/>
      <c r="U168" s="20"/>
      <c r="V168" s="20"/>
      <c r="W168" s="20"/>
    </row>
    <row r="169" spans="1:23" x14ac:dyDescent="0.25">
      <c r="A169" s="177" t="s">
        <v>4054</v>
      </c>
      <c r="B169" s="177" t="s">
        <v>4055</v>
      </c>
      <c r="C169" s="178" t="s">
        <v>4056</v>
      </c>
      <c r="D169" s="173" t="s">
        <v>3968</v>
      </c>
      <c r="E169" s="20"/>
      <c r="F169" s="20"/>
      <c r="G169" s="175"/>
      <c r="H169" s="20"/>
      <c r="I169" s="20"/>
      <c r="J169" s="20"/>
      <c r="K169" s="20"/>
      <c r="L169" s="20"/>
      <c r="M169" s="20"/>
      <c r="N169" s="20"/>
      <c r="O169" s="20"/>
      <c r="P169" s="20"/>
      <c r="Q169" s="20"/>
      <c r="R169" s="20"/>
      <c r="S169" s="20"/>
      <c r="T169" s="20"/>
      <c r="U169" s="20"/>
      <c r="V169" s="20"/>
      <c r="W169" s="20"/>
    </row>
    <row r="170" spans="1:23" x14ac:dyDescent="0.25">
      <c r="A170" s="177" t="s">
        <v>4057</v>
      </c>
      <c r="B170" s="177" t="s">
        <v>4058</v>
      </c>
      <c r="C170" s="178" t="s">
        <v>4059</v>
      </c>
      <c r="D170" s="173" t="s">
        <v>3968</v>
      </c>
      <c r="E170" s="20"/>
      <c r="F170" s="20"/>
      <c r="G170" s="175"/>
      <c r="H170" s="20"/>
      <c r="I170" s="20"/>
      <c r="J170" s="20"/>
      <c r="K170" s="20"/>
      <c r="L170" s="20"/>
      <c r="M170" s="20"/>
      <c r="N170" s="20"/>
      <c r="O170" s="20"/>
      <c r="P170" s="20"/>
      <c r="Q170" s="20"/>
      <c r="R170" s="20"/>
      <c r="S170" s="20"/>
      <c r="T170" s="20"/>
      <c r="U170" s="20"/>
      <c r="V170" s="20"/>
      <c r="W170" s="20"/>
    </row>
    <row r="171" spans="1:23" x14ac:dyDescent="0.25">
      <c r="A171" s="177" t="s">
        <v>4060</v>
      </c>
      <c r="B171" s="177" t="s">
        <v>4061</v>
      </c>
      <c r="C171" s="178" t="s">
        <v>4062</v>
      </c>
      <c r="D171" s="173" t="s">
        <v>3968</v>
      </c>
      <c r="E171" s="20"/>
      <c r="F171" s="20"/>
      <c r="G171" s="175"/>
      <c r="H171" s="20"/>
      <c r="I171" s="20"/>
      <c r="J171" s="20"/>
      <c r="K171" s="20"/>
      <c r="L171" s="20"/>
      <c r="M171" s="20"/>
      <c r="N171" s="20"/>
      <c r="O171" s="20"/>
      <c r="P171" s="20"/>
      <c r="Q171" s="20"/>
      <c r="R171" s="20"/>
      <c r="S171" s="20"/>
      <c r="T171" s="20"/>
      <c r="U171" s="20"/>
      <c r="V171" s="20"/>
      <c r="W171" s="20"/>
    </row>
    <row r="172" spans="1:23" x14ac:dyDescent="0.25">
      <c r="A172" s="177" t="s">
        <v>4063</v>
      </c>
      <c r="B172" s="177" t="s">
        <v>4064</v>
      </c>
      <c r="C172" s="178" t="s">
        <v>4065</v>
      </c>
      <c r="D172" s="173" t="s">
        <v>3968</v>
      </c>
      <c r="E172" s="20"/>
      <c r="F172" s="20"/>
      <c r="G172" s="175"/>
      <c r="H172" s="20"/>
      <c r="I172" s="20"/>
      <c r="J172" s="20"/>
      <c r="K172" s="20"/>
      <c r="L172" s="20"/>
      <c r="M172" s="20"/>
      <c r="N172" s="20"/>
      <c r="O172" s="20"/>
      <c r="P172" s="20"/>
      <c r="Q172" s="20"/>
      <c r="R172" s="20"/>
      <c r="S172" s="20"/>
      <c r="T172" s="20"/>
      <c r="U172" s="20"/>
      <c r="V172" s="20"/>
      <c r="W172" s="20"/>
    </row>
    <row r="173" spans="1:23" x14ac:dyDescent="0.25">
      <c r="A173" s="177" t="s">
        <v>4066</v>
      </c>
      <c r="B173" s="177" t="s">
        <v>4067</v>
      </c>
      <c r="C173" s="178" t="s">
        <v>4068</v>
      </c>
      <c r="D173" s="173" t="s">
        <v>3968</v>
      </c>
      <c r="E173" s="20"/>
      <c r="F173" s="20"/>
      <c r="G173" s="175"/>
      <c r="H173" s="20"/>
      <c r="I173" s="20"/>
      <c r="J173" s="20"/>
      <c r="K173" s="20"/>
      <c r="L173" s="20"/>
      <c r="M173" s="20"/>
      <c r="N173" s="20"/>
      <c r="O173" s="20"/>
      <c r="P173" s="20"/>
      <c r="Q173" s="20"/>
      <c r="R173" s="20"/>
      <c r="S173" s="20"/>
      <c r="T173" s="20"/>
      <c r="U173" s="20"/>
      <c r="V173" s="20"/>
      <c r="W173" s="20"/>
    </row>
    <row r="174" spans="1:23" x14ac:dyDescent="0.25">
      <c r="A174" s="171" t="s">
        <v>4069</v>
      </c>
      <c r="B174" s="177" t="s">
        <v>1680</v>
      </c>
      <c r="C174" s="178" t="s">
        <v>4070</v>
      </c>
      <c r="D174" s="173" t="s">
        <v>3968</v>
      </c>
      <c r="E174" s="20"/>
      <c r="F174" s="20"/>
      <c r="G174" s="175"/>
      <c r="H174" s="20"/>
      <c r="I174" s="20"/>
      <c r="J174" s="20"/>
      <c r="K174" s="20"/>
      <c r="L174" s="20"/>
      <c r="M174" s="20"/>
      <c r="N174" s="20"/>
      <c r="O174" s="20"/>
      <c r="P174" s="20"/>
      <c r="Q174" s="20"/>
      <c r="R174" s="20"/>
      <c r="S174" s="20"/>
      <c r="T174" s="20"/>
      <c r="U174" s="20"/>
      <c r="V174" s="20"/>
      <c r="W174" s="20"/>
    </row>
    <row r="175" spans="1:23" x14ac:dyDescent="0.25">
      <c r="A175" s="171" t="s">
        <v>4071</v>
      </c>
      <c r="B175" s="177" t="s">
        <v>1682</v>
      </c>
      <c r="C175" s="178" t="s">
        <v>4072</v>
      </c>
      <c r="D175" s="173" t="s">
        <v>3968</v>
      </c>
      <c r="E175" s="20"/>
      <c r="F175" s="20"/>
      <c r="G175" s="175"/>
      <c r="H175" s="20"/>
      <c r="I175" s="20"/>
      <c r="J175" s="20"/>
      <c r="K175" s="20"/>
      <c r="L175" s="20"/>
      <c r="M175" s="20"/>
      <c r="N175" s="20"/>
      <c r="O175" s="20"/>
      <c r="P175" s="20"/>
      <c r="Q175" s="20"/>
      <c r="R175" s="20"/>
      <c r="S175" s="20"/>
      <c r="T175" s="20"/>
      <c r="U175" s="20"/>
      <c r="V175" s="20"/>
      <c r="W175" s="20"/>
    </row>
    <row r="176" spans="1:23" x14ac:dyDescent="0.25">
      <c r="A176" s="177" t="s">
        <v>4073</v>
      </c>
      <c r="B176" s="177" t="s">
        <v>117</v>
      </c>
      <c r="C176" s="178" t="s">
        <v>4074</v>
      </c>
      <c r="D176" s="173" t="s">
        <v>3633</v>
      </c>
      <c r="E176" s="20"/>
      <c r="F176" s="20"/>
      <c r="G176" s="174">
        <v>20</v>
      </c>
      <c r="H176" s="20"/>
      <c r="I176" s="20"/>
      <c r="J176" s="20"/>
      <c r="K176" s="20"/>
      <c r="L176" s="20"/>
      <c r="M176" s="20"/>
      <c r="N176" s="20"/>
      <c r="O176" s="20"/>
      <c r="P176" s="20"/>
      <c r="Q176" s="20"/>
      <c r="R176" s="20"/>
      <c r="S176" s="20"/>
      <c r="T176" s="20"/>
      <c r="U176" s="20"/>
      <c r="V176" s="20"/>
      <c r="W176" s="20"/>
    </row>
    <row r="177" spans="1:23" x14ac:dyDescent="0.25">
      <c r="A177" s="177" t="s">
        <v>4075</v>
      </c>
      <c r="B177" s="177" t="s">
        <v>129</v>
      </c>
      <c r="C177" s="178" t="s">
        <v>4076</v>
      </c>
      <c r="D177" s="173" t="s">
        <v>3633</v>
      </c>
      <c r="E177" s="20"/>
      <c r="F177" s="20"/>
      <c r="G177" s="174">
        <v>20</v>
      </c>
      <c r="H177" s="20"/>
      <c r="I177" s="20"/>
      <c r="J177" s="20"/>
      <c r="K177" s="20"/>
      <c r="L177" s="20"/>
      <c r="M177" s="20"/>
      <c r="N177" s="20"/>
      <c r="O177" s="20"/>
      <c r="P177" s="20"/>
      <c r="Q177" s="20"/>
      <c r="R177" s="20"/>
      <c r="S177" s="20"/>
      <c r="T177" s="20"/>
      <c r="U177" s="20"/>
      <c r="V177" s="20"/>
      <c r="W177" s="20"/>
    </row>
    <row r="178" spans="1:23" x14ac:dyDescent="0.25">
      <c r="A178" s="177" t="s">
        <v>4077</v>
      </c>
      <c r="B178" s="177" t="s">
        <v>271</v>
      </c>
      <c r="C178" s="178" t="s">
        <v>4078</v>
      </c>
      <c r="D178" s="173" t="s">
        <v>3880</v>
      </c>
      <c r="E178" s="20"/>
      <c r="F178" s="20"/>
      <c r="G178" s="174">
        <v>10</v>
      </c>
      <c r="H178" s="20"/>
      <c r="I178" s="20"/>
      <c r="J178" s="20"/>
      <c r="K178" s="20"/>
      <c r="L178" s="20"/>
      <c r="M178" s="20"/>
      <c r="N178" s="20"/>
      <c r="O178" s="20"/>
      <c r="P178" s="20"/>
      <c r="Q178" s="20"/>
      <c r="R178" s="20"/>
      <c r="S178" s="20"/>
      <c r="T178" s="20"/>
      <c r="U178" s="20"/>
      <c r="V178" s="20"/>
      <c r="W178" s="20"/>
    </row>
    <row r="179" spans="1:23" x14ac:dyDescent="0.25">
      <c r="A179" s="177" t="s">
        <v>4079</v>
      </c>
      <c r="B179" s="177" t="s">
        <v>273</v>
      </c>
      <c r="C179" s="178" t="s">
        <v>4080</v>
      </c>
      <c r="D179" s="173" t="s">
        <v>3880</v>
      </c>
      <c r="E179" s="20"/>
      <c r="F179" s="20"/>
      <c r="G179" s="174">
        <v>10</v>
      </c>
      <c r="H179" s="20"/>
      <c r="I179" s="20"/>
      <c r="J179" s="20"/>
      <c r="K179" s="20"/>
      <c r="L179" s="20"/>
      <c r="M179" s="20"/>
      <c r="N179" s="20"/>
      <c r="O179" s="20"/>
      <c r="P179" s="20"/>
      <c r="Q179" s="20"/>
      <c r="R179" s="20"/>
      <c r="S179" s="20"/>
      <c r="T179" s="20"/>
      <c r="U179" s="20"/>
      <c r="V179" s="20"/>
      <c r="W179" s="20"/>
    </row>
    <row r="180" spans="1:23" x14ac:dyDescent="0.25">
      <c r="A180" s="177" t="s">
        <v>4081</v>
      </c>
      <c r="B180" s="177" t="s">
        <v>274</v>
      </c>
      <c r="C180" s="178" t="s">
        <v>4082</v>
      </c>
      <c r="D180" s="173" t="s">
        <v>3880</v>
      </c>
      <c r="E180" s="20"/>
      <c r="F180" s="20"/>
      <c r="G180" s="174">
        <v>10</v>
      </c>
      <c r="H180" s="20"/>
      <c r="I180" s="20"/>
      <c r="J180" s="20"/>
      <c r="K180" s="20"/>
      <c r="L180" s="20"/>
      <c r="M180" s="20"/>
      <c r="N180" s="20"/>
      <c r="O180" s="20"/>
      <c r="P180" s="20"/>
      <c r="Q180" s="20"/>
      <c r="R180" s="20"/>
      <c r="S180" s="20"/>
      <c r="T180" s="20"/>
      <c r="U180" s="20"/>
      <c r="V180" s="20"/>
      <c r="W180" s="20"/>
    </row>
    <row r="181" spans="1:23" x14ac:dyDescent="0.25">
      <c r="A181" s="177" t="s">
        <v>4083</v>
      </c>
      <c r="B181" s="177" t="s">
        <v>275</v>
      </c>
      <c r="C181" s="178" t="s">
        <v>4084</v>
      </c>
      <c r="D181" s="173" t="s">
        <v>3880</v>
      </c>
      <c r="E181" s="20"/>
      <c r="F181" s="20"/>
      <c r="G181" s="174">
        <v>10</v>
      </c>
      <c r="H181" s="20"/>
      <c r="I181" s="20"/>
      <c r="J181" s="20"/>
      <c r="K181" s="20"/>
      <c r="L181" s="20"/>
      <c r="M181" s="20"/>
      <c r="N181" s="20"/>
      <c r="O181" s="20"/>
      <c r="P181" s="20"/>
      <c r="Q181" s="20"/>
      <c r="R181" s="20"/>
      <c r="S181" s="20"/>
      <c r="T181" s="20"/>
      <c r="U181" s="20"/>
      <c r="V181" s="20"/>
      <c r="W181" s="20"/>
    </row>
    <row r="182" spans="1:23" x14ac:dyDescent="0.25">
      <c r="A182" s="177" t="s">
        <v>4085</v>
      </c>
      <c r="B182" s="177" t="s">
        <v>276</v>
      </c>
      <c r="C182" s="178" t="s">
        <v>4086</v>
      </c>
      <c r="D182" s="173" t="s">
        <v>3880</v>
      </c>
      <c r="E182" s="20"/>
      <c r="F182" s="20"/>
      <c r="G182" s="174">
        <v>10</v>
      </c>
      <c r="H182" s="20"/>
      <c r="I182" s="20"/>
      <c r="J182" s="20"/>
      <c r="K182" s="20"/>
      <c r="L182" s="20"/>
      <c r="M182" s="20"/>
      <c r="N182" s="20"/>
      <c r="O182" s="20"/>
      <c r="P182" s="20"/>
      <c r="Q182" s="20"/>
      <c r="R182" s="20"/>
      <c r="S182" s="20"/>
      <c r="T182" s="20"/>
      <c r="U182" s="20"/>
      <c r="V182" s="20"/>
      <c r="W182" s="20"/>
    </row>
    <row r="183" spans="1:23" x14ac:dyDescent="0.25">
      <c r="A183" s="177" t="s">
        <v>4087</v>
      </c>
      <c r="B183" s="177" t="s">
        <v>277</v>
      </c>
      <c r="C183" s="178" t="s">
        <v>4088</v>
      </c>
      <c r="D183" s="173" t="s">
        <v>3880</v>
      </c>
      <c r="E183" s="20"/>
      <c r="F183" s="20"/>
      <c r="G183" s="174">
        <v>10</v>
      </c>
      <c r="H183" s="20"/>
      <c r="I183" s="20"/>
      <c r="J183" s="20"/>
      <c r="K183" s="20"/>
      <c r="L183" s="20"/>
      <c r="M183" s="20"/>
      <c r="N183" s="20"/>
      <c r="O183" s="20"/>
      <c r="P183" s="20"/>
      <c r="Q183" s="20"/>
      <c r="R183" s="20"/>
      <c r="S183" s="20"/>
      <c r="T183" s="20"/>
      <c r="U183" s="20"/>
      <c r="V183" s="20"/>
      <c r="W183" s="20"/>
    </row>
    <row r="184" spans="1:23" x14ac:dyDescent="0.25">
      <c r="A184" s="177" t="s">
        <v>4089</v>
      </c>
      <c r="B184" s="177" t="s">
        <v>278</v>
      </c>
      <c r="C184" s="178" t="s">
        <v>4090</v>
      </c>
      <c r="D184" s="173" t="s">
        <v>3880</v>
      </c>
      <c r="E184" s="20"/>
      <c r="F184" s="20"/>
      <c r="G184" s="174">
        <v>10</v>
      </c>
      <c r="H184" s="20"/>
      <c r="I184" s="20"/>
      <c r="J184" s="20"/>
      <c r="K184" s="20"/>
      <c r="L184" s="20"/>
      <c r="M184" s="20"/>
      <c r="N184" s="20"/>
      <c r="O184" s="20"/>
      <c r="P184" s="20"/>
      <c r="Q184" s="20"/>
      <c r="R184" s="20"/>
      <c r="S184" s="20"/>
      <c r="T184" s="20"/>
      <c r="U184" s="20"/>
      <c r="V184" s="20"/>
      <c r="W184" s="20"/>
    </row>
    <row r="185" spans="1:23" x14ac:dyDescent="0.25">
      <c r="A185" s="177" t="s">
        <v>4091</v>
      </c>
      <c r="B185" s="177" t="s">
        <v>279</v>
      </c>
      <c r="C185" s="178" t="s">
        <v>4092</v>
      </c>
      <c r="D185" s="173" t="s">
        <v>3880</v>
      </c>
      <c r="E185" s="20"/>
      <c r="F185" s="20"/>
      <c r="G185" s="174">
        <v>10</v>
      </c>
      <c r="H185" s="20"/>
      <c r="I185" s="20"/>
      <c r="J185" s="20"/>
      <c r="K185" s="20"/>
      <c r="L185" s="20"/>
      <c r="M185" s="20"/>
      <c r="N185" s="20"/>
      <c r="O185" s="20"/>
      <c r="P185" s="20"/>
      <c r="Q185" s="20"/>
      <c r="R185" s="20"/>
      <c r="S185" s="20"/>
      <c r="T185" s="20"/>
      <c r="U185" s="20"/>
      <c r="V185" s="20"/>
      <c r="W185" s="20"/>
    </row>
    <row r="186" spans="1:23" x14ac:dyDescent="0.25">
      <c r="A186" s="177" t="s">
        <v>4093</v>
      </c>
      <c r="B186" s="177" t="s">
        <v>280</v>
      </c>
      <c r="C186" s="178" t="s">
        <v>4094</v>
      </c>
      <c r="D186" s="173" t="s">
        <v>3880</v>
      </c>
      <c r="E186" s="20"/>
      <c r="F186" s="20"/>
      <c r="G186" s="174">
        <v>10</v>
      </c>
      <c r="H186" s="20"/>
      <c r="I186" s="20"/>
      <c r="J186" s="20"/>
      <c r="K186" s="20"/>
      <c r="L186" s="20"/>
      <c r="M186" s="20"/>
      <c r="N186" s="20"/>
      <c r="O186" s="20"/>
      <c r="P186" s="20"/>
      <c r="Q186" s="20"/>
      <c r="R186" s="20"/>
      <c r="S186" s="20"/>
      <c r="T186" s="20"/>
      <c r="U186" s="20"/>
      <c r="V186" s="20"/>
      <c r="W186" s="20"/>
    </row>
    <row r="187" spans="1:23" x14ac:dyDescent="0.25">
      <c r="A187" s="177" t="s">
        <v>4095</v>
      </c>
      <c r="B187" s="177" t="s">
        <v>281</v>
      </c>
      <c r="C187" s="178" t="s">
        <v>4096</v>
      </c>
      <c r="D187" s="173" t="s">
        <v>3880</v>
      </c>
      <c r="E187" s="20"/>
      <c r="F187" s="20"/>
      <c r="G187" s="174">
        <v>10</v>
      </c>
      <c r="H187" s="20"/>
      <c r="I187" s="20"/>
      <c r="J187" s="20"/>
      <c r="K187" s="20"/>
      <c r="L187" s="20"/>
      <c r="M187" s="20"/>
      <c r="N187" s="20"/>
      <c r="O187" s="20"/>
      <c r="P187" s="20"/>
      <c r="Q187" s="20"/>
      <c r="R187" s="20"/>
      <c r="S187" s="20"/>
      <c r="T187" s="20"/>
      <c r="U187" s="20"/>
      <c r="V187" s="20"/>
      <c r="W187" s="20"/>
    </row>
    <row r="188" spans="1:23" x14ac:dyDescent="0.25">
      <c r="A188" s="177" t="s">
        <v>4097</v>
      </c>
      <c r="B188" s="177" t="s">
        <v>282</v>
      </c>
      <c r="C188" s="178" t="s">
        <v>4098</v>
      </c>
      <c r="D188" s="173" t="s">
        <v>3880</v>
      </c>
      <c r="E188" s="20"/>
      <c r="F188" s="20"/>
      <c r="G188" s="174">
        <v>10</v>
      </c>
      <c r="H188" s="20"/>
      <c r="I188" s="20"/>
      <c r="J188" s="20"/>
      <c r="K188" s="20"/>
      <c r="L188" s="20"/>
      <c r="M188" s="20"/>
      <c r="N188" s="20"/>
      <c r="O188" s="20"/>
      <c r="P188" s="20"/>
      <c r="Q188" s="20"/>
      <c r="R188" s="20"/>
      <c r="S188" s="20"/>
      <c r="T188" s="20"/>
      <c r="U188" s="20"/>
      <c r="V188" s="20"/>
      <c r="W188" s="20"/>
    </row>
    <row r="189" spans="1:23" x14ac:dyDescent="0.25">
      <c r="A189" s="177" t="s">
        <v>4099</v>
      </c>
      <c r="B189" s="177" t="s">
        <v>283</v>
      </c>
      <c r="C189" s="178" t="s">
        <v>4100</v>
      </c>
      <c r="D189" s="173" t="s">
        <v>3880</v>
      </c>
      <c r="E189" s="20"/>
      <c r="F189" s="20"/>
      <c r="G189" s="174">
        <v>10</v>
      </c>
      <c r="H189" s="20"/>
      <c r="I189" s="20"/>
      <c r="J189" s="20"/>
      <c r="K189" s="20"/>
      <c r="L189" s="20"/>
      <c r="M189" s="20"/>
      <c r="N189" s="20"/>
      <c r="O189" s="20"/>
      <c r="P189" s="20"/>
      <c r="Q189" s="20"/>
      <c r="R189" s="20"/>
      <c r="S189" s="20"/>
      <c r="T189" s="20"/>
      <c r="U189" s="20"/>
      <c r="V189" s="20"/>
      <c r="W189" s="20"/>
    </row>
    <row r="190" spans="1:23" x14ac:dyDescent="0.25">
      <c r="A190" s="177" t="s">
        <v>4101</v>
      </c>
      <c r="B190" s="177" t="s">
        <v>284</v>
      </c>
      <c r="C190" s="178" t="s">
        <v>4102</v>
      </c>
      <c r="D190" s="173" t="s">
        <v>3880</v>
      </c>
      <c r="E190" s="20"/>
      <c r="F190" s="20"/>
      <c r="G190" s="174">
        <v>10</v>
      </c>
      <c r="H190" s="20"/>
      <c r="I190" s="20"/>
      <c r="J190" s="20"/>
      <c r="K190" s="20"/>
      <c r="L190" s="20"/>
      <c r="M190" s="20"/>
      <c r="N190" s="20"/>
      <c r="O190" s="20"/>
      <c r="P190" s="20"/>
      <c r="Q190" s="20"/>
      <c r="R190" s="20"/>
      <c r="S190" s="20"/>
      <c r="T190" s="20"/>
      <c r="U190" s="20"/>
      <c r="V190" s="20"/>
      <c r="W190" s="20"/>
    </row>
    <row r="191" spans="1:23" x14ac:dyDescent="0.25">
      <c r="A191" s="177" t="s">
        <v>4103</v>
      </c>
      <c r="B191" s="177" t="s">
        <v>285</v>
      </c>
      <c r="C191" s="178" t="s">
        <v>4104</v>
      </c>
      <c r="D191" s="173" t="s">
        <v>3880</v>
      </c>
      <c r="E191" s="20"/>
      <c r="F191" s="20"/>
      <c r="G191" s="174">
        <v>10</v>
      </c>
      <c r="H191" s="20"/>
      <c r="I191" s="20"/>
      <c r="J191" s="20"/>
      <c r="K191" s="20"/>
      <c r="L191" s="20"/>
      <c r="M191" s="20"/>
      <c r="N191" s="20"/>
      <c r="O191" s="20"/>
      <c r="P191" s="20"/>
      <c r="Q191" s="20"/>
      <c r="R191" s="20"/>
      <c r="S191" s="20"/>
      <c r="T191" s="20"/>
      <c r="U191" s="20"/>
      <c r="V191" s="20"/>
      <c r="W191" s="20"/>
    </row>
    <row r="192" spans="1:23" x14ac:dyDescent="0.25">
      <c r="A192" s="177" t="s">
        <v>4105</v>
      </c>
      <c r="B192" s="177" t="s">
        <v>4106</v>
      </c>
      <c r="C192" s="178" t="s">
        <v>4107</v>
      </c>
      <c r="D192" s="173" t="s">
        <v>3880</v>
      </c>
      <c r="E192" s="20"/>
      <c r="F192" s="20"/>
      <c r="G192" s="174">
        <v>10</v>
      </c>
      <c r="H192" s="20"/>
      <c r="I192" s="20"/>
      <c r="J192" s="20"/>
      <c r="K192" s="20"/>
      <c r="L192" s="20"/>
      <c r="M192" s="20"/>
      <c r="N192" s="20"/>
      <c r="O192" s="20"/>
      <c r="P192" s="20"/>
      <c r="Q192" s="20"/>
      <c r="R192" s="20"/>
      <c r="S192" s="20"/>
      <c r="T192" s="20"/>
      <c r="U192" s="20"/>
      <c r="V192" s="20"/>
      <c r="W192" s="20"/>
    </row>
    <row r="193" spans="1:23" x14ac:dyDescent="0.25">
      <c r="A193" s="177" t="s">
        <v>4108</v>
      </c>
      <c r="B193" s="177" t="s">
        <v>286</v>
      </c>
      <c r="C193" s="178" t="s">
        <v>4109</v>
      </c>
      <c r="D193" s="173" t="s">
        <v>3880</v>
      </c>
      <c r="E193" s="20"/>
      <c r="F193" s="20"/>
      <c r="G193" s="174">
        <v>10</v>
      </c>
      <c r="H193" s="20"/>
      <c r="I193" s="20"/>
      <c r="J193" s="20"/>
      <c r="K193" s="20"/>
      <c r="L193" s="20"/>
      <c r="M193" s="20"/>
      <c r="N193" s="20"/>
      <c r="O193" s="20"/>
      <c r="P193" s="20"/>
      <c r="Q193" s="20"/>
      <c r="R193" s="20"/>
      <c r="S193" s="20"/>
      <c r="T193" s="20"/>
      <c r="U193" s="20"/>
      <c r="V193" s="20"/>
      <c r="W193" s="20"/>
    </row>
    <row r="194" spans="1:23" x14ac:dyDescent="0.25">
      <c r="A194" s="177" t="s">
        <v>4110</v>
      </c>
      <c r="B194" s="177" t="s">
        <v>287</v>
      </c>
      <c r="C194" s="178" t="s">
        <v>4111</v>
      </c>
      <c r="D194" s="173" t="s">
        <v>3880</v>
      </c>
      <c r="E194" s="20"/>
      <c r="F194" s="20"/>
      <c r="G194" s="174">
        <v>10</v>
      </c>
      <c r="H194" s="20"/>
      <c r="I194" s="20"/>
      <c r="J194" s="20"/>
      <c r="K194" s="20"/>
      <c r="L194" s="20"/>
      <c r="M194" s="20"/>
      <c r="N194" s="20"/>
      <c r="O194" s="20"/>
      <c r="P194" s="20"/>
      <c r="Q194" s="20"/>
      <c r="R194" s="20"/>
      <c r="S194" s="20"/>
      <c r="T194" s="20"/>
      <c r="U194" s="20"/>
      <c r="V194" s="20"/>
      <c r="W194" s="20"/>
    </row>
    <row r="195" spans="1:23" x14ac:dyDescent="0.25">
      <c r="A195" s="177" t="s">
        <v>4112</v>
      </c>
      <c r="B195" s="177" t="s">
        <v>288</v>
      </c>
      <c r="C195" s="178" t="s">
        <v>4113</v>
      </c>
      <c r="D195" s="173" t="s">
        <v>3880</v>
      </c>
      <c r="E195" s="20"/>
      <c r="F195" s="20"/>
      <c r="G195" s="174">
        <v>10</v>
      </c>
      <c r="H195" s="20"/>
      <c r="I195" s="20"/>
      <c r="J195" s="20"/>
      <c r="K195" s="20"/>
      <c r="L195" s="20"/>
      <c r="M195" s="20"/>
      <c r="N195" s="20"/>
      <c r="O195" s="20"/>
      <c r="P195" s="20"/>
      <c r="Q195" s="20"/>
      <c r="R195" s="20"/>
      <c r="S195" s="20"/>
      <c r="T195" s="20"/>
      <c r="U195" s="20"/>
      <c r="V195" s="20"/>
      <c r="W195" s="20"/>
    </row>
    <row r="196" spans="1:23" x14ac:dyDescent="0.25">
      <c r="A196" s="177" t="s">
        <v>4114</v>
      </c>
      <c r="B196" s="177" t="s">
        <v>289</v>
      </c>
      <c r="C196" s="178" t="s">
        <v>4115</v>
      </c>
      <c r="D196" s="173" t="s">
        <v>3880</v>
      </c>
      <c r="E196" s="20"/>
      <c r="F196" s="20"/>
      <c r="G196" s="174">
        <v>10</v>
      </c>
      <c r="H196" s="20"/>
      <c r="I196" s="20"/>
      <c r="J196" s="20"/>
      <c r="K196" s="20"/>
      <c r="L196" s="20"/>
      <c r="M196" s="20"/>
      <c r="N196" s="20"/>
      <c r="O196" s="20"/>
      <c r="P196" s="20"/>
      <c r="Q196" s="20"/>
      <c r="R196" s="20"/>
      <c r="S196" s="20"/>
      <c r="T196" s="20"/>
      <c r="U196" s="20"/>
      <c r="V196" s="20"/>
      <c r="W196" s="20"/>
    </row>
    <row r="197" spans="1:23" x14ac:dyDescent="0.25">
      <c r="A197" s="177" t="s">
        <v>4116</v>
      </c>
      <c r="B197" s="177" t="s">
        <v>4117</v>
      </c>
      <c r="C197" s="178" t="s">
        <v>4118</v>
      </c>
      <c r="D197" s="173" t="s">
        <v>3880</v>
      </c>
      <c r="E197" s="20"/>
      <c r="F197" s="20"/>
      <c r="G197" s="174">
        <v>10</v>
      </c>
      <c r="H197" s="20"/>
      <c r="I197" s="20"/>
      <c r="J197" s="20"/>
      <c r="K197" s="20"/>
      <c r="L197" s="20"/>
      <c r="M197" s="20"/>
      <c r="N197" s="20"/>
      <c r="O197" s="20"/>
      <c r="P197" s="20"/>
      <c r="Q197" s="20"/>
      <c r="R197" s="20"/>
      <c r="S197" s="20"/>
      <c r="T197" s="20"/>
      <c r="U197" s="20"/>
      <c r="V197" s="20"/>
      <c r="W197" s="20"/>
    </row>
    <row r="198" spans="1:23" x14ac:dyDescent="0.25">
      <c r="A198" s="177" t="s">
        <v>4119</v>
      </c>
      <c r="B198" s="177" t="s">
        <v>4120</v>
      </c>
      <c r="C198" s="178" t="s">
        <v>4121</v>
      </c>
      <c r="D198" s="173" t="s">
        <v>3880</v>
      </c>
      <c r="E198" s="20"/>
      <c r="F198" s="20"/>
      <c r="G198" s="174">
        <v>10</v>
      </c>
      <c r="H198" s="20"/>
      <c r="I198" s="20"/>
      <c r="J198" s="20"/>
      <c r="K198" s="20"/>
      <c r="L198" s="20"/>
      <c r="M198" s="20"/>
      <c r="N198" s="20"/>
      <c r="O198" s="20"/>
      <c r="P198" s="20"/>
      <c r="Q198" s="20"/>
      <c r="R198" s="20"/>
      <c r="S198" s="20"/>
      <c r="T198" s="20"/>
      <c r="U198" s="20"/>
      <c r="V198" s="20"/>
      <c r="W198" s="20"/>
    </row>
    <row r="199" spans="1:23" x14ac:dyDescent="0.25">
      <c r="A199" s="177" t="s">
        <v>4122</v>
      </c>
      <c r="B199" s="177" t="s">
        <v>4123</v>
      </c>
      <c r="C199" s="178" t="s">
        <v>4124</v>
      </c>
      <c r="D199" s="173" t="s">
        <v>3880</v>
      </c>
      <c r="E199" s="20"/>
      <c r="F199" s="20"/>
      <c r="G199" s="174">
        <v>10</v>
      </c>
      <c r="H199" s="20"/>
      <c r="I199" s="20"/>
      <c r="J199" s="20"/>
      <c r="K199" s="20"/>
      <c r="L199" s="20"/>
      <c r="M199" s="20"/>
      <c r="N199" s="20"/>
      <c r="O199" s="20"/>
      <c r="P199" s="20"/>
      <c r="Q199" s="20"/>
      <c r="R199" s="20"/>
      <c r="S199" s="20"/>
      <c r="T199" s="20"/>
      <c r="U199" s="20"/>
      <c r="V199" s="20"/>
      <c r="W199" s="20"/>
    </row>
    <row r="200" spans="1:23" x14ac:dyDescent="0.25">
      <c r="A200" s="177" t="s">
        <v>4125</v>
      </c>
      <c r="B200" s="177" t="s">
        <v>4126</v>
      </c>
      <c r="C200" s="178" t="s">
        <v>4127</v>
      </c>
      <c r="D200" s="173" t="s">
        <v>3880</v>
      </c>
      <c r="E200" s="20"/>
      <c r="F200" s="20"/>
      <c r="G200" s="174">
        <v>10</v>
      </c>
      <c r="H200" s="20"/>
      <c r="I200" s="20"/>
      <c r="J200" s="20"/>
      <c r="K200" s="20"/>
      <c r="L200" s="20"/>
      <c r="M200" s="20"/>
      <c r="N200" s="20"/>
      <c r="O200" s="20"/>
      <c r="P200" s="20"/>
      <c r="Q200" s="20"/>
      <c r="R200" s="20"/>
      <c r="S200" s="20"/>
      <c r="T200" s="20"/>
      <c r="U200" s="20"/>
      <c r="V200" s="20"/>
      <c r="W200" s="20"/>
    </row>
    <row r="201" spans="1:23" x14ac:dyDescent="0.25">
      <c r="A201" s="177" t="s">
        <v>4128</v>
      </c>
      <c r="B201" s="177" t="s">
        <v>4129</v>
      </c>
      <c r="C201" s="178" t="s">
        <v>4130</v>
      </c>
      <c r="D201" s="173" t="s">
        <v>3880</v>
      </c>
      <c r="E201" s="20"/>
      <c r="F201" s="20"/>
      <c r="G201" s="174">
        <v>10</v>
      </c>
      <c r="H201" s="20"/>
      <c r="I201" s="20"/>
      <c r="J201" s="20"/>
      <c r="K201" s="20"/>
      <c r="L201" s="20"/>
      <c r="M201" s="20"/>
      <c r="N201" s="20"/>
      <c r="O201" s="20"/>
      <c r="P201" s="20"/>
      <c r="Q201" s="20"/>
      <c r="R201" s="20"/>
      <c r="S201" s="20"/>
      <c r="T201" s="20"/>
      <c r="U201" s="20"/>
      <c r="V201" s="20"/>
      <c r="W201" s="20"/>
    </row>
    <row r="202" spans="1:23" x14ac:dyDescent="0.25">
      <c r="A202" s="177" t="s">
        <v>4131</v>
      </c>
      <c r="B202" s="177" t="s">
        <v>4132</v>
      </c>
      <c r="C202" s="178" t="s">
        <v>4133</v>
      </c>
      <c r="D202" s="173" t="s">
        <v>3880</v>
      </c>
      <c r="E202" s="20"/>
      <c r="F202" s="20"/>
      <c r="G202" s="174">
        <v>10</v>
      </c>
      <c r="H202" s="20"/>
      <c r="I202" s="20"/>
      <c r="J202" s="20"/>
      <c r="K202" s="20"/>
      <c r="L202" s="20"/>
      <c r="M202" s="20"/>
      <c r="N202" s="20"/>
      <c r="O202" s="20"/>
      <c r="P202" s="20"/>
      <c r="Q202" s="20"/>
      <c r="R202" s="20"/>
      <c r="S202" s="20"/>
      <c r="T202" s="20"/>
      <c r="U202" s="20"/>
      <c r="V202" s="20"/>
      <c r="W202" s="20"/>
    </row>
    <row r="203" spans="1:23" x14ac:dyDescent="0.25">
      <c r="A203" s="177" t="s">
        <v>4134</v>
      </c>
      <c r="B203" s="177" t="s">
        <v>4135</v>
      </c>
      <c r="C203" s="178" t="s">
        <v>4136</v>
      </c>
      <c r="D203" s="173" t="s">
        <v>3880</v>
      </c>
      <c r="E203" s="20"/>
      <c r="F203" s="20"/>
      <c r="G203" s="174">
        <v>10</v>
      </c>
      <c r="H203" s="20"/>
      <c r="I203" s="20"/>
      <c r="J203" s="20"/>
      <c r="K203" s="20"/>
      <c r="L203" s="20"/>
      <c r="M203" s="20"/>
      <c r="N203" s="20"/>
      <c r="O203" s="20"/>
      <c r="P203" s="20"/>
      <c r="Q203" s="20"/>
      <c r="R203" s="20"/>
      <c r="S203" s="20"/>
      <c r="T203" s="20"/>
      <c r="U203" s="20"/>
      <c r="V203" s="20"/>
      <c r="W203" s="20"/>
    </row>
    <row r="204" spans="1:23" x14ac:dyDescent="0.25">
      <c r="A204" s="177" t="s">
        <v>4137</v>
      </c>
      <c r="B204" s="177" t="s">
        <v>4138</v>
      </c>
      <c r="C204" s="178" t="s">
        <v>4139</v>
      </c>
      <c r="D204" s="173" t="s">
        <v>3880</v>
      </c>
      <c r="E204" s="20"/>
      <c r="F204" s="20"/>
      <c r="G204" s="174">
        <v>10</v>
      </c>
      <c r="H204" s="20"/>
      <c r="I204" s="20"/>
      <c r="J204" s="20"/>
      <c r="K204" s="20"/>
      <c r="L204" s="20"/>
      <c r="M204" s="20"/>
      <c r="N204" s="20"/>
      <c r="O204" s="20"/>
      <c r="P204" s="20"/>
      <c r="Q204" s="20"/>
      <c r="R204" s="20"/>
      <c r="S204" s="20"/>
      <c r="T204" s="20"/>
      <c r="U204" s="20"/>
      <c r="V204" s="20"/>
      <c r="W204" s="20"/>
    </row>
    <row r="205" spans="1:23" x14ac:dyDescent="0.25">
      <c r="A205" s="177" t="s">
        <v>4140</v>
      </c>
      <c r="B205" s="177" t="s">
        <v>4141</v>
      </c>
      <c r="C205" s="178" t="s">
        <v>4142</v>
      </c>
      <c r="D205" s="173" t="s">
        <v>3880</v>
      </c>
      <c r="E205" s="20"/>
      <c r="F205" s="20"/>
      <c r="G205" s="174">
        <v>10</v>
      </c>
      <c r="H205" s="20"/>
      <c r="I205" s="20"/>
      <c r="J205" s="20"/>
      <c r="K205" s="20"/>
      <c r="L205" s="20"/>
      <c r="M205" s="20"/>
      <c r="N205" s="20"/>
      <c r="O205" s="20"/>
      <c r="P205" s="20"/>
      <c r="Q205" s="20"/>
      <c r="R205" s="20"/>
      <c r="S205" s="20"/>
      <c r="T205" s="20"/>
      <c r="U205" s="20"/>
      <c r="V205" s="20"/>
      <c r="W205" s="20"/>
    </row>
    <row r="206" spans="1:23" x14ac:dyDescent="0.25">
      <c r="A206" s="177" t="s">
        <v>4143</v>
      </c>
      <c r="B206" s="177" t="s">
        <v>4144</v>
      </c>
      <c r="C206" s="178" t="s">
        <v>4145</v>
      </c>
      <c r="D206" s="173" t="s">
        <v>3880</v>
      </c>
      <c r="E206" s="20"/>
      <c r="F206" s="20"/>
      <c r="G206" s="174">
        <v>10</v>
      </c>
      <c r="H206" s="20"/>
      <c r="I206" s="20"/>
      <c r="J206" s="20"/>
      <c r="K206" s="20"/>
      <c r="L206" s="20"/>
      <c r="M206" s="20"/>
      <c r="N206" s="20"/>
      <c r="O206" s="20"/>
      <c r="P206" s="20"/>
      <c r="Q206" s="20"/>
      <c r="R206" s="20"/>
      <c r="S206" s="20"/>
      <c r="T206" s="20"/>
      <c r="U206" s="20"/>
      <c r="V206" s="20"/>
      <c r="W206" s="20"/>
    </row>
    <row r="207" spans="1:23" x14ac:dyDescent="0.25">
      <c r="A207" s="177" t="s">
        <v>4146</v>
      </c>
      <c r="B207" s="177" t="s">
        <v>4147</v>
      </c>
      <c r="C207" s="178" t="s">
        <v>4148</v>
      </c>
      <c r="D207" s="173" t="s">
        <v>3880</v>
      </c>
      <c r="E207" s="20"/>
      <c r="F207" s="20"/>
      <c r="G207" s="174">
        <v>10</v>
      </c>
      <c r="H207" s="20"/>
      <c r="I207" s="20"/>
      <c r="J207" s="20"/>
      <c r="K207" s="20"/>
      <c r="L207" s="20"/>
      <c r="M207" s="20"/>
      <c r="N207" s="20"/>
      <c r="O207" s="20"/>
      <c r="P207" s="20"/>
      <c r="Q207" s="20"/>
      <c r="R207" s="20"/>
      <c r="S207" s="20"/>
      <c r="T207" s="20"/>
      <c r="U207" s="20"/>
      <c r="V207" s="20"/>
      <c r="W207" s="20"/>
    </row>
    <row r="208" spans="1:23" x14ac:dyDescent="0.25">
      <c r="A208" s="177" t="s">
        <v>3678</v>
      </c>
      <c r="B208" s="177" t="s">
        <v>4149</v>
      </c>
      <c r="C208" s="178" t="s">
        <v>4150</v>
      </c>
      <c r="D208" s="173" t="s">
        <v>3633</v>
      </c>
      <c r="E208" s="20"/>
      <c r="F208" s="20"/>
      <c r="G208" s="175"/>
      <c r="H208" s="20"/>
      <c r="I208" s="20"/>
      <c r="J208" s="20"/>
      <c r="K208" s="20"/>
      <c r="L208" s="20"/>
      <c r="M208" s="20"/>
      <c r="N208" s="20"/>
      <c r="O208" s="20"/>
      <c r="P208" s="20"/>
      <c r="Q208" s="20"/>
      <c r="R208" s="20"/>
      <c r="S208" s="20"/>
      <c r="T208" s="20"/>
      <c r="U208" s="20"/>
      <c r="V208" s="20"/>
      <c r="W208" s="20"/>
    </row>
    <row r="209" spans="1:23" x14ac:dyDescent="0.25">
      <c r="A209" s="177" t="s">
        <v>4151</v>
      </c>
      <c r="B209" s="177" t="s">
        <v>678</v>
      </c>
      <c r="C209" s="178" t="s">
        <v>4152</v>
      </c>
      <c r="D209" s="173" t="s">
        <v>3633</v>
      </c>
      <c r="E209" s="20"/>
      <c r="F209" s="20"/>
      <c r="G209" s="175"/>
      <c r="H209" s="20"/>
      <c r="I209" s="20"/>
      <c r="J209" s="20"/>
      <c r="K209" s="20"/>
      <c r="L209" s="20"/>
      <c r="M209" s="20"/>
      <c r="N209" s="20"/>
      <c r="O209" s="20"/>
      <c r="P209" s="20"/>
      <c r="Q209" s="20"/>
      <c r="R209" s="20"/>
      <c r="S209" s="20"/>
      <c r="T209" s="20"/>
      <c r="U209" s="20"/>
      <c r="V209" s="20"/>
      <c r="W209" s="20"/>
    </row>
    <row r="210" spans="1:23" x14ac:dyDescent="0.25">
      <c r="A210" s="177" t="s">
        <v>4153</v>
      </c>
      <c r="B210" s="177" t="s">
        <v>4154</v>
      </c>
      <c r="C210" s="178" t="s">
        <v>4155</v>
      </c>
      <c r="D210" s="173" t="s">
        <v>3968</v>
      </c>
      <c r="E210" s="20"/>
      <c r="F210" s="20"/>
      <c r="G210" s="175"/>
      <c r="H210" s="20"/>
      <c r="I210" s="20"/>
      <c r="J210" s="20"/>
      <c r="K210" s="20"/>
      <c r="L210" s="20"/>
      <c r="M210" s="20"/>
      <c r="N210" s="20"/>
      <c r="O210" s="20"/>
      <c r="P210" s="20"/>
      <c r="Q210" s="20"/>
      <c r="R210" s="20"/>
      <c r="S210" s="20"/>
      <c r="T210" s="20"/>
      <c r="U210" s="20"/>
      <c r="V210" s="20"/>
      <c r="W210" s="20"/>
    </row>
    <row r="211" spans="1:23" x14ac:dyDescent="0.25">
      <c r="A211" s="177" t="s">
        <v>4156</v>
      </c>
      <c r="B211" s="177" t="s">
        <v>4157</v>
      </c>
      <c r="C211" s="178" t="s">
        <v>4158</v>
      </c>
      <c r="D211" s="173" t="s">
        <v>3968</v>
      </c>
      <c r="E211" s="20"/>
      <c r="F211" s="20"/>
      <c r="G211" s="175"/>
      <c r="H211" s="20"/>
      <c r="I211" s="20"/>
      <c r="J211" s="20"/>
      <c r="K211" s="20"/>
      <c r="L211" s="20"/>
      <c r="M211" s="20"/>
      <c r="N211" s="20"/>
      <c r="O211" s="20"/>
      <c r="P211" s="20"/>
      <c r="Q211" s="20"/>
      <c r="R211" s="20"/>
      <c r="S211" s="20"/>
      <c r="T211" s="20"/>
      <c r="U211" s="20"/>
      <c r="V211" s="20"/>
      <c r="W211" s="20"/>
    </row>
    <row r="212" spans="1:23" x14ac:dyDescent="0.25">
      <c r="A212" s="177" t="s">
        <v>4159</v>
      </c>
      <c r="B212" s="177" t="s">
        <v>2093</v>
      </c>
      <c r="C212" s="178" t="s">
        <v>4160</v>
      </c>
      <c r="D212" s="173" t="s">
        <v>3968</v>
      </c>
      <c r="E212" s="20"/>
      <c r="F212" s="20"/>
      <c r="G212" s="175"/>
      <c r="H212" s="20"/>
      <c r="I212" s="20"/>
      <c r="J212" s="20"/>
      <c r="K212" s="20"/>
      <c r="L212" s="20"/>
      <c r="M212" s="20"/>
      <c r="N212" s="20"/>
      <c r="O212" s="20"/>
      <c r="P212" s="20"/>
      <c r="Q212" s="20"/>
      <c r="R212" s="20"/>
      <c r="S212" s="20"/>
      <c r="T212" s="20"/>
      <c r="U212" s="20"/>
      <c r="V212" s="20"/>
      <c r="W212" s="20"/>
    </row>
    <row r="213" spans="1:23" x14ac:dyDescent="0.25">
      <c r="A213" s="177" t="s">
        <v>4161</v>
      </c>
      <c r="B213" s="177" t="s">
        <v>295</v>
      </c>
      <c r="C213" s="178" t="s">
        <v>4162</v>
      </c>
      <c r="D213" s="173" t="s">
        <v>3968</v>
      </c>
      <c r="E213" s="20"/>
      <c r="F213" s="20"/>
      <c r="G213" s="175"/>
      <c r="H213" s="20"/>
      <c r="I213" s="20"/>
      <c r="J213" s="20"/>
      <c r="K213" s="20"/>
      <c r="L213" s="20"/>
      <c r="M213" s="20"/>
      <c r="N213" s="20"/>
      <c r="O213" s="20"/>
      <c r="P213" s="20"/>
      <c r="Q213" s="20"/>
      <c r="R213" s="20"/>
      <c r="S213" s="20"/>
      <c r="T213" s="20"/>
      <c r="U213" s="20"/>
      <c r="V213" s="20"/>
      <c r="W213" s="20"/>
    </row>
    <row r="214" spans="1:23" x14ac:dyDescent="0.25">
      <c r="A214" s="177" t="s">
        <v>4163</v>
      </c>
      <c r="B214" s="177" t="s">
        <v>562</v>
      </c>
      <c r="C214" s="178" t="s">
        <v>4164</v>
      </c>
      <c r="D214" s="173" t="s">
        <v>3968</v>
      </c>
      <c r="E214" s="20"/>
      <c r="F214" s="20"/>
      <c r="G214" s="175"/>
      <c r="H214" s="20"/>
      <c r="I214" s="20"/>
      <c r="J214" s="20"/>
      <c r="K214" s="20"/>
      <c r="L214" s="20"/>
      <c r="M214" s="20"/>
      <c r="N214" s="20"/>
      <c r="O214" s="20"/>
      <c r="P214" s="20"/>
      <c r="Q214" s="20"/>
      <c r="R214" s="20"/>
      <c r="S214" s="20"/>
      <c r="T214" s="20"/>
      <c r="U214" s="20"/>
      <c r="V214" s="20"/>
      <c r="W214" s="20"/>
    </row>
    <row r="215" spans="1:23" x14ac:dyDescent="0.25">
      <c r="A215" s="177" t="s">
        <v>4165</v>
      </c>
      <c r="B215" s="177" t="s">
        <v>557</v>
      </c>
      <c r="C215" s="178" t="s">
        <v>4166</v>
      </c>
      <c r="D215" s="173" t="s">
        <v>3968</v>
      </c>
      <c r="E215" s="20"/>
      <c r="F215" s="20"/>
      <c r="G215" s="175"/>
      <c r="H215" s="20"/>
      <c r="I215" s="20"/>
      <c r="J215" s="20"/>
      <c r="K215" s="20"/>
      <c r="L215" s="20"/>
      <c r="M215" s="20"/>
      <c r="N215" s="20"/>
      <c r="O215" s="20"/>
      <c r="P215" s="20"/>
      <c r="Q215" s="20"/>
      <c r="R215" s="20"/>
      <c r="S215" s="20"/>
      <c r="T215" s="20"/>
      <c r="U215" s="20"/>
      <c r="V215" s="20"/>
      <c r="W215" s="20"/>
    </row>
    <row r="216" spans="1:23" x14ac:dyDescent="0.25">
      <c r="A216" s="177" t="s">
        <v>4167</v>
      </c>
      <c r="B216" s="177" t="s">
        <v>27</v>
      </c>
      <c r="C216" s="178" t="s">
        <v>4168</v>
      </c>
      <c r="D216" s="173" t="s">
        <v>3968</v>
      </c>
      <c r="E216" s="20"/>
      <c r="F216" s="20"/>
      <c r="G216" s="175"/>
      <c r="H216" s="20"/>
      <c r="I216" s="20"/>
      <c r="J216" s="20"/>
      <c r="K216" s="20"/>
      <c r="L216" s="20"/>
      <c r="M216" s="20"/>
      <c r="N216" s="20"/>
      <c r="O216" s="20"/>
      <c r="P216" s="20"/>
      <c r="Q216" s="20"/>
      <c r="R216" s="20"/>
      <c r="S216" s="20"/>
      <c r="T216" s="20"/>
      <c r="U216" s="20"/>
      <c r="V216" s="20"/>
      <c r="W216" s="20"/>
    </row>
    <row r="217" spans="1:23" x14ac:dyDescent="0.25">
      <c r="A217" s="177" t="s">
        <v>4169</v>
      </c>
      <c r="B217" s="177" t="s">
        <v>29</v>
      </c>
      <c r="C217" s="178" t="s">
        <v>4170</v>
      </c>
      <c r="D217" s="173" t="s">
        <v>3968</v>
      </c>
      <c r="E217" s="20"/>
      <c r="F217" s="20"/>
      <c r="G217" s="175"/>
      <c r="H217" s="20"/>
      <c r="I217" s="20"/>
      <c r="J217" s="20"/>
      <c r="K217" s="20"/>
      <c r="L217" s="20"/>
      <c r="M217" s="20"/>
      <c r="N217" s="20"/>
      <c r="O217" s="20"/>
      <c r="P217" s="20"/>
      <c r="Q217" s="20"/>
      <c r="R217" s="20"/>
      <c r="S217" s="20"/>
      <c r="T217" s="20"/>
      <c r="U217" s="20"/>
      <c r="V217" s="20"/>
      <c r="W217" s="20"/>
    </row>
    <row r="218" spans="1:23" x14ac:dyDescent="0.25">
      <c r="A218" s="177" t="s">
        <v>4171</v>
      </c>
      <c r="B218" s="177" t="s">
        <v>4172</v>
      </c>
      <c r="C218" s="178" t="s">
        <v>4173</v>
      </c>
      <c r="D218" s="173" t="s">
        <v>3968</v>
      </c>
      <c r="E218" s="20"/>
      <c r="F218" s="20"/>
      <c r="G218" s="175"/>
      <c r="H218" s="20"/>
      <c r="I218" s="20"/>
      <c r="J218" s="20"/>
      <c r="K218" s="20"/>
      <c r="L218" s="20"/>
      <c r="M218" s="20"/>
      <c r="N218" s="20"/>
      <c r="O218" s="20"/>
      <c r="P218" s="20"/>
      <c r="Q218" s="20"/>
      <c r="R218" s="20"/>
      <c r="S218" s="20"/>
      <c r="T218" s="20"/>
      <c r="U218" s="20"/>
      <c r="V218" s="20"/>
      <c r="W218" s="20"/>
    </row>
    <row r="219" spans="1:23" x14ac:dyDescent="0.25">
      <c r="A219" s="177" t="s">
        <v>4174</v>
      </c>
      <c r="B219" s="177" t="s">
        <v>4175</v>
      </c>
      <c r="C219" s="178" t="s">
        <v>4176</v>
      </c>
      <c r="D219" s="173" t="s">
        <v>3968</v>
      </c>
      <c r="E219" s="20"/>
      <c r="F219" s="20"/>
      <c r="G219" s="175"/>
      <c r="H219" s="20"/>
      <c r="I219" s="20"/>
      <c r="J219" s="20"/>
      <c r="K219" s="20"/>
      <c r="L219" s="20"/>
      <c r="M219" s="20"/>
      <c r="N219" s="20"/>
      <c r="O219" s="20"/>
      <c r="P219" s="20"/>
      <c r="Q219" s="20"/>
      <c r="R219" s="20"/>
      <c r="S219" s="20"/>
      <c r="T219" s="20"/>
      <c r="U219" s="20"/>
      <c r="V219" s="20"/>
      <c r="W219" s="20"/>
    </row>
    <row r="220" spans="1:23" x14ac:dyDescent="0.25">
      <c r="A220" s="177" t="s">
        <v>4177</v>
      </c>
      <c r="B220" s="177" t="s">
        <v>4178</v>
      </c>
      <c r="C220" s="178" t="s">
        <v>4179</v>
      </c>
      <c r="D220" s="173" t="s">
        <v>3968</v>
      </c>
      <c r="E220" s="20"/>
      <c r="F220" s="20"/>
      <c r="G220" s="175"/>
      <c r="H220" s="20"/>
      <c r="I220" s="20"/>
      <c r="J220" s="20"/>
      <c r="K220" s="20"/>
      <c r="L220" s="20"/>
      <c r="M220" s="20"/>
      <c r="N220" s="20"/>
      <c r="O220" s="20"/>
      <c r="P220" s="20"/>
      <c r="Q220" s="20"/>
      <c r="R220" s="20"/>
      <c r="S220" s="20"/>
      <c r="T220" s="20"/>
      <c r="U220" s="20"/>
      <c r="V220" s="20"/>
      <c r="W220" s="20"/>
    </row>
    <row r="221" spans="1:23" x14ac:dyDescent="0.25">
      <c r="A221" s="177" t="s">
        <v>4180</v>
      </c>
      <c r="B221" s="177" t="s">
        <v>4181</v>
      </c>
      <c r="C221" s="178" t="s">
        <v>4182</v>
      </c>
      <c r="D221" s="173" t="s">
        <v>3968</v>
      </c>
      <c r="E221" s="20"/>
      <c r="F221" s="20"/>
      <c r="G221" s="175"/>
      <c r="H221" s="20"/>
      <c r="I221" s="20"/>
      <c r="J221" s="20"/>
      <c r="K221" s="20"/>
      <c r="L221" s="20"/>
      <c r="M221" s="20"/>
      <c r="N221" s="20"/>
      <c r="O221" s="20"/>
      <c r="P221" s="20"/>
      <c r="Q221" s="20"/>
      <c r="R221" s="20"/>
      <c r="S221" s="20"/>
      <c r="T221" s="20"/>
      <c r="U221" s="20"/>
      <c r="V221" s="20"/>
      <c r="W221" s="20"/>
    </row>
    <row r="222" spans="1:23" x14ac:dyDescent="0.25">
      <c r="A222" s="177" t="s">
        <v>4183</v>
      </c>
      <c r="B222" s="177" t="s">
        <v>4184</v>
      </c>
      <c r="C222" s="178" t="s">
        <v>4185</v>
      </c>
      <c r="D222" s="173" t="s">
        <v>3968</v>
      </c>
      <c r="E222" s="20"/>
      <c r="F222" s="20"/>
      <c r="G222" s="175"/>
      <c r="H222" s="20"/>
      <c r="I222" s="20"/>
      <c r="J222" s="20"/>
      <c r="K222" s="20"/>
      <c r="L222" s="20"/>
      <c r="M222" s="20"/>
      <c r="N222" s="20"/>
      <c r="O222" s="20"/>
      <c r="P222" s="20"/>
      <c r="Q222" s="20"/>
      <c r="R222" s="20"/>
      <c r="S222" s="20"/>
      <c r="T222" s="20"/>
      <c r="U222" s="20"/>
      <c r="V222" s="20"/>
      <c r="W222" s="20"/>
    </row>
    <row r="223" spans="1:23" x14ac:dyDescent="0.25">
      <c r="A223" s="177" t="s">
        <v>4186</v>
      </c>
      <c r="B223" s="177" t="s">
        <v>4187</v>
      </c>
      <c r="C223" s="178" t="s">
        <v>4188</v>
      </c>
      <c r="D223" s="173" t="s">
        <v>3968</v>
      </c>
      <c r="E223" s="20"/>
      <c r="F223" s="20"/>
      <c r="G223" s="175"/>
      <c r="H223" s="20"/>
      <c r="I223" s="20"/>
      <c r="J223" s="20"/>
      <c r="K223" s="20"/>
      <c r="L223" s="20"/>
      <c r="M223" s="20"/>
      <c r="N223" s="20"/>
      <c r="O223" s="20"/>
      <c r="P223" s="20"/>
      <c r="Q223" s="20"/>
      <c r="R223" s="20"/>
      <c r="S223" s="20"/>
      <c r="T223" s="20"/>
      <c r="U223" s="20"/>
      <c r="V223" s="20"/>
      <c r="W223" s="20"/>
    </row>
    <row r="224" spans="1:23" x14ac:dyDescent="0.25">
      <c r="A224" s="177" t="s">
        <v>4189</v>
      </c>
      <c r="B224" s="177" t="s">
        <v>1139</v>
      </c>
      <c r="C224" s="178" t="s">
        <v>4190</v>
      </c>
      <c r="D224" s="173" t="s">
        <v>3715</v>
      </c>
      <c r="E224" s="20"/>
      <c r="F224" s="20"/>
      <c r="G224" s="175"/>
      <c r="H224" s="20"/>
      <c r="I224" s="20"/>
      <c r="J224" s="20"/>
      <c r="K224" s="20"/>
      <c r="L224" s="20"/>
      <c r="M224" s="20"/>
      <c r="N224" s="20"/>
      <c r="O224" s="20"/>
      <c r="P224" s="20"/>
      <c r="Q224" s="20"/>
      <c r="R224" s="20"/>
      <c r="S224" s="20"/>
      <c r="T224" s="20"/>
      <c r="U224" s="20"/>
      <c r="V224" s="20"/>
      <c r="W224" s="20"/>
    </row>
    <row r="225" spans="1:23" x14ac:dyDescent="0.25">
      <c r="A225" s="177" t="s">
        <v>4191</v>
      </c>
      <c r="B225" s="177" t="s">
        <v>1459</v>
      </c>
      <c r="C225" s="178" t="s">
        <v>4192</v>
      </c>
      <c r="D225" s="173" t="s">
        <v>3715</v>
      </c>
      <c r="E225" s="20"/>
      <c r="F225" s="20"/>
      <c r="G225" s="175"/>
      <c r="H225" s="20"/>
      <c r="I225" s="20"/>
      <c r="J225" s="20"/>
      <c r="K225" s="20"/>
      <c r="L225" s="20"/>
      <c r="M225" s="20"/>
      <c r="N225" s="20"/>
      <c r="O225" s="20"/>
      <c r="P225" s="20"/>
      <c r="Q225" s="20"/>
      <c r="R225" s="20"/>
      <c r="S225" s="20"/>
      <c r="T225" s="20"/>
      <c r="U225" s="20"/>
      <c r="V225" s="20"/>
      <c r="W225" s="20"/>
    </row>
    <row r="226" spans="1:23" x14ac:dyDescent="0.25">
      <c r="A226" s="177" t="s">
        <v>4193</v>
      </c>
      <c r="B226" s="177" t="s">
        <v>25</v>
      </c>
      <c r="C226" s="178" t="s">
        <v>4194</v>
      </c>
      <c r="D226" s="173" t="s">
        <v>3715</v>
      </c>
      <c r="E226" s="20"/>
      <c r="F226" s="20"/>
      <c r="G226" s="174">
        <v>50</v>
      </c>
      <c r="H226" s="20"/>
      <c r="I226" s="20"/>
      <c r="J226" s="20"/>
      <c r="K226" s="20"/>
      <c r="L226" s="20"/>
      <c r="M226" s="20"/>
      <c r="N226" s="20"/>
      <c r="O226" s="20"/>
      <c r="P226" s="20"/>
      <c r="Q226" s="20"/>
      <c r="R226" s="20"/>
      <c r="S226" s="20"/>
      <c r="T226" s="20"/>
      <c r="U226" s="20"/>
      <c r="V226" s="20"/>
      <c r="W226" s="20"/>
    </row>
    <row r="227" spans="1:23" x14ac:dyDescent="0.25">
      <c r="A227" s="177" t="s">
        <v>4195</v>
      </c>
      <c r="B227" s="177" t="s">
        <v>22</v>
      </c>
      <c r="C227" s="178" t="s">
        <v>4196</v>
      </c>
      <c r="D227" s="173" t="s">
        <v>3715</v>
      </c>
      <c r="E227" s="20"/>
      <c r="F227" s="20"/>
      <c r="G227" s="174">
        <v>80</v>
      </c>
      <c r="H227" s="20"/>
      <c r="I227" s="20"/>
      <c r="J227" s="20"/>
      <c r="K227" s="20"/>
      <c r="L227" s="20"/>
      <c r="M227" s="20"/>
      <c r="N227" s="20"/>
      <c r="O227" s="20"/>
      <c r="P227" s="20"/>
      <c r="Q227" s="20"/>
      <c r="R227" s="20"/>
      <c r="S227" s="20"/>
      <c r="T227" s="20"/>
      <c r="U227" s="20"/>
      <c r="V227" s="20"/>
      <c r="W227" s="20"/>
    </row>
    <row r="228" spans="1:23" x14ac:dyDescent="0.25">
      <c r="A228" s="177" t="s">
        <v>4197</v>
      </c>
      <c r="B228" s="177" t="s">
        <v>23</v>
      </c>
      <c r="C228" s="178" t="s">
        <v>4198</v>
      </c>
      <c r="D228" s="173" t="s">
        <v>3715</v>
      </c>
      <c r="E228" s="20"/>
      <c r="F228" s="20"/>
      <c r="G228" s="174">
        <v>80</v>
      </c>
      <c r="H228" s="20"/>
      <c r="I228" s="20"/>
      <c r="J228" s="20"/>
      <c r="K228" s="20"/>
      <c r="L228" s="20"/>
      <c r="M228" s="20"/>
      <c r="N228" s="20"/>
      <c r="O228" s="20"/>
      <c r="P228" s="20"/>
      <c r="Q228" s="20"/>
      <c r="R228" s="20"/>
      <c r="S228" s="20"/>
      <c r="T228" s="20"/>
      <c r="U228" s="20"/>
      <c r="V228" s="20"/>
      <c r="W228" s="20"/>
    </row>
    <row r="229" spans="1:23" x14ac:dyDescent="0.25">
      <c r="A229" s="177" t="s">
        <v>4199</v>
      </c>
      <c r="B229" s="177" t="s">
        <v>58</v>
      </c>
      <c r="C229" s="178" t="s">
        <v>4200</v>
      </c>
      <c r="D229" s="173" t="s">
        <v>3968</v>
      </c>
      <c r="E229" s="20"/>
      <c r="F229" s="20"/>
      <c r="G229" s="175"/>
      <c r="H229" s="20"/>
      <c r="I229" s="20"/>
      <c r="J229" s="20"/>
      <c r="K229" s="20"/>
      <c r="L229" s="20"/>
      <c r="M229" s="20"/>
      <c r="N229" s="20"/>
      <c r="O229" s="20"/>
      <c r="P229" s="20"/>
      <c r="Q229" s="20"/>
      <c r="R229" s="20"/>
      <c r="S229" s="20"/>
      <c r="T229" s="20"/>
      <c r="U229" s="20"/>
      <c r="V229" s="20"/>
      <c r="W229" s="20"/>
    </row>
    <row r="230" spans="1:23" x14ac:dyDescent="0.25">
      <c r="A230" s="177" t="s">
        <v>4201</v>
      </c>
      <c r="B230" s="177" t="s">
        <v>9</v>
      </c>
      <c r="C230" s="178" t="s">
        <v>4202</v>
      </c>
      <c r="D230" s="173" t="s">
        <v>3633</v>
      </c>
      <c r="E230" s="20"/>
      <c r="F230" s="20"/>
      <c r="G230" s="175"/>
      <c r="H230" s="20"/>
      <c r="I230" s="20"/>
      <c r="J230" s="20"/>
      <c r="K230" s="20"/>
      <c r="L230" s="20"/>
      <c r="M230" s="20"/>
      <c r="N230" s="20"/>
      <c r="O230" s="20"/>
      <c r="P230" s="20"/>
      <c r="Q230" s="20"/>
      <c r="R230" s="20"/>
      <c r="S230" s="20"/>
      <c r="T230" s="20"/>
      <c r="U230" s="20"/>
      <c r="V230" s="20"/>
      <c r="W230" s="20"/>
    </row>
    <row r="231" spans="1:23" x14ac:dyDescent="0.25">
      <c r="A231" s="177" t="s">
        <v>4203</v>
      </c>
      <c r="B231" s="177" t="s">
        <v>16</v>
      </c>
      <c r="C231" s="178" t="s">
        <v>4204</v>
      </c>
      <c r="D231" s="173" t="s">
        <v>3633</v>
      </c>
      <c r="E231" s="20"/>
      <c r="F231" s="20"/>
      <c r="G231" s="175"/>
      <c r="H231" s="20"/>
      <c r="I231" s="20"/>
      <c r="J231" s="20"/>
      <c r="K231" s="20"/>
      <c r="L231" s="20"/>
      <c r="M231" s="20"/>
      <c r="N231" s="20"/>
      <c r="O231" s="20"/>
      <c r="P231" s="20"/>
      <c r="Q231" s="20"/>
      <c r="R231" s="20"/>
      <c r="S231" s="20"/>
      <c r="T231" s="20"/>
      <c r="U231" s="20"/>
      <c r="V231" s="20"/>
      <c r="W231" s="20"/>
    </row>
    <row r="232" spans="1:23" x14ac:dyDescent="0.25">
      <c r="A232" s="177" t="s">
        <v>4205</v>
      </c>
      <c r="B232" s="177" t="s">
        <v>20</v>
      </c>
      <c r="C232" s="178" t="s">
        <v>4206</v>
      </c>
      <c r="D232" s="173" t="s">
        <v>3633</v>
      </c>
      <c r="E232" s="20"/>
      <c r="F232" s="20"/>
      <c r="G232" s="175"/>
      <c r="H232" s="20"/>
      <c r="I232" s="20"/>
      <c r="J232" s="20"/>
      <c r="K232" s="20"/>
      <c r="L232" s="20"/>
      <c r="M232" s="20"/>
      <c r="N232" s="20"/>
      <c r="O232" s="20"/>
      <c r="P232" s="20"/>
      <c r="Q232" s="20"/>
      <c r="R232" s="20"/>
      <c r="S232" s="20"/>
      <c r="T232" s="20"/>
      <c r="U232" s="20"/>
      <c r="V232" s="20"/>
      <c r="W232" s="20"/>
    </row>
    <row r="233" spans="1:23" x14ac:dyDescent="0.25">
      <c r="A233" s="177" t="s">
        <v>4207</v>
      </c>
      <c r="B233" s="177" t="s">
        <v>21</v>
      </c>
      <c r="C233" s="178" t="s">
        <v>4208</v>
      </c>
      <c r="D233" s="173" t="s">
        <v>3633</v>
      </c>
      <c r="E233" s="20"/>
      <c r="F233" s="20"/>
      <c r="G233" s="175"/>
      <c r="H233" s="20"/>
      <c r="I233" s="20"/>
      <c r="J233" s="20"/>
      <c r="K233" s="20"/>
      <c r="L233" s="20"/>
      <c r="M233" s="20"/>
      <c r="N233" s="20"/>
      <c r="O233" s="20"/>
      <c r="P233" s="20"/>
      <c r="Q233" s="20"/>
      <c r="R233" s="20"/>
      <c r="S233" s="20"/>
      <c r="T233" s="20"/>
      <c r="U233" s="20"/>
      <c r="V233" s="20"/>
      <c r="W233" s="20"/>
    </row>
    <row r="234" spans="1:23" x14ac:dyDescent="0.25">
      <c r="A234" s="177" t="s">
        <v>4209</v>
      </c>
      <c r="B234" s="177" t="s">
        <v>8</v>
      </c>
      <c r="C234" s="178" t="s">
        <v>4210</v>
      </c>
      <c r="D234" s="173" t="s">
        <v>3633</v>
      </c>
      <c r="E234" s="20"/>
      <c r="F234" s="20"/>
      <c r="G234" s="175"/>
      <c r="H234" s="20"/>
      <c r="I234" s="20"/>
      <c r="J234" s="20"/>
      <c r="K234" s="20"/>
      <c r="L234" s="20"/>
      <c r="M234" s="20"/>
      <c r="N234" s="20"/>
      <c r="O234" s="20"/>
      <c r="P234" s="20"/>
      <c r="Q234" s="20"/>
      <c r="R234" s="20"/>
      <c r="S234" s="20"/>
      <c r="T234" s="20"/>
      <c r="U234" s="20"/>
      <c r="V234" s="20"/>
      <c r="W234" s="20"/>
    </row>
    <row r="235" spans="1:23" x14ac:dyDescent="0.25">
      <c r="A235" s="177" t="s">
        <v>4211</v>
      </c>
      <c r="B235" s="177" t="s">
        <v>14</v>
      </c>
      <c r="C235" s="178" t="s">
        <v>4212</v>
      </c>
      <c r="D235" s="173" t="s">
        <v>3633</v>
      </c>
      <c r="E235" s="20"/>
      <c r="F235" s="20"/>
      <c r="G235" s="174">
        <v>5</v>
      </c>
      <c r="H235" s="20"/>
      <c r="I235" s="20"/>
      <c r="J235" s="20"/>
      <c r="K235" s="20"/>
      <c r="L235" s="20"/>
      <c r="M235" s="20"/>
      <c r="N235" s="20"/>
      <c r="O235" s="20"/>
      <c r="P235" s="20"/>
      <c r="Q235" s="20"/>
      <c r="R235" s="20"/>
      <c r="S235" s="20"/>
      <c r="T235" s="20"/>
      <c r="U235" s="20"/>
      <c r="V235" s="20"/>
      <c r="W235" s="20"/>
    </row>
    <row r="236" spans="1:23" x14ac:dyDescent="0.25">
      <c r="A236" s="177" t="s">
        <v>4213</v>
      </c>
      <c r="B236" s="177" t="s">
        <v>1693</v>
      </c>
      <c r="C236" s="178" t="s">
        <v>4214</v>
      </c>
      <c r="D236" s="173" t="s">
        <v>3968</v>
      </c>
      <c r="E236" s="20"/>
      <c r="F236" s="20"/>
      <c r="G236" s="175"/>
      <c r="H236" s="20"/>
      <c r="I236" s="20"/>
      <c r="J236" s="20"/>
      <c r="K236" s="20"/>
      <c r="L236" s="20"/>
      <c r="M236" s="20"/>
      <c r="N236" s="20"/>
      <c r="O236" s="20"/>
      <c r="P236" s="20"/>
      <c r="Q236" s="20"/>
      <c r="R236" s="20"/>
      <c r="S236" s="20"/>
      <c r="T236" s="20"/>
      <c r="U236" s="20"/>
      <c r="V236" s="20"/>
      <c r="W236" s="20"/>
    </row>
    <row r="237" spans="1:23" x14ac:dyDescent="0.25">
      <c r="A237" s="177" t="s">
        <v>4215</v>
      </c>
      <c r="B237" s="177" t="s">
        <v>18</v>
      </c>
      <c r="C237" s="178" t="s">
        <v>4216</v>
      </c>
      <c r="D237" s="173" t="s">
        <v>3633</v>
      </c>
      <c r="E237" s="20"/>
      <c r="F237" s="20"/>
      <c r="G237" s="174">
        <v>10</v>
      </c>
      <c r="H237" s="20"/>
      <c r="I237" s="20"/>
      <c r="J237" s="20"/>
      <c r="K237" s="20"/>
      <c r="L237" s="20"/>
      <c r="M237" s="20"/>
      <c r="N237" s="20"/>
      <c r="O237" s="20"/>
      <c r="P237" s="20"/>
      <c r="Q237" s="20"/>
      <c r="R237" s="20"/>
      <c r="S237" s="20"/>
      <c r="T237" s="20"/>
      <c r="U237" s="20"/>
      <c r="V237" s="20"/>
      <c r="W237" s="20"/>
    </row>
    <row r="238" spans="1:23" x14ac:dyDescent="0.25">
      <c r="A238" s="177" t="s">
        <v>4217</v>
      </c>
      <c r="B238" s="177" t="s">
        <v>1961</v>
      </c>
      <c r="C238" s="178" t="s">
        <v>4218</v>
      </c>
      <c r="D238" s="173" t="s">
        <v>3968</v>
      </c>
      <c r="E238" s="20"/>
      <c r="F238" s="20"/>
      <c r="G238" s="175"/>
      <c r="H238" s="20"/>
      <c r="I238" s="20"/>
      <c r="J238" s="20"/>
      <c r="K238" s="20"/>
      <c r="L238" s="20"/>
      <c r="M238" s="20"/>
      <c r="N238" s="20"/>
      <c r="O238" s="20"/>
      <c r="P238" s="20"/>
      <c r="Q238" s="20"/>
      <c r="R238" s="20"/>
      <c r="S238" s="20"/>
      <c r="T238" s="20"/>
      <c r="U238" s="20"/>
      <c r="V238" s="20"/>
      <c r="W238" s="20"/>
    </row>
    <row r="239" spans="1:23" x14ac:dyDescent="0.25">
      <c r="A239" s="177" t="s">
        <v>4219</v>
      </c>
      <c r="B239" s="177" t="s">
        <v>19</v>
      </c>
      <c r="C239" s="178" t="s">
        <v>4220</v>
      </c>
      <c r="D239" s="173" t="s">
        <v>3633</v>
      </c>
      <c r="E239" s="20"/>
      <c r="F239" s="20"/>
      <c r="G239" s="175"/>
      <c r="H239" s="20"/>
      <c r="I239" s="20"/>
      <c r="J239" s="20"/>
      <c r="K239" s="20"/>
      <c r="L239" s="20"/>
      <c r="M239" s="20"/>
      <c r="N239" s="20"/>
      <c r="O239" s="20"/>
      <c r="P239" s="20"/>
      <c r="Q239" s="20"/>
      <c r="R239" s="20"/>
      <c r="S239" s="20"/>
      <c r="T239" s="20"/>
      <c r="U239" s="20"/>
      <c r="V239" s="20"/>
      <c r="W239" s="20"/>
    </row>
    <row r="240" spans="1:23" x14ac:dyDescent="0.25">
      <c r="A240" s="177" t="s">
        <v>4221</v>
      </c>
      <c r="B240" s="177" t="s">
        <v>4222</v>
      </c>
      <c r="C240" s="178" t="s">
        <v>4223</v>
      </c>
      <c r="D240" s="173" t="s">
        <v>3968</v>
      </c>
      <c r="E240" s="20"/>
      <c r="F240" s="20"/>
      <c r="G240" s="175"/>
      <c r="H240" s="20"/>
      <c r="I240" s="20"/>
      <c r="J240" s="20"/>
      <c r="K240" s="20"/>
      <c r="L240" s="20"/>
      <c r="M240" s="20"/>
      <c r="N240" s="20"/>
      <c r="O240" s="20"/>
      <c r="P240" s="20"/>
      <c r="Q240" s="20"/>
      <c r="R240" s="20"/>
      <c r="S240" s="20"/>
      <c r="T240" s="20"/>
      <c r="U240" s="20"/>
      <c r="V240" s="20"/>
      <c r="W240" s="20"/>
    </row>
    <row r="241" spans="1:23" x14ac:dyDescent="0.25">
      <c r="A241" s="177" t="s">
        <v>4224</v>
      </c>
      <c r="B241" s="177" t="s">
        <v>2048</v>
      </c>
      <c r="C241" s="178" t="s">
        <v>4225</v>
      </c>
      <c r="D241" s="173" t="s">
        <v>3968</v>
      </c>
      <c r="E241" s="20"/>
      <c r="F241" s="20"/>
      <c r="G241" s="175"/>
      <c r="H241" s="20"/>
      <c r="I241" s="20"/>
      <c r="J241" s="20"/>
      <c r="K241" s="20"/>
      <c r="L241" s="20"/>
      <c r="M241" s="20"/>
      <c r="N241" s="20"/>
      <c r="O241" s="20"/>
      <c r="P241" s="20"/>
      <c r="Q241" s="20"/>
      <c r="R241" s="20"/>
      <c r="S241" s="20"/>
      <c r="T241" s="20"/>
      <c r="U241" s="20"/>
      <c r="V241" s="20"/>
      <c r="W241" s="20"/>
    </row>
    <row r="242" spans="1:23" x14ac:dyDescent="0.25">
      <c r="A242" s="177" t="s">
        <v>4226</v>
      </c>
      <c r="B242" s="177" t="s">
        <v>4227</v>
      </c>
      <c r="C242" s="178" t="s">
        <v>4228</v>
      </c>
      <c r="D242" s="173" t="s">
        <v>3968</v>
      </c>
      <c r="E242" s="20"/>
      <c r="F242" s="20"/>
      <c r="G242" s="175"/>
      <c r="H242" s="20"/>
      <c r="I242" s="20"/>
      <c r="J242" s="20"/>
      <c r="K242" s="20"/>
      <c r="L242" s="20"/>
      <c r="M242" s="20"/>
      <c r="N242" s="20"/>
      <c r="O242" s="20"/>
      <c r="P242" s="20"/>
      <c r="Q242" s="20"/>
      <c r="R242" s="20"/>
      <c r="S242" s="20"/>
      <c r="T242" s="20"/>
      <c r="U242" s="20"/>
      <c r="V242" s="20"/>
      <c r="W242" s="20"/>
    </row>
    <row r="243" spans="1:23" x14ac:dyDescent="0.25">
      <c r="A243" s="171" t="s">
        <v>4229</v>
      </c>
      <c r="B243" s="177" t="s">
        <v>4230</v>
      </c>
      <c r="C243" s="178" t="s">
        <v>4231</v>
      </c>
      <c r="D243" s="173" t="s">
        <v>3968</v>
      </c>
      <c r="E243" s="20"/>
      <c r="F243" s="20"/>
      <c r="G243" s="175"/>
      <c r="H243" s="20"/>
      <c r="I243" s="20"/>
      <c r="J243" s="20"/>
      <c r="K243" s="20"/>
      <c r="L243" s="20"/>
      <c r="M243" s="20"/>
      <c r="N243" s="20"/>
      <c r="O243" s="20"/>
      <c r="P243" s="20"/>
      <c r="Q243" s="20"/>
      <c r="R243" s="20"/>
      <c r="S243" s="20"/>
      <c r="T243" s="20"/>
      <c r="U243" s="20"/>
      <c r="V243" s="20"/>
      <c r="W243" s="20"/>
    </row>
    <row r="244" spans="1:23" x14ac:dyDescent="0.25">
      <c r="A244" s="177" t="s">
        <v>4232</v>
      </c>
      <c r="B244" s="177" t="s">
        <v>4233</v>
      </c>
      <c r="C244" s="178" t="s">
        <v>4234</v>
      </c>
      <c r="D244" s="173" t="s">
        <v>3968</v>
      </c>
      <c r="E244" s="20"/>
      <c r="F244" s="20"/>
      <c r="G244" s="175"/>
      <c r="H244" s="20"/>
      <c r="I244" s="20"/>
      <c r="J244" s="20"/>
      <c r="K244" s="20"/>
      <c r="L244" s="20"/>
      <c r="M244" s="20"/>
      <c r="N244" s="20"/>
      <c r="O244" s="20"/>
      <c r="P244" s="20"/>
      <c r="Q244" s="20"/>
      <c r="R244" s="20"/>
      <c r="S244" s="20"/>
      <c r="T244" s="20"/>
      <c r="U244" s="20"/>
      <c r="V244" s="20"/>
      <c r="W244" s="20"/>
    </row>
    <row r="245" spans="1:23" x14ac:dyDescent="0.25">
      <c r="A245" s="177" t="s">
        <v>4235</v>
      </c>
      <c r="B245" s="177" t="s">
        <v>4236</v>
      </c>
      <c r="C245" s="178" t="s">
        <v>4237</v>
      </c>
      <c r="D245" s="173" t="s">
        <v>3968</v>
      </c>
      <c r="E245" s="20"/>
      <c r="F245" s="20"/>
      <c r="G245" s="175"/>
      <c r="H245" s="20"/>
      <c r="I245" s="20"/>
      <c r="J245" s="20"/>
      <c r="K245" s="20"/>
      <c r="L245" s="20"/>
      <c r="M245" s="20"/>
      <c r="N245" s="20"/>
      <c r="O245" s="20"/>
      <c r="P245" s="20"/>
      <c r="Q245" s="20"/>
      <c r="R245" s="20"/>
      <c r="S245" s="20"/>
      <c r="T245" s="20"/>
      <c r="U245" s="20"/>
      <c r="V245" s="20"/>
      <c r="W245" s="20"/>
    </row>
    <row r="246" spans="1:23" x14ac:dyDescent="0.25">
      <c r="A246" s="177" t="s">
        <v>4238</v>
      </c>
      <c r="B246" s="177" t="s">
        <v>4239</v>
      </c>
      <c r="C246" s="178" t="s">
        <v>4240</v>
      </c>
      <c r="D246" s="173" t="s">
        <v>3968</v>
      </c>
      <c r="E246" s="20"/>
      <c r="F246" s="20"/>
      <c r="G246" s="175"/>
      <c r="H246" s="20"/>
      <c r="I246" s="20"/>
      <c r="J246" s="20"/>
      <c r="K246" s="20"/>
      <c r="L246" s="20"/>
      <c r="M246" s="20"/>
      <c r="N246" s="20"/>
      <c r="O246" s="20"/>
      <c r="P246" s="20"/>
      <c r="Q246" s="20"/>
      <c r="R246" s="20"/>
      <c r="S246" s="20"/>
      <c r="T246" s="20"/>
      <c r="U246" s="20"/>
      <c r="V246" s="20"/>
      <c r="W246" s="20"/>
    </row>
    <row r="247" spans="1:23" x14ac:dyDescent="0.25">
      <c r="A247" s="177" t="s">
        <v>4241</v>
      </c>
      <c r="B247" s="177" t="s">
        <v>4242</v>
      </c>
      <c r="C247" s="178" t="s">
        <v>4243</v>
      </c>
      <c r="D247" s="173" t="s">
        <v>3968</v>
      </c>
      <c r="E247" s="20"/>
      <c r="F247" s="20"/>
      <c r="G247" s="175"/>
      <c r="H247" s="20"/>
      <c r="I247" s="20"/>
      <c r="J247" s="20"/>
      <c r="K247" s="20"/>
      <c r="L247" s="20"/>
      <c r="M247" s="20"/>
      <c r="N247" s="20"/>
      <c r="O247" s="20"/>
      <c r="P247" s="20"/>
      <c r="Q247" s="20"/>
      <c r="R247" s="20"/>
      <c r="S247" s="20"/>
      <c r="T247" s="20"/>
      <c r="U247" s="20"/>
      <c r="V247" s="20"/>
      <c r="W247" s="20"/>
    </row>
    <row r="248" spans="1:23" x14ac:dyDescent="0.25">
      <c r="A248" s="177" t="s">
        <v>4244</v>
      </c>
      <c r="B248" s="177" t="s">
        <v>551</v>
      </c>
      <c r="C248" s="178" t="s">
        <v>4245</v>
      </c>
      <c r="D248" s="173" t="s">
        <v>3968</v>
      </c>
      <c r="E248" s="20"/>
      <c r="F248" s="20"/>
      <c r="G248" s="175"/>
      <c r="H248" s="20"/>
      <c r="I248" s="20"/>
      <c r="J248" s="20"/>
      <c r="K248" s="20"/>
      <c r="L248" s="20"/>
      <c r="M248" s="20"/>
      <c r="N248" s="20"/>
      <c r="O248" s="20"/>
      <c r="P248" s="20"/>
      <c r="Q248" s="20"/>
      <c r="R248" s="20"/>
      <c r="S248" s="20"/>
      <c r="T248" s="20"/>
      <c r="U248" s="20"/>
      <c r="V248" s="20"/>
      <c r="W248" s="20"/>
    </row>
    <row r="249" spans="1:23" x14ac:dyDescent="0.25">
      <c r="A249" s="177" t="s">
        <v>4246</v>
      </c>
      <c r="B249" s="177" t="s">
        <v>456</v>
      </c>
      <c r="C249" s="178" t="s">
        <v>4247</v>
      </c>
      <c r="D249" s="173" t="s">
        <v>3968</v>
      </c>
      <c r="E249" s="20"/>
      <c r="F249" s="20"/>
      <c r="G249" s="175"/>
      <c r="H249" s="20"/>
      <c r="I249" s="20"/>
      <c r="J249" s="20"/>
      <c r="K249" s="20"/>
      <c r="L249" s="20"/>
      <c r="M249" s="20"/>
      <c r="N249" s="20"/>
      <c r="O249" s="20"/>
      <c r="P249" s="20"/>
      <c r="Q249" s="20"/>
      <c r="R249" s="20"/>
      <c r="S249" s="20"/>
      <c r="T249" s="20"/>
      <c r="U249" s="20"/>
      <c r="V249" s="20"/>
      <c r="W249" s="20"/>
    </row>
    <row r="250" spans="1:23" x14ac:dyDescent="0.25">
      <c r="A250" s="177" t="s">
        <v>4248</v>
      </c>
      <c r="B250" s="177" t="s">
        <v>571</v>
      </c>
      <c r="C250" s="178" t="s">
        <v>4249</v>
      </c>
      <c r="D250" s="173" t="s">
        <v>3968</v>
      </c>
      <c r="E250" s="20"/>
      <c r="F250" s="20"/>
      <c r="G250" s="175"/>
      <c r="H250" s="20"/>
      <c r="I250" s="20"/>
      <c r="J250" s="20"/>
      <c r="K250" s="20"/>
      <c r="L250" s="20"/>
      <c r="M250" s="20"/>
      <c r="N250" s="20"/>
      <c r="O250" s="20"/>
      <c r="P250" s="20"/>
      <c r="Q250" s="20"/>
      <c r="R250" s="20"/>
      <c r="S250" s="20"/>
      <c r="T250" s="20"/>
      <c r="U250" s="20"/>
      <c r="V250" s="20"/>
      <c r="W250" s="20"/>
    </row>
    <row r="251" spans="1:23" x14ac:dyDescent="0.25">
      <c r="A251" s="177" t="s">
        <v>4250</v>
      </c>
      <c r="B251" s="177" t="s">
        <v>636</v>
      </c>
      <c r="C251" s="178" t="s">
        <v>4251</v>
      </c>
      <c r="D251" s="173" t="s">
        <v>3968</v>
      </c>
      <c r="E251" s="20"/>
      <c r="F251" s="20"/>
      <c r="G251" s="175"/>
      <c r="H251" s="20"/>
      <c r="I251" s="20"/>
      <c r="J251" s="20"/>
      <c r="K251" s="20"/>
      <c r="L251" s="20"/>
      <c r="M251" s="20"/>
      <c r="N251" s="20"/>
      <c r="O251" s="20"/>
      <c r="P251" s="20"/>
      <c r="Q251" s="20"/>
      <c r="R251" s="20"/>
      <c r="S251" s="20"/>
      <c r="T251" s="20"/>
      <c r="U251" s="20"/>
      <c r="V251" s="20"/>
      <c r="W251" s="20"/>
    </row>
    <row r="252" spans="1:23" x14ac:dyDescent="0.25">
      <c r="A252" s="177" t="s">
        <v>4252</v>
      </c>
      <c r="B252" s="177" t="s">
        <v>637</v>
      </c>
      <c r="C252" s="178" t="s">
        <v>4253</v>
      </c>
      <c r="D252" s="173" t="s">
        <v>3968</v>
      </c>
      <c r="E252" s="20"/>
      <c r="F252" s="20"/>
      <c r="G252" s="175"/>
      <c r="H252" s="20"/>
      <c r="I252" s="20"/>
      <c r="J252" s="20"/>
      <c r="K252" s="20"/>
      <c r="L252" s="20"/>
      <c r="M252" s="20"/>
      <c r="N252" s="20"/>
      <c r="O252" s="20"/>
      <c r="P252" s="20"/>
      <c r="Q252" s="20"/>
      <c r="R252" s="20"/>
      <c r="S252" s="20"/>
      <c r="T252" s="20"/>
      <c r="U252" s="20"/>
      <c r="V252" s="20"/>
      <c r="W252" s="20"/>
    </row>
    <row r="253" spans="1:23" x14ac:dyDescent="0.25">
      <c r="A253" s="177" t="s">
        <v>4254</v>
      </c>
      <c r="B253" s="177" t="s">
        <v>638</v>
      </c>
      <c r="C253" s="178" t="s">
        <v>4255</v>
      </c>
      <c r="D253" s="173" t="s">
        <v>3968</v>
      </c>
      <c r="E253" s="20"/>
      <c r="F253" s="20"/>
      <c r="G253" s="175"/>
      <c r="H253" s="20"/>
      <c r="I253" s="20"/>
      <c r="J253" s="20"/>
      <c r="K253" s="20"/>
      <c r="L253" s="20"/>
      <c r="M253" s="20"/>
      <c r="N253" s="20"/>
      <c r="O253" s="20"/>
      <c r="P253" s="20"/>
      <c r="Q253" s="20"/>
      <c r="R253" s="20"/>
      <c r="S253" s="20"/>
      <c r="T253" s="20"/>
      <c r="U253" s="20"/>
      <c r="V253" s="20"/>
      <c r="W253" s="20"/>
    </row>
    <row r="254" spans="1:23" x14ac:dyDescent="0.25">
      <c r="A254" s="177" t="s">
        <v>4256</v>
      </c>
      <c r="B254" s="177" t="s">
        <v>945</v>
      </c>
      <c r="C254" s="178" t="s">
        <v>4257</v>
      </c>
      <c r="D254" s="173" t="s">
        <v>3968</v>
      </c>
      <c r="E254" s="20"/>
      <c r="F254" s="20"/>
      <c r="G254" s="175"/>
      <c r="H254" s="20"/>
      <c r="I254" s="20"/>
      <c r="J254" s="20"/>
      <c r="K254" s="20"/>
      <c r="L254" s="20"/>
      <c r="M254" s="20"/>
      <c r="N254" s="20"/>
      <c r="O254" s="20"/>
      <c r="P254" s="20"/>
      <c r="Q254" s="20"/>
      <c r="R254" s="20"/>
      <c r="S254" s="20"/>
      <c r="T254" s="20"/>
      <c r="U254" s="20"/>
      <c r="V254" s="20"/>
      <c r="W254" s="20"/>
    </row>
    <row r="255" spans="1:23" x14ac:dyDescent="0.25">
      <c r="A255" s="177" t="s">
        <v>4258</v>
      </c>
      <c r="B255" s="177" t="s">
        <v>949</v>
      </c>
      <c r="C255" s="178" t="s">
        <v>4259</v>
      </c>
      <c r="D255" s="173" t="s">
        <v>3968</v>
      </c>
      <c r="E255" s="20"/>
      <c r="F255" s="20"/>
      <c r="G255" s="175"/>
      <c r="H255" s="20"/>
      <c r="I255" s="20"/>
      <c r="J255" s="20"/>
      <c r="K255" s="20"/>
      <c r="L255" s="20"/>
      <c r="M255" s="20"/>
      <c r="N255" s="20"/>
      <c r="O255" s="20"/>
      <c r="P255" s="20"/>
      <c r="Q255" s="20"/>
      <c r="R255" s="20"/>
      <c r="S255" s="20"/>
      <c r="T255" s="20"/>
      <c r="U255" s="20"/>
      <c r="V255" s="20"/>
      <c r="W255" s="20"/>
    </row>
    <row r="256" spans="1:23" x14ac:dyDescent="0.25">
      <c r="A256" s="177" t="s">
        <v>4260</v>
      </c>
      <c r="B256" s="177" t="s">
        <v>952</v>
      </c>
      <c r="C256" s="178" t="s">
        <v>4261</v>
      </c>
      <c r="D256" s="173" t="s">
        <v>3968</v>
      </c>
      <c r="E256" s="20"/>
      <c r="F256" s="20"/>
      <c r="G256" s="175"/>
      <c r="H256" s="20"/>
      <c r="I256" s="20"/>
      <c r="J256" s="20"/>
      <c r="K256" s="20"/>
      <c r="L256" s="20"/>
      <c r="M256" s="20"/>
      <c r="N256" s="20"/>
      <c r="O256" s="20"/>
      <c r="P256" s="20"/>
      <c r="Q256" s="20"/>
      <c r="R256" s="20"/>
      <c r="S256" s="20"/>
      <c r="T256" s="20"/>
      <c r="U256" s="20"/>
      <c r="V256" s="20"/>
      <c r="W256" s="20"/>
    </row>
    <row r="257" spans="1:23" x14ac:dyDescent="0.25">
      <c r="A257" s="177" t="s">
        <v>4262</v>
      </c>
      <c r="B257" s="177" t="s">
        <v>955</v>
      </c>
      <c r="C257" s="178" t="s">
        <v>4263</v>
      </c>
      <c r="D257" s="173" t="s">
        <v>3968</v>
      </c>
      <c r="E257" s="20"/>
      <c r="F257" s="20"/>
      <c r="G257" s="175"/>
      <c r="H257" s="20"/>
      <c r="I257" s="20"/>
      <c r="J257" s="20"/>
      <c r="K257" s="20"/>
      <c r="L257" s="20"/>
      <c r="M257" s="20"/>
      <c r="N257" s="20"/>
      <c r="O257" s="20"/>
      <c r="P257" s="20"/>
      <c r="Q257" s="20"/>
      <c r="R257" s="20"/>
      <c r="S257" s="20"/>
      <c r="T257" s="20"/>
      <c r="U257" s="20"/>
      <c r="V257" s="20"/>
      <c r="W257" s="20"/>
    </row>
    <row r="258" spans="1:23" x14ac:dyDescent="0.25">
      <c r="A258" s="177" t="s">
        <v>4264</v>
      </c>
      <c r="B258" s="177" t="s">
        <v>438</v>
      </c>
      <c r="C258" s="178" t="s">
        <v>4265</v>
      </c>
      <c r="D258" s="173" t="s">
        <v>3968</v>
      </c>
      <c r="E258" s="20"/>
      <c r="F258" s="20"/>
      <c r="G258" s="175"/>
      <c r="H258" s="20"/>
      <c r="I258" s="20"/>
      <c r="J258" s="20"/>
      <c r="K258" s="20"/>
      <c r="L258" s="20"/>
      <c r="M258" s="20"/>
      <c r="N258" s="20"/>
      <c r="O258" s="20"/>
      <c r="P258" s="20"/>
      <c r="Q258" s="20"/>
      <c r="R258" s="20"/>
      <c r="S258" s="20"/>
      <c r="T258" s="20"/>
      <c r="U258" s="20"/>
      <c r="V258" s="20"/>
      <c r="W258" s="20"/>
    </row>
    <row r="259" spans="1:23" x14ac:dyDescent="0.25">
      <c r="A259" s="177" t="s">
        <v>4266</v>
      </c>
      <c r="B259" s="177" t="s">
        <v>4267</v>
      </c>
      <c r="C259" s="178" t="s">
        <v>4268</v>
      </c>
      <c r="D259" s="173" t="s">
        <v>3968</v>
      </c>
      <c r="E259" s="20"/>
      <c r="F259" s="20"/>
      <c r="G259" s="175"/>
      <c r="H259" s="20"/>
      <c r="I259" s="20"/>
      <c r="J259" s="20"/>
      <c r="K259" s="20"/>
      <c r="L259" s="20"/>
      <c r="M259" s="20"/>
      <c r="N259" s="20"/>
      <c r="O259" s="20"/>
      <c r="P259" s="20"/>
      <c r="Q259" s="20"/>
      <c r="R259" s="20"/>
      <c r="S259" s="20"/>
      <c r="T259" s="20"/>
      <c r="U259" s="20"/>
      <c r="V259" s="20"/>
      <c r="W259" s="20"/>
    </row>
    <row r="260" spans="1:23" x14ac:dyDescent="0.25">
      <c r="A260" s="177" t="s">
        <v>4269</v>
      </c>
      <c r="B260" s="177" t="s">
        <v>491</v>
      </c>
      <c r="C260" s="178" t="s">
        <v>4270</v>
      </c>
      <c r="D260" s="173" t="s">
        <v>3968</v>
      </c>
      <c r="E260" s="20"/>
      <c r="F260" s="20"/>
      <c r="G260" s="175"/>
      <c r="H260" s="20"/>
      <c r="I260" s="20"/>
      <c r="J260" s="20"/>
      <c r="K260" s="20"/>
      <c r="L260" s="20"/>
      <c r="M260" s="20"/>
      <c r="N260" s="20"/>
      <c r="O260" s="20"/>
      <c r="P260" s="20"/>
      <c r="Q260" s="20"/>
      <c r="R260" s="20"/>
      <c r="S260" s="20"/>
      <c r="T260" s="20"/>
      <c r="U260" s="20"/>
      <c r="V260" s="20"/>
      <c r="W260" s="20"/>
    </row>
    <row r="261" spans="1:23" x14ac:dyDescent="0.25">
      <c r="A261" s="177" t="s">
        <v>4271</v>
      </c>
      <c r="B261" s="177" t="s">
        <v>4272</v>
      </c>
      <c r="C261" s="178" t="s">
        <v>4273</v>
      </c>
      <c r="D261" s="173" t="s">
        <v>3968</v>
      </c>
      <c r="E261" s="20"/>
      <c r="F261" s="20"/>
      <c r="G261" s="175"/>
      <c r="H261" s="20"/>
      <c r="I261" s="20"/>
      <c r="J261" s="20"/>
      <c r="K261" s="20"/>
      <c r="L261" s="20"/>
      <c r="M261" s="20"/>
      <c r="N261" s="20"/>
      <c r="O261" s="20"/>
      <c r="P261" s="20"/>
      <c r="Q261" s="20"/>
      <c r="R261" s="20"/>
      <c r="S261" s="20"/>
      <c r="T261" s="20"/>
      <c r="U261" s="20"/>
      <c r="V261" s="20"/>
      <c r="W261" s="20"/>
    </row>
    <row r="262" spans="1:23" x14ac:dyDescent="0.25">
      <c r="A262" s="177" t="s">
        <v>4274</v>
      </c>
      <c r="B262" s="177" t="s">
        <v>4275</v>
      </c>
      <c r="C262" s="178" t="s">
        <v>4276</v>
      </c>
      <c r="D262" s="173" t="s">
        <v>3968</v>
      </c>
      <c r="E262" s="20"/>
      <c r="F262" s="20"/>
      <c r="G262" s="175"/>
      <c r="H262" s="20"/>
      <c r="I262" s="20"/>
      <c r="J262" s="20"/>
      <c r="K262" s="20"/>
      <c r="L262" s="20"/>
      <c r="M262" s="20"/>
      <c r="N262" s="20"/>
      <c r="O262" s="20"/>
      <c r="P262" s="20"/>
      <c r="Q262" s="20"/>
      <c r="R262" s="20"/>
      <c r="S262" s="20"/>
      <c r="T262" s="20"/>
      <c r="U262" s="20"/>
      <c r="V262" s="20"/>
      <c r="W262" s="20"/>
    </row>
    <row r="263" spans="1:23" x14ac:dyDescent="0.25">
      <c r="A263" s="177" t="s">
        <v>4277</v>
      </c>
      <c r="B263" s="177" t="s">
        <v>4278</v>
      </c>
      <c r="C263" s="178" t="s">
        <v>4279</v>
      </c>
      <c r="D263" s="173" t="s">
        <v>3968</v>
      </c>
      <c r="E263" s="20"/>
      <c r="F263" s="20"/>
      <c r="G263" s="175"/>
      <c r="H263" s="20"/>
      <c r="I263" s="20"/>
      <c r="J263" s="20"/>
      <c r="K263" s="20"/>
      <c r="L263" s="20"/>
      <c r="M263" s="20"/>
      <c r="N263" s="20"/>
      <c r="O263" s="20"/>
      <c r="P263" s="20"/>
      <c r="Q263" s="20"/>
      <c r="R263" s="20"/>
      <c r="S263" s="20"/>
      <c r="T263" s="20"/>
      <c r="U263" s="20"/>
      <c r="V263" s="20"/>
      <c r="W263" s="20"/>
    </row>
    <row r="264" spans="1:23" x14ac:dyDescent="0.25">
      <c r="A264" s="177" t="s">
        <v>4280</v>
      </c>
      <c r="B264" s="177" t="s">
        <v>490</v>
      </c>
      <c r="C264" s="178" t="s">
        <v>4281</v>
      </c>
      <c r="D264" s="173" t="s">
        <v>3968</v>
      </c>
      <c r="E264" s="20"/>
      <c r="F264" s="20"/>
      <c r="G264" s="175"/>
      <c r="H264" s="20"/>
      <c r="I264" s="20"/>
      <c r="J264" s="20"/>
      <c r="K264" s="20"/>
      <c r="L264" s="20"/>
      <c r="M264" s="20"/>
      <c r="N264" s="20"/>
      <c r="O264" s="20"/>
      <c r="P264" s="20"/>
      <c r="Q264" s="20"/>
      <c r="R264" s="20"/>
      <c r="S264" s="20"/>
      <c r="T264" s="20"/>
      <c r="U264" s="20"/>
      <c r="V264" s="20"/>
      <c r="W264" s="20"/>
    </row>
    <row r="265" spans="1:23" x14ac:dyDescent="0.25">
      <c r="A265" s="177" t="s">
        <v>4282</v>
      </c>
      <c r="B265" s="177" t="s">
        <v>4283</v>
      </c>
      <c r="C265" s="178" t="s">
        <v>4284</v>
      </c>
      <c r="D265" s="173" t="s">
        <v>3968</v>
      </c>
      <c r="E265" s="20"/>
      <c r="F265" s="20"/>
      <c r="G265" s="175"/>
      <c r="H265" s="20"/>
      <c r="I265" s="20"/>
      <c r="J265" s="20"/>
      <c r="K265" s="20"/>
      <c r="L265" s="20"/>
      <c r="M265" s="20"/>
      <c r="N265" s="20"/>
      <c r="O265" s="20"/>
      <c r="P265" s="20"/>
      <c r="Q265" s="20"/>
      <c r="R265" s="20"/>
      <c r="S265" s="20"/>
      <c r="T265" s="20"/>
      <c r="U265" s="20"/>
      <c r="V265" s="20"/>
      <c r="W265" s="20"/>
    </row>
    <row r="266" spans="1:23" x14ac:dyDescent="0.25">
      <c r="A266" s="177" t="s">
        <v>4285</v>
      </c>
      <c r="B266" s="177" t="s">
        <v>4286</v>
      </c>
      <c r="C266" s="178" t="s">
        <v>4287</v>
      </c>
      <c r="D266" s="173" t="s">
        <v>3968</v>
      </c>
      <c r="E266" s="20"/>
      <c r="F266" s="20"/>
      <c r="G266" s="175"/>
      <c r="H266" s="20"/>
      <c r="I266" s="20"/>
      <c r="J266" s="20"/>
      <c r="K266" s="20"/>
      <c r="L266" s="20"/>
      <c r="M266" s="20"/>
      <c r="N266" s="20"/>
      <c r="O266" s="20"/>
      <c r="P266" s="20"/>
      <c r="Q266" s="20"/>
      <c r="R266" s="20"/>
      <c r="S266" s="20"/>
      <c r="T266" s="20"/>
      <c r="U266" s="20"/>
      <c r="V266" s="20"/>
      <c r="W266" s="20"/>
    </row>
    <row r="267" spans="1:23" x14ac:dyDescent="0.25">
      <c r="A267" s="177" t="s">
        <v>4288</v>
      </c>
      <c r="B267" s="177" t="s">
        <v>4289</v>
      </c>
      <c r="C267" s="178" t="s">
        <v>4290</v>
      </c>
      <c r="D267" s="173" t="s">
        <v>3968</v>
      </c>
      <c r="E267" s="20"/>
      <c r="F267" s="20"/>
      <c r="G267" s="175"/>
      <c r="H267" s="20"/>
      <c r="I267" s="20"/>
      <c r="J267" s="20"/>
      <c r="K267" s="20"/>
      <c r="L267" s="20"/>
      <c r="M267" s="20"/>
      <c r="N267" s="20"/>
      <c r="O267" s="20"/>
      <c r="P267" s="20"/>
      <c r="Q267" s="20"/>
      <c r="R267" s="20"/>
      <c r="S267" s="20"/>
      <c r="T267" s="20"/>
      <c r="U267" s="20"/>
      <c r="V267" s="20"/>
      <c r="W267" s="20"/>
    </row>
    <row r="268" spans="1:23" x14ac:dyDescent="0.25">
      <c r="A268" s="177" t="s">
        <v>4291</v>
      </c>
      <c r="B268" s="177" t="s">
        <v>493</v>
      </c>
      <c r="C268" s="178" t="s">
        <v>4292</v>
      </c>
      <c r="D268" s="173" t="s">
        <v>3968</v>
      </c>
      <c r="E268" s="20"/>
      <c r="F268" s="20"/>
      <c r="G268" s="175"/>
      <c r="H268" s="20"/>
      <c r="I268" s="20"/>
      <c r="J268" s="20"/>
      <c r="K268" s="20"/>
      <c r="L268" s="20"/>
      <c r="M268" s="20"/>
      <c r="N268" s="20"/>
      <c r="O268" s="20"/>
      <c r="P268" s="20"/>
      <c r="Q268" s="20"/>
      <c r="R268" s="20"/>
      <c r="S268" s="20"/>
      <c r="T268" s="20"/>
      <c r="U268" s="20"/>
      <c r="V268" s="20"/>
      <c r="W268" s="20"/>
    </row>
    <row r="269" spans="1:23" x14ac:dyDescent="0.25">
      <c r="A269" s="177" t="s">
        <v>4293</v>
      </c>
      <c r="B269" s="177" t="s">
        <v>4294</v>
      </c>
      <c r="C269" s="178" t="s">
        <v>4295</v>
      </c>
      <c r="D269" s="173" t="s">
        <v>3968</v>
      </c>
      <c r="E269" s="20"/>
      <c r="F269" s="20"/>
      <c r="G269" s="175"/>
      <c r="H269" s="20"/>
      <c r="I269" s="20"/>
      <c r="J269" s="20"/>
      <c r="K269" s="20"/>
      <c r="L269" s="20"/>
      <c r="M269" s="20"/>
      <c r="N269" s="20"/>
      <c r="O269" s="20"/>
      <c r="P269" s="20"/>
      <c r="Q269" s="20"/>
      <c r="R269" s="20"/>
      <c r="S269" s="20"/>
      <c r="T269" s="20"/>
      <c r="U269" s="20"/>
      <c r="V269" s="20"/>
      <c r="W269" s="20"/>
    </row>
    <row r="270" spans="1:23" x14ac:dyDescent="0.25">
      <c r="A270" s="177" t="s">
        <v>4296</v>
      </c>
      <c r="B270" s="177" t="s">
        <v>4297</v>
      </c>
      <c r="C270" s="178" t="s">
        <v>4298</v>
      </c>
      <c r="D270" s="173" t="s">
        <v>3968</v>
      </c>
      <c r="E270" s="20"/>
      <c r="F270" s="20"/>
      <c r="G270" s="175"/>
      <c r="H270" s="20"/>
      <c r="I270" s="20"/>
      <c r="J270" s="20"/>
      <c r="K270" s="20"/>
      <c r="L270" s="20"/>
      <c r="M270" s="20"/>
      <c r="N270" s="20"/>
      <c r="O270" s="20"/>
      <c r="P270" s="20"/>
      <c r="Q270" s="20"/>
      <c r="R270" s="20"/>
      <c r="S270" s="20"/>
      <c r="T270" s="20"/>
      <c r="U270" s="20"/>
      <c r="V270" s="20"/>
      <c r="W270" s="20"/>
    </row>
    <row r="271" spans="1:23" x14ac:dyDescent="0.25">
      <c r="A271" s="177" t="s">
        <v>4299</v>
      </c>
      <c r="B271" s="177" t="s">
        <v>4300</v>
      </c>
      <c r="C271" s="178" t="s">
        <v>4301</v>
      </c>
      <c r="D271" s="173" t="s">
        <v>3968</v>
      </c>
      <c r="E271" s="20"/>
      <c r="F271" s="20"/>
      <c r="G271" s="175"/>
      <c r="H271" s="20"/>
      <c r="I271" s="20"/>
      <c r="J271" s="20"/>
      <c r="K271" s="20"/>
      <c r="L271" s="20"/>
      <c r="M271" s="20"/>
      <c r="N271" s="20"/>
      <c r="O271" s="20"/>
      <c r="P271" s="20"/>
      <c r="Q271" s="20"/>
      <c r="R271" s="20"/>
      <c r="S271" s="20"/>
      <c r="T271" s="20"/>
      <c r="U271" s="20"/>
      <c r="V271" s="20"/>
      <c r="W271" s="20"/>
    </row>
    <row r="272" spans="1:23" x14ac:dyDescent="0.25">
      <c r="A272" s="177" t="s">
        <v>4302</v>
      </c>
      <c r="B272" s="177" t="s">
        <v>4303</v>
      </c>
      <c r="C272" s="178" t="s">
        <v>4304</v>
      </c>
      <c r="D272" s="173" t="s">
        <v>3968</v>
      </c>
      <c r="E272" s="20"/>
      <c r="F272" s="20"/>
      <c r="G272" s="175"/>
      <c r="H272" s="20"/>
      <c r="I272" s="20"/>
      <c r="J272" s="20"/>
      <c r="K272" s="20"/>
      <c r="L272" s="20"/>
      <c r="M272" s="20"/>
      <c r="N272" s="20"/>
      <c r="O272" s="20"/>
      <c r="P272" s="20"/>
      <c r="Q272" s="20"/>
      <c r="R272" s="20"/>
      <c r="S272" s="20"/>
      <c r="T272" s="20"/>
      <c r="U272" s="20"/>
      <c r="V272" s="20"/>
      <c r="W272" s="20"/>
    </row>
    <row r="273" spans="1:23" x14ac:dyDescent="0.25">
      <c r="A273" s="177" t="s">
        <v>4305</v>
      </c>
      <c r="B273" s="177" t="s">
        <v>492</v>
      </c>
      <c r="C273" s="178" t="s">
        <v>4306</v>
      </c>
      <c r="D273" s="173" t="s">
        <v>3968</v>
      </c>
      <c r="E273" s="20"/>
      <c r="F273" s="20"/>
      <c r="G273" s="175"/>
      <c r="H273" s="20"/>
      <c r="I273" s="20"/>
      <c r="J273" s="20"/>
      <c r="K273" s="20"/>
      <c r="L273" s="20"/>
      <c r="M273" s="20"/>
      <c r="N273" s="20"/>
      <c r="O273" s="20"/>
      <c r="P273" s="20"/>
      <c r="Q273" s="20"/>
      <c r="R273" s="20"/>
      <c r="S273" s="20"/>
      <c r="T273" s="20"/>
      <c r="U273" s="20"/>
      <c r="V273" s="20"/>
      <c r="W273" s="20"/>
    </row>
    <row r="274" spans="1:23" x14ac:dyDescent="0.25">
      <c r="A274" s="177" t="s">
        <v>4307</v>
      </c>
      <c r="B274" s="177" t="s">
        <v>4308</v>
      </c>
      <c r="C274" s="178" t="s">
        <v>4309</v>
      </c>
      <c r="D274" s="173" t="s">
        <v>3968</v>
      </c>
      <c r="E274" s="20"/>
      <c r="F274" s="20"/>
      <c r="G274" s="175"/>
      <c r="H274" s="20"/>
      <c r="I274" s="20"/>
      <c r="J274" s="20"/>
      <c r="K274" s="20"/>
      <c r="L274" s="20"/>
      <c r="M274" s="20"/>
      <c r="N274" s="20"/>
      <c r="O274" s="20"/>
      <c r="P274" s="20"/>
      <c r="Q274" s="20"/>
      <c r="R274" s="20"/>
      <c r="S274" s="20"/>
      <c r="T274" s="20"/>
      <c r="U274" s="20"/>
      <c r="V274" s="20"/>
      <c r="W274" s="20"/>
    </row>
    <row r="275" spans="1:23" x14ac:dyDescent="0.25">
      <c r="A275" s="177" t="s">
        <v>4310</v>
      </c>
      <c r="B275" s="177" t="s">
        <v>4311</v>
      </c>
      <c r="C275" s="178" t="s">
        <v>4312</v>
      </c>
      <c r="D275" s="173" t="s">
        <v>3968</v>
      </c>
      <c r="E275" s="20"/>
      <c r="F275" s="20"/>
      <c r="G275" s="175"/>
      <c r="H275" s="20"/>
      <c r="I275" s="20"/>
      <c r="J275" s="20"/>
      <c r="K275" s="20"/>
      <c r="L275" s="20"/>
      <c r="M275" s="20"/>
      <c r="N275" s="20"/>
      <c r="O275" s="20"/>
      <c r="P275" s="20"/>
      <c r="Q275" s="20"/>
      <c r="R275" s="20"/>
      <c r="S275" s="20"/>
      <c r="T275" s="20"/>
      <c r="U275" s="20"/>
      <c r="V275" s="20"/>
      <c r="W275" s="20"/>
    </row>
    <row r="276" spans="1:23" x14ac:dyDescent="0.25">
      <c r="A276" s="177" t="s">
        <v>4313</v>
      </c>
      <c r="B276" s="177" t="s">
        <v>4314</v>
      </c>
      <c r="C276" s="178" t="s">
        <v>4315</v>
      </c>
      <c r="D276" s="173" t="s">
        <v>3968</v>
      </c>
      <c r="E276" s="20"/>
      <c r="F276" s="20"/>
      <c r="G276" s="175"/>
      <c r="H276" s="20"/>
      <c r="I276" s="20"/>
      <c r="J276" s="20"/>
      <c r="K276" s="20"/>
      <c r="L276" s="20"/>
      <c r="M276" s="20"/>
      <c r="N276" s="20"/>
      <c r="O276" s="20"/>
      <c r="P276" s="20"/>
      <c r="Q276" s="20"/>
      <c r="R276" s="20"/>
      <c r="S276" s="20"/>
      <c r="T276" s="20"/>
      <c r="U276" s="20"/>
      <c r="V276" s="20"/>
      <c r="W276" s="20"/>
    </row>
    <row r="277" spans="1:23" x14ac:dyDescent="0.25">
      <c r="A277" s="177" t="s">
        <v>4316</v>
      </c>
      <c r="B277" s="177" t="s">
        <v>4317</v>
      </c>
      <c r="C277" s="178" t="s">
        <v>4318</v>
      </c>
      <c r="D277" s="173" t="s">
        <v>3968</v>
      </c>
      <c r="E277" s="20"/>
      <c r="F277" s="20"/>
      <c r="G277" s="175"/>
      <c r="H277" s="20"/>
      <c r="I277" s="20"/>
      <c r="J277" s="20"/>
      <c r="K277" s="20"/>
      <c r="L277" s="20"/>
      <c r="M277" s="20"/>
      <c r="N277" s="20"/>
      <c r="O277" s="20"/>
      <c r="P277" s="20"/>
      <c r="Q277" s="20"/>
      <c r="R277" s="20"/>
      <c r="S277" s="20"/>
      <c r="T277" s="20"/>
      <c r="U277" s="20"/>
      <c r="V277" s="20"/>
      <c r="W277" s="20"/>
    </row>
    <row r="278" spans="1:23" x14ac:dyDescent="0.25">
      <c r="A278" s="171" t="s">
        <v>4319</v>
      </c>
      <c r="B278" s="177" t="s">
        <v>4320</v>
      </c>
      <c r="C278" s="178" t="s">
        <v>4321</v>
      </c>
      <c r="D278" s="173" t="s">
        <v>3968</v>
      </c>
      <c r="E278" s="20"/>
      <c r="F278" s="20"/>
      <c r="G278" s="175"/>
      <c r="H278" s="20"/>
      <c r="I278" s="20"/>
      <c r="J278" s="20"/>
      <c r="K278" s="20"/>
      <c r="L278" s="20"/>
      <c r="M278" s="20"/>
      <c r="N278" s="20"/>
      <c r="O278" s="20"/>
      <c r="P278" s="20"/>
      <c r="Q278" s="20"/>
      <c r="R278" s="20"/>
      <c r="S278" s="20"/>
      <c r="T278" s="20"/>
      <c r="U278" s="20"/>
      <c r="V278" s="20"/>
      <c r="W278" s="20"/>
    </row>
    <row r="279" spans="1:23" x14ac:dyDescent="0.25">
      <c r="A279" s="177" t="s">
        <v>4322</v>
      </c>
      <c r="B279" s="177" t="s">
        <v>4323</v>
      </c>
      <c r="C279" s="178" t="s">
        <v>4324</v>
      </c>
      <c r="D279" s="173" t="s">
        <v>3968</v>
      </c>
      <c r="E279" s="20"/>
      <c r="F279" s="20"/>
      <c r="G279" s="175"/>
      <c r="H279" s="20"/>
      <c r="I279" s="20"/>
      <c r="J279" s="20"/>
      <c r="K279" s="20"/>
      <c r="L279" s="20"/>
      <c r="M279" s="20"/>
      <c r="N279" s="20"/>
      <c r="O279" s="20"/>
      <c r="P279" s="20"/>
      <c r="Q279" s="20"/>
      <c r="R279" s="20"/>
      <c r="S279" s="20"/>
      <c r="T279" s="20"/>
      <c r="U279" s="20"/>
      <c r="V279" s="20"/>
      <c r="W279" s="20"/>
    </row>
    <row r="280" spans="1:23" x14ac:dyDescent="0.25">
      <c r="A280" s="177" t="s">
        <v>4325</v>
      </c>
      <c r="B280" s="177" t="s">
        <v>4326</v>
      </c>
      <c r="C280" s="178" t="s">
        <v>4327</v>
      </c>
      <c r="D280" s="173" t="s">
        <v>3968</v>
      </c>
      <c r="E280" s="20"/>
      <c r="F280" s="20"/>
      <c r="G280" s="175"/>
      <c r="H280" s="20"/>
      <c r="I280" s="20"/>
      <c r="J280" s="20"/>
      <c r="K280" s="20"/>
      <c r="L280" s="20"/>
      <c r="M280" s="20"/>
      <c r="N280" s="20"/>
      <c r="O280" s="20"/>
      <c r="P280" s="20"/>
      <c r="Q280" s="20"/>
      <c r="R280" s="20"/>
      <c r="S280" s="20"/>
      <c r="T280" s="20"/>
      <c r="U280" s="20"/>
      <c r="V280" s="20"/>
      <c r="W280" s="20"/>
    </row>
    <row r="281" spans="1:23" x14ac:dyDescent="0.25">
      <c r="A281" s="177" t="s">
        <v>4328</v>
      </c>
      <c r="B281" s="177" t="s">
        <v>4329</v>
      </c>
      <c r="C281" s="178" t="s">
        <v>4330</v>
      </c>
      <c r="D281" s="173" t="s">
        <v>3968</v>
      </c>
      <c r="E281" s="20"/>
      <c r="F281" s="20"/>
      <c r="G281" s="175"/>
      <c r="H281" s="20"/>
      <c r="I281" s="20"/>
      <c r="J281" s="20"/>
      <c r="K281" s="20"/>
      <c r="L281" s="20"/>
      <c r="M281" s="20"/>
      <c r="N281" s="20"/>
      <c r="O281" s="20"/>
      <c r="P281" s="20"/>
      <c r="Q281" s="20"/>
      <c r="R281" s="20"/>
      <c r="S281" s="20"/>
      <c r="T281" s="20"/>
      <c r="U281" s="20"/>
      <c r="V281" s="20"/>
      <c r="W281" s="20"/>
    </row>
    <row r="282" spans="1:23" x14ac:dyDescent="0.25">
      <c r="A282" s="177" t="s">
        <v>4331</v>
      </c>
      <c r="B282" s="177" t="s">
        <v>4332</v>
      </c>
      <c r="C282" s="178" t="s">
        <v>4333</v>
      </c>
      <c r="D282" s="173" t="s">
        <v>3968</v>
      </c>
      <c r="E282" s="20"/>
      <c r="F282" s="20"/>
      <c r="G282" s="175"/>
      <c r="H282" s="20"/>
      <c r="I282" s="20"/>
      <c r="J282" s="20"/>
      <c r="K282" s="20"/>
      <c r="L282" s="20"/>
      <c r="M282" s="20"/>
      <c r="N282" s="20"/>
      <c r="O282" s="20"/>
      <c r="P282" s="20"/>
      <c r="Q282" s="20"/>
      <c r="R282" s="20"/>
      <c r="S282" s="20"/>
      <c r="T282" s="20"/>
      <c r="U282" s="20"/>
      <c r="V282" s="20"/>
      <c r="W282" s="20"/>
    </row>
    <row r="283" spans="1:23" x14ac:dyDescent="0.25">
      <c r="A283" s="177" t="s">
        <v>4334</v>
      </c>
      <c r="B283" s="177" t="s">
        <v>452</v>
      </c>
      <c r="C283" s="178" t="s">
        <v>4335</v>
      </c>
      <c r="D283" s="173" t="s">
        <v>3968</v>
      </c>
      <c r="E283" s="20"/>
      <c r="F283" s="20"/>
      <c r="G283" s="175"/>
      <c r="H283" s="20"/>
      <c r="I283" s="20"/>
      <c r="J283" s="20"/>
      <c r="K283" s="20"/>
      <c r="L283" s="20"/>
      <c r="M283" s="20"/>
      <c r="N283" s="20"/>
      <c r="O283" s="20"/>
      <c r="P283" s="20"/>
      <c r="Q283" s="20"/>
      <c r="R283" s="20"/>
      <c r="S283" s="20"/>
      <c r="T283" s="20"/>
      <c r="U283" s="20"/>
      <c r="V283" s="20"/>
      <c r="W283" s="20"/>
    </row>
    <row r="284" spans="1:23" x14ac:dyDescent="0.25">
      <c r="A284" s="177" t="s">
        <v>4336</v>
      </c>
      <c r="B284" s="177" t="s">
        <v>358</v>
      </c>
      <c r="C284" s="178" t="s">
        <v>4337</v>
      </c>
      <c r="D284" s="173" t="s">
        <v>3968</v>
      </c>
      <c r="E284" s="20"/>
      <c r="F284" s="20"/>
      <c r="G284" s="175"/>
      <c r="H284" s="20"/>
      <c r="I284" s="20"/>
      <c r="J284" s="20"/>
      <c r="K284" s="20"/>
      <c r="L284" s="20"/>
      <c r="M284" s="20"/>
      <c r="N284" s="20"/>
      <c r="O284" s="20"/>
      <c r="P284" s="20"/>
      <c r="Q284" s="20"/>
      <c r="R284" s="20"/>
      <c r="S284" s="20"/>
      <c r="T284" s="20"/>
      <c r="U284" s="20"/>
      <c r="V284" s="20"/>
      <c r="W284" s="20"/>
    </row>
    <row r="285" spans="1:23" x14ac:dyDescent="0.25">
      <c r="A285" s="177" t="s">
        <v>4338</v>
      </c>
      <c r="B285" s="177" t="s">
        <v>4339</v>
      </c>
      <c r="C285" s="178" t="s">
        <v>4340</v>
      </c>
      <c r="D285" s="173" t="s">
        <v>3968</v>
      </c>
      <c r="E285" s="20"/>
      <c r="F285" s="20"/>
      <c r="G285" s="175"/>
      <c r="H285" s="20"/>
      <c r="I285" s="20"/>
      <c r="J285" s="20"/>
      <c r="K285" s="20"/>
      <c r="L285" s="20"/>
      <c r="M285" s="20"/>
      <c r="N285" s="20"/>
      <c r="O285" s="20"/>
      <c r="P285" s="20"/>
      <c r="Q285" s="20"/>
      <c r="R285" s="20"/>
      <c r="S285" s="20"/>
      <c r="T285" s="20"/>
      <c r="U285" s="20"/>
      <c r="V285" s="20"/>
      <c r="W285" s="20"/>
    </row>
    <row r="286" spans="1:23" x14ac:dyDescent="0.25">
      <c r="A286" s="177" t="s">
        <v>4341</v>
      </c>
      <c r="B286" s="177" t="s">
        <v>360</v>
      </c>
      <c r="C286" s="178" t="s">
        <v>4342</v>
      </c>
      <c r="D286" s="173" t="s">
        <v>3968</v>
      </c>
      <c r="E286" s="20"/>
      <c r="F286" s="20"/>
      <c r="G286" s="175"/>
      <c r="H286" s="20"/>
      <c r="I286" s="20"/>
      <c r="J286" s="20"/>
      <c r="K286" s="20"/>
      <c r="L286" s="20"/>
      <c r="M286" s="20"/>
      <c r="N286" s="20"/>
      <c r="O286" s="20"/>
      <c r="P286" s="20"/>
      <c r="Q286" s="20"/>
      <c r="R286" s="20"/>
      <c r="S286" s="20"/>
      <c r="T286" s="20"/>
      <c r="U286" s="20"/>
      <c r="V286" s="20"/>
      <c r="W286" s="20"/>
    </row>
    <row r="287" spans="1:23" x14ac:dyDescent="0.25">
      <c r="A287" s="177" t="s">
        <v>4343</v>
      </c>
      <c r="B287" s="177" t="s">
        <v>570</v>
      </c>
      <c r="C287" s="178" t="s">
        <v>4344</v>
      </c>
      <c r="D287" s="173" t="s">
        <v>3968</v>
      </c>
      <c r="E287" s="20"/>
      <c r="F287" s="20"/>
      <c r="G287" s="175"/>
      <c r="H287" s="20"/>
      <c r="I287" s="20"/>
      <c r="J287" s="20"/>
      <c r="K287" s="20"/>
      <c r="L287" s="20"/>
      <c r="M287" s="20"/>
      <c r="N287" s="20"/>
      <c r="O287" s="20"/>
      <c r="P287" s="20"/>
      <c r="Q287" s="20"/>
      <c r="R287" s="20"/>
      <c r="S287" s="20"/>
      <c r="T287" s="20"/>
      <c r="U287" s="20"/>
      <c r="V287" s="20"/>
      <c r="W287" s="20"/>
    </row>
    <row r="288" spans="1:23" x14ac:dyDescent="0.25">
      <c r="A288" s="177" t="s">
        <v>4345</v>
      </c>
      <c r="B288" s="177" t="s">
        <v>61</v>
      </c>
      <c r="C288" s="178" t="s">
        <v>4346</v>
      </c>
      <c r="D288" s="173" t="s">
        <v>3968</v>
      </c>
      <c r="E288" s="20"/>
      <c r="F288" s="20"/>
      <c r="G288" s="175"/>
      <c r="H288" s="20"/>
      <c r="I288" s="20"/>
      <c r="J288" s="20"/>
      <c r="K288" s="20"/>
      <c r="L288" s="20"/>
      <c r="M288" s="20"/>
      <c r="N288" s="20"/>
      <c r="O288" s="20"/>
      <c r="P288" s="20"/>
      <c r="Q288" s="20"/>
      <c r="R288" s="20"/>
      <c r="S288" s="20"/>
      <c r="T288" s="20"/>
      <c r="U288" s="20"/>
      <c r="V288" s="20"/>
      <c r="W288" s="20"/>
    </row>
    <row r="289" spans="1:23" x14ac:dyDescent="0.25">
      <c r="A289" s="177" t="s">
        <v>4347</v>
      </c>
      <c r="B289" s="177" t="s">
        <v>60</v>
      </c>
      <c r="C289" s="178" t="s">
        <v>4348</v>
      </c>
      <c r="D289" s="173" t="s">
        <v>3968</v>
      </c>
      <c r="E289" s="20"/>
      <c r="F289" s="20"/>
      <c r="G289" s="175"/>
      <c r="H289" s="20"/>
      <c r="I289" s="20"/>
      <c r="J289" s="20"/>
      <c r="K289" s="20"/>
      <c r="L289" s="20"/>
      <c r="M289" s="20"/>
      <c r="N289" s="20"/>
      <c r="O289" s="20"/>
      <c r="P289" s="20"/>
      <c r="Q289" s="20"/>
      <c r="R289" s="20"/>
      <c r="S289" s="20"/>
      <c r="T289" s="20"/>
      <c r="U289" s="20"/>
      <c r="V289" s="20"/>
      <c r="W289" s="20"/>
    </row>
    <row r="290" spans="1:23" x14ac:dyDescent="0.25">
      <c r="A290" s="177" t="s">
        <v>4349</v>
      </c>
      <c r="B290" s="177" t="s">
        <v>2682</v>
      </c>
      <c r="C290" s="178" t="s">
        <v>4350</v>
      </c>
      <c r="D290" s="173" t="s">
        <v>3968</v>
      </c>
      <c r="E290" s="20"/>
      <c r="F290" s="20"/>
      <c r="G290" s="175"/>
      <c r="H290" s="20"/>
      <c r="I290" s="20"/>
      <c r="J290" s="20"/>
      <c r="K290" s="20"/>
      <c r="L290" s="20"/>
      <c r="M290" s="20"/>
      <c r="N290" s="20"/>
      <c r="O290" s="20"/>
      <c r="P290" s="20"/>
      <c r="Q290" s="20"/>
      <c r="R290" s="20"/>
      <c r="S290" s="20"/>
      <c r="T290" s="20"/>
      <c r="U290" s="20"/>
      <c r="V290" s="20"/>
      <c r="W290" s="20"/>
    </row>
    <row r="291" spans="1:23" x14ac:dyDescent="0.25">
      <c r="A291" s="177" t="s">
        <v>4351</v>
      </c>
      <c r="B291" s="177" t="s">
        <v>593</v>
      </c>
      <c r="C291" s="178" t="s">
        <v>4352</v>
      </c>
      <c r="D291" s="173" t="s">
        <v>3968</v>
      </c>
      <c r="E291" s="20"/>
      <c r="F291" s="20"/>
      <c r="G291" s="175"/>
      <c r="H291" s="20"/>
      <c r="I291" s="20"/>
      <c r="J291" s="20"/>
      <c r="K291" s="20"/>
      <c r="L291" s="20"/>
      <c r="M291" s="20"/>
      <c r="N291" s="20"/>
      <c r="O291" s="20"/>
      <c r="P291" s="20"/>
      <c r="Q291" s="20"/>
      <c r="R291" s="20"/>
      <c r="S291" s="20"/>
      <c r="T291" s="20"/>
      <c r="U291" s="20"/>
      <c r="V291" s="20"/>
      <c r="W291" s="20"/>
    </row>
    <row r="292" spans="1:23" x14ac:dyDescent="0.25">
      <c r="A292" s="171" t="s">
        <v>4353</v>
      </c>
      <c r="B292" s="177" t="s">
        <v>4354</v>
      </c>
      <c r="C292" s="178" t="s">
        <v>4355</v>
      </c>
      <c r="D292" s="173" t="s">
        <v>3968</v>
      </c>
      <c r="E292" s="20"/>
      <c r="F292" s="20"/>
      <c r="G292" s="175"/>
      <c r="H292" s="20"/>
      <c r="I292" s="20"/>
      <c r="J292" s="20"/>
      <c r="K292" s="20"/>
      <c r="L292" s="20"/>
      <c r="M292" s="20"/>
      <c r="N292" s="20"/>
      <c r="O292" s="20"/>
      <c r="P292" s="20"/>
      <c r="Q292" s="20"/>
      <c r="R292" s="20"/>
      <c r="S292" s="20"/>
      <c r="T292" s="20"/>
      <c r="U292" s="20"/>
      <c r="V292" s="20"/>
      <c r="W292" s="20"/>
    </row>
    <row r="293" spans="1:23" x14ac:dyDescent="0.25">
      <c r="A293" s="177" t="s">
        <v>4356</v>
      </c>
      <c r="B293" s="177" t="s">
        <v>4357</v>
      </c>
      <c r="C293" s="178" t="s">
        <v>4358</v>
      </c>
      <c r="D293" s="173" t="s">
        <v>3968</v>
      </c>
      <c r="E293" s="20"/>
      <c r="F293" s="20"/>
      <c r="G293" s="175"/>
      <c r="H293" s="20"/>
      <c r="I293" s="20"/>
      <c r="J293" s="20"/>
      <c r="K293" s="20"/>
      <c r="L293" s="20"/>
      <c r="M293" s="20"/>
      <c r="N293" s="20"/>
      <c r="O293" s="20"/>
      <c r="P293" s="20"/>
      <c r="Q293" s="20"/>
      <c r="R293" s="20"/>
      <c r="S293" s="20"/>
      <c r="T293" s="20"/>
      <c r="U293" s="20"/>
      <c r="V293" s="20"/>
      <c r="W293" s="20"/>
    </row>
    <row r="294" spans="1:23" x14ac:dyDescent="0.25">
      <c r="A294" s="171" t="s">
        <v>4359</v>
      </c>
      <c r="B294" s="177" t="s">
        <v>4360</v>
      </c>
      <c r="C294" s="178" t="s">
        <v>4361</v>
      </c>
      <c r="D294" s="173" t="s">
        <v>3968</v>
      </c>
      <c r="E294" s="20"/>
      <c r="F294" s="20"/>
      <c r="G294" s="175"/>
      <c r="H294" s="20"/>
      <c r="I294" s="20"/>
      <c r="J294" s="20"/>
      <c r="K294" s="20"/>
      <c r="L294" s="20"/>
      <c r="M294" s="20"/>
      <c r="N294" s="20"/>
      <c r="O294" s="20"/>
      <c r="P294" s="20"/>
      <c r="Q294" s="20"/>
      <c r="R294" s="20"/>
      <c r="S294" s="20"/>
      <c r="T294" s="20"/>
      <c r="U294" s="20"/>
      <c r="V294" s="20"/>
      <c r="W294" s="20"/>
    </row>
    <row r="295" spans="1:23" x14ac:dyDescent="0.25">
      <c r="A295" s="177" t="s">
        <v>4362</v>
      </c>
      <c r="B295" s="177" t="s">
        <v>4363</v>
      </c>
      <c r="C295" s="178" t="s">
        <v>4364</v>
      </c>
      <c r="D295" s="173" t="s">
        <v>3968</v>
      </c>
      <c r="E295" s="20"/>
      <c r="F295" s="20"/>
      <c r="G295" s="175"/>
      <c r="H295" s="20"/>
      <c r="I295" s="20"/>
      <c r="J295" s="20"/>
      <c r="K295" s="20"/>
      <c r="L295" s="20"/>
      <c r="M295" s="20"/>
      <c r="N295" s="20"/>
      <c r="O295" s="20"/>
      <c r="P295" s="20"/>
      <c r="Q295" s="20"/>
      <c r="R295" s="20"/>
      <c r="S295" s="20"/>
      <c r="T295" s="20"/>
      <c r="U295" s="20"/>
      <c r="V295" s="20"/>
      <c r="W295" s="20"/>
    </row>
    <row r="296" spans="1:23" x14ac:dyDescent="0.25">
      <c r="A296" s="177" t="s">
        <v>4365</v>
      </c>
      <c r="B296" s="177" t="s">
        <v>4366</v>
      </c>
      <c r="C296" s="178" t="s">
        <v>4367</v>
      </c>
      <c r="D296" s="173" t="s">
        <v>3968</v>
      </c>
      <c r="E296" s="20"/>
      <c r="F296" s="20"/>
      <c r="G296" s="175"/>
      <c r="H296" s="20"/>
      <c r="I296" s="20"/>
      <c r="J296" s="20"/>
      <c r="K296" s="20"/>
      <c r="L296" s="20"/>
      <c r="M296" s="20"/>
      <c r="N296" s="20"/>
      <c r="O296" s="20"/>
      <c r="P296" s="20"/>
      <c r="Q296" s="20"/>
      <c r="R296" s="20"/>
      <c r="S296" s="20"/>
      <c r="T296" s="20"/>
      <c r="U296" s="20"/>
      <c r="V296" s="20"/>
      <c r="W296" s="20"/>
    </row>
    <row r="297" spans="1:23" x14ac:dyDescent="0.25">
      <c r="A297" s="177" t="s">
        <v>4368</v>
      </c>
      <c r="B297" s="177" t="s">
        <v>398</v>
      </c>
      <c r="C297" s="178" t="s">
        <v>4369</v>
      </c>
      <c r="D297" s="173" t="s">
        <v>3968</v>
      </c>
      <c r="E297" s="20"/>
      <c r="F297" s="20"/>
      <c r="G297" s="175"/>
      <c r="H297" s="20"/>
      <c r="I297" s="20"/>
      <c r="J297" s="20"/>
      <c r="K297" s="20"/>
      <c r="L297" s="20"/>
      <c r="M297" s="20"/>
      <c r="N297" s="20"/>
      <c r="O297" s="20"/>
      <c r="P297" s="20"/>
      <c r="Q297" s="20"/>
      <c r="R297" s="20"/>
      <c r="S297" s="20"/>
      <c r="T297" s="20"/>
      <c r="U297" s="20"/>
      <c r="V297" s="20"/>
      <c r="W297" s="20"/>
    </row>
    <row r="298" spans="1:23" x14ac:dyDescent="0.25">
      <c r="A298" s="177" t="s">
        <v>4370</v>
      </c>
      <c r="B298" s="177" t="s">
        <v>1200</v>
      </c>
      <c r="C298" s="178" t="s">
        <v>4371</v>
      </c>
      <c r="D298" s="173" t="s">
        <v>3968</v>
      </c>
      <c r="E298" s="20"/>
      <c r="F298" s="20"/>
      <c r="G298" s="175"/>
      <c r="H298" s="20"/>
      <c r="I298" s="20"/>
      <c r="J298" s="20"/>
      <c r="K298" s="20"/>
      <c r="L298" s="20"/>
      <c r="M298" s="20"/>
      <c r="N298" s="20"/>
      <c r="O298" s="20"/>
      <c r="P298" s="20"/>
      <c r="Q298" s="20"/>
      <c r="R298" s="20"/>
      <c r="S298" s="20"/>
      <c r="T298" s="20"/>
      <c r="U298" s="20"/>
      <c r="V298" s="20"/>
      <c r="W298" s="20"/>
    </row>
    <row r="299" spans="1:23" x14ac:dyDescent="0.25">
      <c r="A299" s="177" t="s">
        <v>4372</v>
      </c>
      <c r="B299" s="177" t="s">
        <v>359</v>
      </c>
      <c r="C299" s="178" t="s">
        <v>4373</v>
      </c>
      <c r="D299" s="173" t="s">
        <v>3968</v>
      </c>
      <c r="E299" s="20"/>
      <c r="F299" s="20"/>
      <c r="G299" s="175"/>
      <c r="H299" s="20"/>
      <c r="I299" s="20"/>
      <c r="J299" s="20"/>
      <c r="K299" s="20"/>
      <c r="L299" s="20"/>
      <c r="M299" s="20"/>
      <c r="N299" s="20"/>
      <c r="O299" s="20"/>
      <c r="P299" s="20"/>
      <c r="Q299" s="20"/>
      <c r="R299" s="20"/>
      <c r="S299" s="20"/>
      <c r="T299" s="20"/>
      <c r="U299" s="20"/>
      <c r="V299" s="20"/>
      <c r="W299" s="20"/>
    </row>
    <row r="300" spans="1:23" x14ac:dyDescent="0.25">
      <c r="A300" s="177" t="s">
        <v>4374</v>
      </c>
      <c r="B300" s="177" t="s">
        <v>4375</v>
      </c>
      <c r="C300" s="178" t="s">
        <v>4376</v>
      </c>
      <c r="D300" s="173" t="s">
        <v>3968</v>
      </c>
      <c r="E300" s="20"/>
      <c r="F300" s="20"/>
      <c r="G300" s="175"/>
      <c r="H300" s="20"/>
      <c r="I300" s="20"/>
      <c r="J300" s="20"/>
      <c r="K300" s="20"/>
      <c r="L300" s="20"/>
      <c r="M300" s="20"/>
      <c r="N300" s="20"/>
      <c r="O300" s="20"/>
      <c r="P300" s="20"/>
      <c r="Q300" s="20"/>
      <c r="R300" s="20"/>
      <c r="S300" s="20"/>
      <c r="T300" s="20"/>
      <c r="U300" s="20"/>
      <c r="V300" s="20"/>
      <c r="W300" s="20"/>
    </row>
    <row r="301" spans="1:23" x14ac:dyDescent="0.25">
      <c r="A301" s="177" t="s">
        <v>4377</v>
      </c>
      <c r="B301" s="177" t="s">
        <v>4378</v>
      </c>
      <c r="C301" s="178" t="s">
        <v>4379</v>
      </c>
      <c r="D301" s="173" t="s">
        <v>3968</v>
      </c>
      <c r="E301" s="20"/>
      <c r="F301" s="20"/>
      <c r="G301" s="175"/>
      <c r="H301" s="20"/>
      <c r="I301" s="20"/>
      <c r="J301" s="20"/>
      <c r="K301" s="20"/>
      <c r="L301" s="20"/>
      <c r="M301" s="20"/>
      <c r="N301" s="20"/>
      <c r="O301" s="20"/>
      <c r="P301" s="20"/>
      <c r="Q301" s="20"/>
      <c r="R301" s="20"/>
      <c r="S301" s="20"/>
      <c r="T301" s="20"/>
      <c r="U301" s="20"/>
      <c r="V301" s="20"/>
      <c r="W301" s="20"/>
    </row>
    <row r="302" spans="1:23" x14ac:dyDescent="0.25">
      <c r="A302" s="177" t="s">
        <v>4380</v>
      </c>
      <c r="B302" s="177" t="s">
        <v>2098</v>
      </c>
      <c r="C302" s="178" t="s">
        <v>4381</v>
      </c>
      <c r="D302" s="173" t="s">
        <v>3968</v>
      </c>
      <c r="E302" s="20"/>
      <c r="F302" s="20"/>
      <c r="G302" s="175"/>
      <c r="H302" s="20"/>
      <c r="I302" s="20"/>
      <c r="J302" s="20"/>
      <c r="K302" s="20"/>
      <c r="L302" s="20"/>
      <c r="M302" s="20"/>
      <c r="N302" s="20"/>
      <c r="O302" s="20"/>
      <c r="P302" s="20"/>
      <c r="Q302" s="20"/>
      <c r="R302" s="20"/>
      <c r="S302" s="20"/>
      <c r="T302" s="20"/>
      <c r="U302" s="20"/>
      <c r="V302" s="20"/>
      <c r="W302" s="20"/>
    </row>
    <row r="303" spans="1:23" x14ac:dyDescent="0.25">
      <c r="A303" s="177" t="s">
        <v>4382</v>
      </c>
      <c r="B303" s="177" t="s">
        <v>4383</v>
      </c>
      <c r="C303" s="178" t="s">
        <v>4384</v>
      </c>
      <c r="D303" s="173" t="s">
        <v>3968</v>
      </c>
      <c r="E303" s="20"/>
      <c r="F303" s="20"/>
      <c r="G303" s="175"/>
      <c r="H303" s="20"/>
      <c r="I303" s="20"/>
      <c r="J303" s="20"/>
      <c r="K303" s="20"/>
      <c r="L303" s="20"/>
      <c r="M303" s="20"/>
      <c r="N303" s="20"/>
      <c r="O303" s="20"/>
      <c r="P303" s="20"/>
      <c r="Q303" s="20"/>
      <c r="R303" s="20"/>
      <c r="S303" s="20"/>
      <c r="T303" s="20"/>
      <c r="U303" s="20"/>
      <c r="V303" s="20"/>
      <c r="W303" s="20"/>
    </row>
    <row r="304" spans="1:23" x14ac:dyDescent="0.25">
      <c r="A304" s="177" t="s">
        <v>4385</v>
      </c>
      <c r="B304" s="177" t="s">
        <v>4386</v>
      </c>
      <c r="C304" s="178" t="s">
        <v>4387</v>
      </c>
      <c r="D304" s="173" t="s">
        <v>3968</v>
      </c>
      <c r="E304" s="20"/>
      <c r="F304" s="20"/>
      <c r="G304" s="175"/>
      <c r="H304" s="20"/>
      <c r="I304" s="20"/>
      <c r="J304" s="20"/>
      <c r="K304" s="20"/>
      <c r="L304" s="20"/>
      <c r="M304" s="20"/>
      <c r="N304" s="20"/>
      <c r="O304" s="20"/>
      <c r="P304" s="20"/>
      <c r="Q304" s="20"/>
      <c r="R304" s="20"/>
      <c r="S304" s="20"/>
      <c r="T304" s="20"/>
      <c r="U304" s="20"/>
      <c r="V304" s="20"/>
      <c r="W304" s="20"/>
    </row>
    <row r="305" spans="1:23" x14ac:dyDescent="0.25">
      <c r="A305" s="177" t="s">
        <v>4388</v>
      </c>
      <c r="B305" s="177" t="s">
        <v>485</v>
      </c>
      <c r="C305" s="178" t="s">
        <v>4389</v>
      </c>
      <c r="D305" s="173" t="s">
        <v>3968</v>
      </c>
      <c r="E305" s="20"/>
      <c r="F305" s="20"/>
      <c r="G305" s="175"/>
      <c r="H305" s="20"/>
      <c r="I305" s="20"/>
      <c r="J305" s="20"/>
      <c r="K305" s="20"/>
      <c r="L305" s="20"/>
      <c r="M305" s="20"/>
      <c r="N305" s="20"/>
      <c r="O305" s="20"/>
      <c r="P305" s="20"/>
      <c r="Q305" s="20"/>
      <c r="R305" s="20"/>
      <c r="S305" s="20"/>
      <c r="T305" s="20"/>
      <c r="U305" s="20"/>
      <c r="V305" s="20"/>
      <c r="W305" s="20"/>
    </row>
    <row r="306" spans="1:23" x14ac:dyDescent="0.25">
      <c r="A306" s="177" t="s">
        <v>4390</v>
      </c>
      <c r="B306" s="177" t="s">
        <v>1647</v>
      </c>
      <c r="C306" s="178" t="s">
        <v>4391</v>
      </c>
      <c r="D306" s="173" t="s">
        <v>3968</v>
      </c>
      <c r="E306" s="20"/>
      <c r="F306" s="20"/>
      <c r="G306" s="175"/>
      <c r="H306" s="20"/>
      <c r="I306" s="20"/>
      <c r="J306" s="20"/>
      <c r="K306" s="20"/>
      <c r="L306" s="20"/>
      <c r="M306" s="20"/>
      <c r="N306" s="20"/>
      <c r="O306" s="20"/>
      <c r="P306" s="20"/>
      <c r="Q306" s="20"/>
      <c r="R306" s="20"/>
      <c r="S306" s="20"/>
      <c r="T306" s="20"/>
      <c r="U306" s="20"/>
      <c r="V306" s="20"/>
      <c r="W306" s="20"/>
    </row>
    <row r="307" spans="1:23" x14ac:dyDescent="0.25">
      <c r="A307" s="177" t="s">
        <v>4392</v>
      </c>
      <c r="B307" s="177" t="s">
        <v>4393</v>
      </c>
      <c r="C307" s="178" t="s">
        <v>4394</v>
      </c>
      <c r="D307" s="173" t="s">
        <v>3968</v>
      </c>
      <c r="E307" s="20"/>
      <c r="F307" s="20"/>
      <c r="G307" s="175"/>
      <c r="H307" s="20"/>
      <c r="I307" s="20"/>
      <c r="J307" s="20"/>
      <c r="K307" s="20"/>
      <c r="L307" s="20"/>
      <c r="M307" s="20"/>
      <c r="N307" s="20"/>
      <c r="O307" s="20"/>
      <c r="P307" s="20"/>
      <c r="Q307" s="20"/>
      <c r="R307" s="20"/>
      <c r="S307" s="20"/>
      <c r="T307" s="20"/>
      <c r="U307" s="20"/>
      <c r="V307" s="20"/>
      <c r="W307" s="20"/>
    </row>
    <row r="308" spans="1:23" x14ac:dyDescent="0.25">
      <c r="A308" s="177" t="s">
        <v>4395</v>
      </c>
      <c r="B308" s="177" t="s">
        <v>4396</v>
      </c>
      <c r="C308" s="178" t="s">
        <v>4397</v>
      </c>
      <c r="D308" s="173" t="s">
        <v>3968</v>
      </c>
      <c r="E308" s="20"/>
      <c r="F308" s="20"/>
      <c r="G308" s="175"/>
      <c r="H308" s="20"/>
      <c r="I308" s="20"/>
      <c r="J308" s="20"/>
      <c r="K308" s="20"/>
      <c r="L308" s="20"/>
      <c r="M308" s="20"/>
      <c r="N308" s="20"/>
      <c r="O308" s="20"/>
      <c r="P308" s="20"/>
      <c r="Q308" s="20"/>
      <c r="R308" s="20"/>
      <c r="S308" s="20"/>
      <c r="T308" s="20"/>
      <c r="U308" s="20"/>
      <c r="V308" s="20"/>
      <c r="W308" s="20"/>
    </row>
    <row r="309" spans="1:23" x14ac:dyDescent="0.25">
      <c r="A309" s="171" t="s">
        <v>4398</v>
      </c>
      <c r="B309" s="177" t="s">
        <v>4399</v>
      </c>
      <c r="C309" s="178" t="s">
        <v>4400</v>
      </c>
      <c r="D309" s="173" t="s">
        <v>3968</v>
      </c>
      <c r="E309" s="20"/>
      <c r="F309" s="20"/>
      <c r="G309" s="175"/>
      <c r="H309" s="20"/>
      <c r="I309" s="20"/>
      <c r="J309" s="20"/>
      <c r="K309" s="20"/>
      <c r="L309" s="20"/>
      <c r="M309" s="20"/>
      <c r="N309" s="20"/>
      <c r="O309" s="20"/>
      <c r="P309" s="20"/>
      <c r="Q309" s="20"/>
      <c r="R309" s="20"/>
      <c r="S309" s="20"/>
      <c r="T309" s="20"/>
      <c r="U309" s="20"/>
      <c r="V309" s="20"/>
      <c r="W309" s="20"/>
    </row>
    <row r="310" spans="1:23" x14ac:dyDescent="0.25">
      <c r="A310" s="171" t="s">
        <v>4401</v>
      </c>
      <c r="B310" s="177" t="s">
        <v>4402</v>
      </c>
      <c r="C310" s="178" t="s">
        <v>4403</v>
      </c>
      <c r="D310" s="173" t="s">
        <v>3968</v>
      </c>
      <c r="E310" s="20"/>
      <c r="F310" s="20"/>
      <c r="G310" s="175"/>
      <c r="H310" s="20"/>
      <c r="I310" s="20"/>
      <c r="J310" s="20"/>
      <c r="K310" s="20"/>
      <c r="L310" s="20"/>
      <c r="M310" s="20"/>
      <c r="N310" s="20"/>
      <c r="O310" s="20"/>
      <c r="P310" s="20"/>
      <c r="Q310" s="20"/>
      <c r="R310" s="20"/>
      <c r="S310" s="20"/>
      <c r="T310" s="20"/>
      <c r="U310" s="20"/>
      <c r="V310" s="20"/>
      <c r="W310" s="20"/>
    </row>
    <row r="311" spans="1:23" x14ac:dyDescent="0.25">
      <c r="A311" s="171" t="s">
        <v>4404</v>
      </c>
      <c r="B311" s="177" t="s">
        <v>4405</v>
      </c>
      <c r="C311" s="178" t="s">
        <v>4406</v>
      </c>
      <c r="D311" s="173" t="s">
        <v>3968</v>
      </c>
      <c r="E311" s="20"/>
      <c r="F311" s="20"/>
      <c r="G311" s="175"/>
      <c r="H311" s="20"/>
      <c r="I311" s="20"/>
      <c r="J311" s="20"/>
      <c r="K311" s="20"/>
      <c r="L311" s="20"/>
      <c r="M311" s="20"/>
      <c r="N311" s="20"/>
      <c r="O311" s="20"/>
      <c r="P311" s="20"/>
      <c r="Q311" s="20"/>
      <c r="R311" s="20"/>
      <c r="S311" s="20"/>
      <c r="T311" s="20"/>
      <c r="U311" s="20"/>
      <c r="V311" s="20"/>
      <c r="W311" s="20"/>
    </row>
    <row r="312" spans="1:23" x14ac:dyDescent="0.25">
      <c r="A312" s="171" t="s">
        <v>4407</v>
      </c>
      <c r="B312" s="177" t="s">
        <v>4408</v>
      </c>
      <c r="C312" s="178" t="s">
        <v>4409</v>
      </c>
      <c r="D312" s="173" t="s">
        <v>3968</v>
      </c>
      <c r="E312" s="20"/>
      <c r="F312" s="20"/>
      <c r="G312" s="175"/>
      <c r="H312" s="20"/>
      <c r="I312" s="20"/>
      <c r="J312" s="20"/>
      <c r="K312" s="20"/>
      <c r="L312" s="20"/>
      <c r="M312" s="20"/>
      <c r="N312" s="20"/>
      <c r="O312" s="20"/>
      <c r="P312" s="20"/>
      <c r="Q312" s="20"/>
      <c r="R312" s="20"/>
      <c r="S312" s="20"/>
      <c r="T312" s="20"/>
      <c r="U312" s="20"/>
      <c r="V312" s="20"/>
      <c r="W312" s="20"/>
    </row>
    <row r="313" spans="1:23" x14ac:dyDescent="0.25">
      <c r="A313" s="171" t="s">
        <v>4410</v>
      </c>
      <c r="B313" s="177" t="s">
        <v>4411</v>
      </c>
      <c r="C313" s="178" t="s">
        <v>4412</v>
      </c>
      <c r="D313" s="173" t="s">
        <v>3968</v>
      </c>
      <c r="E313" s="20"/>
      <c r="F313" s="20"/>
      <c r="G313" s="175"/>
      <c r="H313" s="20"/>
      <c r="I313" s="20"/>
      <c r="J313" s="20"/>
      <c r="K313" s="20"/>
      <c r="L313" s="20"/>
      <c r="M313" s="20"/>
      <c r="N313" s="20"/>
      <c r="O313" s="20"/>
      <c r="P313" s="20"/>
      <c r="Q313" s="20"/>
      <c r="R313" s="20"/>
      <c r="S313" s="20"/>
      <c r="T313" s="20"/>
      <c r="U313" s="20"/>
      <c r="V313" s="20"/>
      <c r="W313" s="20"/>
    </row>
    <row r="314" spans="1:23" x14ac:dyDescent="0.25">
      <c r="A314" s="171" t="s">
        <v>4413</v>
      </c>
      <c r="B314" s="177" t="s">
        <v>4414</v>
      </c>
      <c r="C314" s="178" t="s">
        <v>4415</v>
      </c>
      <c r="D314" s="173" t="s">
        <v>3968</v>
      </c>
      <c r="E314" s="20"/>
      <c r="F314" s="20"/>
      <c r="G314" s="175"/>
      <c r="H314" s="20"/>
      <c r="I314" s="20"/>
      <c r="J314" s="20"/>
      <c r="K314" s="20"/>
      <c r="L314" s="20"/>
      <c r="M314" s="20"/>
      <c r="N314" s="20"/>
      <c r="O314" s="20"/>
      <c r="P314" s="20"/>
      <c r="Q314" s="20"/>
      <c r="R314" s="20"/>
      <c r="S314" s="20"/>
      <c r="T314" s="20"/>
      <c r="U314" s="20"/>
      <c r="V314" s="20"/>
      <c r="W314" s="20"/>
    </row>
    <row r="315" spans="1:23" x14ac:dyDescent="0.25">
      <c r="A315" s="171" t="s">
        <v>4416</v>
      </c>
      <c r="B315" s="177" t="s">
        <v>4417</v>
      </c>
      <c r="C315" s="178" t="s">
        <v>4418</v>
      </c>
      <c r="D315" s="173" t="s">
        <v>3968</v>
      </c>
      <c r="E315" s="20"/>
      <c r="F315" s="20"/>
      <c r="G315" s="175"/>
      <c r="H315" s="20"/>
      <c r="I315" s="20"/>
      <c r="J315" s="20"/>
      <c r="K315" s="20"/>
      <c r="L315" s="20"/>
      <c r="M315" s="20"/>
      <c r="N315" s="20"/>
      <c r="O315" s="20"/>
      <c r="P315" s="20"/>
      <c r="Q315" s="20"/>
      <c r="R315" s="20"/>
      <c r="S315" s="20"/>
      <c r="T315" s="20"/>
      <c r="U315" s="20"/>
      <c r="V315" s="20"/>
      <c r="W315" s="20"/>
    </row>
    <row r="316" spans="1:23" x14ac:dyDescent="0.25">
      <c r="A316" s="177" t="s">
        <v>4419</v>
      </c>
      <c r="B316" s="177" t="s">
        <v>4420</v>
      </c>
      <c r="C316" s="178" t="s">
        <v>4421</v>
      </c>
      <c r="D316" s="173" t="s">
        <v>3968</v>
      </c>
      <c r="E316" s="20"/>
      <c r="F316" s="20"/>
      <c r="G316" s="175"/>
      <c r="H316" s="20"/>
      <c r="I316" s="20"/>
      <c r="J316" s="20"/>
      <c r="K316" s="20"/>
      <c r="L316" s="20"/>
      <c r="M316" s="20"/>
      <c r="N316" s="20"/>
      <c r="O316" s="20"/>
      <c r="P316" s="20"/>
      <c r="Q316" s="20"/>
      <c r="R316" s="20"/>
      <c r="S316" s="20"/>
      <c r="T316" s="20"/>
      <c r="U316" s="20"/>
      <c r="V316" s="20"/>
      <c r="W316" s="20"/>
    </row>
    <row r="317" spans="1:23" x14ac:dyDescent="0.25">
      <c r="A317" s="171" t="s">
        <v>4422</v>
      </c>
      <c r="B317" s="177" t="s">
        <v>4423</v>
      </c>
      <c r="C317" s="178" t="s">
        <v>4424</v>
      </c>
      <c r="D317" s="173" t="s">
        <v>3968</v>
      </c>
      <c r="E317" s="20"/>
      <c r="F317" s="20"/>
      <c r="G317" s="175"/>
      <c r="H317" s="20"/>
      <c r="I317" s="20"/>
      <c r="J317" s="20"/>
      <c r="K317" s="20"/>
      <c r="L317" s="20"/>
      <c r="M317" s="20"/>
      <c r="N317" s="20"/>
      <c r="O317" s="20"/>
      <c r="P317" s="20"/>
      <c r="Q317" s="20"/>
      <c r="R317" s="20"/>
      <c r="S317" s="20"/>
      <c r="T317" s="20"/>
      <c r="U317" s="20"/>
      <c r="V317" s="20"/>
      <c r="W317" s="20"/>
    </row>
    <row r="318" spans="1:23" x14ac:dyDescent="0.25">
      <c r="A318" s="171" t="s">
        <v>4425</v>
      </c>
      <c r="B318" s="177" t="s">
        <v>4426</v>
      </c>
      <c r="C318" s="178" t="s">
        <v>4427</v>
      </c>
      <c r="D318" s="173" t="s">
        <v>3968</v>
      </c>
      <c r="E318" s="20"/>
      <c r="F318" s="20"/>
      <c r="G318" s="175"/>
      <c r="H318" s="20"/>
      <c r="I318" s="20"/>
      <c r="J318" s="20"/>
      <c r="K318" s="20"/>
      <c r="L318" s="20"/>
      <c r="M318" s="20"/>
      <c r="N318" s="20"/>
      <c r="O318" s="20"/>
      <c r="P318" s="20"/>
      <c r="Q318" s="20"/>
      <c r="R318" s="20"/>
      <c r="S318" s="20"/>
      <c r="T318" s="20"/>
      <c r="U318" s="20"/>
      <c r="V318" s="20"/>
      <c r="W318" s="20"/>
    </row>
    <row r="319" spans="1:23" x14ac:dyDescent="0.25">
      <c r="A319" s="177" t="s">
        <v>4428</v>
      </c>
      <c r="B319" s="177" t="s">
        <v>4429</v>
      </c>
      <c r="C319" s="178" t="s">
        <v>4430</v>
      </c>
      <c r="D319" s="173" t="s">
        <v>3968</v>
      </c>
      <c r="E319" s="20"/>
      <c r="F319" s="20"/>
      <c r="G319" s="175"/>
      <c r="H319" s="20"/>
      <c r="I319" s="20"/>
      <c r="J319" s="20"/>
      <c r="K319" s="20"/>
      <c r="L319" s="20"/>
      <c r="M319" s="20"/>
      <c r="N319" s="20"/>
      <c r="O319" s="20"/>
      <c r="P319" s="20"/>
      <c r="Q319" s="20"/>
      <c r="R319" s="20"/>
      <c r="S319" s="20"/>
      <c r="T319" s="20"/>
      <c r="U319" s="20"/>
      <c r="V319" s="20"/>
      <c r="W319" s="20"/>
    </row>
    <row r="320" spans="1:23" x14ac:dyDescent="0.25">
      <c r="A320" s="177" t="s">
        <v>4431</v>
      </c>
      <c r="B320" s="177" t="s">
        <v>4432</v>
      </c>
      <c r="C320" s="178" t="s">
        <v>4433</v>
      </c>
      <c r="D320" s="173" t="s">
        <v>3968</v>
      </c>
      <c r="E320" s="20"/>
      <c r="F320" s="20"/>
      <c r="G320" s="175"/>
      <c r="H320" s="20"/>
      <c r="I320" s="20"/>
      <c r="J320" s="20"/>
      <c r="K320" s="20"/>
      <c r="L320" s="20"/>
      <c r="M320" s="20"/>
      <c r="N320" s="20"/>
      <c r="O320" s="20"/>
      <c r="P320" s="20"/>
      <c r="Q320" s="20"/>
      <c r="R320" s="20"/>
      <c r="S320" s="20"/>
      <c r="T320" s="20"/>
      <c r="U320" s="20"/>
      <c r="V320" s="20"/>
      <c r="W320" s="20"/>
    </row>
    <row r="321" spans="1:23" x14ac:dyDescent="0.25">
      <c r="A321" s="177" t="s">
        <v>4434</v>
      </c>
      <c r="B321" s="177" t="s">
        <v>4435</v>
      </c>
      <c r="C321" s="178" t="s">
        <v>4436</v>
      </c>
      <c r="D321" s="173" t="s">
        <v>3968</v>
      </c>
      <c r="E321" s="20"/>
      <c r="F321" s="20"/>
      <c r="G321" s="175"/>
      <c r="H321" s="20"/>
      <c r="I321" s="20"/>
      <c r="J321" s="20"/>
      <c r="K321" s="20"/>
      <c r="L321" s="20"/>
      <c r="M321" s="20"/>
      <c r="N321" s="20"/>
      <c r="O321" s="20"/>
      <c r="P321" s="20"/>
      <c r="Q321" s="20"/>
      <c r="R321" s="20"/>
      <c r="S321" s="20"/>
      <c r="T321" s="20"/>
      <c r="U321" s="20"/>
      <c r="V321" s="20"/>
      <c r="W321" s="20"/>
    </row>
    <row r="322" spans="1:23" x14ac:dyDescent="0.25">
      <c r="A322" s="177" t="s">
        <v>4437</v>
      </c>
      <c r="B322" s="177" t="s">
        <v>4438</v>
      </c>
      <c r="C322" s="178" t="s">
        <v>4439</v>
      </c>
      <c r="D322" s="173" t="s">
        <v>3968</v>
      </c>
      <c r="E322" s="20"/>
      <c r="F322" s="20"/>
      <c r="G322" s="175"/>
      <c r="H322" s="20"/>
      <c r="I322" s="20"/>
      <c r="J322" s="20"/>
      <c r="K322" s="20"/>
      <c r="L322" s="20"/>
      <c r="M322" s="20"/>
      <c r="N322" s="20"/>
      <c r="O322" s="20"/>
      <c r="P322" s="20"/>
      <c r="Q322" s="20"/>
      <c r="R322" s="20"/>
      <c r="S322" s="20"/>
      <c r="T322" s="20"/>
      <c r="U322" s="20"/>
      <c r="V322" s="20"/>
      <c r="W322" s="20"/>
    </row>
    <row r="323" spans="1:23" x14ac:dyDescent="0.25">
      <c r="A323" s="177" t="s">
        <v>4440</v>
      </c>
      <c r="B323" s="177" t="s">
        <v>4441</v>
      </c>
      <c r="C323" s="178" t="s">
        <v>4442</v>
      </c>
      <c r="D323" s="173" t="s">
        <v>3968</v>
      </c>
      <c r="E323" s="20"/>
      <c r="F323" s="20"/>
      <c r="G323" s="175"/>
      <c r="H323" s="20"/>
      <c r="I323" s="20"/>
      <c r="J323" s="20"/>
      <c r="K323" s="20"/>
      <c r="L323" s="20"/>
      <c r="M323" s="20"/>
      <c r="N323" s="20"/>
      <c r="O323" s="20"/>
      <c r="P323" s="20"/>
      <c r="Q323" s="20"/>
      <c r="R323" s="20"/>
      <c r="S323" s="20"/>
      <c r="T323" s="20"/>
      <c r="U323" s="20"/>
      <c r="V323" s="20"/>
      <c r="W323" s="20"/>
    </row>
    <row r="324" spans="1:23" x14ac:dyDescent="0.25">
      <c r="A324" s="177" t="s">
        <v>4443</v>
      </c>
      <c r="B324" s="177" t="s">
        <v>2106</v>
      </c>
      <c r="C324" s="178" t="s">
        <v>4444</v>
      </c>
      <c r="D324" s="173" t="s">
        <v>3968</v>
      </c>
      <c r="E324" s="20"/>
      <c r="F324" s="20"/>
      <c r="G324" s="175"/>
      <c r="H324" s="20"/>
      <c r="I324" s="20"/>
      <c r="J324" s="20"/>
      <c r="K324" s="20"/>
      <c r="L324" s="20"/>
      <c r="M324" s="20"/>
      <c r="N324" s="20"/>
      <c r="O324" s="20"/>
      <c r="P324" s="20"/>
      <c r="Q324" s="20"/>
      <c r="R324" s="20"/>
      <c r="S324" s="20"/>
      <c r="T324" s="20"/>
      <c r="U324" s="20"/>
      <c r="V324" s="20"/>
      <c r="W324" s="20"/>
    </row>
    <row r="325" spans="1:23" x14ac:dyDescent="0.25">
      <c r="A325" s="177" t="s">
        <v>4445</v>
      </c>
      <c r="B325" s="177" t="s">
        <v>4446</v>
      </c>
      <c r="C325" s="178" t="s">
        <v>4447</v>
      </c>
      <c r="D325" s="173" t="s">
        <v>3968</v>
      </c>
      <c r="E325" s="20"/>
      <c r="F325" s="20"/>
      <c r="G325" s="175"/>
      <c r="H325" s="20"/>
      <c r="I325" s="20"/>
      <c r="J325" s="20"/>
      <c r="K325" s="20"/>
      <c r="L325" s="20"/>
      <c r="M325" s="20"/>
      <c r="N325" s="20"/>
      <c r="O325" s="20"/>
      <c r="P325" s="20"/>
      <c r="Q325" s="20"/>
      <c r="R325" s="20"/>
      <c r="S325" s="20"/>
      <c r="T325" s="20"/>
      <c r="U325" s="20"/>
      <c r="V325" s="20"/>
      <c r="W325" s="20"/>
    </row>
    <row r="326" spans="1:23" x14ac:dyDescent="0.25">
      <c r="A326" s="177" t="s">
        <v>4448</v>
      </c>
      <c r="B326" s="177" t="s">
        <v>4449</v>
      </c>
      <c r="C326" s="178" t="s">
        <v>4450</v>
      </c>
      <c r="D326" s="173" t="s">
        <v>3968</v>
      </c>
      <c r="E326" s="20"/>
      <c r="F326" s="20"/>
      <c r="G326" s="175"/>
      <c r="H326" s="20"/>
      <c r="I326" s="20"/>
      <c r="J326" s="20"/>
      <c r="K326" s="20"/>
      <c r="L326" s="20"/>
      <c r="M326" s="20"/>
      <c r="N326" s="20"/>
      <c r="O326" s="20"/>
      <c r="P326" s="20"/>
      <c r="Q326" s="20"/>
      <c r="R326" s="20"/>
      <c r="S326" s="20"/>
      <c r="T326" s="20"/>
      <c r="U326" s="20"/>
      <c r="V326" s="20"/>
      <c r="W326" s="20"/>
    </row>
    <row r="327" spans="1:23" x14ac:dyDescent="0.25">
      <c r="A327" s="177" t="s">
        <v>4451</v>
      </c>
      <c r="B327" s="177" t="s">
        <v>4452</v>
      </c>
      <c r="C327" s="178" t="s">
        <v>4453</v>
      </c>
      <c r="D327" s="173" t="s">
        <v>3968</v>
      </c>
      <c r="E327" s="20"/>
      <c r="F327" s="20"/>
      <c r="G327" s="175"/>
      <c r="H327" s="20"/>
      <c r="I327" s="20"/>
      <c r="J327" s="20"/>
      <c r="K327" s="20"/>
      <c r="L327" s="20"/>
      <c r="M327" s="20"/>
      <c r="N327" s="20"/>
      <c r="O327" s="20"/>
      <c r="P327" s="20"/>
      <c r="Q327" s="20"/>
      <c r="R327" s="20"/>
      <c r="S327" s="20"/>
      <c r="T327" s="20"/>
      <c r="U327" s="20"/>
      <c r="V327" s="20"/>
      <c r="W327" s="20"/>
    </row>
    <row r="328" spans="1:23" x14ac:dyDescent="0.25">
      <c r="A328" s="177" t="s">
        <v>4454</v>
      </c>
      <c r="B328" s="177" t="s">
        <v>4455</v>
      </c>
      <c r="C328" s="178" t="s">
        <v>4456</v>
      </c>
      <c r="D328" s="173" t="s">
        <v>3968</v>
      </c>
      <c r="E328" s="20"/>
      <c r="F328" s="20"/>
      <c r="G328" s="175"/>
      <c r="H328" s="20"/>
      <c r="I328" s="20"/>
      <c r="J328" s="20"/>
      <c r="K328" s="20"/>
      <c r="L328" s="20"/>
      <c r="M328" s="20"/>
      <c r="N328" s="20"/>
      <c r="O328" s="20"/>
      <c r="P328" s="20"/>
      <c r="Q328" s="20"/>
      <c r="R328" s="20"/>
      <c r="S328" s="20"/>
      <c r="T328" s="20"/>
      <c r="U328" s="20"/>
      <c r="V328" s="20"/>
      <c r="W328" s="20"/>
    </row>
    <row r="329" spans="1:23" x14ac:dyDescent="0.25">
      <c r="A329" s="177" t="s">
        <v>4457</v>
      </c>
      <c r="B329" s="177" t="s">
        <v>4458</v>
      </c>
      <c r="C329" s="178" t="s">
        <v>4459</v>
      </c>
      <c r="D329" s="173" t="s">
        <v>3968</v>
      </c>
      <c r="E329" s="20"/>
      <c r="F329" s="20"/>
      <c r="G329" s="175"/>
      <c r="H329" s="20"/>
      <c r="I329" s="20"/>
      <c r="J329" s="20"/>
      <c r="K329" s="20"/>
      <c r="L329" s="20"/>
      <c r="M329" s="20"/>
      <c r="N329" s="20"/>
      <c r="O329" s="20"/>
      <c r="P329" s="20"/>
      <c r="Q329" s="20"/>
      <c r="R329" s="20"/>
      <c r="S329" s="20"/>
      <c r="T329" s="20"/>
      <c r="U329" s="20"/>
      <c r="V329" s="20"/>
      <c r="W329" s="20"/>
    </row>
    <row r="330" spans="1:23" x14ac:dyDescent="0.25">
      <c r="A330" s="177" t="s">
        <v>4460</v>
      </c>
      <c r="B330" s="177" t="s">
        <v>4461</v>
      </c>
      <c r="C330" s="178" t="s">
        <v>4462</v>
      </c>
      <c r="D330" s="173" t="s">
        <v>3968</v>
      </c>
      <c r="E330" s="20"/>
      <c r="F330" s="20"/>
      <c r="G330" s="175"/>
      <c r="H330" s="20"/>
      <c r="I330" s="20"/>
      <c r="J330" s="20"/>
      <c r="K330" s="20"/>
      <c r="L330" s="20"/>
      <c r="M330" s="20"/>
      <c r="N330" s="20"/>
      <c r="O330" s="20"/>
      <c r="P330" s="20"/>
      <c r="Q330" s="20"/>
      <c r="R330" s="20"/>
      <c r="S330" s="20"/>
      <c r="T330" s="20"/>
      <c r="U330" s="20"/>
      <c r="V330" s="20"/>
      <c r="W330" s="20"/>
    </row>
    <row r="331" spans="1:23" x14ac:dyDescent="0.25">
      <c r="A331" s="177" t="s">
        <v>4463</v>
      </c>
      <c r="B331" s="177" t="s">
        <v>4464</v>
      </c>
      <c r="C331" s="178" t="s">
        <v>4465</v>
      </c>
      <c r="D331" s="173" t="s">
        <v>3968</v>
      </c>
      <c r="E331" s="20"/>
      <c r="F331" s="20"/>
      <c r="G331" s="175"/>
      <c r="H331" s="20"/>
      <c r="I331" s="20"/>
      <c r="J331" s="20"/>
      <c r="K331" s="20"/>
      <c r="L331" s="20"/>
      <c r="M331" s="20"/>
      <c r="N331" s="20"/>
      <c r="O331" s="20"/>
      <c r="P331" s="20"/>
      <c r="Q331" s="20"/>
      <c r="R331" s="20"/>
      <c r="S331" s="20"/>
      <c r="T331" s="20"/>
      <c r="U331" s="20"/>
      <c r="V331" s="20"/>
      <c r="W331" s="20"/>
    </row>
    <row r="332" spans="1:23" x14ac:dyDescent="0.25">
      <c r="A332" s="177" t="s">
        <v>4466</v>
      </c>
      <c r="B332" s="177" t="s">
        <v>4467</v>
      </c>
      <c r="C332" s="178" t="s">
        <v>4468</v>
      </c>
      <c r="D332" s="173" t="s">
        <v>3968</v>
      </c>
      <c r="E332" s="20"/>
      <c r="F332" s="20"/>
      <c r="G332" s="175"/>
      <c r="H332" s="20"/>
      <c r="I332" s="20"/>
      <c r="J332" s="20"/>
      <c r="K332" s="20"/>
      <c r="L332" s="20"/>
      <c r="M332" s="20"/>
      <c r="N332" s="20"/>
      <c r="O332" s="20"/>
      <c r="P332" s="20"/>
      <c r="Q332" s="20"/>
      <c r="R332" s="20"/>
      <c r="S332" s="20"/>
      <c r="T332" s="20"/>
      <c r="U332" s="20"/>
      <c r="V332" s="20"/>
      <c r="W332" s="20"/>
    </row>
    <row r="333" spans="1:23" x14ac:dyDescent="0.25">
      <c r="A333" s="177" t="s">
        <v>4469</v>
      </c>
      <c r="B333" s="177" t="s">
        <v>1358</v>
      </c>
      <c r="C333" s="178" t="s">
        <v>4470</v>
      </c>
      <c r="D333" s="173" t="s">
        <v>3968</v>
      </c>
      <c r="E333" s="20"/>
      <c r="F333" s="20"/>
      <c r="G333" s="175"/>
      <c r="H333" s="20"/>
      <c r="I333" s="20"/>
      <c r="J333" s="20"/>
      <c r="K333" s="20"/>
      <c r="L333" s="20"/>
      <c r="M333" s="20"/>
      <c r="N333" s="20"/>
      <c r="O333" s="20"/>
      <c r="P333" s="20"/>
      <c r="Q333" s="20"/>
      <c r="R333" s="20"/>
      <c r="S333" s="20"/>
      <c r="T333" s="20"/>
      <c r="U333" s="20"/>
      <c r="V333" s="20"/>
      <c r="W333" s="20"/>
    </row>
    <row r="334" spans="1:23" x14ac:dyDescent="0.25">
      <c r="A334" s="177" t="s">
        <v>4471</v>
      </c>
      <c r="B334" s="177" t="s">
        <v>1361</v>
      </c>
      <c r="C334" s="178" t="s">
        <v>4472</v>
      </c>
      <c r="D334" s="173" t="s">
        <v>3968</v>
      </c>
      <c r="E334" s="20"/>
      <c r="F334" s="20"/>
      <c r="G334" s="175"/>
      <c r="H334" s="20"/>
      <c r="I334" s="20"/>
      <c r="J334" s="20"/>
      <c r="K334" s="20"/>
      <c r="L334" s="20"/>
      <c r="M334" s="20"/>
      <c r="N334" s="20"/>
      <c r="O334" s="20"/>
      <c r="P334" s="20"/>
      <c r="Q334" s="20"/>
      <c r="R334" s="20"/>
      <c r="S334" s="20"/>
      <c r="T334" s="20"/>
      <c r="U334" s="20"/>
      <c r="V334" s="20"/>
      <c r="W334" s="20"/>
    </row>
    <row r="335" spans="1:23" x14ac:dyDescent="0.25">
      <c r="A335" s="177" t="s">
        <v>4473</v>
      </c>
      <c r="B335" s="177" t="s">
        <v>4474</v>
      </c>
      <c r="C335" s="178" t="s">
        <v>4475</v>
      </c>
      <c r="D335" s="173" t="s">
        <v>3968</v>
      </c>
      <c r="E335" s="20"/>
      <c r="F335" s="20"/>
      <c r="G335" s="175"/>
      <c r="H335" s="20"/>
      <c r="I335" s="20"/>
      <c r="J335" s="20"/>
      <c r="K335" s="20"/>
      <c r="L335" s="20"/>
      <c r="M335" s="20"/>
      <c r="N335" s="20"/>
      <c r="O335" s="20"/>
      <c r="P335" s="20"/>
      <c r="Q335" s="20"/>
      <c r="R335" s="20"/>
      <c r="S335" s="20"/>
      <c r="T335" s="20"/>
      <c r="U335" s="20"/>
      <c r="V335" s="20"/>
      <c r="W335" s="20"/>
    </row>
    <row r="336" spans="1:23" x14ac:dyDescent="0.25">
      <c r="A336" s="177" t="s">
        <v>4476</v>
      </c>
      <c r="B336" s="177" t="s">
        <v>4477</v>
      </c>
      <c r="C336" s="178" t="s">
        <v>4478</v>
      </c>
      <c r="D336" s="173" t="s">
        <v>3715</v>
      </c>
      <c r="E336" s="20"/>
      <c r="F336" s="20"/>
      <c r="G336" s="175"/>
      <c r="H336" s="20"/>
      <c r="I336" s="20"/>
      <c r="J336" s="20"/>
      <c r="K336" s="20"/>
      <c r="L336" s="20"/>
      <c r="M336" s="20"/>
      <c r="N336" s="20"/>
      <c r="O336" s="20"/>
      <c r="P336" s="20"/>
      <c r="Q336" s="20"/>
      <c r="R336" s="20"/>
      <c r="S336" s="20"/>
      <c r="T336" s="20"/>
      <c r="U336" s="20"/>
      <c r="V336" s="20"/>
      <c r="W336" s="20"/>
    </row>
    <row r="337" spans="1:23" x14ac:dyDescent="0.25">
      <c r="A337" s="177" t="s">
        <v>4479</v>
      </c>
      <c r="B337" s="177" t="s">
        <v>4480</v>
      </c>
      <c r="C337" s="178" t="s">
        <v>4481</v>
      </c>
      <c r="D337" s="173" t="s">
        <v>3968</v>
      </c>
      <c r="E337" s="20"/>
      <c r="F337" s="20"/>
      <c r="G337" s="175"/>
      <c r="H337" s="20"/>
      <c r="I337" s="20"/>
      <c r="J337" s="20"/>
      <c r="K337" s="20"/>
      <c r="L337" s="20"/>
      <c r="M337" s="20"/>
      <c r="N337" s="20"/>
      <c r="O337" s="20"/>
      <c r="P337" s="20"/>
      <c r="Q337" s="20"/>
      <c r="R337" s="20"/>
      <c r="S337" s="20"/>
      <c r="T337" s="20"/>
      <c r="U337" s="20"/>
      <c r="V337" s="20"/>
      <c r="W337" s="20"/>
    </row>
    <row r="338" spans="1:23" x14ac:dyDescent="0.25">
      <c r="A338" s="177" t="s">
        <v>4482</v>
      </c>
      <c r="B338" s="177" t="s">
        <v>434</v>
      </c>
      <c r="C338" s="178" t="s">
        <v>4483</v>
      </c>
      <c r="D338" s="173" t="s">
        <v>3968</v>
      </c>
      <c r="E338" s="20"/>
      <c r="F338" s="20"/>
      <c r="G338" s="175"/>
      <c r="H338" s="20"/>
      <c r="I338" s="20"/>
      <c r="J338" s="20"/>
      <c r="K338" s="20"/>
      <c r="L338" s="20"/>
      <c r="M338" s="20"/>
      <c r="N338" s="20"/>
      <c r="O338" s="20"/>
      <c r="P338" s="20"/>
      <c r="Q338" s="20"/>
      <c r="R338" s="20"/>
      <c r="S338" s="20"/>
      <c r="T338" s="20"/>
      <c r="U338" s="20"/>
      <c r="V338" s="20"/>
      <c r="W338" s="20"/>
    </row>
    <row r="339" spans="1:23" x14ac:dyDescent="0.25">
      <c r="A339" s="177" t="s">
        <v>4484</v>
      </c>
      <c r="B339" s="177" t="s">
        <v>908</v>
      </c>
      <c r="C339" s="178" t="s">
        <v>4485</v>
      </c>
      <c r="D339" s="173" t="s">
        <v>3968</v>
      </c>
      <c r="E339" s="20"/>
      <c r="F339" s="20"/>
      <c r="G339" s="175"/>
      <c r="H339" s="20"/>
      <c r="I339" s="20"/>
      <c r="J339" s="20"/>
      <c r="K339" s="20"/>
      <c r="L339" s="20"/>
      <c r="M339" s="20"/>
      <c r="N339" s="20"/>
      <c r="O339" s="20"/>
      <c r="P339" s="20"/>
      <c r="Q339" s="20"/>
      <c r="R339" s="20"/>
      <c r="S339" s="20"/>
      <c r="T339" s="20"/>
      <c r="U339" s="20"/>
      <c r="V339" s="20"/>
      <c r="W339" s="20"/>
    </row>
    <row r="340" spans="1:23" x14ac:dyDescent="0.25">
      <c r="A340" s="177" t="s">
        <v>4486</v>
      </c>
      <c r="B340" s="177" t="s">
        <v>385</v>
      </c>
      <c r="C340" s="178" t="s">
        <v>4487</v>
      </c>
      <c r="D340" s="173" t="s">
        <v>3968</v>
      </c>
      <c r="E340" s="20"/>
      <c r="F340" s="20"/>
      <c r="G340" s="175"/>
      <c r="H340" s="20"/>
      <c r="I340" s="20"/>
      <c r="J340" s="20"/>
      <c r="K340" s="20"/>
      <c r="L340" s="20"/>
      <c r="M340" s="20"/>
      <c r="N340" s="20"/>
      <c r="O340" s="20"/>
      <c r="P340" s="20"/>
      <c r="Q340" s="20"/>
      <c r="R340" s="20"/>
      <c r="S340" s="20"/>
      <c r="T340" s="20"/>
      <c r="U340" s="20"/>
      <c r="V340" s="20"/>
      <c r="W340" s="20"/>
    </row>
    <row r="341" spans="1:23" x14ac:dyDescent="0.25">
      <c r="A341" s="177" t="s">
        <v>4488</v>
      </c>
      <c r="B341" s="177" t="s">
        <v>727</v>
      </c>
      <c r="C341" s="178" t="s">
        <v>4489</v>
      </c>
      <c r="D341" s="173" t="s">
        <v>3633</v>
      </c>
      <c r="E341" s="20"/>
      <c r="F341" s="20"/>
      <c r="G341" s="175"/>
      <c r="H341" s="20"/>
      <c r="I341" s="20"/>
      <c r="J341" s="20"/>
      <c r="K341" s="20"/>
      <c r="L341" s="20"/>
      <c r="M341" s="20"/>
      <c r="N341" s="20"/>
      <c r="O341" s="20"/>
      <c r="P341" s="20"/>
      <c r="Q341" s="20"/>
      <c r="R341" s="20"/>
      <c r="S341" s="20"/>
      <c r="T341" s="20"/>
      <c r="U341" s="20"/>
      <c r="V341" s="20"/>
      <c r="W341" s="20"/>
    </row>
    <row r="342" spans="1:23" x14ac:dyDescent="0.25">
      <c r="A342" s="177" t="s">
        <v>4490</v>
      </c>
      <c r="B342" s="177" t="s">
        <v>734</v>
      </c>
      <c r="C342" s="178" t="s">
        <v>4491</v>
      </c>
      <c r="D342" s="173" t="s">
        <v>3633</v>
      </c>
      <c r="E342" s="20"/>
      <c r="F342" s="20"/>
      <c r="G342" s="175"/>
      <c r="H342" s="20"/>
      <c r="I342" s="20"/>
      <c r="J342" s="20"/>
      <c r="K342" s="20"/>
      <c r="L342" s="20"/>
      <c r="M342" s="20"/>
      <c r="N342" s="20"/>
      <c r="O342" s="20"/>
      <c r="P342" s="20"/>
      <c r="Q342" s="20"/>
      <c r="R342" s="20"/>
      <c r="S342" s="20"/>
      <c r="T342" s="20"/>
      <c r="U342" s="20"/>
      <c r="V342" s="20"/>
      <c r="W342" s="20"/>
    </row>
    <row r="343" spans="1:23" x14ac:dyDescent="0.25">
      <c r="A343" s="177" t="s">
        <v>4492</v>
      </c>
      <c r="B343" s="177" t="s">
        <v>737</v>
      </c>
      <c r="C343" s="178" t="s">
        <v>4493</v>
      </c>
      <c r="D343" s="173" t="s">
        <v>3633</v>
      </c>
      <c r="E343" s="20"/>
      <c r="F343" s="20"/>
      <c r="G343" s="175"/>
      <c r="H343" s="20"/>
      <c r="I343" s="20"/>
      <c r="J343" s="20"/>
      <c r="K343" s="20"/>
      <c r="L343" s="20"/>
      <c r="M343" s="20"/>
      <c r="N343" s="20"/>
      <c r="O343" s="20"/>
      <c r="P343" s="20"/>
      <c r="Q343" s="20"/>
      <c r="R343" s="20"/>
      <c r="S343" s="20"/>
      <c r="T343" s="20"/>
      <c r="U343" s="20"/>
      <c r="V343" s="20"/>
      <c r="W343" s="20"/>
    </row>
    <row r="344" spans="1:23" x14ac:dyDescent="0.25">
      <c r="A344" s="177" t="s">
        <v>4494</v>
      </c>
      <c r="B344" s="177" t="s">
        <v>4495</v>
      </c>
      <c r="C344" s="178" t="s">
        <v>4496</v>
      </c>
      <c r="D344" s="173" t="s">
        <v>3968</v>
      </c>
      <c r="E344" s="20"/>
      <c r="F344" s="20"/>
      <c r="G344" s="175"/>
      <c r="H344" s="20"/>
      <c r="I344" s="20"/>
      <c r="J344" s="20"/>
      <c r="K344" s="20"/>
      <c r="L344" s="20"/>
      <c r="M344" s="20"/>
      <c r="N344" s="20"/>
      <c r="O344" s="20"/>
      <c r="P344" s="20"/>
      <c r="Q344" s="20"/>
      <c r="R344" s="20"/>
      <c r="S344" s="20"/>
      <c r="T344" s="20"/>
      <c r="U344" s="20"/>
      <c r="V344" s="20"/>
      <c r="W344" s="20"/>
    </row>
    <row r="345" spans="1:23" x14ac:dyDescent="0.25">
      <c r="A345" s="177" t="s">
        <v>4497</v>
      </c>
      <c r="B345" s="177" t="s">
        <v>465</v>
      </c>
      <c r="C345" s="178" t="s">
        <v>4498</v>
      </c>
      <c r="D345" s="173" t="s">
        <v>3968</v>
      </c>
      <c r="E345" s="20"/>
      <c r="F345" s="20"/>
      <c r="G345" s="175"/>
      <c r="H345" s="20"/>
      <c r="I345" s="20"/>
      <c r="J345" s="20"/>
      <c r="K345" s="20"/>
      <c r="L345" s="20"/>
      <c r="M345" s="20"/>
      <c r="N345" s="20"/>
      <c r="O345" s="20"/>
      <c r="P345" s="20"/>
      <c r="Q345" s="20"/>
      <c r="R345" s="20"/>
      <c r="S345" s="20"/>
      <c r="T345" s="20"/>
      <c r="U345" s="20"/>
      <c r="V345" s="20"/>
      <c r="W345" s="20"/>
    </row>
    <row r="346" spans="1:23" x14ac:dyDescent="0.25">
      <c r="A346" s="177" t="s">
        <v>4499</v>
      </c>
      <c r="B346" s="177" t="s">
        <v>441</v>
      </c>
      <c r="C346" s="178" t="s">
        <v>4500</v>
      </c>
      <c r="D346" s="173" t="s">
        <v>3968</v>
      </c>
      <c r="E346" s="20"/>
      <c r="F346" s="20"/>
      <c r="G346" s="175"/>
      <c r="H346" s="20"/>
      <c r="I346" s="20"/>
      <c r="J346" s="20"/>
      <c r="K346" s="20"/>
      <c r="L346" s="20"/>
      <c r="M346" s="20"/>
      <c r="N346" s="20"/>
      <c r="O346" s="20"/>
      <c r="P346" s="20"/>
      <c r="Q346" s="20"/>
      <c r="R346" s="20"/>
      <c r="S346" s="20"/>
      <c r="T346" s="20"/>
      <c r="U346" s="20"/>
      <c r="V346" s="20"/>
      <c r="W346" s="20"/>
    </row>
    <row r="347" spans="1:23" x14ac:dyDescent="0.25">
      <c r="A347" s="177" t="s">
        <v>4501</v>
      </c>
      <c r="B347" s="177" t="s">
        <v>362</v>
      </c>
      <c r="C347" s="178" t="s">
        <v>4502</v>
      </c>
      <c r="D347" s="173" t="s">
        <v>3968</v>
      </c>
      <c r="E347" s="20"/>
      <c r="F347" s="20"/>
      <c r="G347" s="175"/>
      <c r="H347" s="20"/>
      <c r="I347" s="20"/>
      <c r="J347" s="20"/>
      <c r="K347" s="20"/>
      <c r="L347" s="20"/>
      <c r="M347" s="20"/>
      <c r="N347" s="20"/>
      <c r="O347" s="20"/>
      <c r="P347" s="20"/>
      <c r="Q347" s="20"/>
      <c r="R347" s="20"/>
      <c r="S347" s="20"/>
      <c r="T347" s="20"/>
      <c r="U347" s="20"/>
      <c r="V347" s="20"/>
      <c r="W347" s="20"/>
    </row>
    <row r="348" spans="1:23" x14ac:dyDescent="0.25">
      <c r="A348" s="177" t="s">
        <v>4503</v>
      </c>
      <c r="B348" s="177" t="s">
        <v>363</v>
      </c>
      <c r="C348" s="178" t="s">
        <v>4504</v>
      </c>
      <c r="D348" s="173" t="s">
        <v>3968</v>
      </c>
      <c r="E348" s="20"/>
      <c r="F348" s="20"/>
      <c r="G348" s="175"/>
      <c r="H348" s="20"/>
      <c r="I348" s="20"/>
      <c r="J348" s="20"/>
      <c r="K348" s="20"/>
      <c r="L348" s="20"/>
      <c r="M348" s="20"/>
      <c r="N348" s="20"/>
      <c r="O348" s="20"/>
      <c r="P348" s="20"/>
      <c r="Q348" s="20"/>
      <c r="R348" s="20"/>
      <c r="S348" s="20"/>
      <c r="T348" s="20"/>
      <c r="U348" s="20"/>
      <c r="V348" s="20"/>
      <c r="W348" s="20"/>
    </row>
    <row r="349" spans="1:23" x14ac:dyDescent="0.25">
      <c r="A349" s="177" t="s">
        <v>4505</v>
      </c>
      <c r="B349" s="177" t="s">
        <v>458</v>
      </c>
      <c r="C349" s="178" t="s">
        <v>4506</v>
      </c>
      <c r="D349" s="173" t="s">
        <v>3968</v>
      </c>
      <c r="E349" s="20"/>
      <c r="F349" s="20"/>
      <c r="G349" s="175"/>
      <c r="H349" s="20"/>
      <c r="I349" s="20"/>
      <c r="J349" s="20"/>
      <c r="K349" s="20"/>
      <c r="L349" s="20"/>
      <c r="M349" s="20"/>
      <c r="N349" s="20"/>
      <c r="O349" s="20"/>
      <c r="P349" s="20"/>
      <c r="Q349" s="20"/>
      <c r="R349" s="20"/>
      <c r="S349" s="20"/>
      <c r="T349" s="20"/>
      <c r="U349" s="20"/>
      <c r="V349" s="20"/>
      <c r="W349" s="20"/>
    </row>
    <row r="350" spans="1:23" x14ac:dyDescent="0.25">
      <c r="A350" s="177" t="s">
        <v>4507</v>
      </c>
      <c r="B350" s="177" t="s">
        <v>461</v>
      </c>
      <c r="C350" s="178" t="s">
        <v>4508</v>
      </c>
      <c r="D350" s="173" t="s">
        <v>3968</v>
      </c>
      <c r="E350" s="20"/>
      <c r="F350" s="20"/>
      <c r="G350" s="175"/>
      <c r="H350" s="20"/>
      <c r="I350" s="20"/>
      <c r="J350" s="20"/>
      <c r="K350" s="20"/>
      <c r="L350" s="20"/>
      <c r="M350" s="20"/>
      <c r="N350" s="20"/>
      <c r="O350" s="20"/>
      <c r="P350" s="20"/>
      <c r="Q350" s="20"/>
      <c r="R350" s="20"/>
      <c r="S350" s="20"/>
      <c r="T350" s="20"/>
      <c r="U350" s="20"/>
      <c r="V350" s="20"/>
      <c r="W350" s="20"/>
    </row>
    <row r="351" spans="1:23" x14ac:dyDescent="0.25">
      <c r="A351" s="177" t="s">
        <v>4509</v>
      </c>
      <c r="B351" s="177" t="s">
        <v>367</v>
      </c>
      <c r="C351" s="178" t="s">
        <v>4510</v>
      </c>
      <c r="D351" s="173" t="s">
        <v>3968</v>
      </c>
      <c r="E351" s="20"/>
      <c r="F351" s="20"/>
      <c r="G351" s="175"/>
      <c r="H351" s="20"/>
      <c r="I351" s="20"/>
      <c r="J351" s="20"/>
      <c r="K351" s="20"/>
      <c r="L351" s="20"/>
      <c r="M351" s="20"/>
      <c r="N351" s="20"/>
      <c r="O351" s="20"/>
      <c r="P351" s="20"/>
      <c r="Q351" s="20"/>
      <c r="R351" s="20"/>
      <c r="S351" s="20"/>
      <c r="T351" s="20"/>
      <c r="U351" s="20"/>
      <c r="V351" s="20"/>
      <c r="W351" s="20"/>
    </row>
    <row r="352" spans="1:23" x14ac:dyDescent="0.25">
      <c r="A352" s="177" t="s">
        <v>4511</v>
      </c>
      <c r="B352" s="177" t="s">
        <v>4512</v>
      </c>
      <c r="C352" s="178" t="s">
        <v>4513</v>
      </c>
      <c r="D352" s="173" t="s">
        <v>3968</v>
      </c>
      <c r="E352" s="20"/>
      <c r="F352" s="20"/>
      <c r="G352" s="175"/>
      <c r="H352" s="20"/>
      <c r="I352" s="20"/>
      <c r="J352" s="20"/>
      <c r="K352" s="20"/>
      <c r="L352" s="20"/>
      <c r="M352" s="20"/>
      <c r="N352" s="20"/>
      <c r="O352" s="20"/>
      <c r="P352" s="20"/>
      <c r="Q352" s="20"/>
      <c r="R352" s="20"/>
      <c r="S352" s="20"/>
      <c r="T352" s="20"/>
      <c r="U352" s="20"/>
      <c r="V352" s="20"/>
      <c r="W352" s="20"/>
    </row>
    <row r="353" spans="1:23" x14ac:dyDescent="0.25">
      <c r="A353" s="177" t="s">
        <v>4514</v>
      </c>
      <c r="B353" s="177" t="s">
        <v>1384</v>
      </c>
      <c r="C353" s="178" t="s">
        <v>4515</v>
      </c>
      <c r="D353" s="173" t="s">
        <v>3968</v>
      </c>
      <c r="E353" s="20"/>
      <c r="F353" s="20"/>
      <c r="G353" s="175"/>
      <c r="H353" s="20"/>
      <c r="I353" s="20"/>
      <c r="J353" s="20"/>
      <c r="K353" s="20"/>
      <c r="L353" s="20"/>
      <c r="M353" s="20"/>
      <c r="N353" s="20"/>
      <c r="O353" s="20"/>
      <c r="P353" s="20"/>
      <c r="Q353" s="20"/>
      <c r="R353" s="20"/>
      <c r="S353" s="20"/>
      <c r="T353" s="20"/>
      <c r="U353" s="20"/>
      <c r="V353" s="20"/>
      <c r="W353" s="20"/>
    </row>
    <row r="354" spans="1:23" x14ac:dyDescent="0.25">
      <c r="A354" s="177" t="s">
        <v>4516</v>
      </c>
      <c r="B354" s="177" t="s">
        <v>440</v>
      </c>
      <c r="C354" s="178" t="s">
        <v>4517</v>
      </c>
      <c r="D354" s="173" t="s">
        <v>3968</v>
      </c>
      <c r="E354" s="20"/>
      <c r="F354" s="20"/>
      <c r="G354" s="175"/>
      <c r="H354" s="20"/>
      <c r="I354" s="20"/>
      <c r="J354" s="20"/>
      <c r="K354" s="20"/>
      <c r="L354" s="20"/>
      <c r="M354" s="20"/>
      <c r="N354" s="20"/>
      <c r="O354" s="20"/>
      <c r="P354" s="20"/>
      <c r="Q354" s="20"/>
      <c r="R354" s="20"/>
      <c r="S354" s="20"/>
      <c r="T354" s="20"/>
      <c r="U354" s="20"/>
      <c r="V354" s="20"/>
      <c r="W354" s="20"/>
    </row>
    <row r="355" spans="1:23" x14ac:dyDescent="0.25">
      <c r="A355" s="177" t="s">
        <v>4518</v>
      </c>
      <c r="B355" s="177" t="s">
        <v>447</v>
      </c>
      <c r="C355" s="178" t="s">
        <v>4519</v>
      </c>
      <c r="D355" s="173" t="s">
        <v>3968</v>
      </c>
      <c r="E355" s="20"/>
      <c r="F355" s="20"/>
      <c r="G355" s="175"/>
      <c r="H355" s="20"/>
      <c r="I355" s="20"/>
      <c r="J355" s="20"/>
      <c r="K355" s="20"/>
      <c r="L355" s="20"/>
      <c r="M355" s="20"/>
      <c r="N355" s="20"/>
      <c r="O355" s="20"/>
      <c r="P355" s="20"/>
      <c r="Q355" s="20"/>
      <c r="R355" s="20"/>
      <c r="S355" s="20"/>
      <c r="T355" s="20"/>
      <c r="U355" s="20"/>
      <c r="V355" s="20"/>
      <c r="W355" s="20"/>
    </row>
    <row r="356" spans="1:23" x14ac:dyDescent="0.25">
      <c r="A356" s="177" t="s">
        <v>4520</v>
      </c>
      <c r="B356" s="177" t="s">
        <v>1388</v>
      </c>
      <c r="C356" s="178" t="s">
        <v>4521</v>
      </c>
      <c r="D356" s="173" t="s">
        <v>3968</v>
      </c>
      <c r="E356" s="20"/>
      <c r="F356" s="20"/>
      <c r="G356" s="175"/>
      <c r="H356" s="20"/>
      <c r="I356" s="20"/>
      <c r="J356" s="20"/>
      <c r="K356" s="20"/>
      <c r="L356" s="20"/>
      <c r="M356" s="20"/>
      <c r="N356" s="20"/>
      <c r="O356" s="20"/>
      <c r="P356" s="20"/>
      <c r="Q356" s="20"/>
      <c r="R356" s="20"/>
      <c r="S356" s="20"/>
      <c r="T356" s="20"/>
      <c r="U356" s="20"/>
      <c r="V356" s="20"/>
      <c r="W356" s="20"/>
    </row>
    <row r="357" spans="1:23" x14ac:dyDescent="0.25">
      <c r="A357" s="177" t="s">
        <v>4522</v>
      </c>
      <c r="B357" s="177" t="s">
        <v>308</v>
      </c>
      <c r="C357" s="178" t="s">
        <v>4523</v>
      </c>
      <c r="D357" s="173" t="s">
        <v>3715</v>
      </c>
      <c r="E357" s="20"/>
      <c r="F357" s="20"/>
      <c r="G357" s="174">
        <v>50</v>
      </c>
      <c r="H357" s="20"/>
      <c r="I357" s="20"/>
      <c r="J357" s="20"/>
      <c r="K357" s="20"/>
      <c r="L357" s="20"/>
      <c r="M357" s="20"/>
      <c r="N357" s="20"/>
      <c r="O357" s="20"/>
      <c r="P357" s="20"/>
      <c r="Q357" s="20"/>
      <c r="R357" s="20"/>
      <c r="S357" s="20"/>
      <c r="T357" s="20"/>
      <c r="U357" s="20"/>
      <c r="V357" s="20"/>
      <c r="W357" s="20"/>
    </row>
    <row r="358" spans="1:23" x14ac:dyDescent="0.25">
      <c r="A358" s="177" t="s">
        <v>4524</v>
      </c>
      <c r="B358" s="177" t="s">
        <v>309</v>
      </c>
      <c r="C358" s="178" t="s">
        <v>4525</v>
      </c>
      <c r="D358" s="173" t="s">
        <v>3715</v>
      </c>
      <c r="E358" s="20"/>
      <c r="F358" s="20"/>
      <c r="G358" s="174">
        <v>50</v>
      </c>
      <c r="H358" s="20"/>
      <c r="I358" s="20"/>
      <c r="J358" s="20"/>
      <c r="K358" s="20"/>
      <c r="L358" s="20"/>
      <c r="M358" s="20"/>
      <c r="N358" s="20"/>
      <c r="O358" s="20"/>
      <c r="P358" s="20"/>
      <c r="Q358" s="20"/>
      <c r="R358" s="20"/>
      <c r="S358" s="20"/>
      <c r="T358" s="20"/>
      <c r="U358" s="20"/>
      <c r="V358" s="20"/>
      <c r="W358" s="20"/>
    </row>
    <row r="359" spans="1:23" x14ac:dyDescent="0.25">
      <c r="A359" s="177" t="s">
        <v>4526</v>
      </c>
      <c r="B359" s="177" t="s">
        <v>4527</v>
      </c>
      <c r="C359" s="178" t="s">
        <v>4528</v>
      </c>
      <c r="D359" s="173" t="s">
        <v>3968</v>
      </c>
      <c r="E359" s="20"/>
      <c r="F359" s="20"/>
      <c r="G359" s="175"/>
      <c r="H359" s="20"/>
      <c r="I359" s="20"/>
      <c r="J359" s="20"/>
      <c r="K359" s="20"/>
      <c r="L359" s="20"/>
      <c r="M359" s="20"/>
      <c r="N359" s="20"/>
      <c r="O359" s="20"/>
      <c r="P359" s="20"/>
      <c r="Q359" s="20"/>
      <c r="R359" s="20"/>
      <c r="S359" s="20"/>
      <c r="T359" s="20"/>
      <c r="U359" s="20"/>
      <c r="V359" s="20"/>
      <c r="W359" s="20"/>
    </row>
    <row r="360" spans="1:23" x14ac:dyDescent="0.25">
      <c r="A360" s="177" t="s">
        <v>4529</v>
      </c>
      <c r="B360" s="177" t="s">
        <v>4530</v>
      </c>
      <c r="C360" s="178" t="s">
        <v>4531</v>
      </c>
      <c r="D360" s="173" t="s">
        <v>3968</v>
      </c>
      <c r="E360" s="20"/>
      <c r="F360" s="20"/>
      <c r="G360" s="175"/>
      <c r="H360" s="20"/>
      <c r="I360" s="20"/>
      <c r="J360" s="20"/>
      <c r="K360" s="20"/>
      <c r="L360" s="20"/>
      <c r="M360" s="20"/>
      <c r="N360" s="20"/>
      <c r="O360" s="20"/>
      <c r="P360" s="20"/>
      <c r="Q360" s="20"/>
      <c r="R360" s="20"/>
      <c r="S360" s="20"/>
      <c r="T360" s="20"/>
      <c r="U360" s="20"/>
      <c r="V360" s="20"/>
      <c r="W360" s="20"/>
    </row>
    <row r="361" spans="1:23" x14ac:dyDescent="0.25">
      <c r="A361" s="171" t="s">
        <v>4532</v>
      </c>
      <c r="B361" s="177" t="s">
        <v>4533</v>
      </c>
      <c r="C361" s="178" t="s">
        <v>4534</v>
      </c>
      <c r="D361" s="178" t="s">
        <v>4535</v>
      </c>
      <c r="E361" s="20"/>
      <c r="F361" s="20"/>
      <c r="G361" s="175"/>
      <c r="H361" s="20"/>
      <c r="I361" s="20"/>
      <c r="J361" s="20"/>
      <c r="K361" s="20"/>
      <c r="L361" s="20"/>
      <c r="M361" s="20"/>
      <c r="N361" s="20"/>
      <c r="O361" s="20"/>
      <c r="P361" s="20"/>
      <c r="Q361" s="20"/>
      <c r="R361" s="20"/>
      <c r="S361" s="20"/>
      <c r="T361" s="20"/>
      <c r="U361" s="20"/>
      <c r="V361" s="20"/>
      <c r="W361" s="20"/>
    </row>
    <row r="362" spans="1:23" x14ac:dyDescent="0.25">
      <c r="A362" s="177" t="s">
        <v>4536</v>
      </c>
      <c r="B362" s="177" t="s">
        <v>4537</v>
      </c>
      <c r="C362" s="178" t="s">
        <v>4538</v>
      </c>
      <c r="D362" s="173" t="s">
        <v>3715</v>
      </c>
      <c r="E362" s="20"/>
      <c r="F362" s="20"/>
      <c r="G362" s="175"/>
      <c r="H362" s="20"/>
      <c r="I362" s="20"/>
      <c r="J362" s="20"/>
      <c r="K362" s="20"/>
      <c r="L362" s="20"/>
      <c r="M362" s="20"/>
      <c r="N362" s="20"/>
      <c r="O362" s="20"/>
      <c r="P362" s="20"/>
      <c r="Q362" s="20"/>
      <c r="R362" s="20"/>
      <c r="S362" s="20"/>
      <c r="T362" s="20"/>
      <c r="U362" s="20"/>
      <c r="V362" s="20"/>
      <c r="W362" s="20"/>
    </row>
    <row r="363" spans="1:23" x14ac:dyDescent="0.25">
      <c r="A363" s="177" t="s">
        <v>4539</v>
      </c>
      <c r="B363" s="177" t="s">
        <v>4540</v>
      </c>
      <c r="C363" s="178" t="s">
        <v>4541</v>
      </c>
      <c r="D363" s="173" t="s">
        <v>3715</v>
      </c>
      <c r="E363" s="20"/>
      <c r="F363" s="20"/>
      <c r="G363" s="175"/>
      <c r="H363" s="20"/>
      <c r="I363" s="20"/>
      <c r="J363" s="20"/>
      <c r="K363" s="20"/>
      <c r="L363" s="20"/>
      <c r="M363" s="20"/>
      <c r="N363" s="20"/>
      <c r="O363" s="20"/>
      <c r="P363" s="20"/>
      <c r="Q363" s="20"/>
      <c r="R363" s="20"/>
      <c r="S363" s="20"/>
      <c r="T363" s="20"/>
      <c r="U363" s="20"/>
      <c r="V363" s="20"/>
      <c r="W363" s="20"/>
    </row>
    <row r="364" spans="1:23" x14ac:dyDescent="0.25">
      <c r="A364" s="177" t="s">
        <v>4542</v>
      </c>
      <c r="B364" s="177" t="s">
        <v>300</v>
      </c>
      <c r="C364" s="178" t="s">
        <v>4543</v>
      </c>
      <c r="D364" s="173" t="s">
        <v>3715</v>
      </c>
      <c r="E364" s="20"/>
      <c r="F364" s="20"/>
      <c r="G364" s="174">
        <v>50</v>
      </c>
      <c r="H364" s="20"/>
      <c r="I364" s="20"/>
      <c r="J364" s="20"/>
      <c r="K364" s="20"/>
      <c r="L364" s="20"/>
      <c r="M364" s="20"/>
      <c r="N364" s="20"/>
      <c r="O364" s="20"/>
      <c r="P364" s="20"/>
      <c r="Q364" s="20"/>
      <c r="R364" s="20"/>
      <c r="S364" s="20"/>
      <c r="T364" s="20"/>
      <c r="U364" s="20"/>
      <c r="V364" s="20"/>
      <c r="W364" s="20"/>
    </row>
    <row r="365" spans="1:23" x14ac:dyDescent="0.25">
      <c r="A365" s="177" t="s">
        <v>4544</v>
      </c>
      <c r="B365" s="177" t="s">
        <v>296</v>
      </c>
      <c r="C365" s="178" t="s">
        <v>4545</v>
      </c>
      <c r="D365" s="173" t="s">
        <v>3715</v>
      </c>
      <c r="E365" s="20"/>
      <c r="F365" s="20"/>
      <c r="G365" s="174">
        <v>50</v>
      </c>
      <c r="H365" s="20"/>
      <c r="I365" s="20"/>
      <c r="J365" s="20"/>
      <c r="K365" s="20"/>
      <c r="L365" s="20"/>
      <c r="M365" s="20"/>
      <c r="N365" s="20"/>
      <c r="O365" s="20"/>
      <c r="P365" s="20"/>
      <c r="Q365" s="20"/>
      <c r="R365" s="20"/>
      <c r="S365" s="20"/>
      <c r="T365" s="20"/>
      <c r="U365" s="20"/>
      <c r="V365" s="20"/>
      <c r="W365" s="20"/>
    </row>
    <row r="366" spans="1:23" x14ac:dyDescent="0.25">
      <c r="A366" s="177" t="s">
        <v>4546</v>
      </c>
      <c r="B366" s="177" t="s">
        <v>4547</v>
      </c>
      <c r="C366" s="178" t="s">
        <v>4548</v>
      </c>
      <c r="D366" s="173" t="s">
        <v>3968</v>
      </c>
      <c r="E366" s="20"/>
      <c r="F366" s="20"/>
      <c r="G366" s="175"/>
      <c r="H366" s="20"/>
      <c r="I366" s="20"/>
      <c r="J366" s="20"/>
      <c r="K366" s="20"/>
      <c r="L366" s="20"/>
      <c r="M366" s="20"/>
      <c r="N366" s="20"/>
      <c r="O366" s="20"/>
      <c r="P366" s="20"/>
      <c r="Q366" s="20"/>
      <c r="R366" s="20"/>
      <c r="S366" s="20"/>
      <c r="T366" s="20"/>
      <c r="U366" s="20"/>
      <c r="V366" s="20"/>
      <c r="W366" s="20"/>
    </row>
    <row r="367" spans="1:23" x14ac:dyDescent="0.25">
      <c r="A367" s="177" t="s">
        <v>4549</v>
      </c>
      <c r="B367" s="177" t="s">
        <v>336</v>
      </c>
      <c r="C367" s="178" t="s">
        <v>4550</v>
      </c>
      <c r="D367" s="173" t="s">
        <v>3968</v>
      </c>
      <c r="E367" s="20"/>
      <c r="F367" s="20"/>
      <c r="G367" s="175"/>
      <c r="H367" s="20"/>
      <c r="I367" s="20"/>
      <c r="J367" s="20"/>
      <c r="K367" s="20"/>
      <c r="L367" s="20"/>
      <c r="M367" s="20"/>
      <c r="N367" s="20"/>
      <c r="O367" s="20"/>
      <c r="P367" s="20"/>
      <c r="Q367" s="20"/>
      <c r="R367" s="20"/>
      <c r="S367" s="20"/>
      <c r="T367" s="20"/>
      <c r="U367" s="20"/>
      <c r="V367" s="20"/>
      <c r="W367" s="20"/>
    </row>
    <row r="368" spans="1:23" x14ac:dyDescent="0.25">
      <c r="A368" s="177" t="s">
        <v>4551</v>
      </c>
      <c r="B368" s="177" t="s">
        <v>337</v>
      </c>
      <c r="C368" s="178" t="s">
        <v>4552</v>
      </c>
      <c r="D368" s="173" t="s">
        <v>3968</v>
      </c>
      <c r="E368" s="20"/>
      <c r="F368" s="20"/>
      <c r="G368" s="175"/>
      <c r="H368" s="20"/>
      <c r="I368" s="20"/>
      <c r="J368" s="20"/>
      <c r="K368" s="20"/>
      <c r="L368" s="20"/>
      <c r="M368" s="20"/>
      <c r="N368" s="20"/>
      <c r="O368" s="20"/>
      <c r="P368" s="20"/>
      <c r="Q368" s="20"/>
      <c r="R368" s="20"/>
      <c r="S368" s="20"/>
      <c r="T368" s="20"/>
      <c r="U368" s="20"/>
      <c r="V368" s="20"/>
      <c r="W368" s="20"/>
    </row>
    <row r="369" spans="1:23" x14ac:dyDescent="0.25">
      <c r="A369" s="177" t="s">
        <v>4553</v>
      </c>
      <c r="B369" s="177" t="s">
        <v>964</v>
      </c>
      <c r="C369" s="178" t="s">
        <v>4554</v>
      </c>
      <c r="D369" s="173" t="s">
        <v>3968</v>
      </c>
      <c r="E369" s="20"/>
      <c r="F369" s="20"/>
      <c r="G369" s="175"/>
      <c r="H369" s="20"/>
      <c r="I369" s="20"/>
      <c r="J369" s="20"/>
      <c r="K369" s="20"/>
      <c r="L369" s="20"/>
      <c r="M369" s="20"/>
      <c r="N369" s="20"/>
      <c r="O369" s="20"/>
      <c r="P369" s="20"/>
      <c r="Q369" s="20"/>
      <c r="R369" s="20"/>
      <c r="S369" s="20"/>
      <c r="T369" s="20"/>
      <c r="U369" s="20"/>
      <c r="V369" s="20"/>
      <c r="W369" s="20"/>
    </row>
    <row r="370" spans="1:23" x14ac:dyDescent="0.25">
      <c r="A370" s="171" t="s">
        <v>4555</v>
      </c>
      <c r="B370" s="177" t="s">
        <v>1076</v>
      </c>
      <c r="C370" s="178" t="s">
        <v>4556</v>
      </c>
      <c r="D370" s="173" t="s">
        <v>3968</v>
      </c>
      <c r="E370" s="20"/>
      <c r="F370" s="20"/>
      <c r="G370" s="175"/>
      <c r="H370" s="20"/>
      <c r="I370" s="20"/>
      <c r="J370" s="20"/>
      <c r="K370" s="20"/>
      <c r="L370" s="20"/>
      <c r="M370" s="20"/>
      <c r="N370" s="20"/>
      <c r="O370" s="20"/>
      <c r="P370" s="20"/>
      <c r="Q370" s="20"/>
      <c r="R370" s="20"/>
      <c r="S370" s="20"/>
      <c r="T370" s="20"/>
      <c r="U370" s="20"/>
      <c r="V370" s="20"/>
      <c r="W370" s="20"/>
    </row>
    <row r="371" spans="1:23" x14ac:dyDescent="0.25">
      <c r="A371" s="177" t="s">
        <v>4557</v>
      </c>
      <c r="B371" s="177" t="s">
        <v>1079</v>
      </c>
      <c r="C371" s="178" t="s">
        <v>4558</v>
      </c>
      <c r="D371" s="173" t="s">
        <v>3968</v>
      </c>
      <c r="E371" s="20"/>
      <c r="F371" s="20"/>
      <c r="G371" s="175"/>
      <c r="H371" s="20"/>
      <c r="I371" s="20"/>
      <c r="J371" s="20"/>
      <c r="K371" s="20"/>
      <c r="L371" s="20"/>
      <c r="M371" s="20"/>
      <c r="N371" s="20"/>
      <c r="O371" s="20"/>
      <c r="P371" s="20"/>
      <c r="Q371" s="20"/>
      <c r="R371" s="20"/>
      <c r="S371" s="20"/>
      <c r="T371" s="20"/>
      <c r="U371" s="20"/>
      <c r="V371" s="20"/>
      <c r="W371" s="20"/>
    </row>
    <row r="372" spans="1:23" x14ac:dyDescent="0.25">
      <c r="A372" s="177" t="s">
        <v>4559</v>
      </c>
      <c r="B372" s="177" t="s">
        <v>1082</v>
      </c>
      <c r="C372" s="178" t="s">
        <v>4560</v>
      </c>
      <c r="D372" s="173" t="s">
        <v>3968</v>
      </c>
      <c r="E372" s="20"/>
      <c r="F372" s="20"/>
      <c r="G372" s="175"/>
      <c r="H372" s="20"/>
      <c r="I372" s="20"/>
      <c r="J372" s="20"/>
      <c r="K372" s="20"/>
      <c r="L372" s="20"/>
      <c r="M372" s="20"/>
      <c r="N372" s="20"/>
      <c r="O372" s="20"/>
      <c r="P372" s="20"/>
      <c r="Q372" s="20"/>
      <c r="R372" s="20"/>
      <c r="S372" s="20"/>
      <c r="T372" s="20"/>
      <c r="U372" s="20"/>
      <c r="V372" s="20"/>
      <c r="W372" s="20"/>
    </row>
    <row r="373" spans="1:23" x14ac:dyDescent="0.25">
      <c r="A373" s="177" t="s">
        <v>4561</v>
      </c>
      <c r="B373" s="177" t="s">
        <v>1547</v>
      </c>
      <c r="C373" s="178" t="s">
        <v>4562</v>
      </c>
      <c r="D373" s="173" t="s">
        <v>3968</v>
      </c>
      <c r="E373" s="20"/>
      <c r="F373" s="20"/>
      <c r="G373" s="175"/>
      <c r="H373" s="20"/>
      <c r="I373" s="20"/>
      <c r="J373" s="20"/>
      <c r="K373" s="20"/>
      <c r="L373" s="20"/>
      <c r="M373" s="20"/>
      <c r="N373" s="20"/>
      <c r="O373" s="20"/>
      <c r="P373" s="20"/>
      <c r="Q373" s="20"/>
      <c r="R373" s="20"/>
      <c r="S373" s="20"/>
      <c r="T373" s="20"/>
      <c r="U373" s="20"/>
      <c r="V373" s="20"/>
      <c r="W373" s="20"/>
    </row>
    <row r="374" spans="1:23" x14ac:dyDescent="0.25">
      <c r="A374" s="177" t="s">
        <v>4563</v>
      </c>
      <c r="B374" s="177" t="s">
        <v>502</v>
      </c>
      <c r="C374" s="178" t="s">
        <v>4564</v>
      </c>
      <c r="D374" s="173" t="s">
        <v>3968</v>
      </c>
      <c r="E374" s="20"/>
      <c r="F374" s="20"/>
      <c r="G374" s="175"/>
      <c r="H374" s="20"/>
      <c r="I374" s="20"/>
      <c r="J374" s="20"/>
      <c r="K374" s="20"/>
      <c r="L374" s="20"/>
      <c r="M374" s="20"/>
      <c r="N374" s="20"/>
      <c r="O374" s="20"/>
      <c r="P374" s="20"/>
      <c r="Q374" s="20"/>
      <c r="R374" s="20"/>
      <c r="S374" s="20"/>
      <c r="T374" s="20"/>
      <c r="U374" s="20"/>
      <c r="V374" s="20"/>
      <c r="W374" s="20"/>
    </row>
    <row r="375" spans="1:23" x14ac:dyDescent="0.25">
      <c r="A375" s="177" t="s">
        <v>4565</v>
      </c>
      <c r="B375" s="177" t="s">
        <v>1550</v>
      </c>
      <c r="C375" s="178" t="s">
        <v>4566</v>
      </c>
      <c r="D375" s="173" t="s">
        <v>3968</v>
      </c>
      <c r="E375" s="20"/>
      <c r="F375" s="20"/>
      <c r="G375" s="175"/>
      <c r="H375" s="20"/>
      <c r="I375" s="20"/>
      <c r="J375" s="20"/>
      <c r="K375" s="20"/>
      <c r="L375" s="20"/>
      <c r="M375" s="20"/>
      <c r="N375" s="20"/>
      <c r="O375" s="20"/>
      <c r="P375" s="20"/>
      <c r="Q375" s="20"/>
      <c r="R375" s="20"/>
      <c r="S375" s="20"/>
      <c r="T375" s="20"/>
      <c r="U375" s="20"/>
      <c r="V375" s="20"/>
      <c r="W375" s="20"/>
    </row>
    <row r="376" spans="1:23" x14ac:dyDescent="0.25">
      <c r="A376" s="177" t="s">
        <v>4567</v>
      </c>
      <c r="B376" s="177" t="s">
        <v>503</v>
      </c>
      <c r="C376" s="178" t="s">
        <v>4568</v>
      </c>
      <c r="D376" s="173" t="s">
        <v>3968</v>
      </c>
      <c r="E376" s="20"/>
      <c r="F376" s="20"/>
      <c r="G376" s="175"/>
      <c r="H376" s="20"/>
      <c r="I376" s="20"/>
      <c r="J376" s="20"/>
      <c r="K376" s="20"/>
      <c r="L376" s="20"/>
      <c r="M376" s="20"/>
      <c r="N376" s="20"/>
      <c r="O376" s="20"/>
      <c r="P376" s="20"/>
      <c r="Q376" s="20"/>
      <c r="R376" s="20"/>
      <c r="S376" s="20"/>
      <c r="T376" s="20"/>
      <c r="U376" s="20"/>
      <c r="V376" s="20"/>
      <c r="W376" s="20"/>
    </row>
    <row r="377" spans="1:23" x14ac:dyDescent="0.25">
      <c r="A377" s="177" t="s">
        <v>4569</v>
      </c>
      <c r="B377" s="177" t="s">
        <v>1553</v>
      </c>
      <c r="C377" s="178" t="s">
        <v>4570</v>
      </c>
      <c r="D377" s="173" t="s">
        <v>3968</v>
      </c>
      <c r="E377" s="20"/>
      <c r="F377" s="20"/>
      <c r="G377" s="175"/>
      <c r="H377" s="20"/>
      <c r="I377" s="20"/>
      <c r="J377" s="20"/>
      <c r="K377" s="20"/>
      <c r="L377" s="20"/>
      <c r="M377" s="20"/>
      <c r="N377" s="20"/>
      <c r="O377" s="20"/>
      <c r="P377" s="20"/>
      <c r="Q377" s="20"/>
      <c r="R377" s="20"/>
      <c r="S377" s="20"/>
      <c r="T377" s="20"/>
      <c r="U377" s="20"/>
      <c r="V377" s="20"/>
      <c r="W377" s="20"/>
    </row>
    <row r="378" spans="1:23" x14ac:dyDescent="0.25">
      <c r="A378" s="177" t="s">
        <v>4571</v>
      </c>
      <c r="B378" s="177" t="s">
        <v>504</v>
      </c>
      <c r="C378" s="178" t="s">
        <v>4572</v>
      </c>
      <c r="D378" s="173" t="s">
        <v>3968</v>
      </c>
      <c r="E378" s="20"/>
      <c r="F378" s="20"/>
      <c r="G378" s="175"/>
      <c r="H378" s="20"/>
      <c r="I378" s="20"/>
      <c r="J378" s="20"/>
      <c r="K378" s="20"/>
      <c r="L378" s="20"/>
      <c r="M378" s="20"/>
      <c r="N378" s="20"/>
      <c r="O378" s="20"/>
      <c r="P378" s="20"/>
      <c r="Q378" s="20"/>
      <c r="R378" s="20"/>
      <c r="S378" s="20"/>
      <c r="T378" s="20"/>
      <c r="U378" s="20"/>
      <c r="V378" s="20"/>
      <c r="W378" s="20"/>
    </row>
    <row r="379" spans="1:23" x14ac:dyDescent="0.25">
      <c r="A379" s="177" t="s">
        <v>4573</v>
      </c>
      <c r="B379" s="177" t="s">
        <v>1556</v>
      </c>
      <c r="C379" s="178" t="s">
        <v>4574</v>
      </c>
      <c r="D379" s="173" t="s">
        <v>3968</v>
      </c>
      <c r="E379" s="20"/>
      <c r="F379" s="20"/>
      <c r="G379" s="175"/>
      <c r="H379" s="20"/>
      <c r="I379" s="20"/>
      <c r="J379" s="20"/>
      <c r="K379" s="20"/>
      <c r="L379" s="20"/>
      <c r="M379" s="20"/>
      <c r="N379" s="20"/>
      <c r="O379" s="20"/>
      <c r="P379" s="20"/>
      <c r="Q379" s="20"/>
      <c r="R379" s="20"/>
      <c r="S379" s="20"/>
      <c r="T379" s="20"/>
      <c r="U379" s="20"/>
      <c r="V379" s="20"/>
      <c r="W379" s="20"/>
    </row>
    <row r="380" spans="1:23" x14ac:dyDescent="0.25">
      <c r="A380" s="177" t="s">
        <v>4575</v>
      </c>
      <c r="B380" s="177" t="s">
        <v>505</v>
      </c>
      <c r="C380" s="178" t="s">
        <v>4576</v>
      </c>
      <c r="D380" s="173" t="s">
        <v>3968</v>
      </c>
      <c r="E380" s="20"/>
      <c r="F380" s="20"/>
      <c r="G380" s="175"/>
      <c r="H380" s="20"/>
      <c r="I380" s="20"/>
      <c r="J380" s="20"/>
      <c r="K380" s="20"/>
      <c r="L380" s="20"/>
      <c r="M380" s="20"/>
      <c r="N380" s="20"/>
      <c r="O380" s="20"/>
      <c r="P380" s="20"/>
      <c r="Q380" s="20"/>
      <c r="R380" s="20"/>
      <c r="S380" s="20"/>
      <c r="T380" s="20"/>
      <c r="U380" s="20"/>
      <c r="V380" s="20"/>
      <c r="W380" s="20"/>
    </row>
    <row r="381" spans="1:23" x14ac:dyDescent="0.25">
      <c r="A381" s="177" t="s">
        <v>4577</v>
      </c>
      <c r="B381" s="177" t="s">
        <v>536</v>
      </c>
      <c r="C381" s="178" t="s">
        <v>4578</v>
      </c>
      <c r="D381" s="173" t="s">
        <v>3968</v>
      </c>
      <c r="E381" s="20"/>
      <c r="F381" s="20"/>
      <c r="G381" s="175"/>
      <c r="H381" s="20"/>
      <c r="I381" s="20"/>
      <c r="J381" s="20"/>
      <c r="K381" s="20"/>
      <c r="L381" s="20"/>
      <c r="M381" s="20"/>
      <c r="N381" s="20"/>
      <c r="O381" s="20"/>
      <c r="P381" s="20"/>
      <c r="Q381" s="20"/>
      <c r="R381" s="20"/>
      <c r="S381" s="20"/>
      <c r="T381" s="20"/>
      <c r="U381" s="20"/>
      <c r="V381" s="20"/>
      <c r="W381" s="20"/>
    </row>
    <row r="382" spans="1:23" x14ac:dyDescent="0.25">
      <c r="A382" s="177" t="s">
        <v>4579</v>
      </c>
      <c r="B382" s="177" t="s">
        <v>2036</v>
      </c>
      <c r="C382" s="178" t="s">
        <v>4580</v>
      </c>
      <c r="D382" s="173" t="s">
        <v>3968</v>
      </c>
      <c r="E382" s="20"/>
      <c r="F382" s="20"/>
      <c r="G382" s="175"/>
      <c r="H382" s="20"/>
      <c r="I382" s="20"/>
      <c r="J382" s="20"/>
      <c r="K382" s="20"/>
      <c r="L382" s="20"/>
      <c r="M382" s="20"/>
      <c r="N382" s="20"/>
      <c r="O382" s="20"/>
      <c r="P382" s="20"/>
      <c r="Q382" s="20"/>
      <c r="R382" s="20"/>
      <c r="S382" s="20"/>
      <c r="T382" s="20"/>
      <c r="U382" s="20"/>
      <c r="V382" s="20"/>
      <c r="W382" s="20"/>
    </row>
    <row r="383" spans="1:23" x14ac:dyDescent="0.25">
      <c r="A383" s="177" t="s">
        <v>4581</v>
      </c>
      <c r="B383" s="177" t="s">
        <v>537</v>
      </c>
      <c r="C383" s="178" t="s">
        <v>4582</v>
      </c>
      <c r="D383" s="173" t="s">
        <v>3968</v>
      </c>
      <c r="E383" s="20"/>
      <c r="F383" s="20"/>
      <c r="G383" s="175"/>
      <c r="H383" s="20"/>
      <c r="I383" s="20"/>
      <c r="J383" s="20"/>
      <c r="K383" s="20"/>
      <c r="L383" s="20"/>
      <c r="M383" s="20"/>
      <c r="N383" s="20"/>
      <c r="O383" s="20"/>
      <c r="P383" s="20"/>
      <c r="Q383" s="20"/>
      <c r="R383" s="20"/>
      <c r="S383" s="20"/>
      <c r="T383" s="20"/>
      <c r="U383" s="20"/>
      <c r="V383" s="20"/>
      <c r="W383" s="20"/>
    </row>
    <row r="384" spans="1:23" x14ac:dyDescent="0.25">
      <c r="A384" s="177" t="s">
        <v>4583</v>
      </c>
      <c r="B384" s="177" t="s">
        <v>2038</v>
      </c>
      <c r="C384" s="178" t="s">
        <v>4584</v>
      </c>
      <c r="D384" s="173" t="s">
        <v>3968</v>
      </c>
      <c r="E384" s="20"/>
      <c r="F384" s="20"/>
      <c r="G384" s="175"/>
      <c r="H384" s="20"/>
      <c r="I384" s="20"/>
      <c r="J384" s="20"/>
      <c r="K384" s="20"/>
      <c r="L384" s="20"/>
      <c r="M384" s="20"/>
      <c r="N384" s="20"/>
      <c r="O384" s="20"/>
      <c r="P384" s="20"/>
      <c r="Q384" s="20"/>
      <c r="R384" s="20"/>
      <c r="S384" s="20"/>
      <c r="T384" s="20"/>
      <c r="U384" s="20"/>
      <c r="V384" s="20"/>
      <c r="W384" s="20"/>
    </row>
    <row r="385" spans="1:23" x14ac:dyDescent="0.25">
      <c r="A385" s="177" t="s">
        <v>4585</v>
      </c>
      <c r="B385" s="177" t="s">
        <v>538</v>
      </c>
      <c r="C385" s="178" t="s">
        <v>4586</v>
      </c>
      <c r="D385" s="173" t="s">
        <v>3968</v>
      </c>
      <c r="E385" s="20"/>
      <c r="F385" s="20"/>
      <c r="G385" s="175"/>
      <c r="H385" s="20"/>
      <c r="I385" s="20"/>
      <c r="J385" s="20"/>
      <c r="K385" s="20"/>
      <c r="L385" s="20"/>
      <c r="M385" s="20"/>
      <c r="N385" s="20"/>
      <c r="O385" s="20"/>
      <c r="P385" s="20"/>
      <c r="Q385" s="20"/>
      <c r="R385" s="20"/>
      <c r="S385" s="20"/>
      <c r="T385" s="20"/>
      <c r="U385" s="20"/>
      <c r="V385" s="20"/>
      <c r="W385" s="20"/>
    </row>
    <row r="386" spans="1:23" x14ac:dyDescent="0.25">
      <c r="A386" s="177" t="s">
        <v>4587</v>
      </c>
      <c r="B386" s="177" t="s">
        <v>532</v>
      </c>
      <c r="C386" s="178" t="s">
        <v>4588</v>
      </c>
      <c r="D386" s="173" t="s">
        <v>3968</v>
      </c>
      <c r="E386" s="20"/>
      <c r="F386" s="20"/>
      <c r="G386" s="175"/>
      <c r="H386" s="20"/>
      <c r="I386" s="20"/>
      <c r="J386" s="20"/>
      <c r="K386" s="20"/>
      <c r="L386" s="20"/>
      <c r="M386" s="20"/>
      <c r="N386" s="20"/>
      <c r="O386" s="20"/>
      <c r="P386" s="20"/>
      <c r="Q386" s="20"/>
      <c r="R386" s="20"/>
      <c r="S386" s="20"/>
      <c r="T386" s="20"/>
      <c r="U386" s="20"/>
      <c r="V386" s="20"/>
      <c r="W386" s="20"/>
    </row>
    <row r="387" spans="1:23" x14ac:dyDescent="0.25">
      <c r="A387" s="177" t="s">
        <v>4589</v>
      </c>
      <c r="B387" s="177" t="s">
        <v>533</v>
      </c>
      <c r="C387" s="178" t="s">
        <v>4590</v>
      </c>
      <c r="D387" s="173" t="s">
        <v>3968</v>
      </c>
      <c r="E387" s="20"/>
      <c r="F387" s="20"/>
      <c r="G387" s="175"/>
      <c r="H387" s="20"/>
      <c r="I387" s="20"/>
      <c r="J387" s="20"/>
      <c r="K387" s="20"/>
      <c r="L387" s="20"/>
      <c r="M387" s="20"/>
      <c r="N387" s="20"/>
      <c r="O387" s="20"/>
      <c r="P387" s="20"/>
      <c r="Q387" s="20"/>
      <c r="R387" s="20"/>
      <c r="S387" s="20"/>
      <c r="T387" s="20"/>
      <c r="U387" s="20"/>
      <c r="V387" s="20"/>
      <c r="W387" s="20"/>
    </row>
    <row r="388" spans="1:23" x14ac:dyDescent="0.25">
      <c r="A388" s="177" t="s">
        <v>4591</v>
      </c>
      <c r="B388" s="177" t="s">
        <v>534</v>
      </c>
      <c r="C388" s="178" t="s">
        <v>4592</v>
      </c>
      <c r="D388" s="173" t="s">
        <v>3968</v>
      </c>
      <c r="E388" s="20"/>
      <c r="F388" s="20"/>
      <c r="G388" s="175"/>
      <c r="H388" s="20"/>
      <c r="I388" s="20"/>
      <c r="J388" s="20"/>
      <c r="K388" s="20"/>
      <c r="L388" s="20"/>
      <c r="M388" s="20"/>
      <c r="N388" s="20"/>
      <c r="O388" s="20"/>
      <c r="P388" s="20"/>
      <c r="Q388" s="20"/>
      <c r="R388" s="20"/>
      <c r="S388" s="20"/>
      <c r="T388" s="20"/>
      <c r="U388" s="20"/>
      <c r="V388" s="20"/>
      <c r="W388" s="20"/>
    </row>
    <row r="389" spans="1:23" x14ac:dyDescent="0.25">
      <c r="A389" s="177" t="s">
        <v>4593</v>
      </c>
      <c r="B389" s="177" t="s">
        <v>535</v>
      </c>
      <c r="C389" s="178" t="s">
        <v>4594</v>
      </c>
      <c r="D389" s="173" t="s">
        <v>3968</v>
      </c>
      <c r="E389" s="20"/>
      <c r="F389" s="20"/>
      <c r="G389" s="175"/>
      <c r="H389" s="20"/>
      <c r="I389" s="20"/>
      <c r="J389" s="20"/>
      <c r="K389" s="20"/>
      <c r="L389" s="20"/>
      <c r="M389" s="20"/>
      <c r="N389" s="20"/>
      <c r="O389" s="20"/>
      <c r="P389" s="20"/>
      <c r="Q389" s="20"/>
      <c r="R389" s="20"/>
      <c r="S389" s="20"/>
      <c r="T389" s="20"/>
      <c r="U389" s="20"/>
      <c r="V389" s="20"/>
      <c r="W389" s="20"/>
    </row>
    <row r="390" spans="1:23" x14ac:dyDescent="0.25">
      <c r="A390" s="177" t="s">
        <v>4595</v>
      </c>
      <c r="B390" s="177" t="s">
        <v>539</v>
      </c>
      <c r="C390" s="178" t="s">
        <v>4596</v>
      </c>
      <c r="D390" s="173" t="s">
        <v>3968</v>
      </c>
      <c r="E390" s="20"/>
      <c r="F390" s="20"/>
      <c r="G390" s="175"/>
      <c r="H390" s="20"/>
      <c r="I390" s="20"/>
      <c r="J390" s="20"/>
      <c r="K390" s="20"/>
      <c r="L390" s="20"/>
      <c r="M390" s="20"/>
      <c r="N390" s="20"/>
      <c r="O390" s="20"/>
      <c r="P390" s="20"/>
      <c r="Q390" s="20"/>
      <c r="R390" s="20"/>
      <c r="S390" s="20"/>
      <c r="T390" s="20"/>
      <c r="U390" s="20"/>
      <c r="V390" s="20"/>
      <c r="W390" s="20"/>
    </row>
    <row r="391" spans="1:23" x14ac:dyDescent="0.25">
      <c r="A391" s="177" t="s">
        <v>4597</v>
      </c>
      <c r="B391" s="177" t="s">
        <v>540</v>
      </c>
      <c r="C391" s="178" t="s">
        <v>4598</v>
      </c>
      <c r="D391" s="173" t="s">
        <v>3968</v>
      </c>
      <c r="E391" s="20"/>
      <c r="F391" s="20"/>
      <c r="G391" s="175"/>
      <c r="H391" s="20"/>
      <c r="I391" s="20"/>
      <c r="J391" s="20"/>
      <c r="K391" s="20"/>
      <c r="L391" s="20"/>
      <c r="M391" s="20"/>
      <c r="N391" s="20"/>
      <c r="O391" s="20"/>
      <c r="P391" s="20"/>
      <c r="Q391" s="20"/>
      <c r="R391" s="20"/>
      <c r="S391" s="20"/>
      <c r="T391" s="20"/>
      <c r="U391" s="20"/>
      <c r="V391" s="20"/>
      <c r="W391" s="20"/>
    </row>
    <row r="392" spans="1:23" x14ac:dyDescent="0.25">
      <c r="A392" s="177" t="s">
        <v>4599</v>
      </c>
      <c r="B392" s="177" t="s">
        <v>541</v>
      </c>
      <c r="C392" s="178" t="s">
        <v>4600</v>
      </c>
      <c r="D392" s="173" t="s">
        <v>3968</v>
      </c>
      <c r="E392" s="20"/>
      <c r="F392" s="20"/>
      <c r="G392" s="175"/>
      <c r="H392" s="20"/>
      <c r="I392" s="20"/>
      <c r="J392" s="20"/>
      <c r="K392" s="20"/>
      <c r="L392" s="20"/>
      <c r="M392" s="20"/>
      <c r="N392" s="20"/>
      <c r="O392" s="20"/>
      <c r="P392" s="20"/>
      <c r="Q392" s="20"/>
      <c r="R392" s="20"/>
      <c r="S392" s="20"/>
      <c r="T392" s="20"/>
      <c r="U392" s="20"/>
      <c r="V392" s="20"/>
      <c r="W392" s="20"/>
    </row>
    <row r="393" spans="1:23" x14ac:dyDescent="0.25">
      <c r="A393" s="177" t="s">
        <v>4601</v>
      </c>
      <c r="B393" s="177" t="s">
        <v>542</v>
      </c>
      <c r="C393" s="178" t="s">
        <v>4602</v>
      </c>
      <c r="D393" s="173" t="s">
        <v>3968</v>
      </c>
      <c r="E393" s="20"/>
      <c r="F393" s="20"/>
      <c r="G393" s="175"/>
      <c r="H393" s="20"/>
      <c r="I393" s="20"/>
      <c r="J393" s="20"/>
      <c r="K393" s="20"/>
      <c r="L393" s="20"/>
      <c r="M393" s="20"/>
      <c r="N393" s="20"/>
      <c r="O393" s="20"/>
      <c r="P393" s="20"/>
      <c r="Q393" s="20"/>
      <c r="R393" s="20"/>
      <c r="S393" s="20"/>
      <c r="T393" s="20"/>
      <c r="U393" s="20"/>
      <c r="V393" s="20"/>
      <c r="W393" s="20"/>
    </row>
    <row r="394" spans="1:23" x14ac:dyDescent="0.25">
      <c r="A394" s="177" t="s">
        <v>4603</v>
      </c>
      <c r="B394" s="177" t="s">
        <v>4604</v>
      </c>
      <c r="C394" s="178" t="s">
        <v>4605</v>
      </c>
      <c r="D394" s="173" t="s">
        <v>3968</v>
      </c>
      <c r="E394" s="20"/>
      <c r="F394" s="20"/>
      <c r="G394" s="175"/>
      <c r="H394" s="20"/>
      <c r="I394" s="20"/>
      <c r="J394" s="20"/>
      <c r="K394" s="20"/>
      <c r="L394" s="20"/>
      <c r="M394" s="20"/>
      <c r="N394" s="20"/>
      <c r="O394" s="20"/>
      <c r="P394" s="20"/>
      <c r="Q394" s="20"/>
      <c r="R394" s="20"/>
      <c r="S394" s="20"/>
      <c r="T394" s="20"/>
      <c r="U394" s="20"/>
      <c r="V394" s="20"/>
      <c r="W394" s="20"/>
    </row>
    <row r="395" spans="1:23" x14ac:dyDescent="0.25">
      <c r="A395" s="177" t="s">
        <v>4606</v>
      </c>
      <c r="B395" s="177" t="s">
        <v>4607</v>
      </c>
      <c r="C395" s="178" t="s">
        <v>4608</v>
      </c>
      <c r="D395" s="173" t="s">
        <v>3968</v>
      </c>
      <c r="E395" s="20"/>
      <c r="F395" s="20"/>
      <c r="G395" s="175"/>
      <c r="H395" s="20"/>
      <c r="I395" s="20"/>
      <c r="J395" s="20"/>
      <c r="K395" s="20"/>
      <c r="L395" s="20"/>
      <c r="M395" s="20"/>
      <c r="N395" s="20"/>
      <c r="O395" s="20"/>
      <c r="P395" s="20"/>
      <c r="Q395" s="20"/>
      <c r="R395" s="20"/>
      <c r="S395" s="20"/>
      <c r="T395" s="20"/>
      <c r="U395" s="20"/>
      <c r="V395" s="20"/>
      <c r="W395" s="20"/>
    </row>
    <row r="396" spans="1:23" x14ac:dyDescent="0.25">
      <c r="A396" s="177" t="s">
        <v>4609</v>
      </c>
      <c r="B396" s="177" t="s">
        <v>453</v>
      </c>
      <c r="C396" s="178" t="s">
        <v>4610</v>
      </c>
      <c r="D396" s="173" t="s">
        <v>3968</v>
      </c>
      <c r="E396" s="20"/>
      <c r="F396" s="20"/>
      <c r="G396" s="175"/>
      <c r="H396" s="20"/>
      <c r="I396" s="20"/>
      <c r="J396" s="20"/>
      <c r="K396" s="20"/>
      <c r="L396" s="20"/>
      <c r="M396" s="20"/>
      <c r="N396" s="20"/>
      <c r="O396" s="20"/>
      <c r="P396" s="20"/>
      <c r="Q396" s="20"/>
      <c r="R396" s="20"/>
      <c r="S396" s="20"/>
      <c r="T396" s="20"/>
      <c r="U396" s="20"/>
      <c r="V396" s="20"/>
      <c r="W396" s="20"/>
    </row>
    <row r="397" spans="1:23" x14ac:dyDescent="0.25">
      <c r="A397" s="177" t="s">
        <v>4611</v>
      </c>
      <c r="B397" s="177" t="s">
        <v>4612</v>
      </c>
      <c r="C397" s="178" t="s">
        <v>4613</v>
      </c>
      <c r="D397" s="173" t="s">
        <v>3968</v>
      </c>
      <c r="E397" s="20"/>
      <c r="F397" s="20"/>
      <c r="G397" s="175"/>
      <c r="H397" s="20"/>
      <c r="I397" s="20"/>
      <c r="J397" s="20"/>
      <c r="K397" s="20"/>
      <c r="L397" s="20"/>
      <c r="M397" s="20"/>
      <c r="N397" s="20"/>
      <c r="O397" s="20"/>
      <c r="P397" s="20"/>
      <c r="Q397" s="20"/>
      <c r="R397" s="20"/>
      <c r="S397" s="20"/>
      <c r="T397" s="20"/>
      <c r="U397" s="20"/>
      <c r="V397" s="20"/>
      <c r="W397" s="20"/>
    </row>
    <row r="398" spans="1:23" x14ac:dyDescent="0.25">
      <c r="A398" s="177" t="s">
        <v>4614</v>
      </c>
      <c r="B398" s="177" t="s">
        <v>455</v>
      </c>
      <c r="C398" s="178" t="s">
        <v>4615</v>
      </c>
      <c r="D398" s="173" t="s">
        <v>3968</v>
      </c>
      <c r="E398" s="20"/>
      <c r="F398" s="20"/>
      <c r="G398" s="175"/>
      <c r="H398" s="20"/>
      <c r="I398" s="20"/>
      <c r="J398" s="20"/>
      <c r="K398" s="20"/>
      <c r="L398" s="20"/>
      <c r="M398" s="20"/>
      <c r="N398" s="20"/>
      <c r="O398" s="20"/>
      <c r="P398" s="20"/>
      <c r="Q398" s="20"/>
      <c r="R398" s="20"/>
      <c r="S398" s="20"/>
      <c r="T398" s="20"/>
      <c r="U398" s="20"/>
      <c r="V398" s="20"/>
      <c r="W398" s="20"/>
    </row>
    <row r="399" spans="1:23" x14ac:dyDescent="0.25">
      <c r="A399" s="177" t="s">
        <v>4616</v>
      </c>
      <c r="B399" s="177" t="s">
        <v>389</v>
      </c>
      <c r="C399" s="178" t="s">
        <v>4617</v>
      </c>
      <c r="D399" s="173" t="s">
        <v>3968</v>
      </c>
      <c r="E399" s="20"/>
      <c r="F399" s="20"/>
      <c r="G399" s="175"/>
      <c r="H399" s="20"/>
      <c r="I399" s="20"/>
      <c r="J399" s="20"/>
      <c r="K399" s="20"/>
      <c r="L399" s="20"/>
      <c r="M399" s="20"/>
      <c r="N399" s="20"/>
      <c r="O399" s="20"/>
      <c r="P399" s="20"/>
      <c r="Q399" s="20"/>
      <c r="R399" s="20"/>
      <c r="S399" s="20"/>
      <c r="T399" s="20"/>
      <c r="U399" s="20"/>
      <c r="V399" s="20"/>
      <c r="W399" s="20"/>
    </row>
    <row r="400" spans="1:23" x14ac:dyDescent="0.25">
      <c r="A400" s="177" t="s">
        <v>4618</v>
      </c>
      <c r="B400" s="177" t="s">
        <v>390</v>
      </c>
      <c r="C400" s="178" t="s">
        <v>4619</v>
      </c>
      <c r="D400" s="173" t="s">
        <v>3968</v>
      </c>
      <c r="E400" s="20"/>
      <c r="F400" s="20"/>
      <c r="G400" s="175"/>
      <c r="H400" s="20"/>
      <c r="I400" s="20"/>
      <c r="J400" s="20"/>
      <c r="K400" s="20"/>
      <c r="L400" s="20"/>
      <c r="M400" s="20"/>
      <c r="N400" s="20"/>
      <c r="O400" s="20"/>
      <c r="P400" s="20"/>
      <c r="Q400" s="20"/>
      <c r="R400" s="20"/>
      <c r="S400" s="20"/>
      <c r="T400" s="20"/>
      <c r="U400" s="20"/>
      <c r="V400" s="20"/>
      <c r="W400" s="20"/>
    </row>
    <row r="401" spans="1:23" x14ac:dyDescent="0.25">
      <c r="A401" s="177" t="s">
        <v>4620</v>
      </c>
      <c r="B401" s="177" t="s">
        <v>4621</v>
      </c>
      <c r="C401" s="178" t="s">
        <v>4622</v>
      </c>
      <c r="D401" s="173" t="s">
        <v>3715</v>
      </c>
      <c r="E401" s="20"/>
      <c r="F401" s="20"/>
      <c r="G401" s="175"/>
      <c r="H401" s="20"/>
      <c r="I401" s="20"/>
      <c r="J401" s="20"/>
      <c r="K401" s="20"/>
      <c r="L401" s="20"/>
      <c r="M401" s="20"/>
      <c r="N401" s="20"/>
      <c r="O401" s="20"/>
      <c r="P401" s="20"/>
      <c r="Q401" s="20"/>
      <c r="R401" s="20"/>
      <c r="S401" s="20"/>
      <c r="T401" s="20"/>
      <c r="U401" s="20"/>
      <c r="V401" s="20"/>
      <c r="W401" s="20"/>
    </row>
    <row r="402" spans="1:23" x14ac:dyDescent="0.25">
      <c r="A402" s="177" t="s">
        <v>3762</v>
      </c>
      <c r="B402" s="177" t="s">
        <v>4623</v>
      </c>
      <c r="C402" s="178" t="s">
        <v>4624</v>
      </c>
      <c r="D402" s="173" t="s">
        <v>3715</v>
      </c>
      <c r="E402" s="20"/>
      <c r="F402" s="20"/>
      <c r="G402" s="175"/>
      <c r="H402" s="20"/>
      <c r="I402" s="20"/>
      <c r="J402" s="20"/>
      <c r="K402" s="20"/>
      <c r="L402" s="20"/>
      <c r="M402" s="20"/>
      <c r="N402" s="20"/>
      <c r="O402" s="20"/>
      <c r="P402" s="20"/>
      <c r="Q402" s="20"/>
      <c r="R402" s="20"/>
      <c r="S402" s="20"/>
      <c r="T402" s="20"/>
      <c r="U402" s="20"/>
      <c r="V402" s="20"/>
      <c r="W402" s="20"/>
    </row>
    <row r="403" spans="1:23" x14ac:dyDescent="0.25">
      <c r="A403" s="177" t="s">
        <v>3758</v>
      </c>
      <c r="B403" s="177" t="s">
        <v>4625</v>
      </c>
      <c r="C403" s="178" t="s">
        <v>4626</v>
      </c>
      <c r="D403" s="173" t="s">
        <v>3715</v>
      </c>
      <c r="E403" s="20"/>
      <c r="F403" s="20"/>
      <c r="G403" s="175"/>
      <c r="H403" s="20"/>
      <c r="I403" s="20"/>
      <c r="J403" s="20"/>
      <c r="K403" s="20"/>
      <c r="L403" s="20"/>
      <c r="M403" s="20"/>
      <c r="N403" s="20"/>
      <c r="O403" s="20"/>
      <c r="P403" s="20"/>
      <c r="Q403" s="20"/>
      <c r="R403" s="20"/>
      <c r="S403" s="20"/>
      <c r="T403" s="20"/>
      <c r="U403" s="20"/>
      <c r="V403" s="20"/>
      <c r="W403" s="20"/>
    </row>
    <row r="404" spans="1:23" x14ac:dyDescent="0.25">
      <c r="A404" s="177" t="s">
        <v>4627</v>
      </c>
      <c r="B404" s="177" t="s">
        <v>329</v>
      </c>
      <c r="C404" s="178" t="s">
        <v>4628</v>
      </c>
      <c r="D404" s="173" t="s">
        <v>3715</v>
      </c>
      <c r="E404" s="20"/>
      <c r="F404" s="20"/>
      <c r="G404" s="174">
        <v>50</v>
      </c>
      <c r="H404" s="20"/>
      <c r="I404" s="20"/>
      <c r="J404" s="20"/>
      <c r="K404" s="20"/>
      <c r="L404" s="20"/>
      <c r="M404" s="20"/>
      <c r="N404" s="20"/>
      <c r="O404" s="20"/>
      <c r="P404" s="20"/>
      <c r="Q404" s="20"/>
      <c r="R404" s="20"/>
      <c r="S404" s="20"/>
      <c r="T404" s="20"/>
      <c r="U404" s="20"/>
      <c r="V404" s="20"/>
      <c r="W404" s="20"/>
    </row>
    <row r="405" spans="1:23" x14ac:dyDescent="0.25">
      <c r="A405" s="177" t="s">
        <v>4629</v>
      </c>
      <c r="B405" s="177" t="s">
        <v>294</v>
      </c>
      <c r="C405" s="178" t="s">
        <v>4630</v>
      </c>
      <c r="D405" s="173" t="s">
        <v>3968</v>
      </c>
      <c r="E405" s="20"/>
      <c r="F405" s="20"/>
      <c r="G405" s="175"/>
      <c r="H405" s="20"/>
      <c r="I405" s="20"/>
      <c r="J405" s="20"/>
      <c r="K405" s="20"/>
      <c r="L405" s="20"/>
      <c r="M405" s="20"/>
      <c r="N405" s="20"/>
      <c r="O405" s="20"/>
      <c r="P405" s="20"/>
      <c r="Q405" s="20"/>
      <c r="R405" s="20"/>
      <c r="S405" s="20"/>
      <c r="T405" s="20"/>
      <c r="U405" s="20"/>
      <c r="V405" s="20"/>
      <c r="W405" s="20"/>
    </row>
    <row r="406" spans="1:23" x14ac:dyDescent="0.25">
      <c r="A406" s="177" t="s">
        <v>4631</v>
      </c>
      <c r="B406" s="177" t="s">
        <v>1704</v>
      </c>
      <c r="C406" s="178" t="s">
        <v>4632</v>
      </c>
      <c r="D406" s="173" t="s">
        <v>3968</v>
      </c>
      <c r="E406" s="20"/>
      <c r="F406" s="20"/>
      <c r="G406" s="175"/>
      <c r="H406" s="20"/>
      <c r="I406" s="20"/>
      <c r="J406" s="20"/>
      <c r="K406" s="20"/>
      <c r="L406" s="20"/>
      <c r="M406" s="20"/>
      <c r="N406" s="20"/>
      <c r="O406" s="20"/>
      <c r="P406" s="20"/>
      <c r="Q406" s="20"/>
      <c r="R406" s="20"/>
      <c r="S406" s="20"/>
      <c r="T406" s="20"/>
      <c r="U406" s="20"/>
      <c r="V406" s="20"/>
      <c r="W406" s="20"/>
    </row>
    <row r="407" spans="1:23" x14ac:dyDescent="0.25">
      <c r="A407" s="177" t="s">
        <v>4631</v>
      </c>
      <c r="B407" s="177" t="s">
        <v>2108</v>
      </c>
      <c r="C407" s="178" t="s">
        <v>4633</v>
      </c>
      <c r="D407" s="173" t="s">
        <v>3968</v>
      </c>
      <c r="E407" s="20"/>
      <c r="F407" s="20"/>
      <c r="G407" s="175"/>
      <c r="H407" s="20"/>
      <c r="I407" s="20"/>
      <c r="J407" s="20"/>
      <c r="K407" s="20"/>
      <c r="L407" s="20"/>
      <c r="M407" s="20"/>
      <c r="N407" s="20"/>
      <c r="O407" s="20"/>
      <c r="P407" s="20"/>
      <c r="Q407" s="20"/>
      <c r="R407" s="20"/>
      <c r="S407" s="20"/>
      <c r="T407" s="20"/>
      <c r="U407" s="20"/>
      <c r="V407" s="20"/>
      <c r="W407" s="20"/>
    </row>
    <row r="408" spans="1:23" x14ac:dyDescent="0.25">
      <c r="A408" s="177" t="s">
        <v>4634</v>
      </c>
      <c r="B408" s="177" t="s">
        <v>934</v>
      </c>
      <c r="C408" s="178" t="s">
        <v>4635</v>
      </c>
      <c r="D408" s="173" t="s">
        <v>3968</v>
      </c>
      <c r="E408" s="20"/>
      <c r="F408" s="20"/>
      <c r="G408" s="175"/>
      <c r="H408" s="20"/>
      <c r="I408" s="20"/>
      <c r="J408" s="20"/>
      <c r="K408" s="20"/>
      <c r="L408" s="20"/>
      <c r="M408" s="20"/>
      <c r="N408" s="20"/>
      <c r="O408" s="20"/>
      <c r="P408" s="20"/>
      <c r="Q408" s="20"/>
      <c r="R408" s="20"/>
      <c r="S408" s="20"/>
      <c r="T408" s="20"/>
      <c r="U408" s="20"/>
      <c r="V408" s="20"/>
      <c r="W408" s="20"/>
    </row>
    <row r="409" spans="1:23" x14ac:dyDescent="0.25">
      <c r="A409" s="177" t="s">
        <v>4636</v>
      </c>
      <c r="B409" s="177" t="s">
        <v>341</v>
      </c>
      <c r="C409" s="178" t="s">
        <v>4637</v>
      </c>
      <c r="D409" s="173" t="s">
        <v>3968</v>
      </c>
      <c r="E409" s="20"/>
      <c r="F409" s="20"/>
      <c r="G409" s="175"/>
      <c r="H409" s="20"/>
      <c r="I409" s="20"/>
      <c r="J409" s="20"/>
      <c r="K409" s="20"/>
      <c r="L409" s="20"/>
      <c r="M409" s="20"/>
      <c r="N409" s="20"/>
      <c r="O409" s="20"/>
      <c r="P409" s="20"/>
      <c r="Q409" s="20"/>
      <c r="R409" s="20"/>
      <c r="S409" s="20"/>
      <c r="T409" s="20"/>
      <c r="U409" s="20"/>
      <c r="V409" s="20"/>
      <c r="W409" s="20"/>
    </row>
    <row r="410" spans="1:23" x14ac:dyDescent="0.25">
      <c r="A410" s="177" t="s">
        <v>4638</v>
      </c>
      <c r="B410" s="177" t="s">
        <v>589</v>
      </c>
      <c r="C410" s="178" t="s">
        <v>4639</v>
      </c>
      <c r="D410" s="173" t="s">
        <v>3968</v>
      </c>
      <c r="E410" s="20"/>
      <c r="F410" s="20"/>
      <c r="G410" s="175"/>
      <c r="H410" s="20"/>
      <c r="I410" s="20"/>
      <c r="J410" s="20"/>
      <c r="K410" s="20"/>
      <c r="L410" s="20"/>
      <c r="M410" s="20"/>
      <c r="N410" s="20"/>
      <c r="O410" s="20"/>
      <c r="P410" s="20"/>
      <c r="Q410" s="20"/>
      <c r="R410" s="20"/>
      <c r="S410" s="20"/>
      <c r="T410" s="20"/>
      <c r="U410" s="20"/>
      <c r="V410" s="20"/>
      <c r="W410" s="20"/>
    </row>
    <row r="411" spans="1:23" x14ac:dyDescent="0.25">
      <c r="A411" s="177" t="s">
        <v>4640</v>
      </c>
      <c r="B411" s="177" t="s">
        <v>590</v>
      </c>
      <c r="C411" s="178" t="s">
        <v>4641</v>
      </c>
      <c r="D411" s="173" t="s">
        <v>3968</v>
      </c>
      <c r="E411" s="20"/>
      <c r="F411" s="20"/>
      <c r="G411" s="175"/>
      <c r="H411" s="20"/>
      <c r="I411" s="20"/>
      <c r="J411" s="20"/>
      <c r="K411" s="20"/>
      <c r="L411" s="20"/>
      <c r="M411" s="20"/>
      <c r="N411" s="20"/>
      <c r="O411" s="20"/>
      <c r="P411" s="20"/>
      <c r="Q411" s="20"/>
      <c r="R411" s="20"/>
      <c r="S411" s="20"/>
      <c r="T411" s="20"/>
      <c r="U411" s="20"/>
      <c r="V411" s="20"/>
      <c r="W411" s="20"/>
    </row>
    <row r="412" spans="1:23" x14ac:dyDescent="0.25">
      <c r="A412" s="177" t="s">
        <v>4642</v>
      </c>
      <c r="B412" s="177" t="s">
        <v>4643</v>
      </c>
      <c r="C412" s="178" t="s">
        <v>4644</v>
      </c>
      <c r="D412" s="173" t="s">
        <v>3968</v>
      </c>
      <c r="E412" s="20"/>
      <c r="F412" s="20"/>
      <c r="G412" s="175"/>
      <c r="H412" s="20"/>
      <c r="I412" s="20"/>
      <c r="J412" s="20"/>
      <c r="K412" s="20"/>
      <c r="L412" s="20"/>
      <c r="M412" s="20"/>
      <c r="N412" s="20"/>
      <c r="O412" s="20"/>
      <c r="P412" s="20"/>
      <c r="Q412" s="20"/>
      <c r="R412" s="20"/>
      <c r="S412" s="20"/>
      <c r="T412" s="20"/>
      <c r="U412" s="20"/>
      <c r="V412" s="20"/>
      <c r="W412" s="20"/>
    </row>
    <row r="413" spans="1:23" x14ac:dyDescent="0.25">
      <c r="A413" s="177" t="s">
        <v>4645</v>
      </c>
      <c r="B413" s="177" t="s">
        <v>558</v>
      </c>
      <c r="C413" s="178" t="s">
        <v>4646</v>
      </c>
      <c r="D413" s="173" t="s">
        <v>3968</v>
      </c>
      <c r="E413" s="20"/>
      <c r="F413" s="20"/>
      <c r="G413" s="175"/>
      <c r="H413" s="20"/>
      <c r="I413" s="20"/>
      <c r="J413" s="20"/>
      <c r="K413" s="20"/>
      <c r="L413" s="20"/>
      <c r="M413" s="20"/>
      <c r="N413" s="20"/>
      <c r="O413" s="20"/>
      <c r="P413" s="20"/>
      <c r="Q413" s="20"/>
      <c r="R413" s="20"/>
      <c r="S413" s="20"/>
      <c r="T413" s="20"/>
      <c r="U413" s="20"/>
      <c r="V413" s="20"/>
      <c r="W413" s="20"/>
    </row>
    <row r="414" spans="1:23" x14ac:dyDescent="0.25">
      <c r="A414" s="177" t="s">
        <v>4647</v>
      </c>
      <c r="B414" s="177" t="s">
        <v>4648</v>
      </c>
      <c r="C414" s="178" t="s">
        <v>4649</v>
      </c>
      <c r="D414" s="173" t="s">
        <v>3968</v>
      </c>
      <c r="E414" s="20"/>
      <c r="F414" s="20"/>
      <c r="G414" s="175"/>
      <c r="H414" s="20"/>
      <c r="I414" s="20"/>
      <c r="J414" s="20"/>
      <c r="K414" s="20"/>
      <c r="L414" s="20"/>
      <c r="M414" s="20"/>
      <c r="N414" s="20"/>
      <c r="O414" s="20"/>
      <c r="P414" s="20"/>
      <c r="Q414" s="20"/>
      <c r="R414" s="20"/>
      <c r="S414" s="20"/>
      <c r="T414" s="20"/>
      <c r="U414" s="20"/>
      <c r="V414" s="20"/>
      <c r="W414" s="20"/>
    </row>
    <row r="415" spans="1:23" x14ac:dyDescent="0.25">
      <c r="A415" s="177" t="s">
        <v>4650</v>
      </c>
      <c r="B415" s="177" t="s">
        <v>588</v>
      </c>
      <c r="C415" s="178" t="s">
        <v>2841</v>
      </c>
      <c r="D415" s="173" t="s">
        <v>3968</v>
      </c>
      <c r="E415" s="20"/>
      <c r="F415" s="20"/>
      <c r="G415" s="175"/>
      <c r="H415" s="20"/>
      <c r="I415" s="20"/>
      <c r="J415" s="20"/>
      <c r="K415" s="20"/>
      <c r="L415" s="20"/>
      <c r="M415" s="20"/>
      <c r="N415" s="20"/>
      <c r="O415" s="20"/>
      <c r="P415" s="20"/>
      <c r="Q415" s="20"/>
      <c r="R415" s="20"/>
      <c r="S415" s="20"/>
      <c r="T415" s="20"/>
      <c r="U415" s="20"/>
      <c r="V415" s="20"/>
      <c r="W415" s="20"/>
    </row>
    <row r="416" spans="1:23" x14ac:dyDescent="0.25">
      <c r="A416" s="177" t="s">
        <v>4651</v>
      </c>
      <c r="B416" s="177" t="s">
        <v>2854</v>
      </c>
      <c r="C416" s="178" t="s">
        <v>4652</v>
      </c>
      <c r="D416" s="173" t="s">
        <v>3968</v>
      </c>
      <c r="E416" s="20"/>
      <c r="F416" s="20"/>
      <c r="G416" s="175"/>
      <c r="H416" s="20"/>
      <c r="I416" s="20"/>
      <c r="J416" s="20"/>
      <c r="K416" s="20"/>
      <c r="L416" s="20"/>
      <c r="M416" s="20"/>
      <c r="N416" s="20"/>
      <c r="O416" s="20"/>
      <c r="P416" s="20"/>
      <c r="Q416" s="20"/>
      <c r="R416" s="20"/>
      <c r="S416" s="20"/>
      <c r="T416" s="20"/>
      <c r="U416" s="20"/>
      <c r="V416" s="20"/>
      <c r="W416" s="20"/>
    </row>
    <row r="417" spans="1:23" x14ac:dyDescent="0.25">
      <c r="A417" s="177" t="s">
        <v>4653</v>
      </c>
      <c r="B417" s="177" t="s">
        <v>369</v>
      </c>
      <c r="C417" s="178" t="s">
        <v>4654</v>
      </c>
      <c r="D417" s="173" t="s">
        <v>3968</v>
      </c>
      <c r="E417" s="20"/>
      <c r="F417" s="20"/>
      <c r="G417" s="175"/>
      <c r="H417" s="20"/>
      <c r="I417" s="20"/>
      <c r="J417" s="20"/>
      <c r="K417" s="20"/>
      <c r="L417" s="20"/>
      <c r="M417" s="20"/>
      <c r="N417" s="20"/>
      <c r="O417" s="20"/>
      <c r="P417" s="20"/>
      <c r="Q417" s="20"/>
      <c r="R417" s="20"/>
      <c r="S417" s="20"/>
      <c r="T417" s="20"/>
      <c r="U417" s="20"/>
      <c r="V417" s="20"/>
      <c r="W417" s="20"/>
    </row>
    <row r="418" spans="1:23" x14ac:dyDescent="0.25">
      <c r="A418" s="177" t="s">
        <v>4655</v>
      </c>
      <c r="B418" s="177" t="s">
        <v>1706</v>
      </c>
      <c r="C418" s="178" t="s">
        <v>4656</v>
      </c>
      <c r="D418" s="173" t="s">
        <v>3968</v>
      </c>
      <c r="E418" s="20"/>
      <c r="F418" s="20"/>
      <c r="G418" s="175"/>
      <c r="H418" s="20"/>
      <c r="I418" s="20"/>
      <c r="J418" s="20"/>
      <c r="K418" s="20"/>
      <c r="L418" s="20"/>
      <c r="M418" s="20"/>
      <c r="N418" s="20"/>
      <c r="O418" s="20"/>
      <c r="P418" s="20"/>
      <c r="Q418" s="20"/>
      <c r="R418" s="20"/>
      <c r="S418" s="20"/>
      <c r="T418" s="20"/>
      <c r="U418" s="20"/>
      <c r="V418" s="20"/>
      <c r="W418" s="20"/>
    </row>
    <row r="419" spans="1:23" x14ac:dyDescent="0.25">
      <c r="A419" s="177" t="s">
        <v>4657</v>
      </c>
      <c r="B419" s="177" t="s">
        <v>4658</v>
      </c>
      <c r="C419" s="178" t="s">
        <v>4659</v>
      </c>
      <c r="D419" s="173" t="s">
        <v>3968</v>
      </c>
      <c r="E419" s="20"/>
      <c r="F419" s="20"/>
      <c r="G419" s="175"/>
      <c r="H419" s="20"/>
      <c r="I419" s="20"/>
      <c r="J419" s="20"/>
      <c r="K419" s="20"/>
      <c r="L419" s="20"/>
      <c r="M419" s="20"/>
      <c r="N419" s="20"/>
      <c r="O419" s="20"/>
      <c r="P419" s="20"/>
      <c r="Q419" s="20"/>
      <c r="R419" s="20"/>
      <c r="S419" s="20"/>
      <c r="T419" s="20"/>
      <c r="U419" s="20"/>
      <c r="V419" s="20"/>
      <c r="W419" s="20"/>
    </row>
    <row r="420" spans="1:23" x14ac:dyDescent="0.25">
      <c r="A420" s="177" t="s">
        <v>4660</v>
      </c>
      <c r="B420" s="177" t="s">
        <v>4661</v>
      </c>
      <c r="C420" s="178" t="s">
        <v>4662</v>
      </c>
      <c r="D420" s="173" t="s">
        <v>3968</v>
      </c>
      <c r="E420" s="20"/>
      <c r="F420" s="20"/>
      <c r="G420" s="175"/>
      <c r="H420" s="20"/>
      <c r="I420" s="20"/>
      <c r="J420" s="20"/>
      <c r="K420" s="20"/>
      <c r="L420" s="20"/>
      <c r="M420" s="20"/>
      <c r="N420" s="20"/>
      <c r="O420" s="20"/>
      <c r="P420" s="20"/>
      <c r="Q420" s="20"/>
      <c r="R420" s="20"/>
      <c r="S420" s="20"/>
      <c r="T420" s="20"/>
      <c r="U420" s="20"/>
      <c r="V420" s="20"/>
      <c r="W420" s="20"/>
    </row>
    <row r="421" spans="1:23" x14ac:dyDescent="0.25">
      <c r="A421" s="177" t="s">
        <v>4663</v>
      </c>
      <c r="B421" s="177" t="s">
        <v>4664</v>
      </c>
      <c r="C421" s="178" t="s">
        <v>4665</v>
      </c>
      <c r="D421" s="173" t="s">
        <v>3968</v>
      </c>
      <c r="E421" s="20"/>
      <c r="F421" s="20"/>
      <c r="G421" s="175"/>
      <c r="H421" s="20"/>
      <c r="I421" s="20"/>
      <c r="J421" s="20"/>
      <c r="K421" s="20"/>
      <c r="L421" s="20"/>
      <c r="M421" s="20"/>
      <c r="N421" s="20"/>
      <c r="O421" s="20"/>
      <c r="P421" s="20"/>
      <c r="Q421" s="20"/>
      <c r="R421" s="20"/>
      <c r="S421" s="20"/>
      <c r="T421" s="20"/>
      <c r="U421" s="20"/>
      <c r="V421" s="20"/>
      <c r="W421" s="20"/>
    </row>
    <row r="422" spans="1:23" x14ac:dyDescent="0.25">
      <c r="A422" s="177" t="s">
        <v>4666</v>
      </c>
      <c r="B422" s="177" t="s">
        <v>4667</v>
      </c>
      <c r="C422" s="178" t="s">
        <v>4668</v>
      </c>
      <c r="D422" s="173" t="s">
        <v>3968</v>
      </c>
      <c r="E422" s="20"/>
      <c r="F422" s="20"/>
      <c r="G422" s="175"/>
      <c r="H422" s="20"/>
      <c r="I422" s="20"/>
      <c r="J422" s="20"/>
      <c r="K422" s="20"/>
      <c r="L422" s="20"/>
      <c r="M422" s="20"/>
      <c r="N422" s="20"/>
      <c r="O422" s="20"/>
      <c r="P422" s="20"/>
      <c r="Q422" s="20"/>
      <c r="R422" s="20"/>
      <c r="S422" s="20"/>
      <c r="T422" s="20"/>
      <c r="U422" s="20"/>
      <c r="V422" s="20"/>
      <c r="W422" s="20"/>
    </row>
    <row r="423" spans="1:23" x14ac:dyDescent="0.25">
      <c r="A423" s="177" t="s">
        <v>4669</v>
      </c>
      <c r="B423" s="177" t="s">
        <v>4670</v>
      </c>
      <c r="C423" s="178" t="s">
        <v>4671</v>
      </c>
      <c r="D423" s="173" t="s">
        <v>3968</v>
      </c>
      <c r="E423" s="20"/>
      <c r="F423" s="20"/>
      <c r="G423" s="175"/>
      <c r="H423" s="20"/>
      <c r="I423" s="20"/>
      <c r="J423" s="20"/>
      <c r="K423" s="20"/>
      <c r="L423" s="20"/>
      <c r="M423" s="20"/>
      <c r="N423" s="20"/>
      <c r="O423" s="20"/>
      <c r="P423" s="20"/>
      <c r="Q423" s="20"/>
      <c r="R423" s="20"/>
      <c r="S423" s="20"/>
      <c r="T423" s="20"/>
      <c r="U423" s="20"/>
      <c r="V423" s="20"/>
      <c r="W423" s="20"/>
    </row>
    <row r="424" spans="1:23" x14ac:dyDescent="0.25">
      <c r="A424" s="177" t="s">
        <v>4672</v>
      </c>
      <c r="B424" s="177" t="s">
        <v>4673</v>
      </c>
      <c r="C424" s="178" t="s">
        <v>4674</v>
      </c>
      <c r="D424" s="173" t="s">
        <v>3968</v>
      </c>
      <c r="E424" s="20"/>
      <c r="F424" s="20"/>
      <c r="G424" s="175"/>
      <c r="H424" s="20"/>
      <c r="I424" s="20"/>
      <c r="J424" s="20"/>
      <c r="K424" s="20"/>
      <c r="L424" s="20"/>
      <c r="M424" s="20"/>
      <c r="N424" s="20"/>
      <c r="O424" s="20"/>
      <c r="P424" s="20"/>
      <c r="Q424" s="20"/>
      <c r="R424" s="20"/>
      <c r="S424" s="20"/>
      <c r="T424" s="20"/>
      <c r="U424" s="20"/>
      <c r="V424" s="20"/>
      <c r="W424" s="20"/>
    </row>
    <row r="425" spans="1:23" x14ac:dyDescent="0.25">
      <c r="A425" s="177" t="s">
        <v>4675</v>
      </c>
      <c r="B425" s="177" t="s">
        <v>391</v>
      </c>
      <c r="C425" s="178" t="s">
        <v>4676</v>
      </c>
      <c r="D425" s="173" t="s">
        <v>3968</v>
      </c>
      <c r="E425" s="20"/>
      <c r="F425" s="20"/>
      <c r="G425" s="175"/>
      <c r="H425" s="20"/>
      <c r="I425" s="20"/>
      <c r="J425" s="20"/>
      <c r="K425" s="20"/>
      <c r="L425" s="20"/>
      <c r="M425" s="20"/>
      <c r="N425" s="20"/>
      <c r="O425" s="20"/>
      <c r="P425" s="20"/>
      <c r="Q425" s="20"/>
      <c r="R425" s="20"/>
      <c r="S425" s="20"/>
      <c r="T425" s="20"/>
      <c r="U425" s="20"/>
      <c r="V425" s="20"/>
      <c r="W425" s="20"/>
    </row>
    <row r="426" spans="1:23" x14ac:dyDescent="0.25">
      <c r="A426" s="177" t="s">
        <v>4677</v>
      </c>
      <c r="B426" s="177" t="s">
        <v>4678</v>
      </c>
      <c r="C426" s="178" t="s">
        <v>4679</v>
      </c>
      <c r="D426" s="173" t="s">
        <v>3968</v>
      </c>
      <c r="E426" s="20"/>
      <c r="F426" s="20"/>
      <c r="G426" s="175"/>
      <c r="H426" s="20"/>
      <c r="I426" s="20"/>
      <c r="J426" s="20"/>
      <c r="K426" s="20"/>
      <c r="L426" s="20"/>
      <c r="M426" s="20"/>
      <c r="N426" s="20"/>
      <c r="O426" s="20"/>
      <c r="P426" s="20"/>
      <c r="Q426" s="20"/>
      <c r="R426" s="20"/>
      <c r="S426" s="20"/>
      <c r="T426" s="20"/>
      <c r="U426" s="20"/>
      <c r="V426" s="20"/>
      <c r="W426" s="20"/>
    </row>
    <row r="427" spans="1:23" x14ac:dyDescent="0.25">
      <c r="A427" s="177" t="s">
        <v>4680</v>
      </c>
      <c r="B427" s="177" t="s">
        <v>392</v>
      </c>
      <c r="C427" s="178" t="s">
        <v>4681</v>
      </c>
      <c r="D427" s="173" t="s">
        <v>3968</v>
      </c>
      <c r="E427" s="20"/>
      <c r="F427" s="20"/>
      <c r="G427" s="175"/>
      <c r="H427" s="20"/>
      <c r="I427" s="20"/>
      <c r="J427" s="20"/>
      <c r="K427" s="20"/>
      <c r="L427" s="20"/>
      <c r="M427" s="20"/>
      <c r="N427" s="20"/>
      <c r="O427" s="20"/>
      <c r="P427" s="20"/>
      <c r="Q427" s="20"/>
      <c r="R427" s="20"/>
      <c r="S427" s="20"/>
      <c r="T427" s="20"/>
      <c r="U427" s="20"/>
      <c r="V427" s="20"/>
      <c r="W427" s="20"/>
    </row>
    <row r="428" spans="1:23" x14ac:dyDescent="0.25">
      <c r="A428" s="177" t="s">
        <v>4682</v>
      </c>
      <c r="B428" s="177" t="s">
        <v>4683</v>
      </c>
      <c r="C428" s="178" t="s">
        <v>4684</v>
      </c>
      <c r="D428" s="173" t="s">
        <v>3968</v>
      </c>
      <c r="E428" s="20"/>
      <c r="F428" s="20"/>
      <c r="G428" s="175"/>
      <c r="H428" s="20"/>
      <c r="I428" s="20"/>
      <c r="J428" s="20"/>
      <c r="K428" s="20"/>
      <c r="L428" s="20"/>
      <c r="M428" s="20"/>
      <c r="N428" s="20"/>
      <c r="O428" s="20"/>
      <c r="P428" s="20"/>
      <c r="Q428" s="20"/>
      <c r="R428" s="20"/>
      <c r="S428" s="20"/>
      <c r="T428" s="20"/>
      <c r="U428" s="20"/>
      <c r="V428" s="20"/>
      <c r="W428" s="20"/>
    </row>
    <row r="429" spans="1:23" x14ac:dyDescent="0.25">
      <c r="A429" s="177" t="s">
        <v>4685</v>
      </c>
      <c r="B429" s="177" t="s">
        <v>4686</v>
      </c>
      <c r="C429" s="178" t="s">
        <v>4687</v>
      </c>
      <c r="D429" s="173" t="s">
        <v>3968</v>
      </c>
      <c r="E429" s="20"/>
      <c r="F429" s="20"/>
      <c r="G429" s="175"/>
      <c r="H429" s="20"/>
      <c r="I429" s="20"/>
      <c r="J429" s="20"/>
      <c r="K429" s="20"/>
      <c r="L429" s="20"/>
      <c r="M429" s="20"/>
      <c r="N429" s="20"/>
      <c r="O429" s="20"/>
      <c r="P429" s="20"/>
      <c r="Q429" s="20"/>
      <c r="R429" s="20"/>
      <c r="S429" s="20"/>
      <c r="T429" s="20"/>
      <c r="U429" s="20"/>
      <c r="V429" s="20"/>
      <c r="W429" s="20"/>
    </row>
    <row r="430" spans="1:23" x14ac:dyDescent="0.25">
      <c r="A430" s="177" t="s">
        <v>4688</v>
      </c>
      <c r="B430" s="177" t="s">
        <v>375</v>
      </c>
      <c r="C430" s="178" t="s">
        <v>4689</v>
      </c>
      <c r="D430" s="173" t="s">
        <v>3968</v>
      </c>
      <c r="E430" s="20"/>
      <c r="F430" s="20"/>
      <c r="G430" s="175"/>
      <c r="H430" s="20"/>
      <c r="I430" s="20"/>
      <c r="J430" s="20"/>
      <c r="K430" s="20"/>
      <c r="L430" s="20"/>
      <c r="M430" s="20"/>
      <c r="N430" s="20"/>
      <c r="O430" s="20"/>
      <c r="P430" s="20"/>
      <c r="Q430" s="20"/>
      <c r="R430" s="20"/>
      <c r="S430" s="20"/>
      <c r="T430" s="20"/>
      <c r="U430" s="20"/>
      <c r="V430" s="20"/>
      <c r="W430" s="20"/>
    </row>
    <row r="431" spans="1:23" x14ac:dyDescent="0.25">
      <c r="A431" s="177" t="s">
        <v>4690</v>
      </c>
      <c r="B431" s="177" t="s">
        <v>377</v>
      </c>
      <c r="C431" s="178" t="s">
        <v>4691</v>
      </c>
      <c r="D431" s="173" t="s">
        <v>3968</v>
      </c>
      <c r="E431" s="20"/>
      <c r="F431" s="20"/>
      <c r="G431" s="175"/>
      <c r="H431" s="20"/>
      <c r="I431" s="20"/>
      <c r="J431" s="20"/>
      <c r="K431" s="20"/>
      <c r="L431" s="20"/>
      <c r="M431" s="20"/>
      <c r="N431" s="20"/>
      <c r="O431" s="20"/>
      <c r="P431" s="20"/>
      <c r="Q431" s="20"/>
      <c r="R431" s="20"/>
      <c r="S431" s="20"/>
      <c r="T431" s="20"/>
      <c r="U431" s="20"/>
      <c r="V431" s="20"/>
      <c r="W431" s="20"/>
    </row>
    <row r="432" spans="1:23" x14ac:dyDescent="0.25">
      <c r="A432" s="177" t="s">
        <v>4692</v>
      </c>
      <c r="B432" s="177" t="s">
        <v>4693</v>
      </c>
      <c r="C432" s="178" t="s">
        <v>4694</v>
      </c>
      <c r="D432" s="173" t="s">
        <v>3968</v>
      </c>
      <c r="E432" s="20"/>
      <c r="F432" s="20"/>
      <c r="G432" s="175"/>
      <c r="H432" s="20"/>
      <c r="I432" s="20"/>
      <c r="J432" s="20"/>
      <c r="K432" s="20"/>
      <c r="L432" s="20"/>
      <c r="M432" s="20"/>
      <c r="N432" s="20"/>
      <c r="O432" s="20"/>
      <c r="P432" s="20"/>
      <c r="Q432" s="20"/>
      <c r="R432" s="20"/>
      <c r="S432" s="20"/>
      <c r="T432" s="20"/>
      <c r="U432" s="20"/>
      <c r="V432" s="20"/>
      <c r="W432" s="20"/>
    </row>
    <row r="433" spans="1:23" x14ac:dyDescent="0.25">
      <c r="A433" s="177" t="s">
        <v>4695</v>
      </c>
      <c r="B433" s="177" t="s">
        <v>378</v>
      </c>
      <c r="C433" s="178" t="s">
        <v>4696</v>
      </c>
      <c r="D433" s="173" t="s">
        <v>3968</v>
      </c>
      <c r="E433" s="20"/>
      <c r="F433" s="20"/>
      <c r="G433" s="175"/>
      <c r="H433" s="20"/>
      <c r="I433" s="20"/>
      <c r="J433" s="20"/>
      <c r="K433" s="20"/>
      <c r="L433" s="20"/>
      <c r="M433" s="20"/>
      <c r="N433" s="20"/>
      <c r="O433" s="20"/>
      <c r="P433" s="20"/>
      <c r="Q433" s="20"/>
      <c r="R433" s="20"/>
      <c r="S433" s="20"/>
      <c r="T433" s="20"/>
      <c r="U433" s="20"/>
      <c r="V433" s="20"/>
      <c r="W433" s="20"/>
    </row>
    <row r="434" spans="1:23" x14ac:dyDescent="0.25">
      <c r="A434" s="177" t="s">
        <v>4697</v>
      </c>
      <c r="B434" s="177" t="s">
        <v>4698</v>
      </c>
      <c r="C434" s="178" t="s">
        <v>4699</v>
      </c>
      <c r="D434" s="173" t="s">
        <v>3968</v>
      </c>
      <c r="E434" s="20"/>
      <c r="F434" s="20"/>
      <c r="G434" s="175"/>
      <c r="H434" s="20"/>
      <c r="I434" s="20"/>
      <c r="J434" s="20"/>
      <c r="K434" s="20"/>
      <c r="L434" s="20"/>
      <c r="M434" s="20"/>
      <c r="N434" s="20"/>
      <c r="O434" s="20"/>
      <c r="P434" s="20"/>
      <c r="Q434" s="20"/>
      <c r="R434" s="20"/>
      <c r="S434" s="20"/>
      <c r="T434" s="20"/>
      <c r="U434" s="20"/>
      <c r="V434" s="20"/>
      <c r="W434" s="20"/>
    </row>
    <row r="435" spans="1:23" x14ac:dyDescent="0.25">
      <c r="A435" s="177" t="s">
        <v>4700</v>
      </c>
      <c r="B435" s="177" t="s">
        <v>2882</v>
      </c>
      <c r="C435" s="178" t="s">
        <v>4701</v>
      </c>
      <c r="D435" s="173" t="s">
        <v>3968</v>
      </c>
      <c r="E435" s="20"/>
      <c r="F435" s="20"/>
      <c r="G435" s="175"/>
      <c r="H435" s="20"/>
      <c r="I435" s="20"/>
      <c r="J435" s="20"/>
      <c r="K435" s="20"/>
      <c r="L435" s="20"/>
      <c r="M435" s="20"/>
      <c r="N435" s="20"/>
      <c r="O435" s="20"/>
      <c r="P435" s="20"/>
      <c r="Q435" s="20"/>
      <c r="R435" s="20"/>
      <c r="S435" s="20"/>
      <c r="T435" s="20"/>
      <c r="U435" s="20"/>
      <c r="V435" s="20"/>
      <c r="W435" s="20"/>
    </row>
    <row r="436" spans="1:23" x14ac:dyDescent="0.25">
      <c r="A436" s="177" t="s">
        <v>4702</v>
      </c>
      <c r="B436" s="177" t="s">
        <v>2886</v>
      </c>
      <c r="C436" s="178" t="s">
        <v>4703</v>
      </c>
      <c r="D436" s="173" t="s">
        <v>3968</v>
      </c>
      <c r="E436" s="20"/>
      <c r="F436" s="20"/>
      <c r="G436" s="175"/>
      <c r="H436" s="20"/>
      <c r="I436" s="20"/>
      <c r="J436" s="20"/>
      <c r="K436" s="20"/>
      <c r="L436" s="20"/>
      <c r="M436" s="20"/>
      <c r="N436" s="20"/>
      <c r="O436" s="20"/>
      <c r="P436" s="20"/>
      <c r="Q436" s="20"/>
      <c r="R436" s="20"/>
      <c r="S436" s="20"/>
      <c r="T436" s="20"/>
      <c r="U436" s="20"/>
      <c r="V436" s="20"/>
      <c r="W436" s="20"/>
    </row>
    <row r="437" spans="1:23" x14ac:dyDescent="0.25">
      <c r="A437" s="177" t="s">
        <v>4704</v>
      </c>
      <c r="B437" s="177" t="s">
        <v>4705</v>
      </c>
      <c r="C437" s="178" t="s">
        <v>4706</v>
      </c>
      <c r="D437" s="173" t="s">
        <v>3968</v>
      </c>
      <c r="E437" s="20"/>
      <c r="F437" s="20"/>
      <c r="G437" s="175"/>
      <c r="H437" s="20"/>
      <c r="I437" s="20"/>
      <c r="J437" s="20"/>
      <c r="K437" s="20"/>
      <c r="L437" s="20"/>
      <c r="M437" s="20"/>
      <c r="N437" s="20"/>
      <c r="O437" s="20"/>
      <c r="P437" s="20"/>
      <c r="Q437" s="20"/>
      <c r="R437" s="20"/>
      <c r="S437" s="20"/>
      <c r="T437" s="20"/>
      <c r="U437" s="20"/>
      <c r="V437" s="20"/>
      <c r="W437" s="20"/>
    </row>
    <row r="438" spans="1:23" x14ac:dyDescent="0.25">
      <c r="A438" s="171" t="s">
        <v>4707</v>
      </c>
      <c r="B438" s="177" t="s">
        <v>4708</v>
      </c>
      <c r="C438" s="178" t="s">
        <v>4709</v>
      </c>
      <c r="D438" s="173" t="s">
        <v>3633</v>
      </c>
      <c r="E438" s="20"/>
      <c r="F438" s="20"/>
      <c r="G438" s="175"/>
      <c r="H438" s="20"/>
      <c r="I438" s="20"/>
      <c r="J438" s="20"/>
      <c r="K438" s="20"/>
      <c r="L438" s="20"/>
      <c r="M438" s="20"/>
      <c r="N438" s="20"/>
      <c r="O438" s="20"/>
      <c r="P438" s="20"/>
      <c r="Q438" s="20"/>
      <c r="R438" s="20"/>
      <c r="S438" s="20"/>
      <c r="T438" s="20"/>
      <c r="U438" s="20"/>
      <c r="V438" s="20"/>
      <c r="W438" s="20"/>
    </row>
    <row r="439" spans="1:23" x14ac:dyDescent="0.25">
      <c r="A439" s="171" t="s">
        <v>4710</v>
      </c>
      <c r="B439" s="177" t="s">
        <v>4711</v>
      </c>
      <c r="C439" s="178" t="s">
        <v>4712</v>
      </c>
      <c r="D439" s="173" t="s">
        <v>3633</v>
      </c>
      <c r="E439" s="20"/>
      <c r="F439" s="20"/>
      <c r="G439" s="175"/>
      <c r="H439" s="20"/>
      <c r="I439" s="20"/>
      <c r="J439" s="20"/>
      <c r="K439" s="20"/>
      <c r="L439" s="20"/>
      <c r="M439" s="20"/>
      <c r="N439" s="20"/>
      <c r="O439" s="20"/>
      <c r="P439" s="20"/>
      <c r="Q439" s="20"/>
      <c r="R439" s="20"/>
      <c r="S439" s="20"/>
      <c r="T439" s="20"/>
      <c r="U439" s="20"/>
      <c r="V439" s="20"/>
      <c r="W439" s="20"/>
    </row>
    <row r="440" spans="1:23" x14ac:dyDescent="0.25">
      <c r="A440" s="171" t="s">
        <v>4713</v>
      </c>
      <c r="B440" s="177" t="s">
        <v>4714</v>
      </c>
      <c r="C440" s="178" t="s">
        <v>4715</v>
      </c>
      <c r="D440" s="173" t="s">
        <v>3633</v>
      </c>
      <c r="E440" s="20"/>
      <c r="F440" s="20"/>
      <c r="G440" s="175"/>
      <c r="H440" s="20"/>
      <c r="I440" s="20"/>
      <c r="J440" s="20"/>
      <c r="K440" s="20"/>
      <c r="L440" s="20"/>
      <c r="M440" s="20"/>
      <c r="N440" s="20"/>
      <c r="O440" s="20"/>
      <c r="P440" s="20"/>
      <c r="Q440" s="20"/>
      <c r="R440" s="20"/>
      <c r="S440" s="20"/>
      <c r="T440" s="20"/>
      <c r="U440" s="20"/>
      <c r="V440" s="20"/>
      <c r="W440" s="20"/>
    </row>
    <row r="441" spans="1:23" x14ac:dyDescent="0.25">
      <c r="A441" s="171" t="s">
        <v>4716</v>
      </c>
      <c r="B441" s="177" t="s">
        <v>4717</v>
      </c>
      <c r="C441" s="178" t="s">
        <v>4718</v>
      </c>
      <c r="D441" s="173" t="s">
        <v>3633</v>
      </c>
      <c r="E441" s="20"/>
      <c r="F441" s="20"/>
      <c r="G441" s="175"/>
      <c r="H441" s="20"/>
      <c r="I441" s="20"/>
      <c r="J441" s="20"/>
      <c r="K441" s="20"/>
      <c r="L441" s="20"/>
      <c r="M441" s="20"/>
      <c r="N441" s="20"/>
      <c r="O441" s="20"/>
      <c r="P441" s="20"/>
      <c r="Q441" s="20"/>
      <c r="R441" s="20"/>
      <c r="S441" s="20"/>
      <c r="T441" s="20"/>
      <c r="U441" s="20"/>
      <c r="V441" s="20"/>
      <c r="W441" s="20"/>
    </row>
    <row r="442" spans="1:23" x14ac:dyDescent="0.25">
      <c r="A442" s="177" t="s">
        <v>4719</v>
      </c>
      <c r="B442" s="177" t="s">
        <v>1650</v>
      </c>
      <c r="C442" s="178" t="s">
        <v>4720</v>
      </c>
      <c r="D442" s="173" t="s">
        <v>3968</v>
      </c>
      <c r="E442" s="20"/>
      <c r="F442" s="20"/>
      <c r="G442" s="175"/>
      <c r="H442" s="20"/>
      <c r="I442" s="20"/>
      <c r="J442" s="20"/>
      <c r="K442" s="20"/>
      <c r="L442" s="20"/>
      <c r="M442" s="20"/>
      <c r="N442" s="20"/>
      <c r="O442" s="20"/>
      <c r="P442" s="20"/>
      <c r="Q442" s="20"/>
      <c r="R442" s="20"/>
      <c r="S442" s="20"/>
      <c r="T442" s="20"/>
      <c r="U442" s="20"/>
      <c r="V442" s="20"/>
      <c r="W442" s="20"/>
    </row>
    <row r="443" spans="1:23" x14ac:dyDescent="0.25">
      <c r="A443" s="177" t="s">
        <v>4721</v>
      </c>
      <c r="B443" s="177" t="s">
        <v>1646</v>
      </c>
      <c r="C443" s="178" t="s">
        <v>4722</v>
      </c>
      <c r="D443" s="173" t="s">
        <v>3968</v>
      </c>
      <c r="E443" s="20"/>
      <c r="F443" s="20"/>
      <c r="G443" s="175"/>
      <c r="H443" s="20"/>
      <c r="I443" s="20"/>
      <c r="J443" s="20"/>
      <c r="K443" s="20"/>
      <c r="L443" s="20"/>
      <c r="M443" s="20"/>
      <c r="N443" s="20"/>
      <c r="O443" s="20"/>
      <c r="P443" s="20"/>
      <c r="Q443" s="20"/>
      <c r="R443" s="20"/>
      <c r="S443" s="20"/>
      <c r="T443" s="20"/>
      <c r="U443" s="20"/>
      <c r="V443" s="20"/>
      <c r="W443" s="20"/>
    </row>
    <row r="444" spans="1:23" x14ac:dyDescent="0.25">
      <c r="A444" s="177" t="s">
        <v>4723</v>
      </c>
      <c r="B444" s="177" t="s">
        <v>1668</v>
      </c>
      <c r="C444" s="178" t="s">
        <v>4724</v>
      </c>
      <c r="D444" s="173" t="s">
        <v>3968</v>
      </c>
      <c r="E444" s="20"/>
      <c r="F444" s="20"/>
      <c r="G444" s="175"/>
      <c r="H444" s="20"/>
      <c r="I444" s="20"/>
      <c r="J444" s="20"/>
      <c r="K444" s="20"/>
      <c r="L444" s="20"/>
      <c r="M444" s="20"/>
      <c r="N444" s="20"/>
      <c r="O444" s="20"/>
      <c r="P444" s="20"/>
      <c r="Q444" s="20"/>
      <c r="R444" s="20"/>
      <c r="S444" s="20"/>
      <c r="T444" s="20"/>
      <c r="U444" s="20"/>
      <c r="V444" s="20"/>
      <c r="W444" s="20"/>
    </row>
    <row r="445" spans="1:23" x14ac:dyDescent="0.25">
      <c r="A445" s="177" t="s">
        <v>4725</v>
      </c>
      <c r="B445" s="177" t="s">
        <v>2075</v>
      </c>
      <c r="C445" s="178" t="s">
        <v>4726</v>
      </c>
      <c r="D445" s="173" t="s">
        <v>3968</v>
      </c>
      <c r="E445" s="20"/>
      <c r="F445" s="20"/>
      <c r="G445" s="175"/>
      <c r="H445" s="20"/>
      <c r="I445" s="20"/>
      <c r="J445" s="20"/>
      <c r="K445" s="20"/>
      <c r="L445" s="20"/>
      <c r="M445" s="20"/>
      <c r="N445" s="20"/>
      <c r="O445" s="20"/>
      <c r="P445" s="20"/>
      <c r="Q445" s="20"/>
      <c r="R445" s="20"/>
      <c r="S445" s="20"/>
      <c r="T445" s="20"/>
      <c r="U445" s="20"/>
      <c r="V445" s="20"/>
      <c r="W445" s="20"/>
    </row>
    <row r="446" spans="1:23" x14ac:dyDescent="0.25">
      <c r="A446" s="177" t="s">
        <v>4727</v>
      </c>
      <c r="B446" s="177" t="s">
        <v>1561</v>
      </c>
      <c r="C446" s="178" t="s">
        <v>4728</v>
      </c>
      <c r="D446" s="173" t="s">
        <v>3968</v>
      </c>
      <c r="E446" s="20"/>
      <c r="F446" s="20"/>
      <c r="G446" s="175"/>
      <c r="H446" s="20"/>
      <c r="I446" s="20"/>
      <c r="J446" s="20"/>
      <c r="K446" s="20"/>
      <c r="L446" s="20"/>
      <c r="M446" s="20"/>
      <c r="N446" s="20"/>
      <c r="O446" s="20"/>
      <c r="P446" s="20"/>
      <c r="Q446" s="20"/>
      <c r="R446" s="20"/>
      <c r="S446" s="20"/>
      <c r="T446" s="20"/>
      <c r="U446" s="20"/>
      <c r="V446" s="20"/>
      <c r="W446" s="20"/>
    </row>
    <row r="447" spans="1:23" x14ac:dyDescent="0.25">
      <c r="A447" s="177" t="s">
        <v>4729</v>
      </c>
      <c r="B447" s="177" t="s">
        <v>1563</v>
      </c>
      <c r="C447" s="178" t="s">
        <v>4730</v>
      </c>
      <c r="D447" s="173" t="s">
        <v>3968</v>
      </c>
      <c r="E447" s="20"/>
      <c r="F447" s="20"/>
      <c r="G447" s="175"/>
      <c r="H447" s="20"/>
      <c r="I447" s="20"/>
      <c r="J447" s="20"/>
      <c r="K447" s="20"/>
      <c r="L447" s="20"/>
      <c r="M447" s="20"/>
      <c r="N447" s="20"/>
      <c r="O447" s="20"/>
      <c r="P447" s="20"/>
      <c r="Q447" s="20"/>
      <c r="R447" s="20"/>
      <c r="S447" s="20"/>
      <c r="T447" s="20"/>
      <c r="U447" s="20"/>
      <c r="V447" s="20"/>
      <c r="W447" s="20"/>
    </row>
    <row r="448" spans="1:23" x14ac:dyDescent="0.25">
      <c r="A448" s="177" t="s">
        <v>4731</v>
      </c>
      <c r="B448" s="177" t="s">
        <v>1571</v>
      </c>
      <c r="C448" s="178" t="s">
        <v>4732</v>
      </c>
      <c r="D448" s="173" t="s">
        <v>3968</v>
      </c>
      <c r="E448" s="20"/>
      <c r="F448" s="20"/>
      <c r="G448" s="175"/>
      <c r="H448" s="20"/>
      <c r="I448" s="20"/>
      <c r="J448" s="20"/>
      <c r="K448" s="20"/>
      <c r="L448" s="20"/>
      <c r="M448" s="20"/>
      <c r="N448" s="20"/>
      <c r="O448" s="20"/>
      <c r="P448" s="20"/>
      <c r="Q448" s="20"/>
      <c r="R448" s="20"/>
      <c r="S448" s="20"/>
      <c r="T448" s="20"/>
      <c r="U448" s="20"/>
      <c r="V448" s="20"/>
      <c r="W448" s="20"/>
    </row>
    <row r="449" spans="1:23" x14ac:dyDescent="0.25">
      <c r="A449" s="177" t="s">
        <v>4733</v>
      </c>
      <c r="B449" s="177" t="s">
        <v>1565</v>
      </c>
      <c r="C449" s="178" t="s">
        <v>4734</v>
      </c>
      <c r="D449" s="173" t="s">
        <v>3968</v>
      </c>
      <c r="E449" s="20"/>
      <c r="F449" s="20"/>
      <c r="G449" s="175"/>
      <c r="H449" s="20"/>
      <c r="I449" s="20"/>
      <c r="J449" s="20"/>
      <c r="K449" s="20"/>
      <c r="L449" s="20"/>
      <c r="M449" s="20"/>
      <c r="N449" s="20"/>
      <c r="O449" s="20"/>
      <c r="P449" s="20"/>
      <c r="Q449" s="20"/>
      <c r="R449" s="20"/>
      <c r="S449" s="20"/>
      <c r="T449" s="20"/>
      <c r="U449" s="20"/>
      <c r="V449" s="20"/>
      <c r="W449" s="20"/>
    </row>
    <row r="450" spans="1:23" x14ac:dyDescent="0.25">
      <c r="A450" s="177" t="s">
        <v>4735</v>
      </c>
      <c r="B450" s="177" t="s">
        <v>1567</v>
      </c>
      <c r="C450" s="178" t="s">
        <v>4736</v>
      </c>
      <c r="D450" s="173" t="s">
        <v>3968</v>
      </c>
      <c r="E450" s="20"/>
      <c r="F450" s="20"/>
      <c r="G450" s="175"/>
      <c r="H450" s="20"/>
      <c r="I450" s="20"/>
      <c r="J450" s="20"/>
      <c r="K450" s="20"/>
      <c r="L450" s="20"/>
      <c r="M450" s="20"/>
      <c r="N450" s="20"/>
      <c r="O450" s="20"/>
      <c r="P450" s="20"/>
      <c r="Q450" s="20"/>
      <c r="R450" s="20"/>
      <c r="S450" s="20"/>
      <c r="T450" s="20"/>
      <c r="U450" s="20"/>
      <c r="V450" s="20"/>
      <c r="W450" s="20"/>
    </row>
    <row r="451" spans="1:23" x14ac:dyDescent="0.25">
      <c r="A451" s="177" t="s">
        <v>4737</v>
      </c>
      <c r="B451" s="177" t="s">
        <v>1573</v>
      </c>
      <c r="C451" s="178" t="s">
        <v>4738</v>
      </c>
      <c r="D451" s="173" t="s">
        <v>3968</v>
      </c>
      <c r="E451" s="20"/>
      <c r="F451" s="20"/>
      <c r="G451" s="175"/>
      <c r="H451" s="20"/>
      <c r="I451" s="20"/>
      <c r="J451" s="20"/>
      <c r="K451" s="20"/>
      <c r="L451" s="20"/>
      <c r="M451" s="20"/>
      <c r="N451" s="20"/>
      <c r="O451" s="20"/>
      <c r="P451" s="20"/>
      <c r="Q451" s="20"/>
      <c r="R451" s="20"/>
      <c r="S451" s="20"/>
      <c r="T451" s="20"/>
      <c r="U451" s="20"/>
      <c r="V451" s="20"/>
      <c r="W451" s="20"/>
    </row>
    <row r="452" spans="1:23" x14ac:dyDescent="0.25">
      <c r="A452" s="177" t="s">
        <v>4739</v>
      </c>
      <c r="B452" s="177" t="s">
        <v>4740</v>
      </c>
      <c r="C452" s="178" t="s">
        <v>4741</v>
      </c>
      <c r="D452" s="173" t="s">
        <v>3968</v>
      </c>
      <c r="E452" s="20"/>
      <c r="F452" s="20"/>
      <c r="G452" s="175"/>
      <c r="H452" s="20"/>
      <c r="I452" s="20"/>
      <c r="J452" s="20"/>
      <c r="K452" s="20"/>
      <c r="L452" s="20"/>
      <c r="M452" s="20"/>
      <c r="N452" s="20"/>
      <c r="O452" s="20"/>
      <c r="P452" s="20"/>
      <c r="Q452" s="20"/>
      <c r="R452" s="20"/>
      <c r="S452" s="20"/>
      <c r="T452" s="20"/>
      <c r="U452" s="20"/>
      <c r="V452" s="20"/>
      <c r="W452" s="20"/>
    </row>
    <row r="453" spans="1:23" x14ac:dyDescent="0.25">
      <c r="A453" s="177" t="s">
        <v>4742</v>
      </c>
      <c r="B453" s="177" t="s">
        <v>1569</v>
      </c>
      <c r="C453" s="178" t="s">
        <v>4743</v>
      </c>
      <c r="D453" s="173" t="s">
        <v>3968</v>
      </c>
      <c r="E453" s="20"/>
      <c r="F453" s="20"/>
      <c r="G453" s="175"/>
      <c r="H453" s="20"/>
      <c r="I453" s="20"/>
      <c r="J453" s="20"/>
      <c r="K453" s="20"/>
      <c r="L453" s="20"/>
      <c r="M453" s="20"/>
      <c r="N453" s="20"/>
      <c r="O453" s="20"/>
      <c r="P453" s="20"/>
      <c r="Q453" s="20"/>
      <c r="R453" s="20"/>
      <c r="S453" s="20"/>
      <c r="T453" s="20"/>
      <c r="U453" s="20"/>
      <c r="V453" s="20"/>
      <c r="W453" s="20"/>
    </row>
    <row r="454" spans="1:23" x14ac:dyDescent="0.25">
      <c r="A454" s="177" t="s">
        <v>4744</v>
      </c>
      <c r="B454" s="177" t="s">
        <v>4745</v>
      </c>
      <c r="C454" s="178" t="s">
        <v>4746</v>
      </c>
      <c r="D454" s="173" t="s">
        <v>3968</v>
      </c>
      <c r="E454" s="20"/>
      <c r="F454" s="20"/>
      <c r="G454" s="175"/>
      <c r="H454" s="20"/>
      <c r="I454" s="20"/>
      <c r="J454" s="20"/>
      <c r="K454" s="20"/>
      <c r="L454" s="20"/>
      <c r="M454" s="20"/>
      <c r="N454" s="20"/>
      <c r="O454" s="20"/>
      <c r="P454" s="20"/>
      <c r="Q454" s="20"/>
      <c r="R454" s="20"/>
      <c r="S454" s="20"/>
      <c r="T454" s="20"/>
      <c r="U454" s="20"/>
      <c r="V454" s="20"/>
      <c r="W454" s="20"/>
    </row>
    <row r="455" spans="1:23" x14ac:dyDescent="0.25">
      <c r="A455" s="177" t="s">
        <v>4747</v>
      </c>
      <c r="B455" s="177" t="s">
        <v>4748</v>
      </c>
      <c r="C455" s="178" t="s">
        <v>4749</v>
      </c>
      <c r="D455" s="173" t="s">
        <v>3968</v>
      </c>
      <c r="E455" s="20"/>
      <c r="F455" s="20"/>
      <c r="G455" s="175"/>
      <c r="H455" s="20"/>
      <c r="I455" s="20"/>
      <c r="J455" s="20"/>
      <c r="K455" s="20"/>
      <c r="L455" s="20"/>
      <c r="M455" s="20"/>
      <c r="N455" s="20"/>
      <c r="O455" s="20"/>
      <c r="P455" s="20"/>
      <c r="Q455" s="20"/>
      <c r="R455" s="20"/>
      <c r="S455" s="20"/>
      <c r="T455" s="20"/>
      <c r="U455" s="20"/>
      <c r="V455" s="20"/>
      <c r="W455" s="20"/>
    </row>
    <row r="456" spans="1:23" x14ac:dyDescent="0.25">
      <c r="A456" s="177" t="s">
        <v>4747</v>
      </c>
      <c r="B456" s="177" t="s">
        <v>4750</v>
      </c>
      <c r="C456" s="178" t="s">
        <v>4751</v>
      </c>
      <c r="D456" s="173" t="s">
        <v>3968</v>
      </c>
      <c r="E456" s="20"/>
      <c r="F456" s="20"/>
      <c r="G456" s="175"/>
      <c r="H456" s="20"/>
      <c r="I456" s="20"/>
      <c r="J456" s="20"/>
      <c r="K456" s="20"/>
      <c r="L456" s="20"/>
      <c r="M456" s="20"/>
      <c r="N456" s="20"/>
      <c r="O456" s="20"/>
      <c r="P456" s="20"/>
      <c r="Q456" s="20"/>
      <c r="R456" s="20"/>
      <c r="S456" s="20"/>
      <c r="T456" s="20"/>
      <c r="U456" s="20"/>
      <c r="V456" s="20"/>
      <c r="W456" s="20"/>
    </row>
    <row r="457" spans="1:23" x14ac:dyDescent="0.25">
      <c r="A457" s="177" t="s">
        <v>4752</v>
      </c>
      <c r="B457" s="177" t="s">
        <v>4753</v>
      </c>
      <c r="C457" s="178" t="s">
        <v>4754</v>
      </c>
      <c r="D457" s="173" t="s">
        <v>3968</v>
      </c>
      <c r="E457" s="20"/>
      <c r="F457" s="20"/>
      <c r="G457" s="175"/>
      <c r="H457" s="20"/>
      <c r="I457" s="20"/>
      <c r="J457" s="20"/>
      <c r="K457" s="20"/>
      <c r="L457" s="20"/>
      <c r="M457" s="20"/>
      <c r="N457" s="20"/>
      <c r="O457" s="20"/>
      <c r="P457" s="20"/>
      <c r="Q457" s="20"/>
      <c r="R457" s="20"/>
      <c r="S457" s="20"/>
      <c r="T457" s="20"/>
      <c r="U457" s="20"/>
      <c r="V457" s="20"/>
      <c r="W457" s="20"/>
    </row>
    <row r="458" spans="1:23" x14ac:dyDescent="0.25">
      <c r="A458" s="177" t="s">
        <v>4755</v>
      </c>
      <c r="B458" s="177" t="s">
        <v>632</v>
      </c>
      <c r="C458" s="178" t="s">
        <v>4756</v>
      </c>
      <c r="D458" s="173" t="s">
        <v>3968</v>
      </c>
      <c r="E458" s="20"/>
      <c r="F458" s="20"/>
      <c r="G458" s="175"/>
      <c r="H458" s="20"/>
      <c r="I458" s="20"/>
      <c r="J458" s="20"/>
      <c r="K458" s="20"/>
      <c r="L458" s="20"/>
      <c r="M458" s="20"/>
      <c r="N458" s="20"/>
      <c r="O458" s="20"/>
      <c r="P458" s="20"/>
      <c r="Q458" s="20"/>
      <c r="R458" s="20"/>
      <c r="S458" s="20"/>
      <c r="T458" s="20"/>
      <c r="U458" s="20"/>
      <c r="V458" s="20"/>
      <c r="W458" s="20"/>
    </row>
    <row r="459" spans="1:23" x14ac:dyDescent="0.25">
      <c r="A459" s="177" t="s">
        <v>4757</v>
      </c>
      <c r="B459" s="177" t="s">
        <v>633</v>
      </c>
      <c r="C459" s="178" t="s">
        <v>4758</v>
      </c>
      <c r="D459" s="173" t="s">
        <v>3968</v>
      </c>
      <c r="E459" s="20"/>
      <c r="F459" s="20"/>
      <c r="G459" s="175"/>
      <c r="H459" s="20"/>
      <c r="I459" s="20"/>
      <c r="J459" s="20"/>
      <c r="K459" s="20"/>
      <c r="L459" s="20"/>
      <c r="M459" s="20"/>
      <c r="N459" s="20"/>
      <c r="O459" s="20"/>
      <c r="P459" s="20"/>
      <c r="Q459" s="20"/>
      <c r="R459" s="20"/>
      <c r="S459" s="20"/>
      <c r="T459" s="20"/>
      <c r="U459" s="20"/>
      <c r="V459" s="20"/>
      <c r="W459" s="20"/>
    </row>
    <row r="460" spans="1:23" x14ac:dyDescent="0.25">
      <c r="A460" s="177" t="s">
        <v>4759</v>
      </c>
      <c r="B460" s="177" t="s">
        <v>631</v>
      </c>
      <c r="C460" s="178" t="s">
        <v>4760</v>
      </c>
      <c r="D460" s="173" t="s">
        <v>3968</v>
      </c>
      <c r="E460" s="20"/>
      <c r="F460" s="20"/>
      <c r="G460" s="175"/>
      <c r="H460" s="20"/>
      <c r="I460" s="20"/>
      <c r="J460" s="20"/>
      <c r="K460" s="20"/>
      <c r="L460" s="20"/>
      <c r="M460" s="20"/>
      <c r="N460" s="20"/>
      <c r="O460" s="20"/>
      <c r="P460" s="20"/>
      <c r="Q460" s="20"/>
      <c r="R460" s="20"/>
      <c r="S460" s="20"/>
      <c r="T460" s="20"/>
      <c r="U460" s="20"/>
      <c r="V460" s="20"/>
      <c r="W460" s="20"/>
    </row>
    <row r="461" spans="1:23" x14ac:dyDescent="0.25">
      <c r="A461" s="177" t="s">
        <v>4761</v>
      </c>
      <c r="B461" s="177" t="s">
        <v>634</v>
      </c>
      <c r="C461" s="178" t="s">
        <v>4762</v>
      </c>
      <c r="D461" s="173" t="s">
        <v>3968</v>
      </c>
      <c r="E461" s="20"/>
      <c r="F461" s="20"/>
      <c r="G461" s="175"/>
      <c r="H461" s="20"/>
      <c r="I461" s="20"/>
      <c r="J461" s="20"/>
      <c r="K461" s="20"/>
      <c r="L461" s="20"/>
      <c r="M461" s="20"/>
      <c r="N461" s="20"/>
      <c r="O461" s="20"/>
      <c r="P461" s="20"/>
      <c r="Q461" s="20"/>
      <c r="R461" s="20"/>
      <c r="S461" s="20"/>
      <c r="T461" s="20"/>
      <c r="U461" s="20"/>
      <c r="V461" s="20"/>
      <c r="W461" s="20"/>
    </row>
    <row r="462" spans="1:23" x14ac:dyDescent="0.25">
      <c r="A462" s="177" t="s">
        <v>4763</v>
      </c>
      <c r="B462" s="177" t="s">
        <v>1768</v>
      </c>
      <c r="C462" s="178" t="s">
        <v>4764</v>
      </c>
      <c r="D462" s="173" t="s">
        <v>3968</v>
      </c>
      <c r="E462" s="20"/>
      <c r="F462" s="20"/>
      <c r="G462" s="175"/>
      <c r="H462" s="20"/>
      <c r="I462" s="20"/>
      <c r="J462" s="20"/>
      <c r="K462" s="20"/>
      <c r="L462" s="20"/>
      <c r="M462" s="20"/>
      <c r="N462" s="20"/>
      <c r="O462" s="20"/>
      <c r="P462" s="20"/>
      <c r="Q462" s="20"/>
      <c r="R462" s="20"/>
      <c r="S462" s="20"/>
      <c r="T462" s="20"/>
      <c r="U462" s="20"/>
      <c r="V462" s="20"/>
      <c r="W462" s="20"/>
    </row>
    <row r="463" spans="1:23" x14ac:dyDescent="0.25">
      <c r="A463" s="177" t="s">
        <v>4765</v>
      </c>
      <c r="B463" s="177" t="s">
        <v>435</v>
      </c>
      <c r="C463" s="178" t="s">
        <v>4766</v>
      </c>
      <c r="D463" s="173" t="s">
        <v>3968</v>
      </c>
      <c r="E463" s="20"/>
      <c r="F463" s="20"/>
      <c r="G463" s="175"/>
      <c r="H463" s="20"/>
      <c r="I463" s="20"/>
      <c r="J463" s="20"/>
      <c r="K463" s="20"/>
      <c r="L463" s="20"/>
      <c r="M463" s="20"/>
      <c r="N463" s="20"/>
      <c r="O463" s="20"/>
      <c r="P463" s="20"/>
      <c r="Q463" s="20"/>
      <c r="R463" s="20"/>
      <c r="S463" s="20"/>
      <c r="T463" s="20"/>
      <c r="U463" s="20"/>
      <c r="V463" s="20"/>
      <c r="W463" s="20"/>
    </row>
    <row r="464" spans="1:23" x14ac:dyDescent="0.25">
      <c r="A464" s="177" t="s">
        <v>4767</v>
      </c>
      <c r="B464" s="177" t="s">
        <v>4768</v>
      </c>
      <c r="C464" s="178" t="s">
        <v>4769</v>
      </c>
      <c r="D464" s="173" t="s">
        <v>3968</v>
      </c>
      <c r="E464" s="20"/>
      <c r="F464" s="20"/>
      <c r="G464" s="175"/>
      <c r="H464" s="20"/>
      <c r="I464" s="20"/>
      <c r="J464" s="20"/>
      <c r="K464" s="20"/>
      <c r="L464" s="20"/>
      <c r="M464" s="20"/>
      <c r="N464" s="20"/>
      <c r="O464" s="20"/>
      <c r="P464" s="20"/>
      <c r="Q464" s="20"/>
      <c r="R464" s="20"/>
      <c r="S464" s="20"/>
      <c r="T464" s="20"/>
      <c r="U464" s="20"/>
      <c r="V464" s="20"/>
      <c r="W464" s="20"/>
    </row>
    <row r="465" spans="1:23" x14ac:dyDescent="0.25">
      <c r="A465" s="177" t="s">
        <v>4770</v>
      </c>
      <c r="B465" s="177" t="s">
        <v>1669</v>
      </c>
      <c r="C465" s="178" t="s">
        <v>4771</v>
      </c>
      <c r="D465" s="173" t="s">
        <v>3968</v>
      </c>
      <c r="E465" s="20"/>
      <c r="F465" s="20"/>
      <c r="G465" s="175"/>
      <c r="H465" s="20"/>
      <c r="I465" s="20"/>
      <c r="J465" s="20"/>
      <c r="K465" s="20"/>
      <c r="L465" s="20"/>
      <c r="M465" s="20"/>
      <c r="N465" s="20"/>
      <c r="O465" s="20"/>
      <c r="P465" s="20"/>
      <c r="Q465" s="20"/>
      <c r="R465" s="20"/>
      <c r="S465" s="20"/>
      <c r="T465" s="20"/>
      <c r="U465" s="20"/>
      <c r="V465" s="20"/>
      <c r="W465" s="20"/>
    </row>
    <row r="466" spans="1:23" x14ac:dyDescent="0.25">
      <c r="A466" s="177" t="s">
        <v>4772</v>
      </c>
      <c r="B466" s="177" t="s">
        <v>400</v>
      </c>
      <c r="C466" s="178" t="s">
        <v>4773</v>
      </c>
      <c r="D466" s="173" t="s">
        <v>3968</v>
      </c>
      <c r="E466" s="20"/>
      <c r="F466" s="20"/>
      <c r="G466" s="175"/>
      <c r="H466" s="20"/>
      <c r="I466" s="20"/>
      <c r="J466" s="20"/>
      <c r="K466" s="20"/>
      <c r="L466" s="20"/>
      <c r="M466" s="20"/>
      <c r="N466" s="20"/>
      <c r="O466" s="20"/>
      <c r="P466" s="20"/>
      <c r="Q466" s="20"/>
      <c r="R466" s="20"/>
      <c r="S466" s="20"/>
      <c r="T466" s="20"/>
      <c r="U466" s="20"/>
      <c r="V466" s="20"/>
      <c r="W466" s="20"/>
    </row>
    <row r="467" spans="1:23" x14ac:dyDescent="0.25">
      <c r="A467" s="177" t="s">
        <v>4774</v>
      </c>
      <c r="B467" s="177" t="s">
        <v>1715</v>
      </c>
      <c r="C467" s="178" t="s">
        <v>4775</v>
      </c>
      <c r="D467" s="173" t="s">
        <v>3968</v>
      </c>
      <c r="E467" s="20"/>
      <c r="F467" s="20"/>
      <c r="G467" s="175"/>
      <c r="H467" s="20"/>
      <c r="I467" s="20"/>
      <c r="J467" s="20"/>
      <c r="K467" s="20"/>
      <c r="L467" s="20"/>
      <c r="M467" s="20"/>
      <c r="N467" s="20"/>
      <c r="O467" s="20"/>
      <c r="P467" s="20"/>
      <c r="Q467" s="20"/>
      <c r="R467" s="20"/>
      <c r="S467" s="20"/>
      <c r="T467" s="20"/>
      <c r="U467" s="20"/>
      <c r="V467" s="20"/>
      <c r="W467" s="20"/>
    </row>
    <row r="468" spans="1:23" x14ac:dyDescent="0.25">
      <c r="A468" s="177" t="s">
        <v>4776</v>
      </c>
      <c r="B468" s="177" t="s">
        <v>4777</v>
      </c>
      <c r="C468" s="178" t="s">
        <v>4778</v>
      </c>
      <c r="D468" s="173" t="s">
        <v>3968</v>
      </c>
      <c r="E468" s="20"/>
      <c r="F468" s="20"/>
      <c r="G468" s="175"/>
      <c r="H468" s="20"/>
      <c r="I468" s="20"/>
      <c r="J468" s="20"/>
      <c r="K468" s="20"/>
      <c r="L468" s="20"/>
      <c r="M468" s="20"/>
      <c r="N468" s="20"/>
      <c r="O468" s="20"/>
      <c r="P468" s="20"/>
      <c r="Q468" s="20"/>
      <c r="R468" s="20"/>
      <c r="S468" s="20"/>
      <c r="T468" s="20"/>
      <c r="U468" s="20"/>
      <c r="V468" s="20"/>
      <c r="W468" s="20"/>
    </row>
    <row r="469" spans="1:23" x14ac:dyDescent="0.25">
      <c r="A469" s="177" t="s">
        <v>4779</v>
      </c>
      <c r="B469" s="177" t="s">
        <v>1718</v>
      </c>
      <c r="C469" s="178" t="s">
        <v>4780</v>
      </c>
      <c r="D469" s="173" t="s">
        <v>3715</v>
      </c>
      <c r="E469" s="20"/>
      <c r="F469" s="20"/>
      <c r="G469" s="175"/>
      <c r="H469" s="20"/>
      <c r="I469" s="20"/>
      <c r="J469" s="20"/>
      <c r="K469" s="20"/>
      <c r="L469" s="20"/>
      <c r="M469" s="20"/>
      <c r="N469" s="20"/>
      <c r="O469" s="20"/>
      <c r="P469" s="20"/>
      <c r="Q469" s="20"/>
      <c r="R469" s="20"/>
      <c r="S469" s="20"/>
      <c r="T469" s="20"/>
      <c r="U469" s="20"/>
      <c r="V469" s="20"/>
      <c r="W469" s="20"/>
    </row>
    <row r="470" spans="1:23" x14ac:dyDescent="0.25">
      <c r="A470" s="177" t="s">
        <v>4781</v>
      </c>
      <c r="B470" s="177" t="s">
        <v>587</v>
      </c>
      <c r="C470" s="178" t="s">
        <v>4782</v>
      </c>
      <c r="D470" s="173" t="s">
        <v>3968</v>
      </c>
      <c r="E470" s="20"/>
      <c r="F470" s="20"/>
      <c r="G470" s="175"/>
      <c r="H470" s="20"/>
      <c r="I470" s="20"/>
      <c r="J470" s="20"/>
      <c r="K470" s="20"/>
      <c r="L470" s="20"/>
      <c r="M470" s="20"/>
      <c r="N470" s="20"/>
      <c r="O470" s="20"/>
      <c r="P470" s="20"/>
      <c r="Q470" s="20"/>
      <c r="R470" s="20"/>
      <c r="S470" s="20"/>
      <c r="T470" s="20"/>
      <c r="U470" s="20"/>
      <c r="V470" s="20"/>
      <c r="W470" s="20"/>
    </row>
    <row r="471" spans="1:23" x14ac:dyDescent="0.25">
      <c r="A471" s="177" t="s">
        <v>4783</v>
      </c>
      <c r="B471" s="177" t="s">
        <v>4784</v>
      </c>
      <c r="C471" s="178" t="s">
        <v>4785</v>
      </c>
      <c r="D471" s="173" t="s">
        <v>3968</v>
      </c>
      <c r="E471" s="20"/>
      <c r="F471" s="20"/>
      <c r="G471" s="175"/>
      <c r="H471" s="20"/>
      <c r="I471" s="20"/>
      <c r="J471" s="20"/>
      <c r="K471" s="20"/>
      <c r="L471" s="20"/>
      <c r="M471" s="20"/>
      <c r="N471" s="20"/>
      <c r="O471" s="20"/>
      <c r="P471" s="20"/>
      <c r="Q471" s="20"/>
      <c r="R471" s="20"/>
      <c r="S471" s="20"/>
      <c r="T471" s="20"/>
      <c r="U471" s="20"/>
      <c r="V471" s="20"/>
      <c r="W471" s="20"/>
    </row>
    <row r="472" spans="1:23" x14ac:dyDescent="0.25">
      <c r="A472" s="177" t="s">
        <v>4786</v>
      </c>
      <c r="B472" s="177" t="s">
        <v>425</v>
      </c>
      <c r="C472" s="178" t="s">
        <v>4787</v>
      </c>
      <c r="D472" s="173" t="s">
        <v>3968</v>
      </c>
      <c r="E472" s="20"/>
      <c r="F472" s="20"/>
      <c r="G472" s="175"/>
      <c r="H472" s="20"/>
      <c r="I472" s="20"/>
      <c r="J472" s="20"/>
      <c r="K472" s="20"/>
      <c r="L472" s="20"/>
      <c r="M472" s="20"/>
      <c r="N472" s="20"/>
      <c r="O472" s="20"/>
      <c r="P472" s="20"/>
      <c r="Q472" s="20"/>
      <c r="R472" s="20"/>
      <c r="S472" s="20"/>
      <c r="T472" s="20"/>
      <c r="U472" s="20"/>
      <c r="V472" s="20"/>
      <c r="W472" s="20"/>
    </row>
    <row r="473" spans="1:23" x14ac:dyDescent="0.25">
      <c r="A473" s="177" t="s">
        <v>4788</v>
      </c>
      <c r="B473" s="177" t="s">
        <v>426</v>
      </c>
      <c r="C473" s="178" t="s">
        <v>4789</v>
      </c>
      <c r="D473" s="173" t="s">
        <v>3968</v>
      </c>
      <c r="E473" s="20"/>
      <c r="F473" s="20"/>
      <c r="G473" s="175"/>
      <c r="H473" s="20"/>
      <c r="I473" s="20"/>
      <c r="J473" s="20"/>
      <c r="K473" s="20"/>
      <c r="L473" s="20"/>
      <c r="M473" s="20"/>
      <c r="N473" s="20"/>
      <c r="O473" s="20"/>
      <c r="P473" s="20"/>
      <c r="Q473" s="20"/>
      <c r="R473" s="20"/>
      <c r="S473" s="20"/>
      <c r="T473" s="20"/>
      <c r="U473" s="20"/>
      <c r="V473" s="20"/>
      <c r="W473" s="20"/>
    </row>
    <row r="474" spans="1:23" x14ac:dyDescent="0.25">
      <c r="A474" s="177" t="s">
        <v>4790</v>
      </c>
      <c r="B474" s="177" t="s">
        <v>427</v>
      </c>
      <c r="C474" s="178" t="s">
        <v>4791</v>
      </c>
      <c r="D474" s="173" t="s">
        <v>3968</v>
      </c>
      <c r="E474" s="20"/>
      <c r="F474" s="20"/>
      <c r="G474" s="175"/>
      <c r="H474" s="20"/>
      <c r="I474" s="20"/>
      <c r="J474" s="20"/>
      <c r="K474" s="20"/>
      <c r="L474" s="20"/>
      <c r="M474" s="20"/>
      <c r="N474" s="20"/>
      <c r="O474" s="20"/>
      <c r="P474" s="20"/>
      <c r="Q474" s="20"/>
      <c r="R474" s="20"/>
      <c r="S474" s="20"/>
      <c r="T474" s="20"/>
      <c r="U474" s="20"/>
      <c r="V474" s="20"/>
      <c r="W474" s="20"/>
    </row>
    <row r="475" spans="1:23" x14ac:dyDescent="0.25">
      <c r="A475" s="177" t="s">
        <v>4792</v>
      </c>
      <c r="B475" s="177" t="s">
        <v>428</v>
      </c>
      <c r="C475" s="178" t="s">
        <v>4793</v>
      </c>
      <c r="D475" s="173" t="s">
        <v>3968</v>
      </c>
      <c r="E475" s="20"/>
      <c r="F475" s="20"/>
      <c r="G475" s="175"/>
      <c r="H475" s="20"/>
      <c r="I475" s="20"/>
      <c r="J475" s="20"/>
      <c r="K475" s="20"/>
      <c r="L475" s="20"/>
      <c r="M475" s="20"/>
      <c r="N475" s="20"/>
      <c r="O475" s="20"/>
      <c r="P475" s="20"/>
      <c r="Q475" s="20"/>
      <c r="R475" s="20"/>
      <c r="S475" s="20"/>
      <c r="T475" s="20"/>
      <c r="U475" s="20"/>
      <c r="V475" s="20"/>
      <c r="W475" s="20"/>
    </row>
    <row r="476" spans="1:23" x14ac:dyDescent="0.25">
      <c r="A476" s="177" t="s">
        <v>4794</v>
      </c>
      <c r="B476" s="177" t="s">
        <v>927</v>
      </c>
      <c r="C476" s="178" t="s">
        <v>4795</v>
      </c>
      <c r="D476" s="173" t="s">
        <v>3968</v>
      </c>
      <c r="E476" s="20"/>
      <c r="F476" s="20"/>
      <c r="G476" s="175"/>
      <c r="H476" s="20"/>
      <c r="I476" s="20"/>
      <c r="J476" s="20"/>
      <c r="K476" s="20"/>
      <c r="L476" s="20"/>
      <c r="M476" s="20"/>
      <c r="N476" s="20"/>
      <c r="O476" s="20"/>
      <c r="P476" s="20"/>
      <c r="Q476" s="20"/>
      <c r="R476" s="20"/>
      <c r="S476" s="20"/>
      <c r="T476" s="20"/>
      <c r="U476" s="20"/>
      <c r="V476" s="20"/>
      <c r="W476" s="20"/>
    </row>
    <row r="477" spans="1:23" x14ac:dyDescent="0.25">
      <c r="A477" s="177" t="s">
        <v>4796</v>
      </c>
      <c r="B477" s="177" t="s">
        <v>412</v>
      </c>
      <c r="C477" s="178" t="s">
        <v>4797</v>
      </c>
      <c r="D477" s="173" t="s">
        <v>3968</v>
      </c>
      <c r="E477" s="20"/>
      <c r="F477" s="20"/>
      <c r="G477" s="175"/>
      <c r="H477" s="20"/>
      <c r="I477" s="20"/>
      <c r="J477" s="20"/>
      <c r="K477" s="20"/>
      <c r="L477" s="20"/>
      <c r="M477" s="20"/>
      <c r="N477" s="20"/>
      <c r="O477" s="20"/>
      <c r="P477" s="20"/>
      <c r="Q477" s="20"/>
      <c r="R477" s="20"/>
      <c r="S477" s="20"/>
      <c r="T477" s="20"/>
      <c r="U477" s="20"/>
      <c r="V477" s="20"/>
      <c r="W477" s="20"/>
    </row>
    <row r="478" spans="1:23" x14ac:dyDescent="0.25">
      <c r="A478" s="177" t="s">
        <v>4798</v>
      </c>
      <c r="B478" s="177" t="s">
        <v>4799</v>
      </c>
      <c r="C478" s="178" t="s">
        <v>4800</v>
      </c>
      <c r="D478" s="173" t="s">
        <v>3633</v>
      </c>
      <c r="E478" s="20"/>
      <c r="F478" s="20"/>
      <c r="G478" s="175"/>
      <c r="H478" s="20"/>
      <c r="I478" s="20"/>
      <c r="J478" s="20"/>
      <c r="K478" s="20"/>
      <c r="L478" s="20"/>
      <c r="M478" s="20"/>
      <c r="N478" s="20"/>
      <c r="O478" s="20"/>
      <c r="P478" s="20"/>
      <c r="Q478" s="20"/>
      <c r="R478" s="20"/>
      <c r="S478" s="20"/>
      <c r="T478" s="20"/>
      <c r="U478" s="20"/>
      <c r="V478" s="20"/>
      <c r="W478" s="20"/>
    </row>
    <row r="479" spans="1:23" x14ac:dyDescent="0.25">
      <c r="A479" s="177" t="s">
        <v>4801</v>
      </c>
      <c r="B479" s="177" t="s">
        <v>4802</v>
      </c>
      <c r="C479" s="178" t="s">
        <v>4803</v>
      </c>
      <c r="D479" s="173" t="s">
        <v>3633</v>
      </c>
      <c r="E479" s="20"/>
      <c r="F479" s="20"/>
      <c r="G479" s="175"/>
      <c r="H479" s="20"/>
      <c r="I479" s="20"/>
      <c r="J479" s="20"/>
      <c r="K479" s="20"/>
      <c r="L479" s="20"/>
      <c r="M479" s="20"/>
      <c r="N479" s="20"/>
      <c r="O479" s="20"/>
      <c r="P479" s="20"/>
      <c r="Q479" s="20"/>
      <c r="R479" s="20"/>
      <c r="S479" s="20"/>
      <c r="T479" s="20"/>
      <c r="U479" s="20"/>
      <c r="V479" s="20"/>
      <c r="W479" s="20"/>
    </row>
    <row r="480" spans="1:23" x14ac:dyDescent="0.25">
      <c r="A480" s="177" t="s">
        <v>4804</v>
      </c>
      <c r="B480" s="177" t="s">
        <v>4805</v>
      </c>
      <c r="C480" s="178" t="s">
        <v>4806</v>
      </c>
      <c r="D480" s="173" t="s">
        <v>3633</v>
      </c>
      <c r="E480" s="20"/>
      <c r="F480" s="20"/>
      <c r="G480" s="175"/>
      <c r="H480" s="20"/>
      <c r="I480" s="20"/>
      <c r="J480" s="20"/>
      <c r="K480" s="20"/>
      <c r="L480" s="20"/>
      <c r="M480" s="20"/>
      <c r="N480" s="20"/>
      <c r="O480" s="20"/>
      <c r="P480" s="20"/>
      <c r="Q480" s="20"/>
      <c r="R480" s="20"/>
      <c r="S480" s="20"/>
      <c r="T480" s="20"/>
      <c r="U480" s="20"/>
      <c r="V480" s="20"/>
      <c r="W480" s="20"/>
    </row>
    <row r="481" spans="1:23" x14ac:dyDescent="0.25">
      <c r="A481" s="177" t="s">
        <v>4807</v>
      </c>
      <c r="B481" s="177" t="s">
        <v>451</v>
      </c>
      <c r="C481" s="178" t="s">
        <v>4808</v>
      </c>
      <c r="D481" s="173" t="s">
        <v>3968</v>
      </c>
      <c r="E481" s="20"/>
      <c r="F481" s="20"/>
      <c r="G481" s="175"/>
      <c r="H481" s="20"/>
      <c r="I481" s="20"/>
      <c r="J481" s="20"/>
      <c r="K481" s="20"/>
      <c r="L481" s="20"/>
      <c r="M481" s="20"/>
      <c r="N481" s="20"/>
      <c r="O481" s="20"/>
      <c r="P481" s="20"/>
      <c r="Q481" s="20"/>
      <c r="R481" s="20"/>
      <c r="S481" s="20"/>
      <c r="T481" s="20"/>
      <c r="U481" s="20"/>
      <c r="V481" s="20"/>
      <c r="W481" s="20"/>
    </row>
    <row r="482" spans="1:23" x14ac:dyDescent="0.25">
      <c r="A482" s="177" t="s">
        <v>4809</v>
      </c>
      <c r="B482" s="177" t="s">
        <v>4810</v>
      </c>
      <c r="C482" s="178" t="s">
        <v>4811</v>
      </c>
      <c r="D482" s="173" t="s">
        <v>3968</v>
      </c>
      <c r="E482" s="20"/>
      <c r="F482" s="20"/>
      <c r="G482" s="175"/>
      <c r="H482" s="20"/>
      <c r="I482" s="20"/>
      <c r="J482" s="20"/>
      <c r="K482" s="20"/>
      <c r="L482" s="20"/>
      <c r="M482" s="20"/>
      <c r="N482" s="20"/>
      <c r="O482" s="20"/>
      <c r="P482" s="20"/>
      <c r="Q482" s="20"/>
      <c r="R482" s="20"/>
      <c r="S482" s="20"/>
      <c r="T482" s="20"/>
      <c r="U482" s="20"/>
      <c r="V482" s="20"/>
      <c r="W482" s="20"/>
    </row>
    <row r="483" spans="1:23" x14ac:dyDescent="0.25">
      <c r="A483" s="177" t="s">
        <v>4812</v>
      </c>
      <c r="B483" s="177" t="s">
        <v>2061</v>
      </c>
      <c r="C483" s="178" t="s">
        <v>4813</v>
      </c>
      <c r="D483" s="173" t="s">
        <v>3633</v>
      </c>
      <c r="E483" s="20"/>
      <c r="F483" s="20"/>
      <c r="G483" s="175"/>
      <c r="H483" s="20"/>
      <c r="I483" s="20"/>
      <c r="J483" s="20"/>
      <c r="K483" s="20"/>
      <c r="L483" s="20"/>
      <c r="M483" s="20"/>
      <c r="N483" s="20"/>
      <c r="O483" s="20"/>
      <c r="P483" s="20"/>
      <c r="Q483" s="20"/>
      <c r="R483" s="20"/>
      <c r="S483" s="20"/>
      <c r="T483" s="20"/>
      <c r="U483" s="20"/>
      <c r="V483" s="20"/>
      <c r="W483" s="20"/>
    </row>
    <row r="484" spans="1:23" x14ac:dyDescent="0.25">
      <c r="A484" s="177" t="s">
        <v>4814</v>
      </c>
      <c r="B484" s="177" t="s">
        <v>2064</v>
      </c>
      <c r="C484" s="178" t="s">
        <v>4815</v>
      </c>
      <c r="D484" s="173" t="s">
        <v>3633</v>
      </c>
      <c r="E484" s="20"/>
      <c r="F484" s="20"/>
      <c r="G484" s="175"/>
      <c r="H484" s="20"/>
      <c r="I484" s="20"/>
      <c r="J484" s="20"/>
      <c r="K484" s="20"/>
      <c r="L484" s="20"/>
      <c r="M484" s="20"/>
      <c r="N484" s="20"/>
      <c r="O484" s="20"/>
      <c r="P484" s="20"/>
      <c r="Q484" s="20"/>
      <c r="R484" s="20"/>
      <c r="S484" s="20"/>
      <c r="T484" s="20"/>
      <c r="U484" s="20"/>
      <c r="V484" s="20"/>
      <c r="W484" s="20"/>
    </row>
    <row r="485" spans="1:23" x14ac:dyDescent="0.25">
      <c r="A485" s="177" t="s">
        <v>4816</v>
      </c>
      <c r="B485" s="177" t="s">
        <v>2066</v>
      </c>
      <c r="C485" s="178" t="s">
        <v>4817</v>
      </c>
      <c r="D485" s="173" t="s">
        <v>3633</v>
      </c>
      <c r="E485" s="20"/>
      <c r="F485" s="20"/>
      <c r="G485" s="175"/>
      <c r="H485" s="20"/>
      <c r="I485" s="20"/>
      <c r="J485" s="20"/>
      <c r="K485" s="20"/>
      <c r="L485" s="20"/>
      <c r="M485" s="20"/>
      <c r="N485" s="20"/>
      <c r="O485" s="20"/>
      <c r="P485" s="20"/>
      <c r="Q485" s="20"/>
      <c r="R485" s="20"/>
      <c r="S485" s="20"/>
      <c r="T485" s="20"/>
      <c r="U485" s="20"/>
      <c r="V485" s="20"/>
      <c r="W485" s="20"/>
    </row>
    <row r="486" spans="1:23" x14ac:dyDescent="0.25">
      <c r="A486" s="177" t="s">
        <v>4818</v>
      </c>
      <c r="B486" s="177" t="s">
        <v>4819</v>
      </c>
      <c r="C486" s="178" t="s">
        <v>4820</v>
      </c>
      <c r="D486" s="173" t="s">
        <v>3633</v>
      </c>
      <c r="E486" s="20"/>
      <c r="F486" s="20"/>
      <c r="G486" s="175"/>
      <c r="H486" s="20"/>
      <c r="I486" s="20"/>
      <c r="J486" s="20"/>
      <c r="K486" s="20"/>
      <c r="L486" s="20"/>
      <c r="M486" s="20"/>
      <c r="N486" s="20"/>
      <c r="O486" s="20"/>
      <c r="P486" s="20"/>
      <c r="Q486" s="20"/>
      <c r="R486" s="20"/>
      <c r="S486" s="20"/>
      <c r="T486" s="20"/>
      <c r="U486" s="20"/>
      <c r="V486" s="20"/>
      <c r="W486" s="20"/>
    </row>
    <row r="487" spans="1:23" x14ac:dyDescent="0.25">
      <c r="A487" s="177" t="s">
        <v>4821</v>
      </c>
      <c r="B487" s="177" t="s">
        <v>4822</v>
      </c>
      <c r="C487" s="178" t="s">
        <v>4823</v>
      </c>
      <c r="D487" s="173" t="s">
        <v>3968</v>
      </c>
      <c r="E487" s="20"/>
      <c r="F487" s="20"/>
      <c r="G487" s="175"/>
      <c r="H487" s="20"/>
      <c r="I487" s="20"/>
      <c r="J487" s="20"/>
      <c r="K487" s="20"/>
      <c r="L487" s="20"/>
      <c r="M487" s="20"/>
      <c r="N487" s="20"/>
      <c r="O487" s="20"/>
      <c r="P487" s="20"/>
      <c r="Q487" s="20"/>
      <c r="R487" s="20"/>
      <c r="S487" s="20"/>
      <c r="T487" s="20"/>
      <c r="U487" s="20"/>
      <c r="V487" s="20"/>
      <c r="W487" s="20"/>
    </row>
    <row r="488" spans="1:23" x14ac:dyDescent="0.25">
      <c r="A488" s="177" t="s">
        <v>4824</v>
      </c>
      <c r="B488" s="177" t="s">
        <v>4825</v>
      </c>
      <c r="C488" s="178" t="s">
        <v>4826</v>
      </c>
      <c r="D488" s="173" t="s">
        <v>3968</v>
      </c>
      <c r="E488" s="20"/>
      <c r="F488" s="20"/>
      <c r="G488" s="175"/>
      <c r="H488" s="20"/>
      <c r="I488" s="20"/>
      <c r="J488" s="20"/>
      <c r="K488" s="20"/>
      <c r="L488" s="20"/>
      <c r="M488" s="20"/>
      <c r="N488" s="20"/>
      <c r="O488" s="20"/>
      <c r="P488" s="20"/>
      <c r="Q488" s="20"/>
      <c r="R488" s="20"/>
      <c r="S488" s="20"/>
      <c r="T488" s="20"/>
      <c r="U488" s="20"/>
      <c r="V488" s="20"/>
      <c r="W488" s="20"/>
    </row>
    <row r="489" spans="1:23" x14ac:dyDescent="0.25">
      <c r="A489" s="177" t="s">
        <v>4827</v>
      </c>
      <c r="B489" s="177" t="s">
        <v>4828</v>
      </c>
      <c r="C489" s="178" t="s">
        <v>4829</v>
      </c>
      <c r="D489" s="173" t="s">
        <v>3633</v>
      </c>
      <c r="E489" s="20"/>
      <c r="F489" s="20"/>
      <c r="G489" s="175"/>
      <c r="H489" s="20"/>
      <c r="I489" s="20"/>
      <c r="J489" s="20"/>
      <c r="K489" s="20"/>
      <c r="L489" s="20"/>
      <c r="M489" s="20"/>
      <c r="N489" s="20"/>
      <c r="O489" s="20"/>
      <c r="P489" s="20"/>
      <c r="Q489" s="20"/>
      <c r="R489" s="20"/>
      <c r="S489" s="20"/>
      <c r="T489" s="20"/>
      <c r="U489" s="20"/>
      <c r="V489" s="20"/>
      <c r="W489" s="20"/>
    </row>
    <row r="490" spans="1:23" x14ac:dyDescent="0.25">
      <c r="A490" s="177" t="s">
        <v>4830</v>
      </c>
      <c r="B490" s="177" t="s">
        <v>761</v>
      </c>
      <c r="C490" s="178" t="s">
        <v>4831</v>
      </c>
      <c r="D490" s="173" t="s">
        <v>3968</v>
      </c>
      <c r="E490" s="20"/>
      <c r="F490" s="20"/>
      <c r="G490" s="175"/>
      <c r="H490" s="20"/>
      <c r="I490" s="20"/>
      <c r="J490" s="20"/>
      <c r="K490" s="20"/>
      <c r="L490" s="20"/>
      <c r="M490" s="20"/>
      <c r="N490" s="20"/>
      <c r="O490" s="20"/>
      <c r="P490" s="20"/>
      <c r="Q490" s="20"/>
      <c r="R490" s="20"/>
      <c r="S490" s="20"/>
      <c r="T490" s="20"/>
      <c r="U490" s="20"/>
      <c r="V490" s="20"/>
      <c r="W490" s="20"/>
    </row>
    <row r="491" spans="1:23" x14ac:dyDescent="0.25">
      <c r="A491" s="177" t="s">
        <v>4832</v>
      </c>
      <c r="B491" s="177" t="s">
        <v>4833</v>
      </c>
      <c r="C491" s="178" t="s">
        <v>4834</v>
      </c>
      <c r="D491" s="173" t="s">
        <v>3968</v>
      </c>
      <c r="E491" s="20"/>
      <c r="F491" s="20"/>
      <c r="G491" s="175"/>
      <c r="H491" s="20"/>
      <c r="I491" s="20"/>
      <c r="J491" s="20"/>
      <c r="K491" s="20"/>
      <c r="L491" s="20"/>
      <c r="M491" s="20"/>
      <c r="N491" s="20"/>
      <c r="O491" s="20"/>
      <c r="P491" s="20"/>
      <c r="Q491" s="20"/>
      <c r="R491" s="20"/>
      <c r="S491" s="20"/>
      <c r="T491" s="20"/>
      <c r="U491" s="20"/>
      <c r="V491" s="20"/>
      <c r="W491" s="20"/>
    </row>
    <row r="492" spans="1:23" x14ac:dyDescent="0.25">
      <c r="A492" s="177" t="s">
        <v>4835</v>
      </c>
      <c r="B492" s="177" t="s">
        <v>4836</v>
      </c>
      <c r="C492" s="178" t="s">
        <v>4837</v>
      </c>
      <c r="D492" s="173" t="s">
        <v>3968</v>
      </c>
      <c r="E492" s="20"/>
      <c r="F492" s="20"/>
      <c r="G492" s="175"/>
      <c r="H492" s="20"/>
      <c r="I492" s="20"/>
      <c r="J492" s="20"/>
      <c r="K492" s="20"/>
      <c r="L492" s="20"/>
      <c r="M492" s="20"/>
      <c r="N492" s="20"/>
      <c r="O492" s="20"/>
      <c r="P492" s="20"/>
      <c r="Q492" s="20"/>
      <c r="R492" s="20"/>
      <c r="S492" s="20"/>
      <c r="T492" s="20"/>
      <c r="U492" s="20"/>
      <c r="V492" s="20"/>
      <c r="W492" s="20"/>
    </row>
    <row r="493" spans="1:23" x14ac:dyDescent="0.25">
      <c r="A493" s="177" t="s">
        <v>4838</v>
      </c>
      <c r="B493" s="177" t="s">
        <v>4839</v>
      </c>
      <c r="C493" s="178" t="s">
        <v>4840</v>
      </c>
      <c r="D493" s="173" t="s">
        <v>3715</v>
      </c>
      <c r="E493" s="20"/>
      <c r="F493" s="20"/>
      <c r="G493" s="175"/>
      <c r="H493" s="20"/>
      <c r="I493" s="20"/>
      <c r="J493" s="20"/>
      <c r="K493" s="20"/>
      <c r="L493" s="20"/>
      <c r="M493" s="20"/>
      <c r="N493" s="20"/>
      <c r="O493" s="20"/>
      <c r="P493" s="20"/>
      <c r="Q493" s="20"/>
      <c r="R493" s="20"/>
      <c r="S493" s="20"/>
      <c r="T493" s="20"/>
      <c r="U493" s="20"/>
      <c r="V493" s="20"/>
      <c r="W493" s="20"/>
    </row>
    <row r="494" spans="1:23" x14ac:dyDescent="0.25">
      <c r="A494" s="177" t="s">
        <v>4841</v>
      </c>
      <c r="B494" s="177" t="s">
        <v>4842</v>
      </c>
      <c r="C494" s="178" t="s">
        <v>4843</v>
      </c>
      <c r="D494" s="173" t="s">
        <v>3633</v>
      </c>
      <c r="E494" s="20"/>
      <c r="F494" s="20"/>
      <c r="G494" s="175"/>
      <c r="H494" s="20"/>
      <c r="I494" s="20"/>
      <c r="J494" s="20"/>
      <c r="K494" s="20"/>
      <c r="L494" s="20"/>
      <c r="M494" s="20"/>
      <c r="N494" s="20"/>
      <c r="O494" s="20"/>
      <c r="P494" s="20"/>
      <c r="Q494" s="20"/>
      <c r="R494" s="20"/>
      <c r="S494" s="20"/>
      <c r="T494" s="20"/>
      <c r="U494" s="20"/>
      <c r="V494" s="20"/>
      <c r="W494" s="20"/>
    </row>
    <row r="495" spans="1:23" x14ac:dyDescent="0.25">
      <c r="A495" s="177" t="s">
        <v>4844</v>
      </c>
      <c r="B495" s="177" t="s">
        <v>1720</v>
      </c>
      <c r="C495" s="178" t="s">
        <v>4845</v>
      </c>
      <c r="D495" s="173" t="s">
        <v>3968</v>
      </c>
      <c r="E495" s="20"/>
      <c r="F495" s="20"/>
      <c r="G495" s="175"/>
      <c r="H495" s="20"/>
      <c r="I495" s="20"/>
      <c r="J495" s="20"/>
      <c r="K495" s="20"/>
      <c r="L495" s="20"/>
      <c r="M495" s="20"/>
      <c r="N495" s="20"/>
      <c r="O495" s="20"/>
      <c r="P495" s="20"/>
      <c r="Q495" s="20"/>
      <c r="R495" s="20"/>
      <c r="S495" s="20"/>
      <c r="T495" s="20"/>
      <c r="U495" s="20"/>
      <c r="V495" s="20"/>
      <c r="W495" s="20"/>
    </row>
    <row r="496" spans="1:23" x14ac:dyDescent="0.25">
      <c r="A496" s="177" t="s">
        <v>4846</v>
      </c>
      <c r="B496" s="177" t="s">
        <v>1224</v>
      </c>
      <c r="C496" s="178" t="s">
        <v>4847</v>
      </c>
      <c r="D496" s="173" t="s">
        <v>3968</v>
      </c>
      <c r="E496" s="20"/>
      <c r="F496" s="20"/>
      <c r="G496" s="175"/>
      <c r="H496" s="20"/>
      <c r="I496" s="20"/>
      <c r="J496" s="20"/>
      <c r="K496" s="20"/>
      <c r="L496" s="20"/>
      <c r="M496" s="20"/>
      <c r="N496" s="20"/>
      <c r="O496" s="20"/>
      <c r="P496" s="20"/>
      <c r="Q496" s="20"/>
      <c r="R496" s="20"/>
      <c r="S496" s="20"/>
      <c r="T496" s="20"/>
      <c r="U496" s="20"/>
      <c r="V496" s="20"/>
      <c r="W496" s="20"/>
    </row>
    <row r="497" spans="1:23" x14ac:dyDescent="0.25">
      <c r="A497" s="177" t="s">
        <v>4848</v>
      </c>
      <c r="B497" s="177" t="s">
        <v>1723</v>
      </c>
      <c r="C497" s="178" t="s">
        <v>4849</v>
      </c>
      <c r="D497" s="173" t="s">
        <v>3968</v>
      </c>
      <c r="E497" s="20"/>
      <c r="F497" s="20"/>
      <c r="G497" s="175"/>
      <c r="H497" s="20"/>
      <c r="I497" s="20"/>
      <c r="J497" s="20"/>
      <c r="K497" s="20"/>
      <c r="L497" s="20"/>
      <c r="M497" s="20"/>
      <c r="N497" s="20"/>
      <c r="O497" s="20"/>
      <c r="P497" s="20"/>
      <c r="Q497" s="20"/>
      <c r="R497" s="20"/>
      <c r="S497" s="20"/>
      <c r="T497" s="20"/>
      <c r="U497" s="20"/>
      <c r="V497" s="20"/>
      <c r="W497" s="20"/>
    </row>
    <row r="498" spans="1:23" x14ac:dyDescent="0.25">
      <c r="A498" s="177" t="s">
        <v>4850</v>
      </c>
      <c r="B498" s="177" t="s">
        <v>1725</v>
      </c>
      <c r="C498" s="178" t="s">
        <v>4851</v>
      </c>
      <c r="D498" s="173" t="s">
        <v>3968</v>
      </c>
      <c r="E498" s="20"/>
      <c r="F498" s="20"/>
      <c r="G498" s="175"/>
      <c r="H498" s="20"/>
      <c r="I498" s="20"/>
      <c r="J498" s="20"/>
      <c r="K498" s="20"/>
      <c r="L498" s="20"/>
      <c r="M498" s="20"/>
      <c r="N498" s="20"/>
      <c r="O498" s="20"/>
      <c r="P498" s="20"/>
      <c r="Q498" s="20"/>
      <c r="R498" s="20"/>
      <c r="S498" s="20"/>
      <c r="T498" s="20"/>
      <c r="U498" s="20"/>
      <c r="V498" s="20"/>
      <c r="W498" s="20"/>
    </row>
    <row r="499" spans="1:23" x14ac:dyDescent="0.25">
      <c r="A499" s="177" t="s">
        <v>4852</v>
      </c>
      <c r="B499" s="177" t="s">
        <v>4853</v>
      </c>
      <c r="C499" s="178" t="s">
        <v>4854</v>
      </c>
      <c r="D499" s="173" t="s">
        <v>3968</v>
      </c>
      <c r="E499" s="20"/>
      <c r="F499" s="20"/>
      <c r="G499" s="175"/>
      <c r="H499" s="20"/>
      <c r="I499" s="20"/>
      <c r="J499" s="20"/>
      <c r="K499" s="20"/>
      <c r="L499" s="20"/>
      <c r="M499" s="20"/>
      <c r="N499" s="20"/>
      <c r="O499" s="20"/>
      <c r="P499" s="20"/>
      <c r="Q499" s="20"/>
      <c r="R499" s="20"/>
      <c r="S499" s="20"/>
      <c r="T499" s="20"/>
      <c r="U499" s="20"/>
      <c r="V499" s="20"/>
      <c r="W499" s="20"/>
    </row>
    <row r="500" spans="1:23" x14ac:dyDescent="0.25">
      <c r="A500" s="177" t="s">
        <v>4855</v>
      </c>
      <c r="B500" s="177" t="s">
        <v>4856</v>
      </c>
      <c r="C500" s="178" t="s">
        <v>4857</v>
      </c>
      <c r="D500" s="173" t="s">
        <v>3968</v>
      </c>
      <c r="E500" s="20"/>
      <c r="F500" s="20"/>
      <c r="G500" s="175"/>
      <c r="H500" s="20"/>
      <c r="I500" s="20"/>
      <c r="J500" s="20"/>
      <c r="K500" s="20"/>
      <c r="L500" s="20"/>
      <c r="M500" s="20"/>
      <c r="N500" s="20"/>
      <c r="O500" s="20"/>
      <c r="P500" s="20"/>
      <c r="Q500" s="20"/>
      <c r="R500" s="20"/>
      <c r="S500" s="20"/>
      <c r="T500" s="20"/>
      <c r="U500" s="20"/>
      <c r="V500" s="20"/>
      <c r="W500" s="20"/>
    </row>
    <row r="501" spans="1:23" x14ac:dyDescent="0.25">
      <c r="A501" s="177" t="s">
        <v>4858</v>
      </c>
      <c r="B501" s="177" t="s">
        <v>4859</v>
      </c>
      <c r="C501" s="178" t="s">
        <v>4860</v>
      </c>
      <c r="D501" s="173" t="s">
        <v>3968</v>
      </c>
      <c r="E501" s="20"/>
      <c r="F501" s="20"/>
      <c r="G501" s="175"/>
      <c r="H501" s="20"/>
      <c r="I501" s="20"/>
      <c r="J501" s="20"/>
      <c r="K501" s="20"/>
      <c r="L501" s="20"/>
      <c r="M501" s="20"/>
      <c r="N501" s="20"/>
      <c r="O501" s="20"/>
      <c r="P501" s="20"/>
      <c r="Q501" s="20"/>
      <c r="R501" s="20"/>
      <c r="S501" s="20"/>
      <c r="T501" s="20"/>
      <c r="U501" s="20"/>
      <c r="V501" s="20"/>
      <c r="W501" s="20"/>
    </row>
    <row r="502" spans="1:23" x14ac:dyDescent="0.25">
      <c r="A502" s="177" t="s">
        <v>4861</v>
      </c>
      <c r="B502" s="177" t="s">
        <v>4862</v>
      </c>
      <c r="C502" s="178" t="s">
        <v>4863</v>
      </c>
      <c r="D502" s="173" t="s">
        <v>3968</v>
      </c>
      <c r="E502" s="20"/>
      <c r="F502" s="20"/>
      <c r="G502" s="175"/>
      <c r="H502" s="20"/>
      <c r="I502" s="20"/>
      <c r="J502" s="20"/>
      <c r="K502" s="20"/>
      <c r="L502" s="20"/>
      <c r="M502" s="20"/>
      <c r="N502" s="20"/>
      <c r="O502" s="20"/>
      <c r="P502" s="20"/>
      <c r="Q502" s="20"/>
      <c r="R502" s="20"/>
      <c r="S502" s="20"/>
      <c r="T502" s="20"/>
      <c r="U502" s="20"/>
      <c r="V502" s="20"/>
      <c r="W502" s="20"/>
    </row>
    <row r="503" spans="1:23" x14ac:dyDescent="0.25">
      <c r="A503" s="177" t="s">
        <v>4864</v>
      </c>
      <c r="B503" s="177" t="s">
        <v>1228</v>
      </c>
      <c r="C503" s="178" t="s">
        <v>4865</v>
      </c>
      <c r="D503" s="173" t="s">
        <v>3968</v>
      </c>
      <c r="E503" s="20"/>
      <c r="F503" s="20"/>
      <c r="G503" s="175"/>
      <c r="H503" s="20"/>
      <c r="I503" s="20"/>
      <c r="J503" s="20"/>
      <c r="K503" s="20"/>
      <c r="L503" s="20"/>
      <c r="M503" s="20"/>
      <c r="N503" s="20"/>
      <c r="O503" s="20"/>
      <c r="P503" s="20"/>
      <c r="Q503" s="20"/>
      <c r="R503" s="20"/>
      <c r="S503" s="20"/>
      <c r="T503" s="20"/>
      <c r="U503" s="20"/>
      <c r="V503" s="20"/>
      <c r="W503" s="20"/>
    </row>
    <row r="504" spans="1:23" x14ac:dyDescent="0.25">
      <c r="A504" s="177" t="s">
        <v>4866</v>
      </c>
      <c r="B504" s="177" t="s">
        <v>4867</v>
      </c>
      <c r="C504" s="178" t="s">
        <v>4868</v>
      </c>
      <c r="D504" s="173" t="s">
        <v>3715</v>
      </c>
      <c r="E504" s="20"/>
      <c r="F504" s="20"/>
      <c r="G504" s="175"/>
      <c r="H504" s="20"/>
      <c r="I504" s="20"/>
      <c r="J504" s="20"/>
      <c r="K504" s="20"/>
      <c r="L504" s="20"/>
      <c r="M504" s="20"/>
      <c r="N504" s="20"/>
      <c r="O504" s="20"/>
      <c r="P504" s="20"/>
      <c r="Q504" s="20"/>
      <c r="R504" s="20"/>
      <c r="S504" s="20"/>
      <c r="T504" s="20"/>
      <c r="U504" s="20"/>
      <c r="V504" s="20"/>
      <c r="W504" s="20"/>
    </row>
    <row r="505" spans="1:23" x14ac:dyDescent="0.25">
      <c r="A505" s="177" t="s">
        <v>4869</v>
      </c>
      <c r="B505" s="177" t="s">
        <v>4870</v>
      </c>
      <c r="C505" s="178" t="s">
        <v>4871</v>
      </c>
      <c r="D505" s="173" t="s">
        <v>3715</v>
      </c>
      <c r="E505" s="20"/>
      <c r="F505" s="20"/>
      <c r="G505" s="175"/>
      <c r="H505" s="20"/>
      <c r="I505" s="20"/>
      <c r="J505" s="20"/>
      <c r="K505" s="20"/>
      <c r="L505" s="20"/>
      <c r="M505" s="20"/>
      <c r="N505" s="20"/>
      <c r="O505" s="20"/>
      <c r="P505" s="20"/>
      <c r="Q505" s="20"/>
      <c r="R505" s="20"/>
      <c r="S505" s="20"/>
      <c r="T505" s="20"/>
      <c r="U505" s="20"/>
      <c r="V505" s="20"/>
      <c r="W505" s="20"/>
    </row>
    <row r="506" spans="1:23" x14ac:dyDescent="0.25">
      <c r="A506" s="177" t="s">
        <v>4872</v>
      </c>
      <c r="B506" s="177" t="s">
        <v>4873</v>
      </c>
      <c r="C506" s="178" t="s">
        <v>4874</v>
      </c>
      <c r="D506" s="173" t="s">
        <v>3968</v>
      </c>
      <c r="E506" s="20"/>
      <c r="F506" s="20"/>
      <c r="G506" s="175"/>
      <c r="H506" s="20"/>
      <c r="I506" s="20"/>
      <c r="J506" s="20"/>
      <c r="K506" s="20"/>
      <c r="L506" s="20"/>
      <c r="M506" s="20"/>
      <c r="N506" s="20"/>
      <c r="O506" s="20"/>
      <c r="P506" s="20"/>
      <c r="Q506" s="20"/>
      <c r="R506" s="20"/>
      <c r="S506" s="20"/>
      <c r="T506" s="20"/>
      <c r="U506" s="20"/>
      <c r="V506" s="20"/>
      <c r="W506" s="20"/>
    </row>
    <row r="507" spans="1:23" x14ac:dyDescent="0.25">
      <c r="A507" s="177" t="s">
        <v>4875</v>
      </c>
      <c r="B507" s="177" t="s">
        <v>4876</v>
      </c>
      <c r="C507" s="178" t="s">
        <v>4877</v>
      </c>
      <c r="D507" s="173" t="s">
        <v>3968</v>
      </c>
      <c r="E507" s="20"/>
      <c r="F507" s="20"/>
      <c r="G507" s="175"/>
      <c r="H507" s="20"/>
      <c r="I507" s="20"/>
      <c r="J507" s="20"/>
      <c r="K507" s="20"/>
      <c r="L507" s="20"/>
      <c r="M507" s="20"/>
      <c r="N507" s="20"/>
      <c r="O507" s="20"/>
      <c r="P507" s="20"/>
      <c r="Q507" s="20"/>
      <c r="R507" s="20"/>
      <c r="S507" s="20"/>
      <c r="T507" s="20"/>
      <c r="U507" s="20"/>
      <c r="V507" s="20"/>
      <c r="W507" s="20"/>
    </row>
    <row r="508" spans="1:23" x14ac:dyDescent="0.25">
      <c r="A508" s="177" t="s">
        <v>4878</v>
      </c>
      <c r="B508" s="177" t="s">
        <v>4879</v>
      </c>
      <c r="C508" s="178" t="s">
        <v>4880</v>
      </c>
      <c r="D508" s="173" t="s">
        <v>3968</v>
      </c>
      <c r="E508" s="20"/>
      <c r="F508" s="20"/>
      <c r="G508" s="175"/>
      <c r="H508" s="20"/>
      <c r="I508" s="20"/>
      <c r="J508" s="20"/>
      <c r="K508" s="20"/>
      <c r="L508" s="20"/>
      <c r="M508" s="20"/>
      <c r="N508" s="20"/>
      <c r="O508" s="20"/>
      <c r="P508" s="20"/>
      <c r="Q508" s="20"/>
      <c r="R508" s="20"/>
      <c r="S508" s="20"/>
      <c r="T508" s="20"/>
      <c r="U508" s="20"/>
      <c r="V508" s="20"/>
      <c r="W508" s="20"/>
    </row>
    <row r="509" spans="1:23" x14ac:dyDescent="0.25">
      <c r="A509" s="177" t="s">
        <v>4881</v>
      </c>
      <c r="B509" s="177" t="s">
        <v>4882</v>
      </c>
      <c r="C509" s="178" t="s">
        <v>4883</v>
      </c>
      <c r="D509" s="173" t="s">
        <v>3968</v>
      </c>
      <c r="E509" s="20"/>
      <c r="F509" s="20"/>
      <c r="G509" s="175"/>
      <c r="H509" s="20"/>
      <c r="I509" s="20"/>
      <c r="J509" s="20"/>
      <c r="K509" s="20"/>
      <c r="L509" s="20"/>
      <c r="M509" s="20"/>
      <c r="N509" s="20"/>
      <c r="O509" s="20"/>
      <c r="P509" s="20"/>
      <c r="Q509" s="20"/>
      <c r="R509" s="20"/>
      <c r="S509" s="20"/>
      <c r="T509" s="20"/>
      <c r="U509" s="20"/>
      <c r="V509" s="20"/>
      <c r="W509" s="20"/>
    </row>
    <row r="510" spans="1:23" x14ac:dyDescent="0.25">
      <c r="A510" s="177" t="s">
        <v>4884</v>
      </c>
      <c r="B510" s="177" t="s">
        <v>4885</v>
      </c>
      <c r="C510" s="178" t="s">
        <v>4886</v>
      </c>
      <c r="D510" s="173" t="s">
        <v>3968</v>
      </c>
      <c r="E510" s="20"/>
      <c r="F510" s="20"/>
      <c r="G510" s="175"/>
      <c r="H510" s="20"/>
      <c r="I510" s="20"/>
      <c r="J510" s="20"/>
      <c r="K510" s="20"/>
      <c r="L510" s="20"/>
      <c r="M510" s="20"/>
      <c r="N510" s="20"/>
      <c r="O510" s="20"/>
      <c r="P510" s="20"/>
      <c r="Q510" s="20"/>
      <c r="R510" s="20"/>
      <c r="S510" s="20"/>
      <c r="T510" s="20"/>
      <c r="U510" s="20"/>
      <c r="V510" s="20"/>
      <c r="W510" s="20"/>
    </row>
    <row r="511" spans="1:23" x14ac:dyDescent="0.25">
      <c r="A511" s="177" t="s">
        <v>4887</v>
      </c>
      <c r="B511" s="177" t="s">
        <v>4888</v>
      </c>
      <c r="C511" s="178" t="s">
        <v>4889</v>
      </c>
      <c r="D511" s="173" t="s">
        <v>3968</v>
      </c>
      <c r="E511" s="20"/>
      <c r="F511" s="20"/>
      <c r="G511" s="175"/>
      <c r="H511" s="20"/>
      <c r="I511" s="20"/>
      <c r="J511" s="20"/>
      <c r="K511" s="20"/>
      <c r="L511" s="20"/>
      <c r="M511" s="20"/>
      <c r="N511" s="20"/>
      <c r="O511" s="20"/>
      <c r="P511" s="20"/>
      <c r="Q511" s="20"/>
      <c r="R511" s="20"/>
      <c r="S511" s="20"/>
      <c r="T511" s="20"/>
      <c r="U511" s="20"/>
      <c r="V511" s="20"/>
      <c r="W511" s="20"/>
    </row>
    <row r="512" spans="1:23" x14ac:dyDescent="0.25">
      <c r="A512" s="177" t="s">
        <v>4890</v>
      </c>
      <c r="B512" s="177" t="s">
        <v>4891</v>
      </c>
      <c r="C512" s="178" t="s">
        <v>4892</v>
      </c>
      <c r="D512" s="173" t="s">
        <v>3968</v>
      </c>
      <c r="E512" s="20"/>
      <c r="F512" s="20"/>
      <c r="G512" s="175"/>
      <c r="H512" s="20"/>
      <c r="I512" s="20"/>
      <c r="J512" s="20"/>
      <c r="K512" s="20"/>
      <c r="L512" s="20"/>
      <c r="M512" s="20"/>
      <c r="N512" s="20"/>
      <c r="O512" s="20"/>
      <c r="P512" s="20"/>
      <c r="Q512" s="20"/>
      <c r="R512" s="20"/>
      <c r="S512" s="20"/>
      <c r="T512" s="20"/>
      <c r="U512" s="20"/>
      <c r="V512" s="20"/>
      <c r="W512" s="20"/>
    </row>
    <row r="513" spans="1:23" x14ac:dyDescent="0.25">
      <c r="A513" s="177" t="s">
        <v>4893</v>
      </c>
      <c r="B513" s="177" t="s">
        <v>4894</v>
      </c>
      <c r="C513" s="178" t="s">
        <v>4895</v>
      </c>
      <c r="D513" s="173" t="s">
        <v>3968</v>
      </c>
      <c r="E513" s="20"/>
      <c r="F513" s="20"/>
      <c r="G513" s="175"/>
      <c r="H513" s="20"/>
      <c r="I513" s="20"/>
      <c r="J513" s="20"/>
      <c r="K513" s="20"/>
      <c r="L513" s="20"/>
      <c r="M513" s="20"/>
      <c r="N513" s="20"/>
      <c r="O513" s="20"/>
      <c r="P513" s="20"/>
      <c r="Q513" s="20"/>
      <c r="R513" s="20"/>
      <c r="S513" s="20"/>
      <c r="T513" s="20"/>
      <c r="U513" s="20"/>
      <c r="V513" s="20"/>
      <c r="W513" s="20"/>
    </row>
    <row r="514" spans="1:23" x14ac:dyDescent="0.25">
      <c r="A514" s="177" t="s">
        <v>4896</v>
      </c>
      <c r="B514" s="177" t="s">
        <v>4897</v>
      </c>
      <c r="C514" s="178" t="s">
        <v>4898</v>
      </c>
      <c r="D514" s="173" t="s">
        <v>3968</v>
      </c>
      <c r="E514" s="20"/>
      <c r="F514" s="20"/>
      <c r="G514" s="175"/>
      <c r="H514" s="20"/>
      <c r="I514" s="20"/>
      <c r="J514" s="20"/>
      <c r="K514" s="20"/>
      <c r="L514" s="20"/>
      <c r="M514" s="20"/>
      <c r="N514" s="20"/>
      <c r="O514" s="20"/>
      <c r="P514" s="20"/>
      <c r="Q514" s="20"/>
      <c r="R514" s="20"/>
      <c r="S514" s="20"/>
      <c r="T514" s="20"/>
      <c r="U514" s="20"/>
      <c r="V514" s="20"/>
      <c r="W514" s="20"/>
    </row>
    <row r="515" spans="1:23" x14ac:dyDescent="0.25">
      <c r="A515" s="177" t="s">
        <v>4899</v>
      </c>
      <c r="B515" s="177" t="s">
        <v>1232</v>
      </c>
      <c r="C515" s="178" t="s">
        <v>4900</v>
      </c>
      <c r="D515" s="173" t="s">
        <v>3968</v>
      </c>
      <c r="E515" s="20"/>
      <c r="F515" s="20"/>
      <c r="G515" s="175"/>
      <c r="H515" s="20"/>
      <c r="I515" s="20"/>
      <c r="J515" s="20"/>
      <c r="K515" s="20"/>
      <c r="L515" s="20"/>
      <c r="M515" s="20"/>
      <c r="N515" s="20"/>
      <c r="O515" s="20"/>
      <c r="P515" s="20"/>
      <c r="Q515" s="20"/>
      <c r="R515" s="20"/>
      <c r="S515" s="20"/>
      <c r="T515" s="20"/>
      <c r="U515" s="20"/>
      <c r="V515" s="20"/>
      <c r="W515" s="20"/>
    </row>
    <row r="516" spans="1:23" x14ac:dyDescent="0.25">
      <c r="A516" s="177" t="s">
        <v>4901</v>
      </c>
      <c r="B516" s="177" t="s">
        <v>4902</v>
      </c>
      <c r="C516" s="178" t="s">
        <v>4903</v>
      </c>
      <c r="D516" s="173" t="s">
        <v>3968</v>
      </c>
      <c r="E516" s="20"/>
      <c r="F516" s="20"/>
      <c r="G516" s="175"/>
      <c r="H516" s="20"/>
      <c r="I516" s="20"/>
      <c r="J516" s="20"/>
      <c r="K516" s="20"/>
      <c r="L516" s="20"/>
      <c r="M516" s="20"/>
      <c r="N516" s="20"/>
      <c r="O516" s="20"/>
      <c r="P516" s="20"/>
      <c r="Q516" s="20"/>
      <c r="R516" s="20"/>
      <c r="S516" s="20"/>
      <c r="T516" s="20"/>
      <c r="U516" s="20"/>
      <c r="V516" s="20"/>
      <c r="W516" s="20"/>
    </row>
    <row r="517" spans="1:23" x14ac:dyDescent="0.25">
      <c r="A517" s="177" t="s">
        <v>4904</v>
      </c>
      <c r="B517" s="177" t="s">
        <v>2920</v>
      </c>
      <c r="C517" s="178" t="s">
        <v>4905</v>
      </c>
      <c r="D517" s="173" t="s">
        <v>3968</v>
      </c>
      <c r="E517" s="20"/>
      <c r="F517" s="20"/>
      <c r="G517" s="175"/>
      <c r="H517" s="20"/>
      <c r="I517" s="20"/>
      <c r="J517" s="20"/>
      <c r="K517" s="20"/>
      <c r="L517" s="20"/>
      <c r="M517" s="20"/>
      <c r="N517" s="20"/>
      <c r="O517" s="20"/>
      <c r="P517" s="20"/>
      <c r="Q517" s="20"/>
      <c r="R517" s="20"/>
      <c r="S517" s="20"/>
      <c r="T517" s="20"/>
      <c r="U517" s="20"/>
      <c r="V517" s="20"/>
      <c r="W517" s="20"/>
    </row>
    <row r="518" spans="1:23" x14ac:dyDescent="0.25">
      <c r="A518" s="177" t="s">
        <v>4906</v>
      </c>
      <c r="B518" s="177" t="s">
        <v>4907</v>
      </c>
      <c r="C518" s="178" t="s">
        <v>4908</v>
      </c>
      <c r="D518" s="173" t="s">
        <v>3968</v>
      </c>
      <c r="E518" s="20"/>
      <c r="F518" s="20"/>
      <c r="G518" s="175"/>
      <c r="H518" s="20"/>
      <c r="I518" s="20"/>
      <c r="J518" s="20"/>
      <c r="K518" s="20"/>
      <c r="L518" s="20"/>
      <c r="M518" s="20"/>
      <c r="N518" s="20"/>
      <c r="O518" s="20"/>
      <c r="P518" s="20"/>
      <c r="Q518" s="20"/>
      <c r="R518" s="20"/>
      <c r="S518" s="20"/>
      <c r="T518" s="20"/>
      <c r="U518" s="20"/>
      <c r="V518" s="20"/>
      <c r="W518" s="20"/>
    </row>
    <row r="519" spans="1:23" x14ac:dyDescent="0.25">
      <c r="A519" s="177" t="s">
        <v>4909</v>
      </c>
      <c r="B519" s="177" t="s">
        <v>4910</v>
      </c>
      <c r="C519" s="178" t="s">
        <v>4911</v>
      </c>
      <c r="D519" s="173" t="s">
        <v>3968</v>
      </c>
      <c r="E519" s="20"/>
      <c r="F519" s="20"/>
      <c r="G519" s="175"/>
      <c r="H519" s="20"/>
      <c r="I519" s="20"/>
      <c r="J519" s="20"/>
      <c r="K519" s="20"/>
      <c r="L519" s="20"/>
      <c r="M519" s="20"/>
      <c r="N519" s="20"/>
      <c r="O519" s="20"/>
      <c r="P519" s="20"/>
      <c r="Q519" s="20"/>
      <c r="R519" s="20"/>
      <c r="S519" s="20"/>
      <c r="T519" s="20"/>
      <c r="U519" s="20"/>
      <c r="V519" s="20"/>
      <c r="W519" s="20"/>
    </row>
    <row r="520" spans="1:23" x14ac:dyDescent="0.25">
      <c r="A520" s="171" t="s">
        <v>4912</v>
      </c>
      <c r="B520" s="177" t="s">
        <v>2924</v>
      </c>
      <c r="C520" s="178" t="s">
        <v>4913</v>
      </c>
      <c r="D520" s="173" t="s">
        <v>3968</v>
      </c>
      <c r="E520" s="20"/>
      <c r="F520" s="20"/>
      <c r="G520" s="175"/>
      <c r="H520" s="20"/>
      <c r="I520" s="20"/>
      <c r="J520" s="20"/>
      <c r="K520" s="20"/>
      <c r="L520" s="20"/>
      <c r="M520" s="20"/>
      <c r="N520" s="20"/>
      <c r="O520" s="20"/>
      <c r="P520" s="20"/>
      <c r="Q520" s="20"/>
      <c r="R520" s="20"/>
      <c r="S520" s="20"/>
      <c r="T520" s="20"/>
      <c r="U520" s="20"/>
      <c r="V520" s="20"/>
      <c r="W520" s="20"/>
    </row>
    <row r="521" spans="1:23" x14ac:dyDescent="0.25">
      <c r="A521" s="177" t="s">
        <v>4914</v>
      </c>
      <c r="B521" s="177" t="s">
        <v>4915</v>
      </c>
      <c r="C521" s="178" t="s">
        <v>4916</v>
      </c>
      <c r="D521" s="173" t="s">
        <v>3968</v>
      </c>
      <c r="E521" s="20"/>
      <c r="F521" s="20"/>
      <c r="G521" s="175"/>
      <c r="H521" s="20"/>
      <c r="I521" s="20"/>
      <c r="J521" s="20"/>
      <c r="K521" s="20"/>
      <c r="L521" s="20"/>
      <c r="M521" s="20"/>
      <c r="N521" s="20"/>
      <c r="O521" s="20"/>
      <c r="P521" s="20"/>
      <c r="Q521" s="20"/>
      <c r="R521" s="20"/>
      <c r="S521" s="20"/>
      <c r="T521" s="20"/>
      <c r="U521" s="20"/>
      <c r="V521" s="20"/>
      <c r="W521" s="20"/>
    </row>
    <row r="522" spans="1:23" x14ac:dyDescent="0.25">
      <c r="A522" s="177" t="s">
        <v>4917</v>
      </c>
      <c r="B522" s="177" t="s">
        <v>4918</v>
      </c>
      <c r="C522" s="178" t="s">
        <v>4919</v>
      </c>
      <c r="D522" s="173" t="s">
        <v>3968</v>
      </c>
      <c r="E522" s="20"/>
      <c r="F522" s="20"/>
      <c r="G522" s="175"/>
      <c r="H522" s="20"/>
      <c r="I522" s="20"/>
      <c r="J522" s="20"/>
      <c r="K522" s="20"/>
      <c r="L522" s="20"/>
      <c r="M522" s="20"/>
      <c r="N522" s="20"/>
      <c r="O522" s="20"/>
      <c r="P522" s="20"/>
      <c r="Q522" s="20"/>
      <c r="R522" s="20"/>
      <c r="S522" s="20"/>
      <c r="T522" s="20"/>
      <c r="U522" s="20"/>
      <c r="V522" s="20"/>
      <c r="W522" s="20"/>
    </row>
    <row r="523" spans="1:23" x14ac:dyDescent="0.25">
      <c r="A523" s="177" t="s">
        <v>4920</v>
      </c>
      <c r="B523" s="177" t="s">
        <v>1727</v>
      </c>
      <c r="C523" s="178" t="s">
        <v>4921</v>
      </c>
      <c r="D523" s="173" t="s">
        <v>3968</v>
      </c>
      <c r="E523" s="20"/>
      <c r="F523" s="20"/>
      <c r="G523" s="175"/>
      <c r="H523" s="20"/>
      <c r="I523" s="20"/>
      <c r="J523" s="20"/>
      <c r="K523" s="20"/>
      <c r="L523" s="20"/>
      <c r="M523" s="20"/>
      <c r="N523" s="20"/>
      <c r="O523" s="20"/>
      <c r="P523" s="20"/>
      <c r="Q523" s="20"/>
      <c r="R523" s="20"/>
      <c r="S523" s="20"/>
      <c r="T523" s="20"/>
      <c r="U523" s="20"/>
      <c r="V523" s="20"/>
      <c r="W523" s="20"/>
    </row>
    <row r="524" spans="1:23" x14ac:dyDescent="0.25">
      <c r="A524" s="177" t="s">
        <v>4922</v>
      </c>
      <c r="B524" s="177" t="s">
        <v>4923</v>
      </c>
      <c r="C524" s="178" t="s">
        <v>4924</v>
      </c>
      <c r="D524" s="173" t="s">
        <v>3968</v>
      </c>
      <c r="E524" s="20"/>
      <c r="F524" s="20"/>
      <c r="G524" s="175"/>
      <c r="H524" s="20"/>
      <c r="I524" s="20"/>
      <c r="J524" s="20"/>
      <c r="K524" s="20"/>
      <c r="L524" s="20"/>
      <c r="M524" s="20"/>
      <c r="N524" s="20"/>
      <c r="O524" s="20"/>
      <c r="P524" s="20"/>
      <c r="Q524" s="20"/>
      <c r="R524" s="20"/>
      <c r="S524" s="20"/>
      <c r="T524" s="20"/>
      <c r="U524" s="20"/>
      <c r="V524" s="20"/>
      <c r="W524" s="20"/>
    </row>
    <row r="525" spans="1:23" x14ac:dyDescent="0.25">
      <c r="A525" s="177" t="s">
        <v>4925</v>
      </c>
      <c r="B525" s="177" t="s">
        <v>4926</v>
      </c>
      <c r="C525" s="178" t="s">
        <v>4927</v>
      </c>
      <c r="D525" s="173" t="s">
        <v>3968</v>
      </c>
      <c r="E525" s="20"/>
      <c r="F525" s="20"/>
      <c r="G525" s="175"/>
      <c r="H525" s="20"/>
      <c r="I525" s="20"/>
      <c r="J525" s="20"/>
      <c r="K525" s="20"/>
      <c r="L525" s="20"/>
      <c r="M525" s="20"/>
      <c r="N525" s="20"/>
      <c r="O525" s="20"/>
      <c r="P525" s="20"/>
      <c r="Q525" s="20"/>
      <c r="R525" s="20"/>
      <c r="S525" s="20"/>
      <c r="T525" s="20"/>
      <c r="U525" s="20"/>
      <c r="V525" s="20"/>
      <c r="W525" s="20"/>
    </row>
    <row r="526" spans="1:23" x14ac:dyDescent="0.25">
      <c r="A526" s="177" t="s">
        <v>4928</v>
      </c>
      <c r="B526" s="177" t="s">
        <v>4929</v>
      </c>
      <c r="C526" s="178" t="s">
        <v>4930</v>
      </c>
      <c r="D526" s="173" t="s">
        <v>3968</v>
      </c>
      <c r="E526" s="20"/>
      <c r="F526" s="20"/>
      <c r="G526" s="175"/>
      <c r="H526" s="20"/>
      <c r="I526" s="20"/>
      <c r="J526" s="20"/>
      <c r="K526" s="20"/>
      <c r="L526" s="20"/>
      <c r="M526" s="20"/>
      <c r="N526" s="20"/>
      <c r="O526" s="20"/>
      <c r="P526" s="20"/>
      <c r="Q526" s="20"/>
      <c r="R526" s="20"/>
      <c r="S526" s="20"/>
      <c r="T526" s="20"/>
      <c r="U526" s="20"/>
      <c r="V526" s="20"/>
      <c r="W526" s="20"/>
    </row>
    <row r="527" spans="1:23" x14ac:dyDescent="0.25">
      <c r="A527" s="177" t="s">
        <v>4931</v>
      </c>
      <c r="B527" s="177" t="s">
        <v>4932</v>
      </c>
      <c r="C527" s="178" t="s">
        <v>4933</v>
      </c>
      <c r="D527" s="173" t="s">
        <v>3968</v>
      </c>
      <c r="E527" s="20"/>
      <c r="F527" s="20"/>
      <c r="G527" s="175"/>
      <c r="H527" s="20"/>
      <c r="I527" s="20"/>
      <c r="J527" s="20"/>
      <c r="K527" s="20"/>
      <c r="L527" s="20"/>
      <c r="M527" s="20"/>
      <c r="N527" s="20"/>
      <c r="O527" s="20"/>
      <c r="P527" s="20"/>
      <c r="Q527" s="20"/>
      <c r="R527" s="20"/>
      <c r="S527" s="20"/>
      <c r="T527" s="20"/>
      <c r="U527" s="20"/>
      <c r="V527" s="20"/>
      <c r="W527" s="20"/>
    </row>
    <row r="528" spans="1:23" x14ac:dyDescent="0.25">
      <c r="A528" s="177" t="s">
        <v>4934</v>
      </c>
      <c r="B528" s="177" t="s">
        <v>4935</v>
      </c>
      <c r="C528" s="178" t="s">
        <v>4936</v>
      </c>
      <c r="D528" s="173" t="s">
        <v>3968</v>
      </c>
      <c r="E528" s="20"/>
      <c r="F528" s="20"/>
      <c r="G528" s="175"/>
      <c r="H528" s="20"/>
      <c r="I528" s="20"/>
      <c r="J528" s="20"/>
      <c r="K528" s="20"/>
      <c r="L528" s="20"/>
      <c r="M528" s="20"/>
      <c r="N528" s="20"/>
      <c r="O528" s="20"/>
      <c r="P528" s="20"/>
      <c r="Q528" s="20"/>
      <c r="R528" s="20"/>
      <c r="S528" s="20"/>
      <c r="T528" s="20"/>
      <c r="U528" s="20"/>
      <c r="V528" s="20"/>
      <c r="W528" s="20"/>
    </row>
    <row r="529" spans="1:23" x14ac:dyDescent="0.25">
      <c r="A529" s="177" t="s">
        <v>4937</v>
      </c>
      <c r="B529" s="177" t="s">
        <v>4938</v>
      </c>
      <c r="C529" s="178" t="s">
        <v>4939</v>
      </c>
      <c r="D529" s="173" t="s">
        <v>3968</v>
      </c>
      <c r="E529" s="20"/>
      <c r="F529" s="20"/>
      <c r="G529" s="175"/>
      <c r="H529" s="20"/>
      <c r="I529" s="20"/>
      <c r="J529" s="20"/>
      <c r="K529" s="20"/>
      <c r="L529" s="20"/>
      <c r="M529" s="20"/>
      <c r="N529" s="20"/>
      <c r="O529" s="20"/>
      <c r="P529" s="20"/>
      <c r="Q529" s="20"/>
      <c r="R529" s="20"/>
      <c r="S529" s="20"/>
      <c r="T529" s="20"/>
      <c r="U529" s="20"/>
      <c r="V529" s="20"/>
      <c r="W529" s="20"/>
    </row>
    <row r="530" spans="1:23" x14ac:dyDescent="0.25">
      <c r="A530" s="177" t="s">
        <v>4940</v>
      </c>
      <c r="B530" s="177" t="s">
        <v>4941</v>
      </c>
      <c r="C530" s="178" t="s">
        <v>4942</v>
      </c>
      <c r="D530" s="173" t="s">
        <v>3968</v>
      </c>
      <c r="E530" s="20"/>
      <c r="F530" s="20"/>
      <c r="G530" s="175"/>
      <c r="H530" s="20"/>
      <c r="I530" s="20"/>
      <c r="J530" s="20"/>
      <c r="K530" s="20"/>
      <c r="L530" s="20"/>
      <c r="M530" s="20"/>
      <c r="N530" s="20"/>
      <c r="O530" s="20"/>
      <c r="P530" s="20"/>
      <c r="Q530" s="20"/>
      <c r="R530" s="20"/>
      <c r="S530" s="20"/>
      <c r="T530" s="20"/>
      <c r="U530" s="20"/>
      <c r="V530" s="20"/>
      <c r="W530" s="20"/>
    </row>
    <row r="531" spans="1:23" x14ac:dyDescent="0.25">
      <c r="A531" s="177" t="s">
        <v>4943</v>
      </c>
      <c r="B531" s="177" t="s">
        <v>4944</v>
      </c>
      <c r="C531" s="178" t="s">
        <v>4945</v>
      </c>
      <c r="D531" s="173" t="s">
        <v>3968</v>
      </c>
      <c r="E531" s="20"/>
      <c r="F531" s="20"/>
      <c r="G531" s="175"/>
      <c r="H531" s="20"/>
      <c r="I531" s="20"/>
      <c r="J531" s="20"/>
      <c r="K531" s="20"/>
      <c r="L531" s="20"/>
      <c r="M531" s="20"/>
      <c r="N531" s="20"/>
      <c r="O531" s="20"/>
      <c r="P531" s="20"/>
      <c r="Q531" s="20"/>
      <c r="R531" s="20"/>
      <c r="S531" s="20"/>
      <c r="T531" s="20"/>
      <c r="U531" s="20"/>
      <c r="V531" s="20"/>
      <c r="W531" s="20"/>
    </row>
    <row r="532" spans="1:23" x14ac:dyDescent="0.25">
      <c r="A532" s="177" t="s">
        <v>4946</v>
      </c>
      <c r="B532" s="177" t="s">
        <v>4947</v>
      </c>
      <c r="C532" s="178" t="s">
        <v>4948</v>
      </c>
      <c r="D532" s="173" t="s">
        <v>3968</v>
      </c>
      <c r="E532" s="20"/>
      <c r="F532" s="20"/>
      <c r="G532" s="175"/>
      <c r="H532" s="20"/>
      <c r="I532" s="20"/>
      <c r="J532" s="20"/>
      <c r="K532" s="20"/>
      <c r="L532" s="20"/>
      <c r="M532" s="20"/>
      <c r="N532" s="20"/>
      <c r="O532" s="20"/>
      <c r="P532" s="20"/>
      <c r="Q532" s="20"/>
      <c r="R532" s="20"/>
      <c r="S532" s="20"/>
      <c r="T532" s="20"/>
      <c r="U532" s="20"/>
      <c r="V532" s="20"/>
      <c r="W532" s="20"/>
    </row>
    <row r="533" spans="1:23" x14ac:dyDescent="0.25">
      <c r="A533" s="177" t="s">
        <v>4949</v>
      </c>
      <c r="B533" s="177" t="s">
        <v>4950</v>
      </c>
      <c r="C533" s="178" t="s">
        <v>4951</v>
      </c>
      <c r="D533" s="173" t="s">
        <v>3968</v>
      </c>
      <c r="E533" s="20"/>
      <c r="F533" s="20"/>
      <c r="G533" s="175"/>
      <c r="H533" s="20"/>
      <c r="I533" s="20"/>
      <c r="J533" s="20"/>
      <c r="K533" s="20"/>
      <c r="L533" s="20"/>
      <c r="M533" s="20"/>
      <c r="N533" s="20"/>
      <c r="O533" s="20"/>
      <c r="P533" s="20"/>
      <c r="Q533" s="20"/>
      <c r="R533" s="20"/>
      <c r="S533" s="20"/>
      <c r="T533" s="20"/>
      <c r="U533" s="20"/>
      <c r="V533" s="20"/>
      <c r="W533" s="20"/>
    </row>
    <row r="534" spans="1:23" x14ac:dyDescent="0.25">
      <c r="A534" s="177" t="s">
        <v>4952</v>
      </c>
      <c r="B534" s="177" t="s">
        <v>4953</v>
      </c>
      <c r="C534" s="178" t="s">
        <v>4954</v>
      </c>
      <c r="D534" s="173" t="s">
        <v>3968</v>
      </c>
      <c r="E534" s="20"/>
      <c r="F534" s="20"/>
      <c r="G534" s="175"/>
      <c r="H534" s="20"/>
      <c r="I534" s="20"/>
      <c r="J534" s="20"/>
      <c r="K534" s="20"/>
      <c r="L534" s="20"/>
      <c r="M534" s="20"/>
      <c r="N534" s="20"/>
      <c r="O534" s="20"/>
      <c r="P534" s="20"/>
      <c r="Q534" s="20"/>
      <c r="R534" s="20"/>
      <c r="S534" s="20"/>
      <c r="T534" s="20"/>
      <c r="U534" s="20"/>
      <c r="V534" s="20"/>
      <c r="W534" s="20"/>
    </row>
    <row r="535" spans="1:23" x14ac:dyDescent="0.25">
      <c r="A535" s="177" t="s">
        <v>4955</v>
      </c>
      <c r="B535" s="177" t="s">
        <v>4956</v>
      </c>
      <c r="C535" s="178" t="s">
        <v>4957</v>
      </c>
      <c r="D535" s="173" t="s">
        <v>3968</v>
      </c>
      <c r="E535" s="20"/>
      <c r="F535" s="20"/>
      <c r="G535" s="175"/>
      <c r="H535" s="20"/>
      <c r="I535" s="20"/>
      <c r="J535" s="20"/>
      <c r="K535" s="20"/>
      <c r="L535" s="20"/>
      <c r="M535" s="20"/>
      <c r="N535" s="20"/>
      <c r="O535" s="20"/>
      <c r="P535" s="20"/>
      <c r="Q535" s="20"/>
      <c r="R535" s="20"/>
      <c r="S535" s="20"/>
      <c r="T535" s="20"/>
      <c r="U535" s="20"/>
      <c r="V535" s="20"/>
      <c r="W535" s="20"/>
    </row>
    <row r="536" spans="1:23" x14ac:dyDescent="0.25">
      <c r="A536" s="177" t="s">
        <v>4958</v>
      </c>
      <c r="B536" s="177" t="s">
        <v>1733</v>
      </c>
      <c r="C536" s="178" t="s">
        <v>4959</v>
      </c>
      <c r="D536" s="173" t="s">
        <v>3968</v>
      </c>
      <c r="E536" s="20"/>
      <c r="F536" s="20"/>
      <c r="G536" s="175"/>
      <c r="H536" s="20"/>
      <c r="I536" s="20"/>
      <c r="J536" s="20"/>
      <c r="K536" s="20"/>
      <c r="L536" s="20"/>
      <c r="M536" s="20"/>
      <c r="N536" s="20"/>
      <c r="O536" s="20"/>
      <c r="P536" s="20"/>
      <c r="Q536" s="20"/>
      <c r="R536" s="20"/>
      <c r="S536" s="20"/>
      <c r="T536" s="20"/>
      <c r="U536" s="20"/>
      <c r="V536" s="20"/>
      <c r="W536" s="20"/>
    </row>
    <row r="537" spans="1:23" x14ac:dyDescent="0.25">
      <c r="A537" s="177" t="s">
        <v>4960</v>
      </c>
      <c r="B537" s="177" t="s">
        <v>1238</v>
      </c>
      <c r="C537" s="178" t="s">
        <v>4961</v>
      </c>
      <c r="D537" s="173" t="s">
        <v>3968</v>
      </c>
      <c r="E537" s="20"/>
      <c r="F537" s="20"/>
      <c r="G537" s="175"/>
      <c r="H537" s="20"/>
      <c r="I537" s="20"/>
      <c r="J537" s="20"/>
      <c r="K537" s="20"/>
      <c r="L537" s="20"/>
      <c r="M537" s="20"/>
      <c r="N537" s="20"/>
      <c r="O537" s="20"/>
      <c r="P537" s="20"/>
      <c r="Q537" s="20"/>
      <c r="R537" s="20"/>
      <c r="S537" s="20"/>
      <c r="T537" s="20"/>
      <c r="U537" s="20"/>
      <c r="V537" s="20"/>
      <c r="W537" s="20"/>
    </row>
    <row r="538" spans="1:23" x14ac:dyDescent="0.25">
      <c r="A538" s="177" t="s">
        <v>4962</v>
      </c>
      <c r="B538" s="177" t="s">
        <v>2939</v>
      </c>
      <c r="C538" s="178" t="s">
        <v>4963</v>
      </c>
      <c r="D538" s="173" t="s">
        <v>3968</v>
      </c>
      <c r="E538" s="20"/>
      <c r="F538" s="20"/>
      <c r="G538" s="175"/>
      <c r="H538" s="20"/>
      <c r="I538" s="20"/>
      <c r="J538" s="20"/>
      <c r="K538" s="20"/>
      <c r="L538" s="20"/>
      <c r="M538" s="20"/>
      <c r="N538" s="20"/>
      <c r="O538" s="20"/>
      <c r="P538" s="20"/>
      <c r="Q538" s="20"/>
      <c r="R538" s="20"/>
      <c r="S538" s="20"/>
      <c r="T538" s="20"/>
      <c r="U538" s="20"/>
      <c r="V538" s="20"/>
      <c r="W538" s="20"/>
    </row>
    <row r="539" spans="1:23" x14ac:dyDescent="0.25">
      <c r="A539" s="177" t="s">
        <v>4964</v>
      </c>
      <c r="B539" s="177" t="s">
        <v>1482</v>
      </c>
      <c r="C539" s="178" t="s">
        <v>4965</v>
      </c>
      <c r="D539" s="173" t="s">
        <v>3968</v>
      </c>
      <c r="E539" s="20"/>
      <c r="F539" s="20"/>
      <c r="G539" s="175"/>
      <c r="H539" s="20"/>
      <c r="I539" s="20"/>
      <c r="J539" s="20"/>
      <c r="K539" s="20"/>
      <c r="L539" s="20"/>
      <c r="M539" s="20"/>
      <c r="N539" s="20"/>
      <c r="O539" s="20"/>
      <c r="P539" s="20"/>
      <c r="Q539" s="20"/>
      <c r="R539" s="20"/>
      <c r="S539" s="20"/>
      <c r="T539" s="20"/>
      <c r="U539" s="20"/>
      <c r="V539" s="20"/>
      <c r="W539" s="20"/>
    </row>
    <row r="540" spans="1:23" x14ac:dyDescent="0.25">
      <c r="A540" s="177" t="s">
        <v>4966</v>
      </c>
      <c r="B540" s="177" t="s">
        <v>1736</v>
      </c>
      <c r="C540" s="178" t="s">
        <v>4967</v>
      </c>
      <c r="D540" s="173" t="s">
        <v>3968</v>
      </c>
      <c r="E540" s="20"/>
      <c r="F540" s="20"/>
      <c r="G540" s="175"/>
      <c r="H540" s="20"/>
      <c r="I540" s="20"/>
      <c r="J540" s="20"/>
      <c r="K540" s="20"/>
      <c r="L540" s="20"/>
      <c r="M540" s="20"/>
      <c r="N540" s="20"/>
      <c r="O540" s="20"/>
      <c r="P540" s="20"/>
      <c r="Q540" s="20"/>
      <c r="R540" s="20"/>
      <c r="S540" s="20"/>
      <c r="T540" s="20"/>
      <c r="U540" s="20"/>
      <c r="V540" s="20"/>
      <c r="W540" s="20"/>
    </row>
    <row r="541" spans="1:23" x14ac:dyDescent="0.25">
      <c r="A541" s="177" t="s">
        <v>4968</v>
      </c>
      <c r="B541" s="177" t="s">
        <v>1738</v>
      </c>
      <c r="C541" s="178" t="s">
        <v>4969</v>
      </c>
      <c r="D541" s="173" t="s">
        <v>3968</v>
      </c>
      <c r="E541" s="20"/>
      <c r="F541" s="20"/>
      <c r="G541" s="175"/>
      <c r="H541" s="20"/>
      <c r="I541" s="20"/>
      <c r="J541" s="20"/>
      <c r="K541" s="20"/>
      <c r="L541" s="20"/>
      <c r="M541" s="20"/>
      <c r="N541" s="20"/>
      <c r="O541" s="20"/>
      <c r="P541" s="20"/>
      <c r="Q541" s="20"/>
      <c r="R541" s="20"/>
      <c r="S541" s="20"/>
      <c r="T541" s="20"/>
      <c r="U541" s="20"/>
      <c r="V541" s="20"/>
      <c r="W541" s="20"/>
    </row>
    <row r="542" spans="1:23" x14ac:dyDescent="0.25">
      <c r="A542" s="177" t="s">
        <v>4970</v>
      </c>
      <c r="B542" s="177" t="s">
        <v>1241</v>
      </c>
      <c r="C542" s="178" t="s">
        <v>4971</v>
      </c>
      <c r="D542" s="173" t="s">
        <v>3968</v>
      </c>
      <c r="E542" s="20"/>
      <c r="F542" s="20"/>
      <c r="G542" s="175"/>
      <c r="H542" s="20"/>
      <c r="I542" s="20"/>
      <c r="J542" s="20"/>
      <c r="K542" s="20"/>
      <c r="L542" s="20"/>
      <c r="M542" s="20"/>
      <c r="N542" s="20"/>
      <c r="O542" s="20"/>
      <c r="P542" s="20"/>
      <c r="Q542" s="20"/>
      <c r="R542" s="20"/>
      <c r="S542" s="20"/>
      <c r="T542" s="20"/>
      <c r="U542" s="20"/>
      <c r="V542" s="20"/>
      <c r="W542" s="20"/>
    </row>
    <row r="543" spans="1:23" x14ac:dyDescent="0.25">
      <c r="A543" s="177" t="s">
        <v>4972</v>
      </c>
      <c r="B543" s="177" t="s">
        <v>481</v>
      </c>
      <c r="C543" s="178" t="s">
        <v>4973</v>
      </c>
      <c r="D543" s="173" t="s">
        <v>3968</v>
      </c>
      <c r="E543" s="20"/>
      <c r="F543" s="20"/>
      <c r="G543" s="175"/>
      <c r="H543" s="20"/>
      <c r="I543" s="20"/>
      <c r="J543" s="20"/>
      <c r="K543" s="20"/>
      <c r="L543" s="20"/>
      <c r="M543" s="20"/>
      <c r="N543" s="20"/>
      <c r="O543" s="20"/>
      <c r="P543" s="20"/>
      <c r="Q543" s="20"/>
      <c r="R543" s="20"/>
      <c r="S543" s="20"/>
      <c r="T543" s="20"/>
      <c r="U543" s="20"/>
      <c r="V543" s="20"/>
      <c r="W543" s="20"/>
    </row>
    <row r="544" spans="1:23" x14ac:dyDescent="0.25">
      <c r="A544" s="177" t="s">
        <v>4974</v>
      </c>
      <c r="B544" s="177" t="s">
        <v>480</v>
      </c>
      <c r="C544" s="178" t="s">
        <v>4975</v>
      </c>
      <c r="D544" s="173" t="s">
        <v>3968</v>
      </c>
      <c r="E544" s="20"/>
      <c r="F544" s="20"/>
      <c r="G544" s="175"/>
      <c r="H544" s="20"/>
      <c r="I544" s="20"/>
      <c r="J544" s="20"/>
      <c r="K544" s="20"/>
      <c r="L544" s="20"/>
      <c r="M544" s="20"/>
      <c r="N544" s="20"/>
      <c r="O544" s="20"/>
      <c r="P544" s="20"/>
      <c r="Q544" s="20"/>
      <c r="R544" s="20"/>
      <c r="S544" s="20"/>
      <c r="T544" s="20"/>
      <c r="U544" s="20"/>
      <c r="V544" s="20"/>
      <c r="W544" s="20"/>
    </row>
    <row r="545" spans="1:23" x14ac:dyDescent="0.25">
      <c r="A545" s="177" t="s">
        <v>4976</v>
      </c>
      <c r="B545" s="177" t="s">
        <v>479</v>
      </c>
      <c r="C545" s="178" t="s">
        <v>4977</v>
      </c>
      <c r="D545" s="173" t="s">
        <v>3968</v>
      </c>
      <c r="E545" s="20"/>
      <c r="F545" s="20"/>
      <c r="G545" s="175"/>
      <c r="H545" s="20"/>
      <c r="I545" s="20"/>
      <c r="J545" s="20"/>
      <c r="K545" s="20"/>
      <c r="L545" s="20"/>
      <c r="M545" s="20"/>
      <c r="N545" s="20"/>
      <c r="O545" s="20"/>
      <c r="P545" s="20"/>
      <c r="Q545" s="20"/>
      <c r="R545" s="20"/>
      <c r="S545" s="20"/>
      <c r="T545" s="20"/>
      <c r="U545" s="20"/>
      <c r="V545" s="20"/>
      <c r="W545" s="20"/>
    </row>
    <row r="546" spans="1:23" x14ac:dyDescent="0.25">
      <c r="A546" s="177" t="s">
        <v>4978</v>
      </c>
      <c r="B546" s="177" t="s">
        <v>4979</v>
      </c>
      <c r="C546" s="178" t="s">
        <v>4980</v>
      </c>
      <c r="D546" s="173" t="s">
        <v>3968</v>
      </c>
      <c r="E546" s="20"/>
      <c r="F546" s="20"/>
      <c r="G546" s="175"/>
      <c r="H546" s="20"/>
      <c r="I546" s="20"/>
      <c r="J546" s="20"/>
      <c r="K546" s="20"/>
      <c r="L546" s="20"/>
      <c r="M546" s="20"/>
      <c r="N546" s="20"/>
      <c r="O546" s="20"/>
      <c r="P546" s="20"/>
      <c r="Q546" s="20"/>
      <c r="R546" s="20"/>
      <c r="S546" s="20"/>
      <c r="T546" s="20"/>
      <c r="U546" s="20"/>
      <c r="V546" s="20"/>
      <c r="W546" s="20"/>
    </row>
    <row r="547" spans="1:23" x14ac:dyDescent="0.25">
      <c r="A547" s="177" t="s">
        <v>4981</v>
      </c>
      <c r="B547" s="177" t="s">
        <v>2954</v>
      </c>
      <c r="C547" s="178" t="s">
        <v>4982</v>
      </c>
      <c r="D547" s="173" t="s">
        <v>3968</v>
      </c>
      <c r="E547" s="20"/>
      <c r="F547" s="20"/>
      <c r="G547" s="175"/>
      <c r="H547" s="20"/>
      <c r="I547" s="20"/>
      <c r="J547" s="20"/>
      <c r="K547" s="20"/>
      <c r="L547" s="20"/>
      <c r="M547" s="20"/>
      <c r="N547" s="20"/>
      <c r="O547" s="20"/>
      <c r="P547" s="20"/>
      <c r="Q547" s="20"/>
      <c r="R547" s="20"/>
      <c r="S547" s="20"/>
      <c r="T547" s="20"/>
      <c r="U547" s="20"/>
      <c r="V547" s="20"/>
      <c r="W547" s="20"/>
    </row>
    <row r="548" spans="1:23" x14ac:dyDescent="0.25">
      <c r="A548" s="177" t="s">
        <v>4983</v>
      </c>
      <c r="B548" s="177" t="s">
        <v>484</v>
      </c>
      <c r="C548" s="178" t="s">
        <v>4984</v>
      </c>
      <c r="D548" s="173" t="s">
        <v>3968</v>
      </c>
      <c r="E548" s="20"/>
      <c r="F548" s="20"/>
      <c r="G548" s="175"/>
      <c r="H548" s="20"/>
      <c r="I548" s="20"/>
      <c r="J548" s="20"/>
      <c r="K548" s="20"/>
      <c r="L548" s="20"/>
      <c r="M548" s="20"/>
      <c r="N548" s="20"/>
      <c r="O548" s="20"/>
      <c r="P548" s="20"/>
      <c r="Q548" s="20"/>
      <c r="R548" s="20"/>
      <c r="S548" s="20"/>
      <c r="T548" s="20"/>
      <c r="U548" s="20"/>
      <c r="V548" s="20"/>
      <c r="W548" s="20"/>
    </row>
    <row r="549" spans="1:23" x14ac:dyDescent="0.25">
      <c r="A549" s="177" t="s">
        <v>4985</v>
      </c>
      <c r="B549" s="177" t="s">
        <v>4986</v>
      </c>
      <c r="C549" s="178" t="s">
        <v>4987</v>
      </c>
      <c r="D549" s="173" t="s">
        <v>3968</v>
      </c>
      <c r="E549" s="20"/>
      <c r="F549" s="20"/>
      <c r="G549" s="175"/>
      <c r="H549" s="20"/>
      <c r="I549" s="20"/>
      <c r="J549" s="20"/>
      <c r="K549" s="20"/>
      <c r="L549" s="20"/>
      <c r="M549" s="20"/>
      <c r="N549" s="20"/>
      <c r="O549" s="20"/>
      <c r="P549" s="20"/>
      <c r="Q549" s="20"/>
      <c r="R549" s="20"/>
      <c r="S549" s="20"/>
      <c r="T549" s="20"/>
      <c r="U549" s="20"/>
      <c r="V549" s="20"/>
      <c r="W549" s="20"/>
    </row>
    <row r="550" spans="1:23" x14ac:dyDescent="0.25">
      <c r="A550" s="177" t="s">
        <v>4325</v>
      </c>
      <c r="B550" s="177" t="s">
        <v>483</v>
      </c>
      <c r="C550" s="178" t="s">
        <v>4988</v>
      </c>
      <c r="D550" s="173" t="s">
        <v>3968</v>
      </c>
      <c r="E550" s="20"/>
      <c r="F550" s="20"/>
      <c r="G550" s="175"/>
      <c r="H550" s="20"/>
      <c r="I550" s="20"/>
      <c r="J550" s="20"/>
      <c r="K550" s="20"/>
      <c r="L550" s="20"/>
      <c r="M550" s="20"/>
      <c r="N550" s="20"/>
      <c r="O550" s="20"/>
      <c r="P550" s="20"/>
      <c r="Q550" s="20"/>
      <c r="R550" s="20"/>
      <c r="S550" s="20"/>
      <c r="T550" s="20"/>
      <c r="U550" s="20"/>
      <c r="V550" s="20"/>
      <c r="W550" s="20"/>
    </row>
    <row r="551" spans="1:23" x14ac:dyDescent="0.25">
      <c r="A551" s="177" t="s">
        <v>4989</v>
      </c>
      <c r="B551" s="177" t="s">
        <v>482</v>
      </c>
      <c r="C551" s="178" t="s">
        <v>4990</v>
      </c>
      <c r="D551" s="173" t="s">
        <v>3968</v>
      </c>
      <c r="E551" s="20"/>
      <c r="F551" s="20"/>
      <c r="G551" s="175"/>
      <c r="H551" s="20"/>
      <c r="I551" s="20"/>
      <c r="J551" s="20"/>
      <c r="K551" s="20"/>
      <c r="L551" s="20"/>
      <c r="M551" s="20"/>
      <c r="N551" s="20"/>
      <c r="O551" s="20"/>
      <c r="P551" s="20"/>
      <c r="Q551" s="20"/>
      <c r="R551" s="20"/>
      <c r="S551" s="20"/>
      <c r="T551" s="20"/>
      <c r="U551" s="20"/>
      <c r="V551" s="20"/>
      <c r="W551" s="20"/>
    </row>
    <row r="552" spans="1:23" x14ac:dyDescent="0.25">
      <c r="A552" s="177" t="s">
        <v>4991</v>
      </c>
      <c r="B552" s="177" t="s">
        <v>1244</v>
      </c>
      <c r="C552" s="178" t="s">
        <v>4992</v>
      </c>
      <c r="D552" s="173" t="s">
        <v>3968</v>
      </c>
      <c r="E552" s="20"/>
      <c r="F552" s="20"/>
      <c r="G552" s="175"/>
      <c r="H552" s="20"/>
      <c r="I552" s="20"/>
      <c r="J552" s="20"/>
      <c r="K552" s="20"/>
      <c r="L552" s="20"/>
      <c r="M552" s="20"/>
      <c r="N552" s="20"/>
      <c r="O552" s="20"/>
      <c r="P552" s="20"/>
      <c r="Q552" s="20"/>
      <c r="R552" s="20"/>
      <c r="S552" s="20"/>
      <c r="T552" s="20"/>
      <c r="U552" s="20"/>
      <c r="V552" s="20"/>
      <c r="W552" s="20"/>
    </row>
    <row r="553" spans="1:23" x14ac:dyDescent="0.25">
      <c r="A553" s="177" t="s">
        <v>4993</v>
      </c>
      <c r="B553" s="177" t="s">
        <v>4994</v>
      </c>
      <c r="C553" s="178" t="s">
        <v>4995</v>
      </c>
      <c r="D553" s="173" t="s">
        <v>3715</v>
      </c>
      <c r="E553" s="20"/>
      <c r="F553" s="20"/>
      <c r="G553" s="175"/>
      <c r="H553" s="20"/>
      <c r="I553" s="20"/>
      <c r="J553" s="20"/>
      <c r="K553" s="20"/>
      <c r="L553" s="20"/>
      <c r="M553" s="20"/>
      <c r="N553" s="20"/>
      <c r="O553" s="20"/>
      <c r="P553" s="20"/>
      <c r="Q553" s="20"/>
      <c r="R553" s="20"/>
      <c r="S553" s="20"/>
      <c r="T553" s="20"/>
      <c r="U553" s="20"/>
      <c r="V553" s="20"/>
      <c r="W553" s="20"/>
    </row>
    <row r="554" spans="1:23" x14ac:dyDescent="0.25">
      <c r="A554" s="177" t="s">
        <v>4996</v>
      </c>
      <c r="B554" s="177" t="s">
        <v>393</v>
      </c>
      <c r="C554" s="178" t="s">
        <v>4997</v>
      </c>
      <c r="D554" s="173" t="s">
        <v>3968</v>
      </c>
      <c r="E554" s="20"/>
      <c r="F554" s="20"/>
      <c r="G554" s="175"/>
      <c r="H554" s="20"/>
      <c r="I554" s="20"/>
      <c r="J554" s="20"/>
      <c r="K554" s="20"/>
      <c r="L554" s="20"/>
      <c r="M554" s="20"/>
      <c r="N554" s="20"/>
      <c r="O554" s="20"/>
      <c r="P554" s="20"/>
      <c r="Q554" s="20"/>
      <c r="R554" s="20"/>
      <c r="S554" s="20"/>
      <c r="T554" s="20"/>
      <c r="U554" s="20"/>
      <c r="V554" s="20"/>
      <c r="W554" s="20"/>
    </row>
    <row r="555" spans="1:23" x14ac:dyDescent="0.25">
      <c r="A555" s="177" t="s">
        <v>4998</v>
      </c>
      <c r="B555" s="177" t="s">
        <v>4999</v>
      </c>
      <c r="C555" s="178" t="s">
        <v>4687</v>
      </c>
      <c r="D555" s="173" t="s">
        <v>3968</v>
      </c>
      <c r="E555" s="20"/>
      <c r="F555" s="20"/>
      <c r="G555" s="175"/>
      <c r="H555" s="20"/>
      <c r="I555" s="20"/>
      <c r="J555" s="20"/>
      <c r="K555" s="20"/>
      <c r="L555" s="20"/>
      <c r="M555" s="20"/>
      <c r="N555" s="20"/>
      <c r="O555" s="20"/>
      <c r="P555" s="20"/>
      <c r="Q555" s="20"/>
      <c r="R555" s="20"/>
      <c r="S555" s="20"/>
      <c r="T555" s="20"/>
      <c r="U555" s="20"/>
      <c r="V555" s="20"/>
      <c r="W555" s="20"/>
    </row>
    <row r="556" spans="1:23" x14ac:dyDescent="0.25">
      <c r="A556" s="177" t="s">
        <v>5000</v>
      </c>
      <c r="B556" s="177" t="s">
        <v>55</v>
      </c>
      <c r="C556" s="178" t="s">
        <v>5001</v>
      </c>
      <c r="D556" s="173" t="s">
        <v>3968</v>
      </c>
      <c r="E556" s="20"/>
      <c r="F556" s="20"/>
      <c r="G556" s="175"/>
      <c r="H556" s="20"/>
      <c r="I556" s="20"/>
      <c r="J556" s="20"/>
      <c r="K556" s="20"/>
      <c r="L556" s="20"/>
      <c r="M556" s="20"/>
      <c r="N556" s="20"/>
      <c r="O556" s="20"/>
      <c r="P556" s="20"/>
      <c r="Q556" s="20"/>
      <c r="R556" s="20"/>
      <c r="S556" s="20"/>
      <c r="T556" s="20"/>
      <c r="U556" s="20"/>
      <c r="V556" s="20"/>
      <c r="W556" s="20"/>
    </row>
    <row r="557" spans="1:23" x14ac:dyDescent="0.25">
      <c r="A557" s="177" t="s">
        <v>5002</v>
      </c>
      <c r="B557" s="177" t="s">
        <v>56</v>
      </c>
      <c r="C557" s="178" t="s">
        <v>5003</v>
      </c>
      <c r="D557" s="173" t="s">
        <v>3968</v>
      </c>
      <c r="E557" s="20"/>
      <c r="F557" s="20"/>
      <c r="G557" s="175"/>
      <c r="H557" s="20"/>
      <c r="I557" s="20"/>
      <c r="J557" s="20"/>
      <c r="K557" s="20"/>
      <c r="L557" s="20"/>
      <c r="M557" s="20"/>
      <c r="N557" s="20"/>
      <c r="O557" s="20"/>
      <c r="P557" s="20"/>
      <c r="Q557" s="20"/>
      <c r="R557" s="20"/>
      <c r="S557" s="20"/>
      <c r="T557" s="20"/>
      <c r="U557" s="20"/>
      <c r="V557" s="20"/>
      <c r="W557" s="20"/>
    </row>
    <row r="558" spans="1:23" x14ac:dyDescent="0.25">
      <c r="A558" s="177" t="s">
        <v>5004</v>
      </c>
      <c r="B558" s="177" t="s">
        <v>57</v>
      </c>
      <c r="C558" s="178" t="s">
        <v>5005</v>
      </c>
      <c r="D558" s="173" t="s">
        <v>3968</v>
      </c>
      <c r="E558" s="20"/>
      <c r="F558" s="20"/>
      <c r="G558" s="175"/>
      <c r="H558" s="20"/>
      <c r="I558" s="20"/>
      <c r="J558" s="20"/>
      <c r="K558" s="20"/>
      <c r="L558" s="20"/>
      <c r="M558" s="20"/>
      <c r="N558" s="20"/>
      <c r="O558" s="20"/>
      <c r="P558" s="20"/>
      <c r="Q558" s="20"/>
      <c r="R558" s="20"/>
      <c r="S558" s="20"/>
      <c r="T558" s="20"/>
      <c r="U558" s="20"/>
      <c r="V558" s="20"/>
      <c r="W558" s="20"/>
    </row>
    <row r="559" spans="1:23" x14ac:dyDescent="0.25">
      <c r="A559" s="177" t="s">
        <v>5006</v>
      </c>
      <c r="B559" s="177" t="s">
        <v>5007</v>
      </c>
      <c r="C559" s="178" t="s">
        <v>5008</v>
      </c>
      <c r="D559" s="173" t="s">
        <v>3968</v>
      </c>
      <c r="E559" s="20"/>
      <c r="F559" s="20"/>
      <c r="G559" s="175"/>
      <c r="H559" s="20"/>
      <c r="I559" s="20"/>
      <c r="J559" s="20"/>
      <c r="K559" s="20"/>
      <c r="L559" s="20"/>
      <c r="M559" s="20"/>
      <c r="N559" s="20"/>
      <c r="O559" s="20"/>
      <c r="P559" s="20"/>
      <c r="Q559" s="20"/>
      <c r="R559" s="20"/>
      <c r="S559" s="20"/>
      <c r="T559" s="20"/>
      <c r="U559" s="20"/>
      <c r="V559" s="20"/>
      <c r="W559" s="20"/>
    </row>
    <row r="560" spans="1:23" x14ac:dyDescent="0.25">
      <c r="A560" s="177" t="s">
        <v>5009</v>
      </c>
      <c r="B560" s="177" t="s">
        <v>5010</v>
      </c>
      <c r="C560" s="178" t="s">
        <v>5011</v>
      </c>
      <c r="D560" s="173" t="s">
        <v>3968</v>
      </c>
      <c r="E560" s="20"/>
      <c r="F560" s="20"/>
      <c r="G560" s="175"/>
      <c r="H560" s="20"/>
      <c r="I560" s="20"/>
      <c r="J560" s="20"/>
      <c r="K560" s="20"/>
      <c r="L560" s="20"/>
      <c r="M560" s="20"/>
      <c r="N560" s="20"/>
      <c r="O560" s="20"/>
      <c r="P560" s="20"/>
      <c r="Q560" s="20"/>
      <c r="R560" s="20"/>
      <c r="S560" s="20"/>
      <c r="T560" s="20"/>
      <c r="U560" s="20"/>
      <c r="V560" s="20"/>
      <c r="W560" s="20"/>
    </row>
    <row r="561" spans="1:23" x14ac:dyDescent="0.25">
      <c r="A561" s="177" t="s">
        <v>5012</v>
      </c>
      <c r="B561" s="177" t="s">
        <v>5013</v>
      </c>
      <c r="C561" s="178" t="s">
        <v>5014</v>
      </c>
      <c r="D561" s="173" t="s">
        <v>3968</v>
      </c>
      <c r="E561" s="20"/>
      <c r="F561" s="20"/>
      <c r="G561" s="175"/>
      <c r="H561" s="20"/>
      <c r="I561" s="20"/>
      <c r="J561" s="20"/>
      <c r="K561" s="20"/>
      <c r="L561" s="20"/>
      <c r="M561" s="20"/>
      <c r="N561" s="20"/>
      <c r="O561" s="20"/>
      <c r="P561" s="20"/>
      <c r="Q561" s="20"/>
      <c r="R561" s="20"/>
      <c r="S561" s="20"/>
      <c r="T561" s="20"/>
      <c r="U561" s="20"/>
      <c r="V561" s="20"/>
      <c r="W561" s="20"/>
    </row>
    <row r="562" spans="1:23" x14ac:dyDescent="0.25">
      <c r="A562" s="177" t="s">
        <v>5015</v>
      </c>
      <c r="B562" s="177" t="s">
        <v>5016</v>
      </c>
      <c r="C562" s="178" t="s">
        <v>5017</v>
      </c>
      <c r="D562" s="173" t="s">
        <v>3968</v>
      </c>
      <c r="E562" s="20"/>
      <c r="F562" s="20"/>
      <c r="G562" s="175"/>
      <c r="H562" s="20"/>
      <c r="I562" s="20"/>
      <c r="J562" s="20"/>
      <c r="K562" s="20"/>
      <c r="L562" s="20"/>
      <c r="M562" s="20"/>
      <c r="N562" s="20"/>
      <c r="O562" s="20"/>
      <c r="P562" s="20"/>
      <c r="Q562" s="20"/>
      <c r="R562" s="20"/>
      <c r="S562" s="20"/>
      <c r="T562" s="20"/>
      <c r="U562" s="20"/>
      <c r="V562" s="20"/>
      <c r="W562" s="20"/>
    </row>
    <row r="563" spans="1:23" x14ac:dyDescent="0.25">
      <c r="A563" s="177" t="s">
        <v>5018</v>
      </c>
      <c r="B563" s="177" t="s">
        <v>5019</v>
      </c>
      <c r="C563" s="178" t="s">
        <v>5020</v>
      </c>
      <c r="D563" s="173" t="s">
        <v>3968</v>
      </c>
      <c r="E563" s="20"/>
      <c r="F563" s="20"/>
      <c r="G563" s="175"/>
      <c r="H563" s="20"/>
      <c r="I563" s="20"/>
      <c r="J563" s="20"/>
      <c r="K563" s="20"/>
      <c r="L563" s="20"/>
      <c r="M563" s="20"/>
      <c r="N563" s="20"/>
      <c r="O563" s="20"/>
      <c r="P563" s="20"/>
      <c r="Q563" s="20"/>
      <c r="R563" s="20"/>
      <c r="S563" s="20"/>
      <c r="T563" s="20"/>
      <c r="U563" s="20"/>
      <c r="V563" s="20"/>
      <c r="W563" s="20"/>
    </row>
    <row r="564" spans="1:23" x14ac:dyDescent="0.25">
      <c r="A564" s="177" t="s">
        <v>5021</v>
      </c>
      <c r="B564" s="177" t="s">
        <v>5022</v>
      </c>
      <c r="C564" s="178" t="s">
        <v>5023</v>
      </c>
      <c r="D564" s="173" t="s">
        <v>3968</v>
      </c>
      <c r="E564" s="20"/>
      <c r="F564" s="20"/>
      <c r="G564" s="175"/>
      <c r="H564" s="20"/>
      <c r="I564" s="20"/>
      <c r="J564" s="20"/>
      <c r="K564" s="20"/>
      <c r="L564" s="20"/>
      <c r="M564" s="20"/>
      <c r="N564" s="20"/>
      <c r="O564" s="20"/>
      <c r="P564" s="20"/>
      <c r="Q564" s="20"/>
      <c r="R564" s="20"/>
      <c r="S564" s="20"/>
      <c r="T564" s="20"/>
      <c r="U564" s="20"/>
      <c r="V564" s="20"/>
      <c r="W564" s="20"/>
    </row>
    <row r="565" spans="1:23" x14ac:dyDescent="0.25">
      <c r="A565" s="177" t="s">
        <v>5024</v>
      </c>
      <c r="B565" s="177" t="s">
        <v>5025</v>
      </c>
      <c r="C565" s="178" t="s">
        <v>5026</v>
      </c>
      <c r="D565" s="173" t="s">
        <v>3968</v>
      </c>
      <c r="E565" s="20"/>
      <c r="F565" s="20"/>
      <c r="G565" s="175"/>
      <c r="H565" s="20"/>
      <c r="I565" s="20"/>
      <c r="J565" s="20"/>
      <c r="K565" s="20"/>
      <c r="L565" s="20"/>
      <c r="M565" s="20"/>
      <c r="N565" s="20"/>
      <c r="O565" s="20"/>
      <c r="P565" s="20"/>
      <c r="Q565" s="20"/>
      <c r="R565" s="20"/>
      <c r="S565" s="20"/>
      <c r="T565" s="20"/>
      <c r="U565" s="20"/>
      <c r="V565" s="20"/>
      <c r="W565" s="20"/>
    </row>
    <row r="566" spans="1:23" x14ac:dyDescent="0.25">
      <c r="A566" s="177" t="s">
        <v>5027</v>
      </c>
      <c r="B566" s="177" t="s">
        <v>749</v>
      </c>
      <c r="C566" s="178" t="s">
        <v>5028</v>
      </c>
      <c r="D566" s="173" t="s">
        <v>3968</v>
      </c>
      <c r="E566" s="20"/>
      <c r="F566" s="20"/>
      <c r="G566" s="175"/>
      <c r="H566" s="20"/>
      <c r="I566" s="20"/>
      <c r="J566" s="20"/>
      <c r="K566" s="20"/>
      <c r="L566" s="20"/>
      <c r="M566" s="20"/>
      <c r="N566" s="20"/>
      <c r="O566" s="20"/>
      <c r="P566" s="20"/>
      <c r="Q566" s="20"/>
      <c r="R566" s="20"/>
      <c r="S566" s="20"/>
      <c r="T566" s="20"/>
      <c r="U566" s="20"/>
      <c r="V566" s="20"/>
      <c r="W566" s="20"/>
    </row>
    <row r="567" spans="1:23" x14ac:dyDescent="0.25">
      <c r="A567" s="177" t="s">
        <v>5029</v>
      </c>
      <c r="B567" s="177" t="s">
        <v>421</v>
      </c>
      <c r="C567" s="178" t="s">
        <v>5030</v>
      </c>
      <c r="D567" s="173" t="s">
        <v>3968</v>
      </c>
      <c r="E567" s="20"/>
      <c r="F567" s="20"/>
      <c r="G567" s="175"/>
      <c r="H567" s="20"/>
      <c r="I567" s="20"/>
      <c r="J567" s="20"/>
      <c r="K567" s="20"/>
      <c r="L567" s="20"/>
      <c r="M567" s="20"/>
      <c r="N567" s="20"/>
      <c r="O567" s="20"/>
      <c r="P567" s="20"/>
      <c r="Q567" s="20"/>
      <c r="R567" s="20"/>
      <c r="S567" s="20"/>
      <c r="T567" s="20"/>
      <c r="U567" s="20"/>
      <c r="V567" s="20"/>
      <c r="W567" s="20"/>
    </row>
    <row r="568" spans="1:23" x14ac:dyDescent="0.25">
      <c r="A568" s="171" t="s">
        <v>5031</v>
      </c>
      <c r="B568" s="177" t="s">
        <v>5032</v>
      </c>
      <c r="C568" s="178" t="s">
        <v>5033</v>
      </c>
      <c r="D568" s="173" t="s">
        <v>3968</v>
      </c>
      <c r="E568" s="20"/>
      <c r="F568" s="20"/>
      <c r="G568" s="175"/>
      <c r="H568" s="20"/>
      <c r="I568" s="20"/>
      <c r="J568" s="20"/>
      <c r="K568" s="20"/>
      <c r="L568" s="20"/>
      <c r="M568" s="20"/>
      <c r="N568" s="20"/>
      <c r="O568" s="20"/>
      <c r="P568" s="20"/>
      <c r="Q568" s="20"/>
      <c r="R568" s="20"/>
      <c r="S568" s="20"/>
      <c r="T568" s="20"/>
      <c r="U568" s="20"/>
      <c r="V568" s="20"/>
      <c r="W568" s="20"/>
    </row>
    <row r="569" spans="1:23" x14ac:dyDescent="0.25">
      <c r="A569" s="177" t="s">
        <v>5034</v>
      </c>
      <c r="B569" s="177" t="s">
        <v>1246</v>
      </c>
      <c r="C569" s="178" t="s">
        <v>5035</v>
      </c>
      <c r="D569" s="173" t="s">
        <v>3968</v>
      </c>
      <c r="E569" s="20"/>
      <c r="F569" s="20"/>
      <c r="G569" s="175"/>
      <c r="H569" s="20"/>
      <c r="I569" s="20"/>
      <c r="J569" s="20"/>
      <c r="K569" s="20"/>
      <c r="L569" s="20"/>
      <c r="M569" s="20"/>
      <c r="N569" s="20"/>
      <c r="O569" s="20"/>
      <c r="P569" s="20"/>
      <c r="Q569" s="20"/>
      <c r="R569" s="20"/>
      <c r="S569" s="20"/>
      <c r="T569" s="20"/>
      <c r="U569" s="20"/>
      <c r="V569" s="20"/>
      <c r="W569" s="20"/>
    </row>
    <row r="570" spans="1:23" x14ac:dyDescent="0.25">
      <c r="A570" s="177" t="s">
        <v>5036</v>
      </c>
      <c r="B570" s="177" t="s">
        <v>2260</v>
      </c>
      <c r="C570" s="178" t="s">
        <v>5037</v>
      </c>
      <c r="D570" s="173" t="s">
        <v>3968</v>
      </c>
      <c r="E570" s="20"/>
      <c r="F570" s="20"/>
      <c r="G570" s="175"/>
      <c r="H570" s="20"/>
      <c r="I570" s="20"/>
      <c r="J570" s="20"/>
      <c r="K570" s="20"/>
      <c r="L570" s="20"/>
      <c r="M570" s="20"/>
      <c r="N570" s="20"/>
      <c r="O570" s="20"/>
      <c r="P570" s="20"/>
      <c r="Q570" s="20"/>
      <c r="R570" s="20"/>
      <c r="S570" s="20"/>
      <c r="T570" s="20"/>
      <c r="U570" s="20"/>
      <c r="V570" s="20"/>
      <c r="W570" s="20"/>
    </row>
    <row r="571" spans="1:23" x14ac:dyDescent="0.25">
      <c r="A571" s="177" t="s">
        <v>5038</v>
      </c>
      <c r="B571" s="177" t="s">
        <v>5039</v>
      </c>
      <c r="C571" s="178" t="s">
        <v>5040</v>
      </c>
      <c r="D571" s="173" t="s">
        <v>3968</v>
      </c>
      <c r="E571" s="20"/>
      <c r="F571" s="20"/>
      <c r="G571" s="175"/>
      <c r="H571" s="20"/>
      <c r="I571" s="20"/>
      <c r="J571" s="20"/>
      <c r="K571" s="20"/>
      <c r="L571" s="20"/>
      <c r="M571" s="20"/>
      <c r="N571" s="20"/>
      <c r="O571" s="20"/>
      <c r="P571" s="20"/>
      <c r="Q571" s="20"/>
      <c r="R571" s="20"/>
      <c r="S571" s="20"/>
      <c r="T571" s="20"/>
      <c r="U571" s="20"/>
      <c r="V571" s="20"/>
      <c r="W571" s="20"/>
    </row>
    <row r="572" spans="1:23" x14ac:dyDescent="0.25">
      <c r="A572" s="177" t="s">
        <v>5041</v>
      </c>
      <c r="B572" s="177" t="s">
        <v>2982</v>
      </c>
      <c r="C572" s="178" t="s">
        <v>5042</v>
      </c>
      <c r="D572" s="173" t="s">
        <v>3968</v>
      </c>
      <c r="E572" s="20"/>
      <c r="F572" s="20"/>
      <c r="G572" s="175"/>
      <c r="H572" s="20"/>
      <c r="I572" s="20"/>
      <c r="J572" s="20"/>
      <c r="K572" s="20"/>
      <c r="L572" s="20"/>
      <c r="M572" s="20"/>
      <c r="N572" s="20"/>
      <c r="O572" s="20"/>
      <c r="P572" s="20"/>
      <c r="Q572" s="20"/>
      <c r="R572" s="20"/>
      <c r="S572" s="20"/>
      <c r="T572" s="20"/>
      <c r="U572" s="20"/>
      <c r="V572" s="20"/>
      <c r="W572" s="20"/>
    </row>
    <row r="573" spans="1:23" x14ac:dyDescent="0.25">
      <c r="A573" s="177" t="s">
        <v>5043</v>
      </c>
      <c r="B573" s="177" t="s">
        <v>2987</v>
      </c>
      <c r="C573" s="178" t="s">
        <v>5044</v>
      </c>
      <c r="D573" s="173" t="s">
        <v>3968</v>
      </c>
      <c r="E573" s="20"/>
      <c r="F573" s="20"/>
      <c r="G573" s="175"/>
      <c r="H573" s="20"/>
      <c r="I573" s="20"/>
      <c r="J573" s="20"/>
      <c r="K573" s="20"/>
      <c r="L573" s="20"/>
      <c r="M573" s="20"/>
      <c r="N573" s="20"/>
      <c r="O573" s="20"/>
      <c r="P573" s="20"/>
      <c r="Q573" s="20"/>
      <c r="R573" s="20"/>
      <c r="S573" s="20"/>
      <c r="T573" s="20"/>
      <c r="U573" s="20"/>
      <c r="V573" s="20"/>
      <c r="W573" s="20"/>
    </row>
    <row r="574" spans="1:23" x14ac:dyDescent="0.25">
      <c r="A574" s="177" t="s">
        <v>5045</v>
      </c>
      <c r="B574" s="177" t="s">
        <v>2991</v>
      </c>
      <c r="C574" s="178" t="s">
        <v>5046</v>
      </c>
      <c r="D574" s="173" t="s">
        <v>3968</v>
      </c>
      <c r="E574" s="20"/>
      <c r="F574" s="20"/>
      <c r="G574" s="175"/>
      <c r="H574" s="20"/>
      <c r="I574" s="20"/>
      <c r="J574" s="20"/>
      <c r="K574" s="20"/>
      <c r="L574" s="20"/>
      <c r="M574" s="20"/>
      <c r="N574" s="20"/>
      <c r="O574" s="20"/>
      <c r="P574" s="20"/>
      <c r="Q574" s="20"/>
      <c r="R574" s="20"/>
      <c r="S574" s="20"/>
      <c r="T574" s="20"/>
      <c r="U574" s="20"/>
      <c r="V574" s="20"/>
      <c r="W574" s="20"/>
    </row>
    <row r="575" spans="1:23" x14ac:dyDescent="0.25">
      <c r="A575" s="177" t="s">
        <v>5047</v>
      </c>
      <c r="B575" s="177" t="s">
        <v>2995</v>
      </c>
      <c r="C575" s="178" t="s">
        <v>5048</v>
      </c>
      <c r="D575" s="173" t="s">
        <v>3968</v>
      </c>
      <c r="E575" s="20"/>
      <c r="F575" s="20"/>
      <c r="G575" s="175"/>
      <c r="H575" s="20"/>
      <c r="I575" s="20"/>
      <c r="J575" s="20"/>
      <c r="K575" s="20"/>
      <c r="L575" s="20"/>
      <c r="M575" s="20"/>
      <c r="N575" s="20"/>
      <c r="O575" s="20"/>
      <c r="P575" s="20"/>
      <c r="Q575" s="20"/>
      <c r="R575" s="20"/>
      <c r="S575" s="20"/>
      <c r="T575" s="20"/>
      <c r="U575" s="20"/>
      <c r="V575" s="20"/>
      <c r="W575" s="20"/>
    </row>
    <row r="576" spans="1:23" x14ac:dyDescent="0.25">
      <c r="A576" s="177" t="s">
        <v>5049</v>
      </c>
      <c r="B576" s="177" t="s">
        <v>2999</v>
      </c>
      <c r="C576" s="178" t="s">
        <v>5050</v>
      </c>
      <c r="D576" s="173" t="s">
        <v>3968</v>
      </c>
      <c r="E576" s="20"/>
      <c r="F576" s="20"/>
      <c r="G576" s="175"/>
      <c r="H576" s="20"/>
      <c r="I576" s="20"/>
      <c r="J576" s="20"/>
      <c r="K576" s="20"/>
      <c r="L576" s="20"/>
      <c r="M576" s="20"/>
      <c r="N576" s="20"/>
      <c r="O576" s="20"/>
      <c r="P576" s="20"/>
      <c r="Q576" s="20"/>
      <c r="R576" s="20"/>
      <c r="S576" s="20"/>
      <c r="T576" s="20"/>
      <c r="U576" s="20"/>
      <c r="V576" s="20"/>
      <c r="W576" s="20"/>
    </row>
    <row r="577" spans="1:23" x14ac:dyDescent="0.25">
      <c r="A577" s="177" t="s">
        <v>5051</v>
      </c>
      <c r="B577" s="177" t="s">
        <v>3003</v>
      </c>
      <c r="C577" s="178" t="s">
        <v>5052</v>
      </c>
      <c r="D577" s="173" t="s">
        <v>3968</v>
      </c>
      <c r="E577" s="20"/>
      <c r="F577" s="20"/>
      <c r="G577" s="175"/>
      <c r="H577" s="20"/>
      <c r="I577" s="20"/>
      <c r="J577" s="20"/>
      <c r="K577" s="20"/>
      <c r="L577" s="20"/>
      <c r="M577" s="20"/>
      <c r="N577" s="20"/>
      <c r="O577" s="20"/>
      <c r="P577" s="20"/>
      <c r="Q577" s="20"/>
      <c r="R577" s="20"/>
      <c r="S577" s="20"/>
      <c r="T577" s="20"/>
      <c r="U577" s="20"/>
      <c r="V577" s="20"/>
      <c r="W577" s="20"/>
    </row>
    <row r="578" spans="1:23" x14ac:dyDescent="0.25">
      <c r="A578" s="177" t="s">
        <v>5053</v>
      </c>
      <c r="B578" s="177" t="s">
        <v>3007</v>
      </c>
      <c r="C578" s="178" t="s">
        <v>5054</v>
      </c>
      <c r="D578" s="173" t="s">
        <v>3968</v>
      </c>
      <c r="E578" s="20"/>
      <c r="F578" s="20"/>
      <c r="G578" s="175"/>
      <c r="H578" s="20"/>
      <c r="I578" s="20"/>
      <c r="J578" s="20"/>
      <c r="K578" s="20"/>
      <c r="L578" s="20"/>
      <c r="M578" s="20"/>
      <c r="N578" s="20"/>
      <c r="O578" s="20"/>
      <c r="P578" s="20"/>
      <c r="Q578" s="20"/>
      <c r="R578" s="20"/>
      <c r="S578" s="20"/>
      <c r="T578" s="20"/>
      <c r="U578" s="20"/>
      <c r="V578" s="20"/>
      <c r="W578" s="20"/>
    </row>
    <row r="579" spans="1:23" x14ac:dyDescent="0.25">
      <c r="A579" s="177" t="s">
        <v>5055</v>
      </c>
      <c r="B579" s="177" t="s">
        <v>3011</v>
      </c>
      <c r="C579" s="178" t="s">
        <v>5056</v>
      </c>
      <c r="D579" s="173" t="s">
        <v>3968</v>
      </c>
      <c r="E579" s="20"/>
      <c r="F579" s="20"/>
      <c r="G579" s="175"/>
      <c r="H579" s="20"/>
      <c r="I579" s="20"/>
      <c r="J579" s="20"/>
      <c r="K579" s="20"/>
      <c r="L579" s="20"/>
      <c r="M579" s="20"/>
      <c r="N579" s="20"/>
      <c r="O579" s="20"/>
      <c r="P579" s="20"/>
      <c r="Q579" s="20"/>
      <c r="R579" s="20"/>
      <c r="S579" s="20"/>
      <c r="T579" s="20"/>
      <c r="U579" s="20"/>
      <c r="V579" s="20"/>
      <c r="W579" s="20"/>
    </row>
    <row r="580" spans="1:23" x14ac:dyDescent="0.25">
      <c r="A580" s="177" t="s">
        <v>5057</v>
      </c>
      <c r="B580" s="177" t="s">
        <v>3015</v>
      </c>
      <c r="C580" s="178" t="s">
        <v>5058</v>
      </c>
      <c r="D580" s="173" t="s">
        <v>3968</v>
      </c>
      <c r="E580" s="20"/>
      <c r="F580" s="20"/>
      <c r="G580" s="175"/>
      <c r="H580" s="20"/>
      <c r="I580" s="20"/>
      <c r="J580" s="20"/>
      <c r="K580" s="20"/>
      <c r="L580" s="20"/>
      <c r="M580" s="20"/>
      <c r="N580" s="20"/>
      <c r="O580" s="20"/>
      <c r="P580" s="20"/>
      <c r="Q580" s="20"/>
      <c r="R580" s="20"/>
      <c r="S580" s="20"/>
      <c r="T580" s="20"/>
      <c r="U580" s="20"/>
      <c r="V580" s="20"/>
      <c r="W580" s="20"/>
    </row>
    <row r="581" spans="1:23" x14ac:dyDescent="0.25">
      <c r="A581" s="177" t="s">
        <v>5059</v>
      </c>
      <c r="B581" s="177" t="s">
        <v>3019</v>
      </c>
      <c r="C581" s="178" t="s">
        <v>5060</v>
      </c>
      <c r="D581" s="173" t="s">
        <v>3968</v>
      </c>
      <c r="E581" s="20"/>
      <c r="F581" s="20"/>
      <c r="G581" s="175"/>
      <c r="H581" s="20"/>
      <c r="I581" s="20"/>
      <c r="J581" s="20"/>
      <c r="K581" s="20"/>
      <c r="L581" s="20"/>
      <c r="M581" s="20"/>
      <c r="N581" s="20"/>
      <c r="O581" s="20"/>
      <c r="P581" s="20"/>
      <c r="Q581" s="20"/>
      <c r="R581" s="20"/>
      <c r="S581" s="20"/>
      <c r="T581" s="20"/>
      <c r="U581" s="20"/>
      <c r="V581" s="20"/>
      <c r="W581" s="20"/>
    </row>
    <row r="582" spans="1:23" x14ac:dyDescent="0.25">
      <c r="A582" s="177" t="s">
        <v>5061</v>
      </c>
      <c r="B582" s="177" t="s">
        <v>5062</v>
      </c>
      <c r="C582" s="178" t="s">
        <v>5063</v>
      </c>
      <c r="D582" s="173" t="s">
        <v>3968</v>
      </c>
      <c r="E582" s="20"/>
      <c r="F582" s="20"/>
      <c r="G582" s="175"/>
      <c r="H582" s="20"/>
      <c r="I582" s="20"/>
      <c r="J582" s="20"/>
      <c r="K582" s="20"/>
      <c r="L582" s="20"/>
      <c r="M582" s="20"/>
      <c r="N582" s="20"/>
      <c r="O582" s="20"/>
      <c r="P582" s="20"/>
      <c r="Q582" s="20"/>
      <c r="R582" s="20"/>
      <c r="S582" s="20"/>
      <c r="T582" s="20"/>
      <c r="U582" s="20"/>
      <c r="V582" s="20"/>
      <c r="W582" s="20"/>
    </row>
    <row r="583" spans="1:23" x14ac:dyDescent="0.25">
      <c r="A583" s="177" t="s">
        <v>5064</v>
      </c>
      <c r="B583" s="177" t="s">
        <v>5065</v>
      </c>
      <c r="C583" s="178" t="s">
        <v>5066</v>
      </c>
      <c r="D583" s="173" t="s">
        <v>3968</v>
      </c>
      <c r="E583" s="20"/>
      <c r="F583" s="20"/>
      <c r="G583" s="175"/>
      <c r="H583" s="20"/>
      <c r="I583" s="20"/>
      <c r="J583" s="20"/>
      <c r="K583" s="20"/>
      <c r="L583" s="20"/>
      <c r="M583" s="20"/>
      <c r="N583" s="20"/>
      <c r="O583" s="20"/>
      <c r="P583" s="20"/>
      <c r="Q583" s="20"/>
      <c r="R583" s="20"/>
      <c r="S583" s="20"/>
      <c r="T583" s="20"/>
      <c r="U583" s="20"/>
      <c r="V583" s="20"/>
      <c r="W583" s="20"/>
    </row>
    <row r="584" spans="1:23" x14ac:dyDescent="0.25">
      <c r="A584" s="177" t="s">
        <v>5067</v>
      </c>
      <c r="B584" s="177" t="s">
        <v>5068</v>
      </c>
      <c r="C584" s="178" t="s">
        <v>5069</v>
      </c>
      <c r="D584" s="173" t="s">
        <v>3968</v>
      </c>
      <c r="E584" s="20"/>
      <c r="F584" s="20"/>
      <c r="G584" s="175"/>
      <c r="H584" s="20"/>
      <c r="I584" s="20"/>
      <c r="J584" s="20"/>
      <c r="K584" s="20"/>
      <c r="L584" s="20"/>
      <c r="M584" s="20"/>
      <c r="N584" s="20"/>
      <c r="O584" s="20"/>
      <c r="P584" s="20"/>
      <c r="Q584" s="20"/>
      <c r="R584" s="20"/>
      <c r="S584" s="20"/>
      <c r="T584" s="20"/>
      <c r="U584" s="20"/>
      <c r="V584" s="20"/>
      <c r="W584" s="20"/>
    </row>
    <row r="585" spans="1:23" x14ac:dyDescent="0.25">
      <c r="A585" s="177" t="s">
        <v>5070</v>
      </c>
      <c r="B585" s="177" t="s">
        <v>5071</v>
      </c>
      <c r="C585" s="178" t="s">
        <v>5072</v>
      </c>
      <c r="D585" s="173" t="s">
        <v>3968</v>
      </c>
      <c r="E585" s="20"/>
      <c r="F585" s="20"/>
      <c r="G585" s="175"/>
      <c r="H585" s="20"/>
      <c r="I585" s="20"/>
      <c r="J585" s="20"/>
      <c r="K585" s="20"/>
      <c r="L585" s="20"/>
      <c r="M585" s="20"/>
      <c r="N585" s="20"/>
      <c r="O585" s="20"/>
      <c r="P585" s="20"/>
      <c r="Q585" s="20"/>
      <c r="R585" s="20"/>
      <c r="S585" s="20"/>
      <c r="T585" s="20"/>
      <c r="U585" s="20"/>
      <c r="V585" s="20"/>
      <c r="W585" s="20"/>
    </row>
    <row r="586" spans="1:23" x14ac:dyDescent="0.25">
      <c r="A586" s="177" t="s">
        <v>5073</v>
      </c>
      <c r="B586" s="177" t="s">
        <v>5074</v>
      </c>
      <c r="C586" s="178" t="s">
        <v>5075</v>
      </c>
      <c r="D586" s="173" t="s">
        <v>3968</v>
      </c>
      <c r="E586" s="20"/>
      <c r="F586" s="20"/>
      <c r="G586" s="175"/>
      <c r="H586" s="20"/>
      <c r="I586" s="20"/>
      <c r="J586" s="20"/>
      <c r="K586" s="20"/>
      <c r="L586" s="20"/>
      <c r="M586" s="20"/>
      <c r="N586" s="20"/>
      <c r="O586" s="20"/>
      <c r="P586" s="20"/>
      <c r="Q586" s="20"/>
      <c r="R586" s="20"/>
      <c r="S586" s="20"/>
      <c r="T586" s="20"/>
      <c r="U586" s="20"/>
      <c r="V586" s="20"/>
      <c r="W586" s="20"/>
    </row>
    <row r="587" spans="1:23" x14ac:dyDescent="0.25">
      <c r="A587" s="177" t="s">
        <v>5076</v>
      </c>
      <c r="B587" s="177" t="s">
        <v>5077</v>
      </c>
      <c r="C587" s="178" t="s">
        <v>5078</v>
      </c>
      <c r="D587" s="173" t="s">
        <v>3968</v>
      </c>
      <c r="E587" s="20"/>
      <c r="F587" s="20"/>
      <c r="G587" s="175"/>
      <c r="H587" s="20"/>
      <c r="I587" s="20"/>
      <c r="J587" s="20"/>
      <c r="K587" s="20"/>
      <c r="L587" s="20"/>
      <c r="M587" s="20"/>
      <c r="N587" s="20"/>
      <c r="O587" s="20"/>
      <c r="P587" s="20"/>
      <c r="Q587" s="20"/>
      <c r="R587" s="20"/>
      <c r="S587" s="20"/>
      <c r="T587" s="20"/>
      <c r="U587" s="20"/>
      <c r="V587" s="20"/>
      <c r="W587" s="20"/>
    </row>
    <row r="588" spans="1:23" x14ac:dyDescent="0.25">
      <c r="A588" s="177" t="s">
        <v>5079</v>
      </c>
      <c r="B588" s="177" t="s">
        <v>5080</v>
      </c>
      <c r="C588" s="178" t="s">
        <v>5081</v>
      </c>
      <c r="D588" s="173" t="s">
        <v>3968</v>
      </c>
      <c r="E588" s="20"/>
      <c r="F588" s="20"/>
      <c r="G588" s="175"/>
      <c r="H588" s="20"/>
      <c r="I588" s="20"/>
      <c r="J588" s="20"/>
      <c r="K588" s="20"/>
      <c r="L588" s="20"/>
      <c r="M588" s="20"/>
      <c r="N588" s="20"/>
      <c r="O588" s="20"/>
      <c r="P588" s="20"/>
      <c r="Q588" s="20"/>
      <c r="R588" s="20"/>
      <c r="S588" s="20"/>
      <c r="T588" s="20"/>
      <c r="U588" s="20"/>
      <c r="V588" s="20"/>
      <c r="W588" s="20"/>
    </row>
    <row r="589" spans="1:23" x14ac:dyDescent="0.25">
      <c r="A589" s="177" t="s">
        <v>5082</v>
      </c>
      <c r="B589" s="177" t="s">
        <v>446</v>
      </c>
      <c r="C589" s="178" t="s">
        <v>5083</v>
      </c>
      <c r="D589" s="173" t="s">
        <v>3968</v>
      </c>
      <c r="E589" s="20"/>
      <c r="F589" s="20"/>
      <c r="G589" s="175"/>
      <c r="H589" s="20"/>
      <c r="I589" s="20"/>
      <c r="J589" s="20"/>
      <c r="K589" s="20"/>
      <c r="L589" s="20"/>
      <c r="M589" s="20"/>
      <c r="N589" s="20"/>
      <c r="O589" s="20"/>
      <c r="P589" s="20"/>
      <c r="Q589" s="20"/>
      <c r="R589" s="20"/>
      <c r="S589" s="20"/>
      <c r="T589" s="20"/>
      <c r="U589" s="20"/>
      <c r="V589" s="20"/>
      <c r="W589" s="20"/>
    </row>
    <row r="590" spans="1:23" x14ac:dyDescent="0.25">
      <c r="A590" s="177" t="s">
        <v>5084</v>
      </c>
      <c r="B590" s="177" t="s">
        <v>1393</v>
      </c>
      <c r="C590" s="178" t="s">
        <v>5085</v>
      </c>
      <c r="D590" s="173" t="s">
        <v>3968</v>
      </c>
      <c r="E590" s="20"/>
      <c r="F590" s="20"/>
      <c r="G590" s="175"/>
      <c r="H590" s="20"/>
      <c r="I590" s="20"/>
      <c r="J590" s="20"/>
      <c r="K590" s="20"/>
      <c r="L590" s="20"/>
      <c r="M590" s="20"/>
      <c r="N590" s="20"/>
      <c r="O590" s="20"/>
      <c r="P590" s="20"/>
      <c r="Q590" s="20"/>
      <c r="R590" s="20"/>
      <c r="S590" s="20"/>
      <c r="T590" s="20"/>
      <c r="U590" s="20"/>
      <c r="V590" s="20"/>
      <c r="W590" s="20"/>
    </row>
    <row r="591" spans="1:23" x14ac:dyDescent="0.25">
      <c r="A591" s="177" t="s">
        <v>5086</v>
      </c>
      <c r="B591" s="177" t="s">
        <v>432</v>
      </c>
      <c r="C591" s="178" t="s">
        <v>5087</v>
      </c>
      <c r="D591" s="173" t="s">
        <v>3968</v>
      </c>
      <c r="E591" s="20"/>
      <c r="F591" s="20"/>
      <c r="G591" s="175"/>
      <c r="H591" s="20"/>
      <c r="I591" s="20"/>
      <c r="J591" s="20"/>
      <c r="K591" s="20"/>
      <c r="L591" s="20"/>
      <c r="M591" s="20"/>
      <c r="N591" s="20"/>
      <c r="O591" s="20"/>
      <c r="P591" s="20"/>
      <c r="Q591" s="20"/>
      <c r="R591" s="20"/>
      <c r="S591" s="20"/>
      <c r="T591" s="20"/>
      <c r="U591" s="20"/>
      <c r="V591" s="20"/>
      <c r="W591" s="20"/>
    </row>
    <row r="592" spans="1:23" x14ac:dyDescent="0.25">
      <c r="A592" s="171" t="s">
        <v>5088</v>
      </c>
      <c r="B592" s="177" t="s">
        <v>5089</v>
      </c>
      <c r="C592" s="178" t="s">
        <v>5090</v>
      </c>
      <c r="D592" s="173" t="s">
        <v>3968</v>
      </c>
      <c r="E592" s="20"/>
      <c r="F592" s="20"/>
      <c r="G592" s="175"/>
      <c r="H592" s="20"/>
      <c r="I592" s="20"/>
      <c r="J592" s="20"/>
      <c r="K592" s="20"/>
      <c r="L592" s="20"/>
      <c r="M592" s="20"/>
      <c r="N592" s="20"/>
      <c r="O592" s="20"/>
      <c r="P592" s="20"/>
      <c r="Q592" s="20"/>
      <c r="R592" s="20"/>
      <c r="S592" s="20"/>
      <c r="T592" s="20"/>
      <c r="U592" s="20"/>
      <c r="V592" s="20"/>
      <c r="W592" s="20"/>
    </row>
    <row r="593" spans="1:23" x14ac:dyDescent="0.25">
      <c r="A593" s="177" t="s">
        <v>5091</v>
      </c>
      <c r="B593" s="177" t="s">
        <v>443</v>
      </c>
      <c r="C593" s="178" t="s">
        <v>5092</v>
      </c>
      <c r="D593" s="173" t="s">
        <v>3968</v>
      </c>
      <c r="E593" s="20"/>
      <c r="F593" s="20"/>
      <c r="G593" s="175"/>
      <c r="H593" s="20"/>
      <c r="I593" s="20"/>
      <c r="J593" s="20"/>
      <c r="K593" s="20"/>
      <c r="L593" s="20"/>
      <c r="M593" s="20"/>
      <c r="N593" s="20"/>
      <c r="O593" s="20"/>
      <c r="P593" s="20"/>
      <c r="Q593" s="20"/>
      <c r="R593" s="20"/>
      <c r="S593" s="20"/>
      <c r="T593" s="20"/>
      <c r="U593" s="20"/>
      <c r="V593" s="20"/>
      <c r="W593" s="20"/>
    </row>
    <row r="594" spans="1:23" x14ac:dyDescent="0.25">
      <c r="A594" s="177" t="s">
        <v>5093</v>
      </c>
      <c r="B594" s="177" t="s">
        <v>596</v>
      </c>
      <c r="C594" s="178" t="s">
        <v>5094</v>
      </c>
      <c r="D594" s="173" t="s">
        <v>3968</v>
      </c>
      <c r="E594" s="20"/>
      <c r="F594" s="20"/>
      <c r="G594" s="175"/>
      <c r="H594" s="20"/>
      <c r="I594" s="20"/>
      <c r="J594" s="20"/>
      <c r="K594" s="20"/>
      <c r="L594" s="20"/>
      <c r="M594" s="20"/>
      <c r="N594" s="20"/>
      <c r="O594" s="20"/>
      <c r="P594" s="20"/>
      <c r="Q594" s="20"/>
      <c r="R594" s="20"/>
      <c r="S594" s="20"/>
      <c r="T594" s="20"/>
      <c r="U594" s="20"/>
      <c r="V594" s="20"/>
      <c r="W594" s="20"/>
    </row>
    <row r="595" spans="1:23" x14ac:dyDescent="0.25">
      <c r="A595" s="177" t="s">
        <v>5095</v>
      </c>
      <c r="B595" s="177" t="s">
        <v>1129</v>
      </c>
      <c r="C595" s="178" t="s">
        <v>5096</v>
      </c>
      <c r="D595" s="173" t="s">
        <v>3968</v>
      </c>
      <c r="E595" s="20"/>
      <c r="F595" s="20"/>
      <c r="G595" s="175"/>
      <c r="H595" s="20"/>
      <c r="I595" s="20"/>
      <c r="J595" s="20"/>
      <c r="K595" s="20"/>
      <c r="L595" s="20"/>
      <c r="M595" s="20"/>
      <c r="N595" s="20"/>
      <c r="O595" s="20"/>
      <c r="P595" s="20"/>
      <c r="Q595" s="20"/>
      <c r="R595" s="20"/>
      <c r="S595" s="20"/>
      <c r="T595" s="20"/>
      <c r="U595" s="20"/>
      <c r="V595" s="20"/>
      <c r="W595" s="20"/>
    </row>
    <row r="596" spans="1:23" x14ac:dyDescent="0.25">
      <c r="A596" s="177" t="s">
        <v>5097</v>
      </c>
      <c r="B596" s="177" t="s">
        <v>756</v>
      </c>
      <c r="C596" s="178" t="s">
        <v>5098</v>
      </c>
      <c r="D596" s="173" t="s">
        <v>3968</v>
      </c>
      <c r="E596" s="20"/>
      <c r="F596" s="20"/>
      <c r="G596" s="175"/>
      <c r="H596" s="20"/>
      <c r="I596" s="20"/>
      <c r="J596" s="20"/>
      <c r="K596" s="20"/>
      <c r="L596" s="20"/>
      <c r="M596" s="20"/>
      <c r="N596" s="20"/>
      <c r="O596" s="20"/>
      <c r="P596" s="20"/>
      <c r="Q596" s="20"/>
      <c r="R596" s="20"/>
      <c r="S596" s="20"/>
      <c r="T596" s="20"/>
      <c r="U596" s="20"/>
      <c r="V596" s="20"/>
      <c r="W596" s="20"/>
    </row>
    <row r="597" spans="1:23" x14ac:dyDescent="0.25">
      <c r="A597" s="177" t="s">
        <v>5099</v>
      </c>
      <c r="B597" s="177" t="s">
        <v>3042</v>
      </c>
      <c r="C597" s="178" t="s">
        <v>5100</v>
      </c>
      <c r="D597" s="173" t="s">
        <v>3968</v>
      </c>
      <c r="E597" s="20"/>
      <c r="F597" s="20"/>
      <c r="G597" s="175"/>
      <c r="H597" s="20"/>
      <c r="I597" s="20"/>
      <c r="J597" s="20"/>
      <c r="K597" s="20"/>
      <c r="L597" s="20"/>
      <c r="M597" s="20"/>
      <c r="N597" s="20"/>
      <c r="O597" s="20"/>
      <c r="P597" s="20"/>
      <c r="Q597" s="20"/>
      <c r="R597" s="20"/>
      <c r="S597" s="20"/>
      <c r="T597" s="20"/>
      <c r="U597" s="20"/>
      <c r="V597" s="20"/>
      <c r="W597" s="20"/>
    </row>
    <row r="598" spans="1:23" x14ac:dyDescent="0.25">
      <c r="A598" s="177" t="s">
        <v>5101</v>
      </c>
      <c r="B598" s="177" t="s">
        <v>3045</v>
      </c>
      <c r="C598" s="178" t="s">
        <v>5102</v>
      </c>
      <c r="D598" s="173" t="s">
        <v>3968</v>
      </c>
      <c r="E598" s="20"/>
      <c r="F598" s="20"/>
      <c r="G598" s="175"/>
      <c r="H598" s="20"/>
      <c r="I598" s="20"/>
      <c r="J598" s="20"/>
      <c r="K598" s="20"/>
      <c r="L598" s="20"/>
      <c r="M598" s="20"/>
      <c r="N598" s="20"/>
      <c r="O598" s="20"/>
      <c r="P598" s="20"/>
      <c r="Q598" s="20"/>
      <c r="R598" s="20"/>
      <c r="S598" s="20"/>
      <c r="T598" s="20"/>
      <c r="U598" s="20"/>
      <c r="V598" s="20"/>
      <c r="W598" s="20"/>
    </row>
    <row r="599" spans="1:23" x14ac:dyDescent="0.25">
      <c r="A599" s="177" t="s">
        <v>5103</v>
      </c>
      <c r="B599" s="177" t="s">
        <v>1427</v>
      </c>
      <c r="C599" s="178" t="s">
        <v>5104</v>
      </c>
      <c r="D599" s="173" t="s">
        <v>3968</v>
      </c>
      <c r="E599" s="20"/>
      <c r="F599" s="20"/>
      <c r="G599" s="175"/>
      <c r="H599" s="20"/>
      <c r="I599" s="20"/>
      <c r="J599" s="20"/>
      <c r="K599" s="20"/>
      <c r="L599" s="20"/>
      <c r="M599" s="20"/>
      <c r="N599" s="20"/>
      <c r="O599" s="20"/>
      <c r="P599" s="20"/>
      <c r="Q599" s="20"/>
      <c r="R599" s="20"/>
      <c r="S599" s="20"/>
      <c r="T599" s="20"/>
      <c r="U599" s="20"/>
      <c r="V599" s="20"/>
      <c r="W599" s="20"/>
    </row>
    <row r="600" spans="1:23" x14ac:dyDescent="0.25">
      <c r="A600" s="177" t="s">
        <v>5105</v>
      </c>
      <c r="B600" s="177" t="s">
        <v>5106</v>
      </c>
      <c r="C600" s="178" t="s">
        <v>5107</v>
      </c>
      <c r="D600" s="173" t="s">
        <v>3968</v>
      </c>
      <c r="E600" s="20"/>
      <c r="F600" s="20"/>
      <c r="G600" s="175"/>
      <c r="H600" s="20"/>
      <c r="I600" s="20"/>
      <c r="J600" s="20"/>
      <c r="K600" s="20"/>
      <c r="L600" s="20"/>
      <c r="M600" s="20"/>
      <c r="N600" s="20"/>
      <c r="O600" s="20"/>
      <c r="P600" s="20"/>
      <c r="Q600" s="20"/>
      <c r="R600" s="20"/>
      <c r="S600" s="20"/>
      <c r="T600" s="20"/>
      <c r="U600" s="20"/>
      <c r="V600" s="20"/>
      <c r="W600" s="20"/>
    </row>
    <row r="601" spans="1:23" x14ac:dyDescent="0.25">
      <c r="A601" s="177" t="s">
        <v>5108</v>
      </c>
      <c r="B601" s="177" t="s">
        <v>5109</v>
      </c>
      <c r="C601" s="178" t="s">
        <v>5110</v>
      </c>
      <c r="D601" s="173" t="s">
        <v>3968</v>
      </c>
      <c r="E601" s="20"/>
      <c r="F601" s="20"/>
      <c r="G601" s="175"/>
      <c r="H601" s="20"/>
      <c r="I601" s="20"/>
      <c r="J601" s="20"/>
      <c r="K601" s="20"/>
      <c r="L601" s="20"/>
      <c r="M601" s="20"/>
      <c r="N601" s="20"/>
      <c r="O601" s="20"/>
      <c r="P601" s="20"/>
      <c r="Q601" s="20"/>
      <c r="R601" s="20"/>
      <c r="S601" s="20"/>
      <c r="T601" s="20"/>
      <c r="U601" s="20"/>
      <c r="V601" s="20"/>
      <c r="W601" s="20"/>
    </row>
    <row r="602" spans="1:23" x14ac:dyDescent="0.25">
      <c r="A602" s="177" t="s">
        <v>5111</v>
      </c>
      <c r="B602" s="177" t="s">
        <v>5112</v>
      </c>
      <c r="C602" s="178" t="s">
        <v>5113</v>
      </c>
      <c r="D602" s="173" t="s">
        <v>3968</v>
      </c>
      <c r="E602" s="20"/>
      <c r="F602" s="20"/>
      <c r="G602" s="175"/>
      <c r="H602" s="20"/>
      <c r="I602" s="20"/>
      <c r="J602" s="20"/>
      <c r="K602" s="20"/>
      <c r="L602" s="20"/>
      <c r="M602" s="20"/>
      <c r="N602" s="20"/>
      <c r="O602" s="20"/>
      <c r="P602" s="20"/>
      <c r="Q602" s="20"/>
      <c r="R602" s="20"/>
      <c r="S602" s="20"/>
      <c r="T602" s="20"/>
      <c r="U602" s="20"/>
      <c r="V602" s="20"/>
      <c r="W602" s="20"/>
    </row>
    <row r="603" spans="1:23" x14ac:dyDescent="0.25">
      <c r="A603" s="177" t="s">
        <v>5114</v>
      </c>
      <c r="B603" s="177" t="s">
        <v>5115</v>
      </c>
      <c r="C603" s="178" t="s">
        <v>5116</v>
      </c>
      <c r="D603" s="173" t="s">
        <v>3968</v>
      </c>
      <c r="E603" s="20"/>
      <c r="F603" s="20"/>
      <c r="G603" s="175"/>
      <c r="H603" s="20"/>
      <c r="I603" s="20"/>
      <c r="J603" s="20"/>
      <c r="K603" s="20"/>
      <c r="L603" s="20"/>
      <c r="M603" s="20"/>
      <c r="N603" s="20"/>
      <c r="O603" s="20"/>
      <c r="P603" s="20"/>
      <c r="Q603" s="20"/>
      <c r="R603" s="20"/>
      <c r="S603" s="20"/>
      <c r="T603" s="20"/>
      <c r="U603" s="20"/>
      <c r="V603" s="20"/>
      <c r="W603" s="20"/>
    </row>
    <row r="604" spans="1:23" x14ac:dyDescent="0.25">
      <c r="A604" s="177" t="s">
        <v>5117</v>
      </c>
      <c r="B604" s="177" t="s">
        <v>5118</v>
      </c>
      <c r="C604" s="178" t="s">
        <v>5119</v>
      </c>
      <c r="D604" s="173" t="s">
        <v>3968</v>
      </c>
      <c r="E604" s="20"/>
      <c r="F604" s="20"/>
      <c r="G604" s="175"/>
      <c r="H604" s="20"/>
      <c r="I604" s="20"/>
      <c r="J604" s="20"/>
      <c r="K604" s="20"/>
      <c r="L604" s="20"/>
      <c r="M604" s="20"/>
      <c r="N604" s="20"/>
      <c r="O604" s="20"/>
      <c r="P604" s="20"/>
      <c r="Q604" s="20"/>
      <c r="R604" s="20"/>
      <c r="S604" s="20"/>
      <c r="T604" s="20"/>
      <c r="U604" s="20"/>
      <c r="V604" s="20"/>
      <c r="W604" s="20"/>
    </row>
    <row r="605" spans="1:23" x14ac:dyDescent="0.25">
      <c r="A605" s="177" t="s">
        <v>5120</v>
      </c>
      <c r="B605" s="177" t="s">
        <v>5121</v>
      </c>
      <c r="C605" s="178" t="s">
        <v>5122</v>
      </c>
      <c r="D605" s="173" t="s">
        <v>3968</v>
      </c>
      <c r="E605" s="20"/>
      <c r="F605" s="20"/>
      <c r="G605" s="175"/>
      <c r="H605" s="20"/>
      <c r="I605" s="20"/>
      <c r="J605" s="20"/>
      <c r="K605" s="20"/>
      <c r="L605" s="20"/>
      <c r="M605" s="20"/>
      <c r="N605" s="20"/>
      <c r="O605" s="20"/>
      <c r="P605" s="20"/>
      <c r="Q605" s="20"/>
      <c r="R605" s="20"/>
      <c r="S605" s="20"/>
      <c r="T605" s="20"/>
      <c r="U605" s="20"/>
      <c r="V605" s="20"/>
      <c r="W605" s="20"/>
    </row>
    <row r="606" spans="1:23" x14ac:dyDescent="0.25">
      <c r="A606" s="177" t="s">
        <v>5123</v>
      </c>
      <c r="B606" s="177" t="s">
        <v>5124</v>
      </c>
      <c r="C606" s="178" t="s">
        <v>5125</v>
      </c>
      <c r="D606" s="173" t="s">
        <v>3968</v>
      </c>
      <c r="E606" s="20"/>
      <c r="F606" s="20"/>
      <c r="G606" s="175"/>
      <c r="H606" s="20"/>
      <c r="I606" s="20"/>
      <c r="J606" s="20"/>
      <c r="K606" s="20"/>
      <c r="L606" s="20"/>
      <c r="M606" s="20"/>
      <c r="N606" s="20"/>
      <c r="O606" s="20"/>
      <c r="P606" s="20"/>
      <c r="Q606" s="20"/>
      <c r="R606" s="20"/>
      <c r="S606" s="20"/>
      <c r="T606" s="20"/>
      <c r="U606" s="20"/>
      <c r="V606" s="20"/>
      <c r="W606" s="20"/>
    </row>
    <row r="607" spans="1:23" x14ac:dyDescent="0.25">
      <c r="A607" s="177" t="s">
        <v>5126</v>
      </c>
      <c r="B607" s="177" t="s">
        <v>5127</v>
      </c>
      <c r="C607" s="178" t="s">
        <v>5128</v>
      </c>
      <c r="D607" s="173" t="s">
        <v>3968</v>
      </c>
      <c r="E607" s="20"/>
      <c r="F607" s="20"/>
      <c r="G607" s="175"/>
      <c r="H607" s="20"/>
      <c r="I607" s="20"/>
      <c r="J607" s="20"/>
      <c r="K607" s="20"/>
      <c r="L607" s="20"/>
      <c r="M607" s="20"/>
      <c r="N607" s="20"/>
      <c r="O607" s="20"/>
      <c r="P607" s="20"/>
      <c r="Q607" s="20"/>
      <c r="R607" s="20"/>
      <c r="S607" s="20"/>
      <c r="T607" s="20"/>
      <c r="U607" s="20"/>
      <c r="V607" s="20"/>
      <c r="W607" s="20"/>
    </row>
    <row r="608" spans="1:23" x14ac:dyDescent="0.25">
      <c r="A608" s="171" t="s">
        <v>5129</v>
      </c>
      <c r="B608" s="177" t="s">
        <v>5130</v>
      </c>
      <c r="C608" s="178" t="s">
        <v>5131</v>
      </c>
      <c r="D608" s="173" t="s">
        <v>3968</v>
      </c>
      <c r="E608" s="20"/>
      <c r="F608" s="20"/>
      <c r="G608" s="175"/>
      <c r="H608" s="20"/>
      <c r="I608" s="20"/>
      <c r="J608" s="20"/>
      <c r="K608" s="20"/>
      <c r="L608" s="20"/>
      <c r="M608" s="20"/>
      <c r="N608" s="20"/>
      <c r="O608" s="20"/>
      <c r="P608" s="20"/>
      <c r="Q608" s="20"/>
      <c r="R608" s="20"/>
      <c r="S608" s="20"/>
      <c r="T608" s="20"/>
      <c r="U608" s="20"/>
      <c r="V608" s="20"/>
      <c r="W608" s="20"/>
    </row>
    <row r="609" spans="1:23" x14ac:dyDescent="0.25">
      <c r="A609" s="177" t="s">
        <v>5132</v>
      </c>
      <c r="B609" s="177" t="s">
        <v>5133</v>
      </c>
      <c r="C609" s="178" t="s">
        <v>5134</v>
      </c>
      <c r="D609" s="173" t="s">
        <v>3968</v>
      </c>
      <c r="E609" s="20"/>
      <c r="F609" s="20"/>
      <c r="G609" s="175"/>
      <c r="H609" s="20"/>
      <c r="I609" s="20"/>
      <c r="J609" s="20"/>
      <c r="K609" s="20"/>
      <c r="L609" s="20"/>
      <c r="M609" s="20"/>
      <c r="N609" s="20"/>
      <c r="O609" s="20"/>
      <c r="P609" s="20"/>
      <c r="Q609" s="20"/>
      <c r="R609" s="20"/>
      <c r="S609" s="20"/>
      <c r="T609" s="20"/>
      <c r="U609" s="20"/>
      <c r="V609" s="20"/>
      <c r="W609" s="20"/>
    </row>
    <row r="610" spans="1:23" x14ac:dyDescent="0.25">
      <c r="A610" s="177" t="s">
        <v>5135</v>
      </c>
      <c r="B610" s="177" t="s">
        <v>5136</v>
      </c>
      <c r="C610" s="178" t="s">
        <v>5137</v>
      </c>
      <c r="D610" s="173" t="s">
        <v>3968</v>
      </c>
      <c r="E610" s="20"/>
      <c r="F610" s="20"/>
      <c r="G610" s="175"/>
      <c r="H610" s="20"/>
      <c r="I610" s="20"/>
      <c r="J610" s="20"/>
      <c r="K610" s="20"/>
      <c r="L610" s="20"/>
      <c r="M610" s="20"/>
      <c r="N610" s="20"/>
      <c r="O610" s="20"/>
      <c r="P610" s="20"/>
      <c r="Q610" s="20"/>
      <c r="R610" s="20"/>
      <c r="S610" s="20"/>
      <c r="T610" s="20"/>
      <c r="U610" s="20"/>
      <c r="V610" s="20"/>
      <c r="W610" s="20"/>
    </row>
    <row r="611" spans="1:23" x14ac:dyDescent="0.25">
      <c r="A611" s="177" t="s">
        <v>5138</v>
      </c>
      <c r="B611" s="177" t="s">
        <v>5139</v>
      </c>
      <c r="C611" s="178" t="s">
        <v>5140</v>
      </c>
      <c r="D611" s="173" t="s">
        <v>3968</v>
      </c>
      <c r="E611" s="20"/>
      <c r="F611" s="20"/>
      <c r="G611" s="175"/>
      <c r="H611" s="20"/>
      <c r="I611" s="20"/>
      <c r="J611" s="20"/>
      <c r="K611" s="20"/>
      <c r="L611" s="20"/>
      <c r="M611" s="20"/>
      <c r="N611" s="20"/>
      <c r="O611" s="20"/>
      <c r="P611" s="20"/>
      <c r="Q611" s="20"/>
      <c r="R611" s="20"/>
      <c r="S611" s="20"/>
      <c r="T611" s="20"/>
      <c r="U611" s="20"/>
      <c r="V611" s="20"/>
      <c r="W611" s="20"/>
    </row>
    <row r="612" spans="1:23" x14ac:dyDescent="0.25">
      <c r="A612" s="177" t="s">
        <v>5141</v>
      </c>
      <c r="B612" s="177" t="s">
        <v>53</v>
      </c>
      <c r="C612" s="178" t="s">
        <v>5142</v>
      </c>
      <c r="D612" s="173" t="s">
        <v>3968</v>
      </c>
      <c r="E612" s="20"/>
      <c r="F612" s="20"/>
      <c r="G612" s="175"/>
      <c r="H612" s="20"/>
      <c r="I612" s="20"/>
      <c r="J612" s="20"/>
      <c r="K612" s="20"/>
      <c r="L612" s="20"/>
      <c r="M612" s="20"/>
      <c r="N612" s="20"/>
      <c r="O612" s="20"/>
      <c r="P612" s="20"/>
      <c r="Q612" s="20"/>
      <c r="R612" s="20"/>
      <c r="S612" s="20"/>
      <c r="T612" s="20"/>
      <c r="U612" s="20"/>
      <c r="V612" s="20"/>
      <c r="W612" s="20"/>
    </row>
    <row r="613" spans="1:23" x14ac:dyDescent="0.25">
      <c r="A613" s="177" t="s">
        <v>5143</v>
      </c>
      <c r="B613" s="177" t="s">
        <v>1885</v>
      </c>
      <c r="C613" s="178" t="s">
        <v>5144</v>
      </c>
      <c r="D613" s="173" t="s">
        <v>3968</v>
      </c>
      <c r="E613" s="20"/>
      <c r="F613" s="20"/>
      <c r="G613" s="175"/>
      <c r="H613" s="20"/>
      <c r="I613" s="20"/>
      <c r="J613" s="20"/>
      <c r="K613" s="20"/>
      <c r="L613" s="20"/>
      <c r="M613" s="20"/>
      <c r="N613" s="20"/>
      <c r="O613" s="20"/>
      <c r="P613" s="20"/>
      <c r="Q613" s="20"/>
      <c r="R613" s="20"/>
      <c r="S613" s="20"/>
      <c r="T613" s="20"/>
      <c r="U613" s="20"/>
      <c r="V613" s="20"/>
      <c r="W613" s="20"/>
    </row>
    <row r="614" spans="1:23" x14ac:dyDescent="0.25">
      <c r="A614" s="177" t="s">
        <v>5145</v>
      </c>
      <c r="B614" s="177" t="s">
        <v>424</v>
      </c>
      <c r="C614" s="178" t="s">
        <v>5146</v>
      </c>
      <c r="D614" s="173" t="s">
        <v>3968</v>
      </c>
      <c r="E614" s="20"/>
      <c r="F614" s="20"/>
      <c r="G614" s="175"/>
      <c r="H614" s="20"/>
      <c r="I614" s="20"/>
      <c r="J614" s="20"/>
      <c r="K614" s="20"/>
      <c r="L614" s="20"/>
      <c r="M614" s="20"/>
      <c r="N614" s="20"/>
      <c r="O614" s="20"/>
      <c r="P614" s="20"/>
      <c r="Q614" s="20"/>
      <c r="R614" s="20"/>
      <c r="S614" s="20"/>
      <c r="T614" s="20"/>
      <c r="U614" s="20"/>
      <c r="V614" s="20"/>
      <c r="W614" s="20"/>
    </row>
    <row r="615" spans="1:23" x14ac:dyDescent="0.25">
      <c r="A615" s="177" t="s">
        <v>5147</v>
      </c>
      <c r="B615" s="177" t="s">
        <v>330</v>
      </c>
      <c r="C615" s="178" t="s">
        <v>5148</v>
      </c>
      <c r="D615" s="173" t="s">
        <v>3968</v>
      </c>
      <c r="E615" s="20"/>
      <c r="F615" s="20"/>
      <c r="G615" s="175"/>
      <c r="H615" s="20"/>
      <c r="I615" s="20"/>
      <c r="J615" s="20"/>
      <c r="K615" s="20"/>
      <c r="L615" s="20"/>
      <c r="M615" s="20"/>
      <c r="N615" s="20"/>
      <c r="O615" s="20"/>
      <c r="P615" s="20"/>
      <c r="Q615" s="20"/>
      <c r="R615" s="20"/>
      <c r="S615" s="20"/>
      <c r="T615" s="20"/>
      <c r="U615" s="20"/>
      <c r="V615" s="20"/>
      <c r="W615" s="20"/>
    </row>
    <row r="616" spans="1:23" x14ac:dyDescent="0.25">
      <c r="A616" s="177" t="s">
        <v>5149</v>
      </c>
      <c r="B616" s="177" t="s">
        <v>1881</v>
      </c>
      <c r="C616" s="178" t="s">
        <v>5150</v>
      </c>
      <c r="D616" s="173" t="s">
        <v>3968</v>
      </c>
      <c r="E616" s="20"/>
      <c r="F616" s="20"/>
      <c r="G616" s="175"/>
      <c r="H616" s="20"/>
      <c r="I616" s="20"/>
      <c r="J616" s="20"/>
      <c r="K616" s="20"/>
      <c r="L616" s="20"/>
      <c r="M616" s="20"/>
      <c r="N616" s="20"/>
      <c r="O616" s="20"/>
      <c r="P616" s="20"/>
      <c r="Q616" s="20"/>
      <c r="R616" s="20"/>
      <c r="S616" s="20"/>
      <c r="T616" s="20"/>
      <c r="U616" s="20"/>
      <c r="V616" s="20"/>
      <c r="W616" s="20"/>
    </row>
    <row r="617" spans="1:23" x14ac:dyDescent="0.25">
      <c r="A617" s="177" t="s">
        <v>5151</v>
      </c>
      <c r="B617" s="177" t="s">
        <v>331</v>
      </c>
      <c r="C617" s="178" t="s">
        <v>5152</v>
      </c>
      <c r="D617" s="173" t="s">
        <v>3968</v>
      </c>
      <c r="E617" s="20"/>
      <c r="F617" s="20"/>
      <c r="G617" s="175"/>
      <c r="H617" s="20"/>
      <c r="I617" s="20"/>
      <c r="J617" s="20"/>
      <c r="K617" s="20"/>
      <c r="L617" s="20"/>
      <c r="M617" s="20"/>
      <c r="N617" s="20"/>
      <c r="O617" s="20"/>
      <c r="P617" s="20"/>
      <c r="Q617" s="20"/>
      <c r="R617" s="20"/>
      <c r="S617" s="20"/>
      <c r="T617" s="20"/>
      <c r="U617" s="20"/>
      <c r="V617" s="20"/>
      <c r="W617" s="20"/>
    </row>
    <row r="618" spans="1:23" x14ac:dyDescent="0.25">
      <c r="A618" s="177" t="s">
        <v>5153</v>
      </c>
      <c r="B618" s="177" t="s">
        <v>617</v>
      </c>
      <c r="C618" s="178" t="s">
        <v>5154</v>
      </c>
      <c r="D618" s="173" t="s">
        <v>3968</v>
      </c>
      <c r="E618" s="20"/>
      <c r="F618" s="20"/>
      <c r="G618" s="175"/>
      <c r="H618" s="20"/>
      <c r="I618" s="20"/>
      <c r="J618" s="20"/>
      <c r="K618" s="20"/>
      <c r="L618" s="20"/>
      <c r="M618" s="20"/>
      <c r="N618" s="20"/>
      <c r="O618" s="20"/>
      <c r="P618" s="20"/>
      <c r="Q618" s="20"/>
      <c r="R618" s="20"/>
      <c r="S618" s="20"/>
      <c r="T618" s="20"/>
      <c r="U618" s="20"/>
      <c r="V618" s="20"/>
      <c r="W618" s="20"/>
    </row>
    <row r="619" spans="1:23" x14ac:dyDescent="0.25">
      <c r="A619" s="177" t="s">
        <v>5155</v>
      </c>
      <c r="B619" s="177" t="s">
        <v>616</v>
      </c>
      <c r="C619" s="178" t="s">
        <v>5156</v>
      </c>
      <c r="D619" s="173" t="s">
        <v>3968</v>
      </c>
      <c r="E619" s="20"/>
      <c r="F619" s="20"/>
      <c r="G619" s="175"/>
      <c r="H619" s="20"/>
      <c r="I619" s="20"/>
      <c r="J619" s="20"/>
      <c r="K619" s="20"/>
      <c r="L619" s="20"/>
      <c r="M619" s="20"/>
      <c r="N619" s="20"/>
      <c r="O619" s="20"/>
      <c r="P619" s="20"/>
      <c r="Q619" s="20"/>
      <c r="R619" s="20"/>
      <c r="S619" s="20"/>
      <c r="T619" s="20"/>
      <c r="U619" s="20"/>
      <c r="V619" s="20"/>
      <c r="W619" s="20"/>
    </row>
    <row r="620" spans="1:23" x14ac:dyDescent="0.25">
      <c r="A620" s="177" t="s">
        <v>5157</v>
      </c>
      <c r="B620" s="177" t="s">
        <v>472</v>
      </c>
      <c r="C620" s="178" t="s">
        <v>5158</v>
      </c>
      <c r="D620" s="173" t="s">
        <v>3968</v>
      </c>
      <c r="E620" s="20"/>
      <c r="F620" s="20"/>
      <c r="G620" s="175"/>
      <c r="H620" s="20"/>
      <c r="I620" s="20"/>
      <c r="J620" s="20"/>
      <c r="K620" s="20"/>
      <c r="L620" s="20"/>
      <c r="M620" s="20"/>
      <c r="N620" s="20"/>
      <c r="O620" s="20"/>
      <c r="P620" s="20"/>
      <c r="Q620" s="20"/>
      <c r="R620" s="20"/>
      <c r="S620" s="20"/>
      <c r="T620" s="20"/>
      <c r="U620" s="20"/>
      <c r="V620" s="20"/>
      <c r="W620" s="20"/>
    </row>
    <row r="621" spans="1:23" x14ac:dyDescent="0.25">
      <c r="A621" s="177" t="s">
        <v>5159</v>
      </c>
      <c r="B621" s="177" t="s">
        <v>5160</v>
      </c>
      <c r="C621" s="178" t="s">
        <v>5161</v>
      </c>
      <c r="D621" s="173" t="s">
        <v>3968</v>
      </c>
      <c r="E621" s="20"/>
      <c r="F621" s="20"/>
      <c r="G621" s="175"/>
      <c r="H621" s="20"/>
      <c r="I621" s="20"/>
      <c r="J621" s="20"/>
      <c r="K621" s="20"/>
      <c r="L621" s="20"/>
      <c r="M621" s="20"/>
      <c r="N621" s="20"/>
      <c r="O621" s="20"/>
      <c r="P621" s="20"/>
      <c r="Q621" s="20"/>
      <c r="R621" s="20"/>
      <c r="S621" s="20"/>
      <c r="T621" s="20"/>
      <c r="U621" s="20"/>
      <c r="V621" s="20"/>
      <c r="W621" s="20"/>
    </row>
    <row r="622" spans="1:23" x14ac:dyDescent="0.25">
      <c r="A622" s="177" t="s">
        <v>5162</v>
      </c>
      <c r="B622" s="177" t="s">
        <v>5163</v>
      </c>
      <c r="C622" s="178" t="s">
        <v>5164</v>
      </c>
      <c r="D622" s="173" t="s">
        <v>3968</v>
      </c>
      <c r="E622" s="20"/>
      <c r="F622" s="20"/>
      <c r="G622" s="175"/>
      <c r="H622" s="20"/>
      <c r="I622" s="20"/>
      <c r="J622" s="20"/>
      <c r="K622" s="20"/>
      <c r="L622" s="20"/>
      <c r="M622" s="20"/>
      <c r="N622" s="20"/>
      <c r="O622" s="20"/>
      <c r="P622" s="20"/>
      <c r="Q622" s="20"/>
      <c r="R622" s="20"/>
      <c r="S622" s="20"/>
      <c r="T622" s="20"/>
      <c r="U622" s="20"/>
      <c r="V622" s="20"/>
      <c r="W622" s="20"/>
    </row>
    <row r="623" spans="1:23" x14ac:dyDescent="0.25">
      <c r="A623" s="177" t="s">
        <v>5165</v>
      </c>
      <c r="B623" s="177" t="s">
        <v>5166</v>
      </c>
      <c r="C623" s="178" t="s">
        <v>5167</v>
      </c>
      <c r="D623" s="173" t="s">
        <v>3968</v>
      </c>
      <c r="E623" s="20"/>
      <c r="F623" s="20"/>
      <c r="G623" s="175"/>
      <c r="H623" s="20"/>
      <c r="I623" s="20"/>
      <c r="J623" s="20"/>
      <c r="K623" s="20"/>
      <c r="L623" s="20"/>
      <c r="M623" s="20"/>
      <c r="N623" s="20"/>
      <c r="O623" s="20"/>
      <c r="P623" s="20"/>
      <c r="Q623" s="20"/>
      <c r="R623" s="20"/>
      <c r="S623" s="20"/>
      <c r="T623" s="20"/>
      <c r="U623" s="20"/>
      <c r="V623" s="20"/>
      <c r="W623" s="20"/>
    </row>
    <row r="624" spans="1:23" x14ac:dyDescent="0.25">
      <c r="A624" s="177" t="s">
        <v>5168</v>
      </c>
      <c r="B624" s="177" t="s">
        <v>5169</v>
      </c>
      <c r="C624" s="178" t="s">
        <v>5170</v>
      </c>
      <c r="D624" s="173" t="s">
        <v>3968</v>
      </c>
      <c r="E624" s="20"/>
      <c r="F624" s="20"/>
      <c r="G624" s="175"/>
      <c r="H624" s="20"/>
      <c r="I624" s="20"/>
      <c r="J624" s="20"/>
      <c r="K624" s="20"/>
      <c r="L624" s="20"/>
      <c r="M624" s="20"/>
      <c r="N624" s="20"/>
      <c r="O624" s="20"/>
      <c r="P624" s="20"/>
      <c r="Q624" s="20"/>
      <c r="R624" s="20"/>
      <c r="S624" s="20"/>
      <c r="T624" s="20"/>
      <c r="U624" s="20"/>
      <c r="V624" s="20"/>
      <c r="W624" s="20"/>
    </row>
    <row r="625" spans="1:23" x14ac:dyDescent="0.25">
      <c r="A625" s="177" t="s">
        <v>5171</v>
      </c>
      <c r="B625" s="177" t="s">
        <v>5172</v>
      </c>
      <c r="C625" s="178" t="s">
        <v>5173</v>
      </c>
      <c r="D625" s="173" t="s">
        <v>3968</v>
      </c>
      <c r="E625" s="20"/>
      <c r="F625" s="20"/>
      <c r="G625" s="175"/>
      <c r="H625" s="20"/>
      <c r="I625" s="20"/>
      <c r="J625" s="20"/>
      <c r="K625" s="20"/>
      <c r="L625" s="20"/>
      <c r="M625" s="20"/>
      <c r="N625" s="20"/>
      <c r="O625" s="20"/>
      <c r="P625" s="20"/>
      <c r="Q625" s="20"/>
      <c r="R625" s="20"/>
      <c r="S625" s="20"/>
      <c r="T625" s="20"/>
      <c r="U625" s="20"/>
      <c r="V625" s="20"/>
      <c r="W625" s="20"/>
    </row>
    <row r="626" spans="1:23" x14ac:dyDescent="0.25">
      <c r="A626" s="177" t="s">
        <v>5174</v>
      </c>
      <c r="B626" s="177" t="s">
        <v>5175</v>
      </c>
      <c r="C626" s="178" t="s">
        <v>5176</v>
      </c>
      <c r="D626" s="173" t="s">
        <v>3968</v>
      </c>
      <c r="E626" s="20"/>
      <c r="F626" s="20"/>
      <c r="G626" s="175"/>
      <c r="H626" s="20"/>
      <c r="I626" s="20"/>
      <c r="J626" s="20"/>
      <c r="K626" s="20"/>
      <c r="L626" s="20"/>
      <c r="M626" s="20"/>
      <c r="N626" s="20"/>
      <c r="O626" s="20"/>
      <c r="P626" s="20"/>
      <c r="Q626" s="20"/>
      <c r="R626" s="20"/>
      <c r="S626" s="20"/>
      <c r="T626" s="20"/>
      <c r="U626" s="20"/>
      <c r="V626" s="20"/>
      <c r="W626" s="20"/>
    </row>
    <row r="627" spans="1:23" x14ac:dyDescent="0.25">
      <c r="A627" s="177" t="s">
        <v>5177</v>
      </c>
      <c r="B627" s="177" t="s">
        <v>5178</v>
      </c>
      <c r="C627" s="178" t="s">
        <v>5179</v>
      </c>
      <c r="D627" s="173" t="s">
        <v>3968</v>
      </c>
      <c r="E627" s="20"/>
      <c r="F627" s="20"/>
      <c r="G627" s="175"/>
      <c r="H627" s="20"/>
      <c r="I627" s="20"/>
      <c r="J627" s="20"/>
      <c r="K627" s="20"/>
      <c r="L627" s="20"/>
      <c r="M627" s="20"/>
      <c r="N627" s="20"/>
      <c r="O627" s="20"/>
      <c r="P627" s="20"/>
      <c r="Q627" s="20"/>
      <c r="R627" s="20"/>
      <c r="S627" s="20"/>
      <c r="T627" s="20"/>
      <c r="U627" s="20"/>
      <c r="V627" s="20"/>
      <c r="W627" s="20"/>
    </row>
    <row r="628" spans="1:23" x14ac:dyDescent="0.25">
      <c r="A628" s="177" t="s">
        <v>5180</v>
      </c>
      <c r="B628" s="177" t="s">
        <v>550</v>
      </c>
      <c r="C628" s="178" t="s">
        <v>5181</v>
      </c>
      <c r="D628" s="173" t="s">
        <v>3968</v>
      </c>
      <c r="E628" s="20"/>
      <c r="F628" s="20"/>
      <c r="G628" s="175"/>
      <c r="H628" s="20"/>
      <c r="I628" s="20"/>
      <c r="J628" s="20"/>
      <c r="K628" s="20"/>
      <c r="L628" s="20"/>
      <c r="M628" s="20"/>
      <c r="N628" s="20"/>
      <c r="O628" s="20"/>
      <c r="P628" s="20"/>
      <c r="Q628" s="20"/>
      <c r="R628" s="20"/>
      <c r="S628" s="20"/>
      <c r="T628" s="20"/>
      <c r="U628" s="20"/>
      <c r="V628" s="20"/>
      <c r="W628" s="20"/>
    </row>
    <row r="629" spans="1:23" x14ac:dyDescent="0.25">
      <c r="A629" s="177" t="s">
        <v>5182</v>
      </c>
      <c r="B629" s="177" t="s">
        <v>611</v>
      </c>
      <c r="C629" s="178" t="s">
        <v>5183</v>
      </c>
      <c r="D629" s="173" t="s">
        <v>3968</v>
      </c>
      <c r="E629" s="20"/>
      <c r="F629" s="20"/>
      <c r="G629" s="175"/>
      <c r="H629" s="20"/>
      <c r="I629" s="20"/>
      <c r="J629" s="20"/>
      <c r="K629" s="20"/>
      <c r="L629" s="20"/>
      <c r="M629" s="20"/>
      <c r="N629" s="20"/>
      <c r="O629" s="20"/>
      <c r="P629" s="20"/>
      <c r="Q629" s="20"/>
      <c r="R629" s="20"/>
      <c r="S629" s="20"/>
      <c r="T629" s="20"/>
      <c r="U629" s="20"/>
      <c r="V629" s="20"/>
      <c r="W629" s="20"/>
    </row>
    <row r="630" spans="1:23" x14ac:dyDescent="0.25">
      <c r="A630" s="177" t="s">
        <v>5184</v>
      </c>
      <c r="B630" s="177" t="s">
        <v>612</v>
      </c>
      <c r="C630" s="178" t="s">
        <v>5185</v>
      </c>
      <c r="D630" s="173" t="s">
        <v>3968</v>
      </c>
      <c r="E630" s="20"/>
      <c r="F630" s="20"/>
      <c r="G630" s="175"/>
      <c r="H630" s="20"/>
      <c r="I630" s="20"/>
      <c r="J630" s="20"/>
      <c r="K630" s="20"/>
      <c r="L630" s="20"/>
      <c r="M630" s="20"/>
      <c r="N630" s="20"/>
      <c r="O630" s="20"/>
      <c r="P630" s="20"/>
      <c r="Q630" s="20"/>
      <c r="R630" s="20"/>
      <c r="S630" s="20"/>
      <c r="T630" s="20"/>
      <c r="U630" s="20"/>
      <c r="V630" s="20"/>
      <c r="W630" s="20"/>
    </row>
    <row r="631" spans="1:23" x14ac:dyDescent="0.25">
      <c r="A631" s="177" t="s">
        <v>5186</v>
      </c>
      <c r="B631" s="177" t="s">
        <v>613</v>
      </c>
      <c r="C631" s="178" t="s">
        <v>5187</v>
      </c>
      <c r="D631" s="173" t="s">
        <v>3968</v>
      </c>
      <c r="E631" s="20"/>
      <c r="F631" s="20"/>
      <c r="G631" s="175"/>
      <c r="H631" s="20"/>
      <c r="I631" s="20"/>
      <c r="J631" s="20"/>
      <c r="K631" s="20"/>
      <c r="L631" s="20"/>
      <c r="M631" s="20"/>
      <c r="N631" s="20"/>
      <c r="O631" s="20"/>
      <c r="P631" s="20"/>
      <c r="Q631" s="20"/>
      <c r="R631" s="20"/>
      <c r="S631" s="20"/>
      <c r="T631" s="20"/>
      <c r="U631" s="20"/>
      <c r="V631" s="20"/>
      <c r="W631" s="20"/>
    </row>
    <row r="632" spans="1:23" x14ac:dyDescent="0.25">
      <c r="A632" s="177" t="s">
        <v>5188</v>
      </c>
      <c r="B632" s="177" t="s">
        <v>3066</v>
      </c>
      <c r="C632" s="178" t="s">
        <v>5189</v>
      </c>
      <c r="D632" s="173" t="s">
        <v>3968</v>
      </c>
      <c r="E632" s="20"/>
      <c r="F632" s="20"/>
      <c r="G632" s="175"/>
      <c r="H632" s="20"/>
      <c r="I632" s="20"/>
      <c r="J632" s="20"/>
      <c r="K632" s="20"/>
      <c r="L632" s="20"/>
      <c r="M632" s="20"/>
      <c r="N632" s="20"/>
      <c r="O632" s="20"/>
      <c r="P632" s="20"/>
      <c r="Q632" s="20"/>
      <c r="R632" s="20"/>
      <c r="S632" s="20"/>
      <c r="T632" s="20"/>
      <c r="U632" s="20"/>
      <c r="V632" s="20"/>
      <c r="W632" s="20"/>
    </row>
    <row r="633" spans="1:23" x14ac:dyDescent="0.25">
      <c r="A633" s="177" t="s">
        <v>5190</v>
      </c>
      <c r="B633" s="177" t="s">
        <v>614</v>
      </c>
      <c r="C633" s="178" t="s">
        <v>5191</v>
      </c>
      <c r="D633" s="173" t="s">
        <v>3968</v>
      </c>
      <c r="E633" s="20"/>
      <c r="F633" s="20"/>
      <c r="G633" s="175"/>
      <c r="H633" s="20"/>
      <c r="I633" s="20"/>
      <c r="J633" s="20"/>
      <c r="K633" s="20"/>
      <c r="L633" s="20"/>
      <c r="M633" s="20"/>
      <c r="N633" s="20"/>
      <c r="O633" s="20"/>
      <c r="P633" s="20"/>
      <c r="Q633" s="20"/>
      <c r="R633" s="20"/>
      <c r="S633" s="20"/>
      <c r="T633" s="20"/>
      <c r="U633" s="20"/>
      <c r="V633" s="20"/>
      <c r="W633" s="20"/>
    </row>
    <row r="634" spans="1:23" x14ac:dyDescent="0.25">
      <c r="A634" s="177" t="s">
        <v>5192</v>
      </c>
      <c r="B634" s="177" t="s">
        <v>1747</v>
      </c>
      <c r="C634" s="178" t="s">
        <v>5193</v>
      </c>
      <c r="D634" s="173" t="s">
        <v>3968</v>
      </c>
      <c r="E634" s="20"/>
      <c r="F634" s="20"/>
      <c r="G634" s="175"/>
      <c r="H634" s="20"/>
      <c r="I634" s="20"/>
      <c r="J634" s="20"/>
      <c r="K634" s="20"/>
      <c r="L634" s="20"/>
      <c r="M634" s="20"/>
      <c r="N634" s="20"/>
      <c r="O634" s="20"/>
      <c r="P634" s="20"/>
      <c r="Q634" s="20"/>
      <c r="R634" s="20"/>
      <c r="S634" s="20"/>
      <c r="T634" s="20"/>
      <c r="U634" s="20"/>
      <c r="V634" s="20"/>
      <c r="W634" s="20"/>
    </row>
    <row r="635" spans="1:23" x14ac:dyDescent="0.25">
      <c r="A635" s="177" t="s">
        <v>5194</v>
      </c>
      <c r="B635" s="177" t="s">
        <v>2046</v>
      </c>
      <c r="C635" s="178" t="s">
        <v>5195</v>
      </c>
      <c r="D635" s="173" t="s">
        <v>3968</v>
      </c>
      <c r="E635" s="20"/>
      <c r="F635" s="20"/>
      <c r="G635" s="175"/>
      <c r="H635" s="20"/>
      <c r="I635" s="20"/>
      <c r="J635" s="20"/>
      <c r="K635" s="20"/>
      <c r="L635" s="20"/>
      <c r="M635" s="20"/>
      <c r="N635" s="20"/>
      <c r="O635" s="20"/>
      <c r="P635" s="20"/>
      <c r="Q635" s="20"/>
      <c r="R635" s="20"/>
      <c r="S635" s="20"/>
      <c r="T635" s="20"/>
      <c r="U635" s="20"/>
      <c r="V635" s="20"/>
      <c r="W635" s="20"/>
    </row>
    <row r="636" spans="1:23" x14ac:dyDescent="0.25">
      <c r="A636" s="177" t="s">
        <v>5196</v>
      </c>
      <c r="B636" s="177" t="s">
        <v>5197</v>
      </c>
      <c r="C636" s="178" t="s">
        <v>5198</v>
      </c>
      <c r="D636" s="173" t="s">
        <v>3968</v>
      </c>
      <c r="E636" s="20"/>
      <c r="F636" s="20"/>
      <c r="G636" s="175"/>
      <c r="H636" s="20"/>
      <c r="I636" s="20"/>
      <c r="J636" s="20"/>
      <c r="K636" s="20"/>
      <c r="L636" s="20"/>
      <c r="M636" s="20"/>
      <c r="N636" s="20"/>
      <c r="O636" s="20"/>
      <c r="P636" s="20"/>
      <c r="Q636" s="20"/>
      <c r="R636" s="20"/>
      <c r="S636" s="20"/>
      <c r="T636" s="20"/>
      <c r="U636" s="20"/>
      <c r="V636" s="20"/>
      <c r="W636" s="20"/>
    </row>
    <row r="637" spans="1:23" x14ac:dyDescent="0.25">
      <c r="A637" s="177" t="s">
        <v>5199</v>
      </c>
      <c r="B637" s="177" t="s">
        <v>5200</v>
      </c>
      <c r="C637" s="178" t="s">
        <v>5201</v>
      </c>
      <c r="D637" s="173" t="s">
        <v>3968</v>
      </c>
      <c r="E637" s="20"/>
      <c r="F637" s="20"/>
      <c r="G637" s="175"/>
      <c r="H637" s="20"/>
      <c r="I637" s="20"/>
      <c r="J637" s="20"/>
      <c r="K637" s="20"/>
      <c r="L637" s="20"/>
      <c r="M637" s="20"/>
      <c r="N637" s="20"/>
      <c r="O637" s="20"/>
      <c r="P637" s="20"/>
      <c r="Q637" s="20"/>
      <c r="R637" s="20"/>
      <c r="S637" s="20"/>
      <c r="T637" s="20"/>
      <c r="U637" s="20"/>
      <c r="V637" s="20"/>
      <c r="W637" s="20"/>
    </row>
    <row r="638" spans="1:23" x14ac:dyDescent="0.25">
      <c r="A638" s="177" t="s">
        <v>5202</v>
      </c>
      <c r="B638" s="177" t="s">
        <v>5203</v>
      </c>
      <c r="C638" s="178" t="s">
        <v>5204</v>
      </c>
      <c r="D638" s="173" t="s">
        <v>3968</v>
      </c>
      <c r="E638" s="20"/>
      <c r="F638" s="20"/>
      <c r="G638" s="175"/>
      <c r="H638" s="20"/>
      <c r="I638" s="20"/>
      <c r="J638" s="20"/>
      <c r="K638" s="20"/>
      <c r="L638" s="20"/>
      <c r="M638" s="20"/>
      <c r="N638" s="20"/>
      <c r="O638" s="20"/>
      <c r="P638" s="20"/>
      <c r="Q638" s="20"/>
      <c r="R638" s="20"/>
      <c r="S638" s="20"/>
      <c r="T638" s="20"/>
      <c r="U638" s="20"/>
      <c r="V638" s="20"/>
      <c r="W638" s="20"/>
    </row>
    <row r="639" spans="1:23" x14ac:dyDescent="0.25">
      <c r="A639" s="177" t="s">
        <v>5205</v>
      </c>
      <c r="B639" s="177" t="s">
        <v>1589</v>
      </c>
      <c r="C639" s="178" t="s">
        <v>5206</v>
      </c>
      <c r="D639" s="173" t="s">
        <v>3968</v>
      </c>
      <c r="E639" s="20"/>
      <c r="F639" s="20"/>
      <c r="G639" s="175"/>
      <c r="H639" s="20"/>
      <c r="I639" s="20"/>
      <c r="J639" s="20"/>
      <c r="K639" s="20"/>
      <c r="L639" s="20"/>
      <c r="M639" s="20"/>
      <c r="N639" s="20"/>
      <c r="O639" s="20"/>
      <c r="P639" s="20"/>
      <c r="Q639" s="20"/>
      <c r="R639" s="20"/>
      <c r="S639" s="20"/>
      <c r="T639" s="20"/>
      <c r="U639" s="20"/>
      <c r="V639" s="20"/>
      <c r="W639" s="20"/>
    </row>
    <row r="640" spans="1:23" x14ac:dyDescent="0.25">
      <c r="A640" s="177" t="s">
        <v>5207</v>
      </c>
      <c r="B640" s="177" t="s">
        <v>475</v>
      </c>
      <c r="C640" s="178" t="s">
        <v>5208</v>
      </c>
      <c r="D640" s="173" t="s">
        <v>3968</v>
      </c>
      <c r="E640" s="20"/>
      <c r="F640" s="20"/>
      <c r="G640" s="175"/>
      <c r="H640" s="20"/>
      <c r="I640" s="20"/>
      <c r="J640" s="20"/>
      <c r="K640" s="20"/>
      <c r="L640" s="20"/>
      <c r="M640" s="20"/>
      <c r="N640" s="20"/>
      <c r="O640" s="20"/>
      <c r="P640" s="20"/>
      <c r="Q640" s="20"/>
      <c r="R640" s="20"/>
      <c r="S640" s="20"/>
      <c r="T640" s="20"/>
      <c r="U640" s="20"/>
      <c r="V640" s="20"/>
      <c r="W640" s="20"/>
    </row>
    <row r="641" spans="1:23" x14ac:dyDescent="0.25">
      <c r="A641" s="171" t="s">
        <v>5209</v>
      </c>
      <c r="B641" s="177" t="s">
        <v>5210</v>
      </c>
      <c r="C641" s="178" t="s">
        <v>5211</v>
      </c>
      <c r="D641" s="173" t="s">
        <v>3968</v>
      </c>
      <c r="E641" s="20"/>
      <c r="F641" s="20"/>
      <c r="G641" s="175"/>
      <c r="H641" s="20"/>
      <c r="I641" s="20"/>
      <c r="J641" s="20"/>
      <c r="K641" s="20"/>
      <c r="L641" s="20"/>
      <c r="M641" s="20"/>
      <c r="N641" s="20"/>
      <c r="O641" s="20"/>
      <c r="P641" s="20"/>
      <c r="Q641" s="20"/>
      <c r="R641" s="20"/>
      <c r="S641" s="20"/>
      <c r="T641" s="20"/>
      <c r="U641" s="20"/>
      <c r="V641" s="20"/>
      <c r="W641" s="20"/>
    </row>
    <row r="642" spans="1:23" x14ac:dyDescent="0.25">
      <c r="A642" s="177" t="s">
        <v>5212</v>
      </c>
      <c r="B642" s="177" t="s">
        <v>1583</v>
      </c>
      <c r="C642" s="178" t="s">
        <v>5213</v>
      </c>
      <c r="D642" s="173" t="s">
        <v>3968</v>
      </c>
      <c r="E642" s="20"/>
      <c r="F642" s="20"/>
      <c r="G642" s="175"/>
      <c r="H642" s="20"/>
      <c r="I642" s="20"/>
      <c r="J642" s="20"/>
      <c r="K642" s="20"/>
      <c r="L642" s="20"/>
      <c r="M642" s="20"/>
      <c r="N642" s="20"/>
      <c r="O642" s="20"/>
      <c r="P642" s="20"/>
      <c r="Q642" s="20"/>
      <c r="R642" s="20"/>
      <c r="S642" s="20"/>
      <c r="T642" s="20"/>
      <c r="U642" s="20"/>
      <c r="V642" s="20"/>
      <c r="W642" s="20"/>
    </row>
    <row r="643" spans="1:23" x14ac:dyDescent="0.25">
      <c r="A643" s="177" t="s">
        <v>5214</v>
      </c>
      <c r="B643" s="177" t="s">
        <v>2113</v>
      </c>
      <c r="C643" s="178" t="s">
        <v>5215</v>
      </c>
      <c r="D643" s="173" t="s">
        <v>3968</v>
      </c>
      <c r="E643" s="20"/>
      <c r="F643" s="20"/>
      <c r="G643" s="175"/>
      <c r="H643" s="20"/>
      <c r="I643" s="20"/>
      <c r="J643" s="20"/>
      <c r="K643" s="20"/>
      <c r="L643" s="20"/>
      <c r="M643" s="20"/>
      <c r="N643" s="20"/>
      <c r="O643" s="20"/>
      <c r="P643" s="20"/>
      <c r="Q643" s="20"/>
      <c r="R643" s="20"/>
      <c r="S643" s="20"/>
      <c r="T643" s="20"/>
      <c r="U643" s="20"/>
      <c r="V643" s="20"/>
      <c r="W643" s="20"/>
    </row>
    <row r="644" spans="1:23" x14ac:dyDescent="0.25">
      <c r="A644" s="177" t="s">
        <v>5216</v>
      </c>
      <c r="B644" s="177" t="s">
        <v>5217</v>
      </c>
      <c r="C644" s="178" t="s">
        <v>5218</v>
      </c>
      <c r="D644" s="173" t="s">
        <v>3968</v>
      </c>
      <c r="E644" s="20"/>
      <c r="F644" s="20"/>
      <c r="G644" s="175"/>
      <c r="H644" s="20"/>
      <c r="I644" s="20"/>
      <c r="J644" s="20"/>
      <c r="K644" s="20"/>
      <c r="L644" s="20"/>
      <c r="M644" s="20"/>
      <c r="N644" s="20"/>
      <c r="O644" s="20"/>
      <c r="P644" s="20"/>
      <c r="Q644" s="20"/>
      <c r="R644" s="20"/>
      <c r="S644" s="20"/>
      <c r="T644" s="20"/>
      <c r="U644" s="20"/>
      <c r="V644" s="20"/>
      <c r="W644" s="20"/>
    </row>
    <row r="645" spans="1:23" x14ac:dyDescent="0.25">
      <c r="A645" s="177" t="s">
        <v>5219</v>
      </c>
      <c r="B645" s="177" t="s">
        <v>5220</v>
      </c>
      <c r="C645" s="178" t="s">
        <v>5221</v>
      </c>
      <c r="D645" s="173" t="s">
        <v>3968</v>
      </c>
      <c r="E645" s="20"/>
      <c r="F645" s="20"/>
      <c r="G645" s="175"/>
      <c r="H645" s="20"/>
      <c r="I645" s="20"/>
      <c r="J645" s="20"/>
      <c r="K645" s="20"/>
      <c r="L645" s="20"/>
      <c r="M645" s="20"/>
      <c r="N645" s="20"/>
      <c r="O645" s="20"/>
      <c r="P645" s="20"/>
      <c r="Q645" s="20"/>
      <c r="R645" s="20"/>
      <c r="S645" s="20"/>
      <c r="T645" s="20"/>
      <c r="U645" s="20"/>
      <c r="V645" s="20"/>
      <c r="W645" s="20"/>
    </row>
    <row r="646" spans="1:23" x14ac:dyDescent="0.25">
      <c r="A646" s="177" t="s">
        <v>5222</v>
      </c>
      <c r="B646" s="177" t="s">
        <v>5223</v>
      </c>
      <c r="C646" s="178" t="s">
        <v>5224</v>
      </c>
      <c r="D646" s="173" t="s">
        <v>3968</v>
      </c>
      <c r="E646" s="20"/>
      <c r="F646" s="20"/>
      <c r="G646" s="175"/>
      <c r="H646" s="20"/>
      <c r="I646" s="20"/>
      <c r="J646" s="20"/>
      <c r="K646" s="20"/>
      <c r="L646" s="20"/>
      <c r="M646" s="20"/>
      <c r="N646" s="20"/>
      <c r="O646" s="20"/>
      <c r="P646" s="20"/>
      <c r="Q646" s="20"/>
      <c r="R646" s="20"/>
      <c r="S646" s="20"/>
      <c r="T646" s="20"/>
      <c r="U646" s="20"/>
      <c r="V646" s="20"/>
      <c r="W646" s="20"/>
    </row>
    <row r="647" spans="1:23" x14ac:dyDescent="0.25">
      <c r="A647" s="177" t="s">
        <v>5225</v>
      </c>
      <c r="B647" s="177" t="s">
        <v>5226</v>
      </c>
      <c r="C647" s="178" t="s">
        <v>5227</v>
      </c>
      <c r="D647" s="173" t="s">
        <v>3968</v>
      </c>
      <c r="E647" s="20"/>
      <c r="F647" s="20"/>
      <c r="G647" s="175"/>
      <c r="H647" s="20"/>
      <c r="I647" s="20"/>
      <c r="J647" s="20"/>
      <c r="K647" s="20"/>
      <c r="L647" s="20"/>
      <c r="M647" s="20"/>
      <c r="N647" s="20"/>
      <c r="O647" s="20"/>
      <c r="P647" s="20"/>
      <c r="Q647" s="20"/>
      <c r="R647" s="20"/>
      <c r="S647" s="20"/>
      <c r="T647" s="20"/>
      <c r="U647" s="20"/>
      <c r="V647" s="20"/>
      <c r="W647" s="20"/>
    </row>
    <row r="648" spans="1:23" x14ac:dyDescent="0.25">
      <c r="A648" s="177" t="s">
        <v>5228</v>
      </c>
      <c r="B648" s="177" t="s">
        <v>5229</v>
      </c>
      <c r="C648" s="178" t="s">
        <v>5230</v>
      </c>
      <c r="D648" s="173" t="s">
        <v>3968</v>
      </c>
      <c r="E648" s="20"/>
      <c r="F648" s="20"/>
      <c r="G648" s="175"/>
      <c r="H648" s="20"/>
      <c r="I648" s="20"/>
      <c r="J648" s="20"/>
      <c r="K648" s="20"/>
      <c r="L648" s="20"/>
      <c r="M648" s="20"/>
      <c r="N648" s="20"/>
      <c r="O648" s="20"/>
      <c r="P648" s="20"/>
      <c r="Q648" s="20"/>
      <c r="R648" s="20"/>
      <c r="S648" s="20"/>
      <c r="T648" s="20"/>
      <c r="U648" s="20"/>
      <c r="V648" s="20"/>
      <c r="W648" s="20"/>
    </row>
    <row r="649" spans="1:23" x14ac:dyDescent="0.25">
      <c r="A649" s="177" t="s">
        <v>5231</v>
      </c>
      <c r="B649" s="177" t="s">
        <v>1255</v>
      </c>
      <c r="C649" s="178" t="s">
        <v>5232</v>
      </c>
      <c r="D649" s="173" t="s">
        <v>3968</v>
      </c>
      <c r="E649" s="20"/>
      <c r="F649" s="20"/>
      <c r="G649" s="175"/>
      <c r="H649" s="20"/>
      <c r="I649" s="20"/>
      <c r="J649" s="20"/>
      <c r="K649" s="20"/>
      <c r="L649" s="20"/>
      <c r="M649" s="20"/>
      <c r="N649" s="20"/>
      <c r="O649" s="20"/>
      <c r="P649" s="20"/>
      <c r="Q649" s="20"/>
      <c r="R649" s="20"/>
      <c r="S649" s="20"/>
      <c r="T649" s="20"/>
      <c r="U649" s="20"/>
      <c r="V649" s="20"/>
      <c r="W649" s="20"/>
    </row>
    <row r="650" spans="1:23" x14ac:dyDescent="0.25">
      <c r="A650" s="177" t="s">
        <v>5233</v>
      </c>
      <c r="B650" s="177" t="s">
        <v>334</v>
      </c>
      <c r="C650" s="178" t="s">
        <v>5234</v>
      </c>
      <c r="D650" s="173" t="s">
        <v>3968</v>
      </c>
      <c r="E650" s="20"/>
      <c r="F650" s="20"/>
      <c r="G650" s="175"/>
      <c r="H650" s="20"/>
      <c r="I650" s="20"/>
      <c r="J650" s="20"/>
      <c r="K650" s="20"/>
      <c r="L650" s="20"/>
      <c r="M650" s="20"/>
      <c r="N650" s="20"/>
      <c r="O650" s="20"/>
      <c r="P650" s="20"/>
      <c r="Q650" s="20"/>
      <c r="R650" s="20"/>
      <c r="S650" s="20"/>
      <c r="T650" s="20"/>
      <c r="U650" s="20"/>
      <c r="V650" s="20"/>
      <c r="W650" s="20"/>
    </row>
    <row r="651" spans="1:23" x14ac:dyDescent="0.25">
      <c r="A651" s="177" t="s">
        <v>5235</v>
      </c>
      <c r="B651" s="177" t="s">
        <v>5236</v>
      </c>
      <c r="C651" s="178" t="s">
        <v>5237</v>
      </c>
      <c r="D651" s="173" t="s">
        <v>3968</v>
      </c>
      <c r="E651" s="20"/>
      <c r="F651" s="20"/>
      <c r="G651" s="175"/>
      <c r="H651" s="20"/>
      <c r="I651" s="20"/>
      <c r="J651" s="20"/>
      <c r="K651" s="20"/>
      <c r="L651" s="20"/>
      <c r="M651" s="20"/>
      <c r="N651" s="20"/>
      <c r="O651" s="20"/>
      <c r="P651" s="20"/>
      <c r="Q651" s="20"/>
      <c r="R651" s="20"/>
      <c r="S651" s="20"/>
      <c r="T651" s="20"/>
      <c r="U651" s="20"/>
      <c r="V651" s="20"/>
      <c r="W651" s="20"/>
    </row>
    <row r="652" spans="1:23" x14ac:dyDescent="0.25">
      <c r="A652" s="177" t="s">
        <v>5238</v>
      </c>
      <c r="B652" s="177" t="s">
        <v>5239</v>
      </c>
      <c r="C652" s="178" t="s">
        <v>5240</v>
      </c>
      <c r="D652" s="173" t="s">
        <v>3968</v>
      </c>
      <c r="E652" s="20"/>
      <c r="F652" s="20"/>
      <c r="G652" s="175"/>
      <c r="H652" s="20"/>
      <c r="I652" s="20"/>
      <c r="J652" s="20"/>
      <c r="K652" s="20"/>
      <c r="L652" s="20"/>
      <c r="M652" s="20"/>
      <c r="N652" s="20"/>
      <c r="O652" s="20"/>
      <c r="P652" s="20"/>
      <c r="Q652" s="20"/>
      <c r="R652" s="20"/>
      <c r="S652" s="20"/>
      <c r="T652" s="20"/>
      <c r="U652" s="20"/>
      <c r="V652" s="20"/>
      <c r="W652" s="20"/>
    </row>
    <row r="653" spans="1:23" x14ac:dyDescent="0.25">
      <c r="A653" s="177" t="s">
        <v>5241</v>
      </c>
      <c r="B653" s="177" t="s">
        <v>5242</v>
      </c>
      <c r="C653" s="178" t="s">
        <v>5243</v>
      </c>
      <c r="D653" s="173" t="s">
        <v>3968</v>
      </c>
      <c r="E653" s="20"/>
      <c r="F653" s="20"/>
      <c r="G653" s="175"/>
      <c r="H653" s="20"/>
      <c r="I653" s="20"/>
      <c r="J653" s="20"/>
      <c r="K653" s="20"/>
      <c r="L653" s="20"/>
      <c r="M653" s="20"/>
      <c r="N653" s="20"/>
      <c r="O653" s="20"/>
      <c r="P653" s="20"/>
      <c r="Q653" s="20"/>
      <c r="R653" s="20"/>
      <c r="S653" s="20"/>
      <c r="T653" s="20"/>
      <c r="U653" s="20"/>
      <c r="V653" s="20"/>
      <c r="W653" s="20"/>
    </row>
    <row r="654" spans="1:23" x14ac:dyDescent="0.25">
      <c r="A654" s="177" t="s">
        <v>5244</v>
      </c>
      <c r="B654" s="177" t="s">
        <v>444</v>
      </c>
      <c r="C654" s="178" t="s">
        <v>5245</v>
      </c>
      <c r="D654" s="173" t="s">
        <v>3968</v>
      </c>
      <c r="E654" s="20"/>
      <c r="F654" s="20"/>
      <c r="G654" s="175"/>
      <c r="H654" s="20"/>
      <c r="I654" s="20"/>
      <c r="J654" s="20"/>
      <c r="K654" s="20"/>
      <c r="L654" s="20"/>
      <c r="M654" s="20"/>
      <c r="N654" s="20"/>
      <c r="O654" s="20"/>
      <c r="P654" s="20"/>
      <c r="Q654" s="20"/>
      <c r="R654" s="20"/>
      <c r="S654" s="20"/>
      <c r="T654" s="20"/>
      <c r="U654" s="20"/>
      <c r="V654" s="20"/>
      <c r="W654" s="20"/>
    </row>
    <row r="655" spans="1:23" x14ac:dyDescent="0.25">
      <c r="A655" s="177" t="s">
        <v>5246</v>
      </c>
      <c r="B655" s="177" t="s">
        <v>445</v>
      </c>
      <c r="C655" s="178" t="s">
        <v>5247</v>
      </c>
      <c r="D655" s="173" t="s">
        <v>3968</v>
      </c>
      <c r="E655" s="20"/>
      <c r="F655" s="20"/>
      <c r="G655" s="175"/>
      <c r="H655" s="20"/>
      <c r="I655" s="20"/>
      <c r="J655" s="20"/>
      <c r="K655" s="20"/>
      <c r="L655" s="20"/>
      <c r="M655" s="20"/>
      <c r="N655" s="20"/>
      <c r="O655" s="20"/>
      <c r="P655" s="20"/>
      <c r="Q655" s="20"/>
      <c r="R655" s="20"/>
      <c r="S655" s="20"/>
      <c r="T655" s="20"/>
      <c r="U655" s="20"/>
      <c r="V655" s="20"/>
      <c r="W655" s="20"/>
    </row>
    <row r="656" spans="1:23" x14ac:dyDescent="0.25">
      <c r="A656" s="177" t="s">
        <v>5248</v>
      </c>
      <c r="B656" s="177" t="s">
        <v>394</v>
      </c>
      <c r="C656" s="178" t="s">
        <v>5249</v>
      </c>
      <c r="D656" s="173" t="s">
        <v>3968</v>
      </c>
      <c r="E656" s="20"/>
      <c r="F656" s="20"/>
      <c r="G656" s="175"/>
      <c r="H656" s="20"/>
      <c r="I656" s="20"/>
      <c r="J656" s="20"/>
      <c r="K656" s="20"/>
      <c r="L656" s="20"/>
      <c r="M656" s="20"/>
      <c r="N656" s="20"/>
      <c r="O656" s="20"/>
      <c r="P656" s="20"/>
      <c r="Q656" s="20"/>
      <c r="R656" s="20"/>
      <c r="S656" s="20"/>
      <c r="T656" s="20"/>
      <c r="U656" s="20"/>
      <c r="V656" s="20"/>
      <c r="W656" s="20"/>
    </row>
    <row r="657" spans="1:23" x14ac:dyDescent="0.25">
      <c r="A657" s="177" t="s">
        <v>5250</v>
      </c>
      <c r="B657" s="177" t="s">
        <v>5251</v>
      </c>
      <c r="C657" s="178" t="s">
        <v>5252</v>
      </c>
      <c r="D657" s="173" t="s">
        <v>3968</v>
      </c>
      <c r="E657" s="20"/>
      <c r="F657" s="20"/>
      <c r="G657" s="175"/>
      <c r="H657" s="20"/>
      <c r="I657" s="20"/>
      <c r="J657" s="20"/>
      <c r="K657" s="20"/>
      <c r="L657" s="20"/>
      <c r="M657" s="20"/>
      <c r="N657" s="20"/>
      <c r="O657" s="20"/>
      <c r="P657" s="20"/>
      <c r="Q657" s="20"/>
      <c r="R657" s="20"/>
      <c r="S657" s="20"/>
      <c r="T657" s="20"/>
      <c r="U657" s="20"/>
      <c r="V657" s="20"/>
      <c r="W657" s="20"/>
    </row>
    <row r="658" spans="1:23" x14ac:dyDescent="0.25">
      <c r="A658" s="177" t="s">
        <v>5253</v>
      </c>
      <c r="B658" s="177" t="s">
        <v>5254</v>
      </c>
      <c r="C658" s="178" t="s">
        <v>5255</v>
      </c>
      <c r="D658" s="173" t="s">
        <v>3968</v>
      </c>
      <c r="E658" s="20"/>
      <c r="F658" s="20"/>
      <c r="G658" s="175"/>
      <c r="H658" s="20"/>
      <c r="I658" s="20"/>
      <c r="J658" s="20"/>
      <c r="K658" s="20"/>
      <c r="L658" s="20"/>
      <c r="M658" s="20"/>
      <c r="N658" s="20"/>
      <c r="O658" s="20"/>
      <c r="P658" s="20"/>
      <c r="Q658" s="20"/>
      <c r="R658" s="20"/>
      <c r="S658" s="20"/>
      <c r="T658" s="20"/>
      <c r="U658" s="20"/>
      <c r="V658" s="20"/>
      <c r="W658" s="20"/>
    </row>
    <row r="659" spans="1:23" x14ac:dyDescent="0.25">
      <c r="A659" s="177" t="s">
        <v>5256</v>
      </c>
      <c r="B659" s="177" t="s">
        <v>414</v>
      </c>
      <c r="C659" s="178" t="s">
        <v>5257</v>
      </c>
      <c r="D659" s="173" t="s">
        <v>3968</v>
      </c>
      <c r="E659" s="20"/>
      <c r="F659" s="20"/>
      <c r="G659" s="175"/>
      <c r="H659" s="20"/>
      <c r="I659" s="20"/>
      <c r="J659" s="20"/>
      <c r="K659" s="20"/>
      <c r="L659" s="20"/>
      <c r="M659" s="20"/>
      <c r="N659" s="20"/>
      <c r="O659" s="20"/>
      <c r="P659" s="20"/>
      <c r="Q659" s="20"/>
      <c r="R659" s="20"/>
      <c r="S659" s="20"/>
      <c r="T659" s="20"/>
      <c r="U659" s="20"/>
      <c r="V659" s="20"/>
      <c r="W659" s="20"/>
    </row>
    <row r="660" spans="1:23" x14ac:dyDescent="0.25">
      <c r="A660" s="177" t="s">
        <v>5258</v>
      </c>
      <c r="B660" s="177" t="s">
        <v>415</v>
      </c>
      <c r="C660" s="178" t="s">
        <v>5259</v>
      </c>
      <c r="D660" s="173" t="s">
        <v>3968</v>
      </c>
      <c r="E660" s="20"/>
      <c r="F660" s="20"/>
      <c r="G660" s="175"/>
      <c r="H660" s="20"/>
      <c r="I660" s="20"/>
      <c r="J660" s="20"/>
      <c r="K660" s="20"/>
      <c r="L660" s="20"/>
      <c r="M660" s="20"/>
      <c r="N660" s="20"/>
      <c r="O660" s="20"/>
      <c r="P660" s="20"/>
      <c r="Q660" s="20"/>
      <c r="R660" s="20"/>
      <c r="S660" s="20"/>
      <c r="T660" s="20"/>
      <c r="U660" s="20"/>
      <c r="V660" s="20"/>
      <c r="W660" s="20"/>
    </row>
    <row r="661" spans="1:23" x14ac:dyDescent="0.25">
      <c r="A661" s="177" t="s">
        <v>5260</v>
      </c>
      <c r="B661" s="177" t="s">
        <v>5261</v>
      </c>
      <c r="C661" s="178" t="s">
        <v>5262</v>
      </c>
      <c r="D661" s="173" t="s">
        <v>3968</v>
      </c>
      <c r="E661" s="20"/>
      <c r="F661" s="20"/>
      <c r="G661" s="175"/>
      <c r="H661" s="20"/>
      <c r="I661" s="20"/>
      <c r="J661" s="20"/>
      <c r="K661" s="20"/>
      <c r="L661" s="20"/>
      <c r="M661" s="20"/>
      <c r="N661" s="20"/>
      <c r="O661" s="20"/>
      <c r="P661" s="20"/>
      <c r="Q661" s="20"/>
      <c r="R661" s="20"/>
      <c r="S661" s="20"/>
      <c r="T661" s="20"/>
      <c r="U661" s="20"/>
      <c r="V661" s="20"/>
      <c r="W661" s="20"/>
    </row>
    <row r="662" spans="1:23" x14ac:dyDescent="0.25">
      <c r="A662" s="177" t="s">
        <v>5258</v>
      </c>
      <c r="B662" s="177" t="s">
        <v>5263</v>
      </c>
      <c r="C662" s="178" t="s">
        <v>5264</v>
      </c>
      <c r="D662" s="173" t="s">
        <v>3968</v>
      </c>
      <c r="E662" s="20"/>
      <c r="F662" s="20"/>
      <c r="G662" s="175"/>
      <c r="H662" s="20"/>
      <c r="I662" s="20"/>
      <c r="J662" s="20"/>
      <c r="K662" s="20"/>
      <c r="L662" s="20"/>
      <c r="M662" s="20"/>
      <c r="N662" s="20"/>
      <c r="O662" s="20"/>
      <c r="P662" s="20"/>
      <c r="Q662" s="20"/>
      <c r="R662" s="20"/>
      <c r="S662" s="20"/>
      <c r="T662" s="20"/>
      <c r="U662" s="20"/>
      <c r="V662" s="20"/>
      <c r="W662" s="20"/>
    </row>
    <row r="663" spans="1:23" x14ac:dyDescent="0.25">
      <c r="A663" s="177" t="s">
        <v>5265</v>
      </c>
      <c r="B663" s="177" t="s">
        <v>366</v>
      </c>
      <c r="C663" s="178" t="s">
        <v>5266</v>
      </c>
      <c r="D663" s="173" t="s">
        <v>3968</v>
      </c>
      <c r="E663" s="20"/>
      <c r="F663" s="20"/>
      <c r="G663" s="175"/>
      <c r="H663" s="20"/>
      <c r="I663" s="20"/>
      <c r="J663" s="20"/>
      <c r="K663" s="20"/>
      <c r="L663" s="20"/>
      <c r="M663" s="20"/>
      <c r="N663" s="20"/>
      <c r="O663" s="20"/>
      <c r="P663" s="20"/>
      <c r="Q663" s="20"/>
      <c r="R663" s="20"/>
      <c r="S663" s="20"/>
      <c r="T663" s="20"/>
      <c r="U663" s="20"/>
      <c r="V663" s="20"/>
      <c r="W663" s="20"/>
    </row>
    <row r="664" spans="1:23" x14ac:dyDescent="0.25">
      <c r="A664" s="177" t="s">
        <v>5267</v>
      </c>
      <c r="B664" s="177" t="s">
        <v>3091</v>
      </c>
      <c r="C664" s="178" t="s">
        <v>5268</v>
      </c>
      <c r="D664" s="173" t="s">
        <v>3968</v>
      </c>
      <c r="E664" s="20"/>
      <c r="F664" s="20"/>
      <c r="G664" s="175"/>
      <c r="H664" s="20"/>
      <c r="I664" s="20"/>
      <c r="J664" s="20"/>
      <c r="K664" s="20"/>
      <c r="L664" s="20"/>
      <c r="M664" s="20"/>
      <c r="N664" s="20"/>
      <c r="O664" s="20"/>
      <c r="P664" s="20"/>
      <c r="Q664" s="20"/>
      <c r="R664" s="20"/>
      <c r="S664" s="20"/>
      <c r="T664" s="20"/>
      <c r="U664" s="20"/>
      <c r="V664" s="20"/>
      <c r="W664" s="20"/>
    </row>
    <row r="665" spans="1:23" x14ac:dyDescent="0.25">
      <c r="A665" s="177" t="s">
        <v>5269</v>
      </c>
      <c r="B665" s="177" t="s">
        <v>5270</v>
      </c>
      <c r="C665" s="178" t="s">
        <v>5271</v>
      </c>
      <c r="D665" s="173" t="s">
        <v>3968</v>
      </c>
      <c r="E665" s="20"/>
      <c r="F665" s="20"/>
      <c r="G665" s="175"/>
      <c r="H665" s="20"/>
      <c r="I665" s="20"/>
      <c r="J665" s="20"/>
      <c r="K665" s="20"/>
      <c r="L665" s="20"/>
      <c r="M665" s="20"/>
      <c r="N665" s="20"/>
      <c r="O665" s="20"/>
      <c r="P665" s="20"/>
      <c r="Q665" s="20"/>
      <c r="R665" s="20"/>
      <c r="S665" s="20"/>
      <c r="T665" s="20"/>
      <c r="U665" s="20"/>
      <c r="V665" s="20"/>
      <c r="W665" s="20"/>
    </row>
    <row r="666" spans="1:23" x14ac:dyDescent="0.25">
      <c r="A666" s="171" t="s">
        <v>5272</v>
      </c>
      <c r="B666" s="177" t="s">
        <v>5273</v>
      </c>
      <c r="C666" s="178" t="s">
        <v>5274</v>
      </c>
      <c r="D666" s="178" t="s">
        <v>2257</v>
      </c>
      <c r="E666" s="20"/>
      <c r="F666" s="20"/>
      <c r="G666" s="175"/>
      <c r="H666" s="20"/>
      <c r="I666" s="20"/>
      <c r="J666" s="20"/>
      <c r="K666" s="20"/>
      <c r="L666" s="20"/>
      <c r="M666" s="20"/>
      <c r="N666" s="20"/>
      <c r="O666" s="20"/>
      <c r="P666" s="20"/>
      <c r="Q666" s="20"/>
      <c r="R666" s="20"/>
      <c r="S666" s="20"/>
      <c r="T666" s="20"/>
      <c r="U666" s="20"/>
      <c r="V666" s="20"/>
      <c r="W666" s="20"/>
    </row>
    <row r="667" spans="1:23" x14ac:dyDescent="0.25">
      <c r="A667" s="171" t="s">
        <v>5275</v>
      </c>
      <c r="B667" s="177" t="s">
        <v>2263</v>
      </c>
      <c r="C667" s="178" t="s">
        <v>5276</v>
      </c>
      <c r="D667" s="178" t="s">
        <v>2257</v>
      </c>
      <c r="E667" s="20"/>
      <c r="F667" s="20"/>
      <c r="G667" s="175"/>
      <c r="H667" s="20"/>
      <c r="I667" s="20"/>
      <c r="J667" s="20"/>
      <c r="K667" s="20"/>
      <c r="L667" s="20"/>
      <c r="M667" s="20"/>
      <c r="N667" s="20"/>
      <c r="O667" s="20"/>
      <c r="P667" s="20"/>
      <c r="Q667" s="20"/>
      <c r="R667" s="20"/>
      <c r="S667" s="20"/>
      <c r="T667" s="20"/>
      <c r="U667" s="20"/>
      <c r="V667" s="20"/>
      <c r="W667" s="20"/>
    </row>
    <row r="668" spans="1:23" x14ac:dyDescent="0.25">
      <c r="A668" s="171" t="s">
        <v>5277</v>
      </c>
      <c r="B668" s="177" t="s">
        <v>5278</v>
      </c>
      <c r="C668" s="178" t="s">
        <v>5279</v>
      </c>
      <c r="D668" s="178" t="s">
        <v>2257</v>
      </c>
      <c r="E668" s="20"/>
      <c r="F668" s="20"/>
      <c r="G668" s="175"/>
      <c r="H668" s="20"/>
      <c r="I668" s="20"/>
      <c r="J668" s="20"/>
      <c r="K668" s="20"/>
      <c r="L668" s="20"/>
      <c r="M668" s="20"/>
      <c r="N668" s="20"/>
      <c r="O668" s="20"/>
      <c r="P668" s="20"/>
      <c r="Q668" s="20"/>
      <c r="R668" s="20"/>
      <c r="S668" s="20"/>
      <c r="T668" s="20"/>
      <c r="U668" s="20"/>
      <c r="V668" s="20"/>
      <c r="W668" s="20"/>
    </row>
    <row r="669" spans="1:23" x14ac:dyDescent="0.25">
      <c r="A669" s="171" t="s">
        <v>5280</v>
      </c>
      <c r="B669" s="177" t="s">
        <v>2265</v>
      </c>
      <c r="C669" s="178" t="s">
        <v>5281</v>
      </c>
      <c r="D669" s="178" t="s">
        <v>2257</v>
      </c>
      <c r="E669" s="20"/>
      <c r="F669" s="20"/>
      <c r="G669" s="175"/>
      <c r="H669" s="20"/>
      <c r="I669" s="20"/>
      <c r="J669" s="20"/>
      <c r="K669" s="20"/>
      <c r="L669" s="20"/>
      <c r="M669" s="20"/>
      <c r="N669" s="20"/>
      <c r="O669" s="20"/>
      <c r="P669" s="20"/>
      <c r="Q669" s="20"/>
      <c r="R669" s="20"/>
      <c r="S669" s="20"/>
      <c r="T669" s="20"/>
      <c r="U669" s="20"/>
      <c r="V669" s="20"/>
      <c r="W669" s="20"/>
    </row>
    <row r="670" spans="1:23" x14ac:dyDescent="0.25">
      <c r="A670" s="171" t="s">
        <v>5282</v>
      </c>
      <c r="B670" s="177" t="s">
        <v>5283</v>
      </c>
      <c r="C670" s="178" t="s">
        <v>5284</v>
      </c>
      <c r="D670" s="178" t="s">
        <v>2257</v>
      </c>
      <c r="E670" s="20"/>
      <c r="F670" s="20"/>
      <c r="G670" s="175"/>
      <c r="H670" s="20"/>
      <c r="I670" s="20"/>
      <c r="J670" s="20"/>
      <c r="K670" s="20"/>
      <c r="L670" s="20"/>
      <c r="M670" s="20"/>
      <c r="N670" s="20"/>
      <c r="O670" s="20"/>
      <c r="P670" s="20"/>
      <c r="Q670" s="20"/>
      <c r="R670" s="20"/>
      <c r="S670" s="20"/>
      <c r="T670" s="20"/>
      <c r="U670" s="20"/>
      <c r="V670" s="20"/>
      <c r="W670" s="20"/>
    </row>
    <row r="671" spans="1:23" x14ac:dyDescent="0.25">
      <c r="A671" s="171" t="s">
        <v>5285</v>
      </c>
      <c r="B671" s="177" t="s">
        <v>2259</v>
      </c>
      <c r="C671" s="178" t="s">
        <v>5286</v>
      </c>
      <c r="D671" s="178" t="s">
        <v>2257</v>
      </c>
      <c r="E671" s="20"/>
      <c r="F671" s="20"/>
      <c r="G671" s="175"/>
      <c r="H671" s="20"/>
      <c r="I671" s="20"/>
      <c r="J671" s="20"/>
      <c r="K671" s="20"/>
      <c r="L671" s="20"/>
      <c r="M671" s="20"/>
      <c r="N671" s="20"/>
      <c r="O671" s="20"/>
      <c r="P671" s="20"/>
      <c r="Q671" s="20"/>
      <c r="R671" s="20"/>
      <c r="S671" s="20"/>
      <c r="T671" s="20"/>
      <c r="U671" s="20"/>
      <c r="V671" s="20"/>
      <c r="W671" s="20"/>
    </row>
    <row r="672" spans="1:23" x14ac:dyDescent="0.25">
      <c r="A672" s="177" t="s">
        <v>5287</v>
      </c>
      <c r="B672" s="177" t="s">
        <v>335</v>
      </c>
      <c r="C672" s="178" t="s">
        <v>5288</v>
      </c>
      <c r="D672" s="173" t="s">
        <v>3968</v>
      </c>
      <c r="E672" s="20"/>
      <c r="F672" s="20"/>
      <c r="G672" s="175"/>
      <c r="H672" s="20"/>
      <c r="I672" s="20"/>
      <c r="J672" s="20"/>
      <c r="K672" s="20"/>
      <c r="L672" s="20"/>
      <c r="M672" s="20"/>
      <c r="N672" s="20"/>
      <c r="O672" s="20"/>
      <c r="P672" s="20"/>
      <c r="Q672" s="20"/>
      <c r="R672" s="20"/>
      <c r="S672" s="20"/>
      <c r="T672" s="20"/>
      <c r="U672" s="20"/>
      <c r="V672" s="20"/>
      <c r="W672" s="20"/>
    </row>
    <row r="673" spans="1:23" x14ac:dyDescent="0.25">
      <c r="A673" s="177" t="s">
        <v>5289</v>
      </c>
      <c r="B673" s="177" t="s">
        <v>1750</v>
      </c>
      <c r="C673" s="178" t="s">
        <v>5290</v>
      </c>
      <c r="D673" s="173" t="s">
        <v>3968</v>
      </c>
      <c r="E673" s="20"/>
      <c r="F673" s="20"/>
      <c r="G673" s="175"/>
      <c r="H673" s="20"/>
      <c r="I673" s="20"/>
      <c r="J673" s="20"/>
      <c r="K673" s="20"/>
      <c r="L673" s="20"/>
      <c r="M673" s="20"/>
      <c r="N673" s="20"/>
      <c r="O673" s="20"/>
      <c r="P673" s="20"/>
      <c r="Q673" s="20"/>
      <c r="R673" s="20"/>
      <c r="S673" s="20"/>
      <c r="T673" s="20"/>
      <c r="U673" s="20"/>
      <c r="V673" s="20"/>
      <c r="W673" s="20"/>
    </row>
    <row r="674" spans="1:23" x14ac:dyDescent="0.25">
      <c r="A674" s="177" t="s">
        <v>5291</v>
      </c>
      <c r="B674" s="177" t="s">
        <v>5292</v>
      </c>
      <c r="C674" s="178" t="s">
        <v>5293</v>
      </c>
      <c r="D674" s="173" t="s">
        <v>3968</v>
      </c>
      <c r="E674" s="20"/>
      <c r="F674" s="20"/>
      <c r="G674" s="175"/>
      <c r="H674" s="20"/>
      <c r="I674" s="20"/>
      <c r="J674" s="20"/>
      <c r="K674" s="20"/>
      <c r="L674" s="20"/>
      <c r="M674" s="20"/>
      <c r="N674" s="20"/>
      <c r="O674" s="20"/>
      <c r="P674" s="20"/>
      <c r="Q674" s="20"/>
      <c r="R674" s="20"/>
      <c r="S674" s="20"/>
      <c r="T674" s="20"/>
      <c r="U674" s="20"/>
      <c r="V674" s="20"/>
      <c r="W674" s="20"/>
    </row>
    <row r="675" spans="1:23" x14ac:dyDescent="0.25">
      <c r="A675" s="177" t="s">
        <v>5294</v>
      </c>
      <c r="B675" s="177" t="s">
        <v>514</v>
      </c>
      <c r="C675" s="178" t="s">
        <v>5295</v>
      </c>
      <c r="D675" s="173" t="s">
        <v>3968</v>
      </c>
      <c r="E675" s="20"/>
      <c r="F675" s="20"/>
      <c r="G675" s="175"/>
      <c r="H675" s="20"/>
      <c r="I675" s="20"/>
      <c r="J675" s="20"/>
      <c r="K675" s="20"/>
      <c r="L675" s="20"/>
      <c r="M675" s="20"/>
      <c r="N675" s="20"/>
      <c r="O675" s="20"/>
      <c r="P675" s="20"/>
      <c r="Q675" s="20"/>
      <c r="R675" s="20"/>
      <c r="S675" s="20"/>
      <c r="T675" s="20"/>
      <c r="U675" s="20"/>
      <c r="V675" s="20"/>
      <c r="W675" s="20"/>
    </row>
    <row r="676" spans="1:23" x14ac:dyDescent="0.25">
      <c r="A676" s="177" t="s">
        <v>5296</v>
      </c>
      <c r="B676" s="177" t="s">
        <v>515</v>
      </c>
      <c r="C676" s="178" t="s">
        <v>5297</v>
      </c>
      <c r="D676" s="173" t="s">
        <v>3968</v>
      </c>
      <c r="E676" s="20"/>
      <c r="F676" s="20"/>
      <c r="G676" s="175"/>
      <c r="H676" s="20"/>
      <c r="I676" s="20"/>
      <c r="J676" s="20"/>
      <c r="K676" s="20"/>
      <c r="L676" s="20"/>
      <c r="M676" s="20"/>
      <c r="N676" s="20"/>
      <c r="O676" s="20"/>
      <c r="P676" s="20"/>
      <c r="Q676" s="20"/>
      <c r="R676" s="20"/>
      <c r="S676" s="20"/>
      <c r="T676" s="20"/>
      <c r="U676" s="20"/>
      <c r="V676" s="20"/>
      <c r="W676" s="20"/>
    </row>
    <row r="677" spans="1:23" x14ac:dyDescent="0.25">
      <c r="A677" s="177" t="s">
        <v>5298</v>
      </c>
      <c r="B677" s="177" t="s">
        <v>516</v>
      </c>
      <c r="C677" s="178" t="s">
        <v>5299</v>
      </c>
      <c r="D677" s="173" t="s">
        <v>3968</v>
      </c>
      <c r="E677" s="20"/>
      <c r="F677" s="20"/>
      <c r="G677" s="175"/>
      <c r="H677" s="20"/>
      <c r="I677" s="20"/>
      <c r="J677" s="20"/>
      <c r="K677" s="20"/>
      <c r="L677" s="20"/>
      <c r="M677" s="20"/>
      <c r="N677" s="20"/>
      <c r="O677" s="20"/>
      <c r="P677" s="20"/>
      <c r="Q677" s="20"/>
      <c r="R677" s="20"/>
      <c r="S677" s="20"/>
      <c r="T677" s="20"/>
      <c r="U677" s="20"/>
      <c r="V677" s="20"/>
      <c r="W677" s="20"/>
    </row>
    <row r="678" spans="1:23" x14ac:dyDescent="0.25">
      <c r="A678" s="177" t="s">
        <v>5300</v>
      </c>
      <c r="B678" s="177" t="s">
        <v>517</v>
      </c>
      <c r="C678" s="178" t="s">
        <v>5301</v>
      </c>
      <c r="D678" s="173" t="s">
        <v>3968</v>
      </c>
      <c r="E678" s="20"/>
      <c r="F678" s="20"/>
      <c r="G678" s="175"/>
      <c r="H678" s="20"/>
      <c r="I678" s="20"/>
      <c r="J678" s="20"/>
      <c r="K678" s="20"/>
      <c r="L678" s="20"/>
      <c r="M678" s="20"/>
      <c r="N678" s="20"/>
      <c r="O678" s="20"/>
      <c r="P678" s="20"/>
      <c r="Q678" s="20"/>
      <c r="R678" s="20"/>
      <c r="S678" s="20"/>
      <c r="T678" s="20"/>
      <c r="U678" s="20"/>
      <c r="V678" s="20"/>
      <c r="W678" s="20"/>
    </row>
    <row r="679" spans="1:23" x14ac:dyDescent="0.25">
      <c r="A679" s="177" t="s">
        <v>5302</v>
      </c>
      <c r="B679" s="177" t="s">
        <v>5303</v>
      </c>
      <c r="C679" s="178" t="s">
        <v>5304</v>
      </c>
      <c r="D679" s="173" t="s">
        <v>3968</v>
      </c>
      <c r="E679" s="20"/>
      <c r="F679" s="20"/>
      <c r="G679" s="175"/>
      <c r="H679" s="20"/>
      <c r="I679" s="20"/>
      <c r="J679" s="20"/>
      <c r="K679" s="20"/>
      <c r="L679" s="20"/>
      <c r="M679" s="20"/>
      <c r="N679" s="20"/>
      <c r="O679" s="20"/>
      <c r="P679" s="20"/>
      <c r="Q679" s="20"/>
      <c r="R679" s="20"/>
      <c r="S679" s="20"/>
      <c r="T679" s="20"/>
      <c r="U679" s="20"/>
      <c r="V679" s="20"/>
      <c r="W679" s="20"/>
    </row>
    <row r="680" spans="1:23" x14ac:dyDescent="0.25">
      <c r="A680" s="177" t="s">
        <v>5305</v>
      </c>
      <c r="B680" s="177" t="s">
        <v>5306</v>
      </c>
      <c r="C680" s="178" t="s">
        <v>5307</v>
      </c>
      <c r="D680" s="173" t="s">
        <v>3968</v>
      </c>
      <c r="E680" s="20"/>
      <c r="F680" s="20"/>
      <c r="G680" s="175"/>
      <c r="H680" s="20"/>
      <c r="I680" s="20"/>
      <c r="J680" s="20"/>
      <c r="K680" s="20"/>
      <c r="L680" s="20"/>
      <c r="M680" s="20"/>
      <c r="N680" s="20"/>
      <c r="O680" s="20"/>
      <c r="P680" s="20"/>
      <c r="Q680" s="20"/>
      <c r="R680" s="20"/>
      <c r="S680" s="20"/>
      <c r="T680" s="20"/>
      <c r="U680" s="20"/>
      <c r="V680" s="20"/>
      <c r="W680" s="20"/>
    </row>
    <row r="681" spans="1:23" x14ac:dyDescent="0.25">
      <c r="A681" s="177" t="s">
        <v>5308</v>
      </c>
      <c r="B681" s="177" t="s">
        <v>5309</v>
      </c>
      <c r="C681" s="178" t="s">
        <v>5310</v>
      </c>
      <c r="D681" s="173" t="s">
        <v>3968</v>
      </c>
      <c r="E681" s="20"/>
      <c r="F681" s="20"/>
      <c r="G681" s="175"/>
      <c r="H681" s="20"/>
      <c r="I681" s="20"/>
      <c r="J681" s="20"/>
      <c r="K681" s="20"/>
      <c r="L681" s="20"/>
      <c r="M681" s="20"/>
      <c r="N681" s="20"/>
      <c r="O681" s="20"/>
      <c r="P681" s="20"/>
      <c r="Q681" s="20"/>
      <c r="R681" s="20"/>
      <c r="S681" s="20"/>
      <c r="T681" s="20"/>
      <c r="U681" s="20"/>
      <c r="V681" s="20"/>
      <c r="W681" s="20"/>
    </row>
    <row r="682" spans="1:23" x14ac:dyDescent="0.25">
      <c r="A682" s="177" t="s">
        <v>5311</v>
      </c>
      <c r="B682" s="177" t="s">
        <v>5312</v>
      </c>
      <c r="C682" s="178" t="s">
        <v>5313</v>
      </c>
      <c r="D682" s="173" t="s">
        <v>3968</v>
      </c>
      <c r="E682" s="20"/>
      <c r="F682" s="20"/>
      <c r="G682" s="175"/>
      <c r="H682" s="20"/>
      <c r="I682" s="20"/>
      <c r="J682" s="20"/>
      <c r="K682" s="20"/>
      <c r="L682" s="20"/>
      <c r="M682" s="20"/>
      <c r="N682" s="20"/>
      <c r="O682" s="20"/>
      <c r="P682" s="20"/>
      <c r="Q682" s="20"/>
      <c r="R682" s="20"/>
      <c r="S682" s="20"/>
      <c r="T682" s="20"/>
      <c r="U682" s="20"/>
      <c r="V682" s="20"/>
      <c r="W682" s="20"/>
    </row>
    <row r="683" spans="1:23" x14ac:dyDescent="0.25">
      <c r="A683" s="177" t="s">
        <v>5314</v>
      </c>
      <c r="B683" s="177" t="s">
        <v>1752</v>
      </c>
      <c r="C683" s="178" t="s">
        <v>5315</v>
      </c>
      <c r="D683" s="173" t="s">
        <v>3968</v>
      </c>
      <c r="E683" s="20"/>
      <c r="F683" s="20"/>
      <c r="G683" s="175"/>
      <c r="H683" s="20"/>
      <c r="I683" s="20"/>
      <c r="J683" s="20"/>
      <c r="K683" s="20"/>
      <c r="L683" s="20"/>
      <c r="M683" s="20"/>
      <c r="N683" s="20"/>
      <c r="O683" s="20"/>
      <c r="P683" s="20"/>
      <c r="Q683" s="20"/>
      <c r="R683" s="20"/>
      <c r="S683" s="20"/>
      <c r="T683" s="20"/>
      <c r="U683" s="20"/>
      <c r="V683" s="20"/>
      <c r="W683" s="20"/>
    </row>
    <row r="684" spans="1:23" x14ac:dyDescent="0.25">
      <c r="A684" s="177" t="s">
        <v>5316</v>
      </c>
      <c r="B684" s="177" t="s">
        <v>1757</v>
      </c>
      <c r="C684" s="178" t="s">
        <v>5317</v>
      </c>
      <c r="D684" s="173" t="s">
        <v>3968</v>
      </c>
      <c r="E684" s="20"/>
      <c r="F684" s="20"/>
      <c r="G684" s="175"/>
      <c r="H684" s="20"/>
      <c r="I684" s="20"/>
      <c r="J684" s="20"/>
      <c r="K684" s="20"/>
      <c r="L684" s="20"/>
      <c r="M684" s="20"/>
      <c r="N684" s="20"/>
      <c r="O684" s="20"/>
      <c r="P684" s="20"/>
      <c r="Q684" s="20"/>
      <c r="R684" s="20"/>
      <c r="S684" s="20"/>
      <c r="T684" s="20"/>
      <c r="U684" s="20"/>
      <c r="V684" s="20"/>
      <c r="W684" s="20"/>
    </row>
    <row r="685" spans="1:23" x14ac:dyDescent="0.25">
      <c r="A685" s="177" t="s">
        <v>5318</v>
      </c>
      <c r="B685" s="177" t="s">
        <v>1759</v>
      </c>
      <c r="C685" s="178" t="s">
        <v>5319</v>
      </c>
      <c r="D685" s="173" t="s">
        <v>3968</v>
      </c>
      <c r="E685" s="20"/>
      <c r="F685" s="20"/>
      <c r="G685" s="175"/>
      <c r="H685" s="20"/>
      <c r="I685" s="20"/>
      <c r="J685" s="20"/>
      <c r="K685" s="20"/>
      <c r="L685" s="20"/>
      <c r="M685" s="20"/>
      <c r="N685" s="20"/>
      <c r="O685" s="20"/>
      <c r="P685" s="20"/>
      <c r="Q685" s="20"/>
      <c r="R685" s="20"/>
      <c r="S685" s="20"/>
      <c r="T685" s="20"/>
      <c r="U685" s="20"/>
      <c r="V685" s="20"/>
      <c r="W685" s="20"/>
    </row>
    <row r="686" spans="1:23" x14ac:dyDescent="0.25">
      <c r="A686" s="177" t="s">
        <v>5320</v>
      </c>
      <c r="B686" s="177" t="s">
        <v>1761</v>
      </c>
      <c r="C686" s="178" t="s">
        <v>5321</v>
      </c>
      <c r="D686" s="173" t="s">
        <v>3968</v>
      </c>
      <c r="E686" s="20"/>
      <c r="F686" s="20"/>
      <c r="G686" s="175"/>
      <c r="H686" s="20"/>
      <c r="I686" s="20"/>
      <c r="J686" s="20"/>
      <c r="K686" s="20"/>
      <c r="L686" s="20"/>
      <c r="M686" s="20"/>
      <c r="N686" s="20"/>
      <c r="O686" s="20"/>
      <c r="P686" s="20"/>
      <c r="Q686" s="20"/>
      <c r="R686" s="20"/>
      <c r="S686" s="20"/>
      <c r="T686" s="20"/>
      <c r="U686" s="20"/>
      <c r="V686" s="20"/>
      <c r="W686" s="20"/>
    </row>
    <row r="687" spans="1:23" x14ac:dyDescent="0.25">
      <c r="A687" s="177" t="s">
        <v>5322</v>
      </c>
      <c r="B687" s="177" t="s">
        <v>317</v>
      </c>
      <c r="C687" s="178" t="s">
        <v>5323</v>
      </c>
      <c r="D687" s="173" t="s">
        <v>3968</v>
      </c>
      <c r="E687" s="20"/>
      <c r="F687" s="20"/>
      <c r="G687" s="175"/>
      <c r="H687" s="20"/>
      <c r="I687" s="20"/>
      <c r="J687" s="20"/>
      <c r="K687" s="20"/>
      <c r="L687" s="20"/>
      <c r="M687" s="20"/>
      <c r="N687" s="20"/>
      <c r="O687" s="20"/>
      <c r="P687" s="20"/>
      <c r="Q687" s="20"/>
      <c r="R687" s="20"/>
      <c r="S687" s="20"/>
      <c r="T687" s="20"/>
      <c r="U687" s="20"/>
      <c r="V687" s="20"/>
      <c r="W687" s="20"/>
    </row>
    <row r="688" spans="1:23" x14ac:dyDescent="0.25">
      <c r="A688" s="177" t="s">
        <v>5324</v>
      </c>
      <c r="B688" s="177" t="s">
        <v>1929</v>
      </c>
      <c r="C688" s="178" t="s">
        <v>5325</v>
      </c>
      <c r="D688" s="173" t="s">
        <v>3968</v>
      </c>
      <c r="E688" s="20"/>
      <c r="F688" s="20"/>
      <c r="G688" s="175"/>
      <c r="H688" s="20"/>
      <c r="I688" s="20"/>
      <c r="J688" s="20"/>
      <c r="K688" s="20"/>
      <c r="L688" s="20"/>
      <c r="M688" s="20"/>
      <c r="N688" s="20"/>
      <c r="O688" s="20"/>
      <c r="P688" s="20"/>
      <c r="Q688" s="20"/>
      <c r="R688" s="20"/>
      <c r="S688" s="20"/>
      <c r="T688" s="20"/>
      <c r="U688" s="20"/>
      <c r="V688" s="20"/>
      <c r="W688" s="20"/>
    </row>
    <row r="689" spans="1:23" x14ac:dyDescent="0.25">
      <c r="A689" s="177" t="s">
        <v>5326</v>
      </c>
      <c r="B689" s="177" t="s">
        <v>559</v>
      </c>
      <c r="C689" s="178" t="s">
        <v>5327</v>
      </c>
      <c r="D689" s="173" t="s">
        <v>3968</v>
      </c>
      <c r="E689" s="20"/>
      <c r="F689" s="20"/>
      <c r="G689" s="175"/>
      <c r="H689" s="20"/>
      <c r="I689" s="20"/>
      <c r="J689" s="20"/>
      <c r="K689" s="20"/>
      <c r="L689" s="20"/>
      <c r="M689" s="20"/>
      <c r="N689" s="20"/>
      <c r="O689" s="20"/>
      <c r="P689" s="20"/>
      <c r="Q689" s="20"/>
      <c r="R689" s="20"/>
      <c r="S689" s="20"/>
      <c r="T689" s="20"/>
      <c r="U689" s="20"/>
      <c r="V689" s="20"/>
      <c r="W689" s="20"/>
    </row>
    <row r="690" spans="1:23" x14ac:dyDescent="0.25">
      <c r="A690" s="177" t="s">
        <v>5328</v>
      </c>
      <c r="B690" s="177" t="s">
        <v>402</v>
      </c>
      <c r="C690" s="178" t="s">
        <v>5329</v>
      </c>
      <c r="D690" s="173" t="s">
        <v>3968</v>
      </c>
      <c r="E690" s="20"/>
      <c r="F690" s="20"/>
      <c r="G690" s="175"/>
      <c r="H690" s="20"/>
      <c r="I690" s="20"/>
      <c r="J690" s="20"/>
      <c r="K690" s="20"/>
      <c r="L690" s="20"/>
      <c r="M690" s="20"/>
      <c r="N690" s="20"/>
      <c r="O690" s="20"/>
      <c r="P690" s="20"/>
      <c r="Q690" s="20"/>
      <c r="R690" s="20"/>
      <c r="S690" s="20"/>
      <c r="T690" s="20"/>
      <c r="U690" s="20"/>
      <c r="V690" s="20"/>
      <c r="W690" s="20"/>
    </row>
    <row r="691" spans="1:23" x14ac:dyDescent="0.25">
      <c r="A691" s="177" t="s">
        <v>5330</v>
      </c>
      <c r="B691" s="177" t="s">
        <v>403</v>
      </c>
      <c r="C691" s="178" t="s">
        <v>5331</v>
      </c>
      <c r="D691" s="173" t="s">
        <v>3968</v>
      </c>
      <c r="E691" s="20"/>
      <c r="F691" s="20"/>
      <c r="G691" s="175"/>
      <c r="H691" s="20"/>
      <c r="I691" s="20"/>
      <c r="J691" s="20"/>
      <c r="K691" s="20"/>
      <c r="L691" s="20"/>
      <c r="M691" s="20"/>
      <c r="N691" s="20"/>
      <c r="O691" s="20"/>
      <c r="P691" s="20"/>
      <c r="Q691" s="20"/>
      <c r="R691" s="20"/>
      <c r="S691" s="20"/>
      <c r="T691" s="20"/>
      <c r="U691" s="20"/>
      <c r="V691" s="20"/>
      <c r="W691" s="20"/>
    </row>
    <row r="692" spans="1:23" x14ac:dyDescent="0.25">
      <c r="A692" s="177" t="s">
        <v>5332</v>
      </c>
      <c r="B692" s="177" t="s">
        <v>404</v>
      </c>
      <c r="C692" s="178" t="s">
        <v>5333</v>
      </c>
      <c r="D692" s="173" t="s">
        <v>3968</v>
      </c>
      <c r="E692" s="20"/>
      <c r="F692" s="20"/>
      <c r="G692" s="175"/>
      <c r="H692" s="20"/>
      <c r="I692" s="20"/>
      <c r="J692" s="20"/>
      <c r="K692" s="20"/>
      <c r="L692" s="20"/>
      <c r="M692" s="20"/>
      <c r="N692" s="20"/>
      <c r="O692" s="20"/>
      <c r="P692" s="20"/>
      <c r="Q692" s="20"/>
      <c r="R692" s="20"/>
      <c r="S692" s="20"/>
      <c r="T692" s="20"/>
      <c r="U692" s="20"/>
      <c r="V692" s="20"/>
      <c r="W692" s="20"/>
    </row>
    <row r="693" spans="1:23" x14ac:dyDescent="0.25">
      <c r="A693" s="177" t="s">
        <v>5334</v>
      </c>
      <c r="B693" s="177" t="s">
        <v>405</v>
      </c>
      <c r="C693" s="178" t="s">
        <v>5335</v>
      </c>
      <c r="D693" s="173" t="s">
        <v>3968</v>
      </c>
      <c r="E693" s="20"/>
      <c r="F693" s="20"/>
      <c r="G693" s="175"/>
      <c r="H693" s="20"/>
      <c r="I693" s="20"/>
      <c r="J693" s="20"/>
      <c r="K693" s="20"/>
      <c r="L693" s="20"/>
      <c r="M693" s="20"/>
      <c r="N693" s="20"/>
      <c r="O693" s="20"/>
      <c r="P693" s="20"/>
      <c r="Q693" s="20"/>
      <c r="R693" s="20"/>
      <c r="S693" s="20"/>
      <c r="T693" s="20"/>
      <c r="U693" s="20"/>
      <c r="V693" s="20"/>
      <c r="W693" s="20"/>
    </row>
    <row r="694" spans="1:23" x14ac:dyDescent="0.25">
      <c r="A694" s="177" t="s">
        <v>5336</v>
      </c>
      <c r="B694" s="177" t="s">
        <v>406</v>
      </c>
      <c r="C694" s="178" t="s">
        <v>5337</v>
      </c>
      <c r="D694" s="173" t="s">
        <v>3968</v>
      </c>
      <c r="E694" s="20"/>
      <c r="F694" s="20"/>
      <c r="G694" s="175"/>
      <c r="H694" s="20"/>
      <c r="I694" s="20"/>
      <c r="J694" s="20"/>
      <c r="K694" s="20"/>
      <c r="L694" s="20"/>
      <c r="M694" s="20"/>
      <c r="N694" s="20"/>
      <c r="O694" s="20"/>
      <c r="P694" s="20"/>
      <c r="Q694" s="20"/>
      <c r="R694" s="20"/>
      <c r="S694" s="20"/>
      <c r="T694" s="20"/>
      <c r="U694" s="20"/>
      <c r="V694" s="20"/>
      <c r="W694" s="20"/>
    </row>
    <row r="695" spans="1:23" x14ac:dyDescent="0.25">
      <c r="A695" s="177" t="s">
        <v>5338</v>
      </c>
      <c r="B695" s="177" t="s">
        <v>407</v>
      </c>
      <c r="C695" s="178" t="s">
        <v>5339</v>
      </c>
      <c r="D695" s="173" t="s">
        <v>3968</v>
      </c>
      <c r="E695" s="20"/>
      <c r="F695" s="20"/>
      <c r="G695" s="175"/>
      <c r="H695" s="20"/>
      <c r="I695" s="20"/>
      <c r="J695" s="20"/>
      <c r="K695" s="20"/>
      <c r="L695" s="20"/>
      <c r="M695" s="20"/>
      <c r="N695" s="20"/>
      <c r="O695" s="20"/>
      <c r="P695" s="20"/>
      <c r="Q695" s="20"/>
      <c r="R695" s="20"/>
      <c r="S695" s="20"/>
      <c r="T695" s="20"/>
      <c r="U695" s="20"/>
      <c r="V695" s="20"/>
      <c r="W695" s="20"/>
    </row>
    <row r="696" spans="1:23" x14ac:dyDescent="0.25">
      <c r="A696" s="177" t="s">
        <v>5340</v>
      </c>
      <c r="B696" s="177" t="s">
        <v>605</v>
      </c>
      <c r="C696" s="178" t="s">
        <v>5341</v>
      </c>
      <c r="D696" s="173" t="s">
        <v>3968</v>
      </c>
      <c r="E696" s="20"/>
      <c r="F696" s="20"/>
      <c r="G696" s="175"/>
      <c r="H696" s="20"/>
      <c r="I696" s="20"/>
      <c r="J696" s="20"/>
      <c r="K696" s="20"/>
      <c r="L696" s="20"/>
      <c r="M696" s="20"/>
      <c r="N696" s="20"/>
      <c r="O696" s="20"/>
      <c r="P696" s="20"/>
      <c r="Q696" s="20"/>
      <c r="R696" s="20"/>
      <c r="S696" s="20"/>
      <c r="T696" s="20"/>
      <c r="U696" s="20"/>
      <c r="V696" s="20"/>
      <c r="W696" s="20"/>
    </row>
    <row r="697" spans="1:23" x14ac:dyDescent="0.25">
      <c r="A697" s="177" t="s">
        <v>5342</v>
      </c>
      <c r="B697" s="177" t="s">
        <v>606</v>
      </c>
      <c r="C697" s="178" t="s">
        <v>5343</v>
      </c>
      <c r="D697" s="173" t="s">
        <v>3968</v>
      </c>
      <c r="E697" s="20"/>
      <c r="F697" s="20"/>
      <c r="G697" s="175"/>
      <c r="H697" s="20"/>
      <c r="I697" s="20"/>
      <c r="J697" s="20"/>
      <c r="K697" s="20"/>
      <c r="L697" s="20"/>
      <c r="M697" s="20"/>
      <c r="N697" s="20"/>
      <c r="O697" s="20"/>
      <c r="P697" s="20"/>
      <c r="Q697" s="20"/>
      <c r="R697" s="20"/>
      <c r="S697" s="20"/>
      <c r="T697" s="20"/>
      <c r="U697" s="20"/>
      <c r="V697" s="20"/>
      <c r="W697" s="20"/>
    </row>
    <row r="698" spans="1:23" x14ac:dyDescent="0.25">
      <c r="A698" s="177" t="s">
        <v>5344</v>
      </c>
      <c r="B698" s="177" t="s">
        <v>5345</v>
      </c>
      <c r="C698" s="178" t="s">
        <v>5346</v>
      </c>
      <c r="D698" s="173" t="s">
        <v>3968</v>
      </c>
      <c r="E698" s="20"/>
      <c r="F698" s="20"/>
      <c r="G698" s="175"/>
      <c r="H698" s="20"/>
      <c r="I698" s="20"/>
      <c r="J698" s="20"/>
      <c r="K698" s="20"/>
      <c r="L698" s="20"/>
      <c r="M698" s="20"/>
      <c r="N698" s="20"/>
      <c r="O698" s="20"/>
      <c r="P698" s="20"/>
      <c r="Q698" s="20"/>
      <c r="R698" s="20"/>
      <c r="S698" s="20"/>
      <c r="T698" s="20"/>
      <c r="U698" s="20"/>
      <c r="V698" s="20"/>
      <c r="W698" s="20"/>
    </row>
    <row r="699" spans="1:23" x14ac:dyDescent="0.25">
      <c r="A699" s="177" t="s">
        <v>5347</v>
      </c>
      <c r="B699" s="177" t="s">
        <v>2281</v>
      </c>
      <c r="C699" s="178" t="s">
        <v>5348</v>
      </c>
      <c r="D699" s="173" t="s">
        <v>3968</v>
      </c>
      <c r="E699" s="20"/>
      <c r="F699" s="20"/>
      <c r="G699" s="175"/>
      <c r="H699" s="20"/>
      <c r="I699" s="20"/>
      <c r="J699" s="20"/>
      <c r="K699" s="20"/>
      <c r="L699" s="20"/>
      <c r="M699" s="20"/>
      <c r="N699" s="20"/>
      <c r="O699" s="20"/>
      <c r="P699" s="20"/>
      <c r="Q699" s="20"/>
      <c r="R699" s="20"/>
      <c r="S699" s="20"/>
      <c r="T699" s="20"/>
      <c r="U699" s="20"/>
      <c r="V699" s="20"/>
      <c r="W699" s="20"/>
    </row>
    <row r="700" spans="1:23" x14ac:dyDescent="0.25">
      <c r="A700" s="177" t="s">
        <v>5349</v>
      </c>
      <c r="B700" s="177" t="s">
        <v>2287</v>
      </c>
      <c r="C700" s="178" t="s">
        <v>5350</v>
      </c>
      <c r="D700" s="173" t="s">
        <v>3968</v>
      </c>
      <c r="E700" s="20"/>
      <c r="F700" s="20"/>
      <c r="G700" s="175"/>
      <c r="H700" s="20"/>
      <c r="I700" s="20"/>
      <c r="J700" s="20"/>
      <c r="K700" s="20"/>
      <c r="L700" s="20"/>
      <c r="M700" s="20"/>
      <c r="N700" s="20"/>
      <c r="O700" s="20"/>
      <c r="P700" s="20"/>
      <c r="Q700" s="20"/>
      <c r="R700" s="20"/>
      <c r="S700" s="20"/>
      <c r="T700" s="20"/>
      <c r="U700" s="20"/>
      <c r="V700" s="20"/>
      <c r="W700" s="20"/>
    </row>
    <row r="701" spans="1:23" x14ac:dyDescent="0.25">
      <c r="A701" s="177" t="s">
        <v>5351</v>
      </c>
      <c r="B701" s="177" t="s">
        <v>2285</v>
      </c>
      <c r="C701" s="178" t="s">
        <v>5352</v>
      </c>
      <c r="D701" s="173" t="s">
        <v>3968</v>
      </c>
      <c r="E701" s="20"/>
      <c r="F701" s="20"/>
      <c r="G701" s="175"/>
      <c r="H701" s="20"/>
      <c r="I701" s="20"/>
      <c r="J701" s="20"/>
      <c r="K701" s="20"/>
      <c r="L701" s="20"/>
      <c r="M701" s="20"/>
      <c r="N701" s="20"/>
      <c r="O701" s="20"/>
      <c r="P701" s="20"/>
      <c r="Q701" s="20"/>
      <c r="R701" s="20"/>
      <c r="S701" s="20"/>
      <c r="T701" s="20"/>
      <c r="U701" s="20"/>
      <c r="V701" s="20"/>
      <c r="W701" s="20"/>
    </row>
    <row r="702" spans="1:23" x14ac:dyDescent="0.25">
      <c r="A702" s="177" t="s">
        <v>5353</v>
      </c>
      <c r="B702" s="177" t="s">
        <v>2283</v>
      </c>
      <c r="C702" s="178" t="s">
        <v>5354</v>
      </c>
      <c r="D702" s="173" t="s">
        <v>3968</v>
      </c>
      <c r="E702" s="20"/>
      <c r="F702" s="20"/>
      <c r="G702" s="175"/>
      <c r="H702" s="20"/>
      <c r="I702" s="20"/>
      <c r="J702" s="20"/>
      <c r="K702" s="20"/>
      <c r="L702" s="20"/>
      <c r="M702" s="20"/>
      <c r="N702" s="20"/>
      <c r="O702" s="20"/>
      <c r="P702" s="20"/>
      <c r="Q702" s="20"/>
      <c r="R702" s="20"/>
      <c r="S702" s="20"/>
      <c r="T702" s="20"/>
      <c r="U702" s="20"/>
      <c r="V702" s="20"/>
      <c r="W702" s="20"/>
    </row>
    <row r="703" spans="1:23" x14ac:dyDescent="0.25">
      <c r="A703" s="177" t="s">
        <v>5355</v>
      </c>
      <c r="B703" s="177" t="s">
        <v>615</v>
      </c>
      <c r="C703" s="178" t="s">
        <v>5356</v>
      </c>
      <c r="D703" s="173" t="s">
        <v>3968</v>
      </c>
      <c r="E703" s="20"/>
      <c r="F703" s="20"/>
      <c r="G703" s="175"/>
      <c r="H703" s="20"/>
      <c r="I703" s="20"/>
      <c r="J703" s="20"/>
      <c r="K703" s="20"/>
      <c r="L703" s="20"/>
      <c r="M703" s="20"/>
      <c r="N703" s="20"/>
      <c r="O703" s="20"/>
      <c r="P703" s="20"/>
      <c r="Q703" s="20"/>
      <c r="R703" s="20"/>
      <c r="S703" s="20"/>
      <c r="T703" s="20"/>
      <c r="U703" s="20"/>
      <c r="V703" s="20"/>
      <c r="W703" s="20"/>
    </row>
    <row r="704" spans="1:23" x14ac:dyDescent="0.25">
      <c r="A704" s="177" t="s">
        <v>5357</v>
      </c>
      <c r="B704" s="177" t="s">
        <v>5358</v>
      </c>
      <c r="C704" s="178" t="s">
        <v>5359</v>
      </c>
      <c r="D704" s="173" t="s">
        <v>3968</v>
      </c>
      <c r="E704" s="20"/>
      <c r="F704" s="20"/>
      <c r="G704" s="175"/>
      <c r="H704" s="20"/>
      <c r="I704" s="20"/>
      <c r="J704" s="20"/>
      <c r="K704" s="20"/>
      <c r="L704" s="20"/>
      <c r="M704" s="20"/>
      <c r="N704" s="20"/>
      <c r="O704" s="20"/>
      <c r="P704" s="20"/>
      <c r="Q704" s="20"/>
      <c r="R704" s="20"/>
      <c r="S704" s="20"/>
      <c r="T704" s="20"/>
      <c r="U704" s="20"/>
      <c r="V704" s="20"/>
      <c r="W704" s="20"/>
    </row>
    <row r="705" spans="1:23" x14ac:dyDescent="0.25">
      <c r="A705" s="177" t="s">
        <v>5360</v>
      </c>
      <c r="B705" s="177" t="s">
        <v>5361</v>
      </c>
      <c r="C705" s="178" t="s">
        <v>5359</v>
      </c>
      <c r="D705" s="173" t="s">
        <v>3968</v>
      </c>
      <c r="E705" s="20"/>
      <c r="F705" s="20"/>
      <c r="G705" s="175"/>
      <c r="H705" s="20"/>
      <c r="I705" s="20"/>
      <c r="J705" s="20"/>
      <c r="K705" s="20"/>
      <c r="L705" s="20"/>
      <c r="M705" s="20"/>
      <c r="N705" s="20"/>
      <c r="O705" s="20"/>
      <c r="P705" s="20"/>
      <c r="Q705" s="20"/>
      <c r="R705" s="20"/>
      <c r="S705" s="20"/>
      <c r="T705" s="20"/>
      <c r="U705" s="20"/>
      <c r="V705" s="20"/>
      <c r="W705" s="20"/>
    </row>
    <row r="706" spans="1:23" x14ac:dyDescent="0.25">
      <c r="A706" s="177" t="s">
        <v>5362</v>
      </c>
      <c r="B706" s="177" t="s">
        <v>449</v>
      </c>
      <c r="C706" s="178" t="s">
        <v>5363</v>
      </c>
      <c r="D706" s="173" t="s">
        <v>3968</v>
      </c>
      <c r="E706" s="20"/>
      <c r="F706" s="20"/>
      <c r="G706" s="175"/>
      <c r="H706" s="20"/>
      <c r="I706" s="20"/>
      <c r="J706" s="20"/>
      <c r="K706" s="20"/>
      <c r="L706" s="20"/>
      <c r="M706" s="20"/>
      <c r="N706" s="20"/>
      <c r="O706" s="20"/>
      <c r="P706" s="20"/>
      <c r="Q706" s="20"/>
      <c r="R706" s="20"/>
      <c r="S706" s="20"/>
      <c r="T706" s="20"/>
      <c r="U706" s="20"/>
      <c r="V706" s="20"/>
      <c r="W706" s="20"/>
    </row>
    <row r="707" spans="1:23" x14ac:dyDescent="0.25">
      <c r="A707" s="177" t="s">
        <v>5364</v>
      </c>
      <c r="B707" s="177" t="s">
        <v>450</v>
      </c>
      <c r="C707" s="178" t="s">
        <v>5365</v>
      </c>
      <c r="D707" s="173" t="s">
        <v>3968</v>
      </c>
      <c r="E707" s="20"/>
      <c r="F707" s="20"/>
      <c r="G707" s="175"/>
      <c r="H707" s="20"/>
      <c r="I707" s="20"/>
      <c r="J707" s="20"/>
      <c r="K707" s="20"/>
      <c r="L707" s="20"/>
      <c r="M707" s="20"/>
      <c r="N707" s="20"/>
      <c r="O707" s="20"/>
      <c r="P707" s="20"/>
      <c r="Q707" s="20"/>
      <c r="R707" s="20"/>
      <c r="S707" s="20"/>
      <c r="T707" s="20"/>
      <c r="U707" s="20"/>
      <c r="V707" s="20"/>
      <c r="W707" s="20"/>
    </row>
    <row r="708" spans="1:23" x14ac:dyDescent="0.25">
      <c r="A708" s="177" t="s">
        <v>5366</v>
      </c>
      <c r="B708" s="177" t="s">
        <v>5367</v>
      </c>
      <c r="C708" s="178" t="s">
        <v>5368</v>
      </c>
      <c r="D708" s="173" t="s">
        <v>3968</v>
      </c>
      <c r="E708" s="20"/>
      <c r="F708" s="20"/>
      <c r="G708" s="175"/>
      <c r="H708" s="20"/>
      <c r="I708" s="20"/>
      <c r="J708" s="20"/>
      <c r="K708" s="20"/>
      <c r="L708" s="20"/>
      <c r="M708" s="20"/>
      <c r="N708" s="20"/>
      <c r="O708" s="20"/>
      <c r="P708" s="20"/>
      <c r="Q708" s="20"/>
      <c r="R708" s="20"/>
      <c r="S708" s="20"/>
      <c r="T708" s="20"/>
      <c r="U708" s="20"/>
      <c r="V708" s="20"/>
      <c r="W708" s="20"/>
    </row>
    <row r="709" spans="1:23" x14ac:dyDescent="0.25">
      <c r="A709" s="177" t="s">
        <v>5369</v>
      </c>
      <c r="B709" s="177" t="s">
        <v>573</v>
      </c>
      <c r="C709" s="178" t="s">
        <v>5370</v>
      </c>
      <c r="D709" s="173" t="s">
        <v>3968</v>
      </c>
      <c r="E709" s="20"/>
      <c r="F709" s="20"/>
      <c r="G709" s="175"/>
      <c r="H709" s="20"/>
      <c r="I709" s="20"/>
      <c r="J709" s="20"/>
      <c r="K709" s="20"/>
      <c r="L709" s="20"/>
      <c r="M709" s="20"/>
      <c r="N709" s="20"/>
      <c r="O709" s="20"/>
      <c r="P709" s="20"/>
      <c r="Q709" s="20"/>
      <c r="R709" s="20"/>
      <c r="S709" s="20"/>
      <c r="T709" s="20"/>
      <c r="U709" s="20"/>
      <c r="V709" s="20"/>
      <c r="W709" s="20"/>
    </row>
    <row r="710" spans="1:23" x14ac:dyDescent="0.25">
      <c r="A710" s="177" t="s">
        <v>5371</v>
      </c>
      <c r="B710" s="177" t="s">
        <v>574</v>
      </c>
      <c r="C710" s="178" t="s">
        <v>5372</v>
      </c>
      <c r="D710" s="173" t="s">
        <v>3968</v>
      </c>
      <c r="E710" s="20"/>
      <c r="F710" s="20"/>
      <c r="G710" s="175"/>
      <c r="H710" s="20"/>
      <c r="I710" s="20"/>
      <c r="J710" s="20"/>
      <c r="K710" s="20"/>
      <c r="L710" s="20"/>
      <c r="M710" s="20"/>
      <c r="N710" s="20"/>
      <c r="O710" s="20"/>
      <c r="P710" s="20"/>
      <c r="Q710" s="20"/>
      <c r="R710" s="20"/>
      <c r="S710" s="20"/>
      <c r="T710" s="20"/>
      <c r="U710" s="20"/>
      <c r="V710" s="20"/>
      <c r="W710" s="20"/>
    </row>
    <row r="711" spans="1:23" x14ac:dyDescent="0.25">
      <c r="A711" s="177" t="s">
        <v>5373</v>
      </c>
      <c r="B711" s="177" t="s">
        <v>556</v>
      </c>
      <c r="C711" s="178" t="s">
        <v>5374</v>
      </c>
      <c r="D711" s="173" t="s">
        <v>3968</v>
      </c>
      <c r="E711" s="20"/>
      <c r="F711" s="20"/>
      <c r="G711" s="175"/>
      <c r="H711" s="20"/>
      <c r="I711" s="20"/>
      <c r="J711" s="20"/>
      <c r="K711" s="20"/>
      <c r="L711" s="20"/>
      <c r="M711" s="20"/>
      <c r="N711" s="20"/>
      <c r="O711" s="20"/>
      <c r="P711" s="20"/>
      <c r="Q711" s="20"/>
      <c r="R711" s="20"/>
      <c r="S711" s="20"/>
      <c r="T711" s="20"/>
      <c r="U711" s="20"/>
      <c r="V711" s="20"/>
      <c r="W711" s="20"/>
    </row>
    <row r="712" spans="1:23" x14ac:dyDescent="0.25">
      <c r="A712" s="177" t="s">
        <v>5375</v>
      </c>
      <c r="B712" s="177" t="s">
        <v>59</v>
      </c>
      <c r="C712" s="178" t="s">
        <v>5376</v>
      </c>
      <c r="D712" s="173" t="s">
        <v>3968</v>
      </c>
      <c r="E712" s="20"/>
      <c r="F712" s="20"/>
      <c r="G712" s="175"/>
      <c r="H712" s="20"/>
      <c r="I712" s="20"/>
      <c r="J712" s="20"/>
      <c r="K712" s="20"/>
      <c r="L712" s="20"/>
      <c r="M712" s="20"/>
      <c r="N712" s="20"/>
      <c r="O712" s="20"/>
      <c r="P712" s="20"/>
      <c r="Q712" s="20"/>
      <c r="R712" s="20"/>
      <c r="S712" s="20"/>
      <c r="T712" s="20"/>
      <c r="U712" s="20"/>
      <c r="V712" s="20"/>
      <c r="W712" s="20"/>
    </row>
    <row r="713" spans="1:23" x14ac:dyDescent="0.25">
      <c r="A713" s="177" t="s">
        <v>5377</v>
      </c>
      <c r="B713" s="177" t="s">
        <v>429</v>
      </c>
      <c r="C713" s="178" t="s">
        <v>5378</v>
      </c>
      <c r="D713" s="173" t="s">
        <v>3968</v>
      </c>
      <c r="E713" s="20"/>
      <c r="F713" s="20"/>
      <c r="G713" s="175"/>
      <c r="H713" s="20"/>
      <c r="I713" s="20"/>
      <c r="J713" s="20"/>
      <c r="K713" s="20"/>
      <c r="L713" s="20"/>
      <c r="M713" s="20"/>
      <c r="N713" s="20"/>
      <c r="O713" s="20"/>
      <c r="P713" s="20"/>
      <c r="Q713" s="20"/>
      <c r="R713" s="20"/>
      <c r="S713" s="20"/>
      <c r="T713" s="20"/>
      <c r="U713" s="20"/>
      <c r="V713" s="20"/>
      <c r="W713" s="20"/>
    </row>
    <row r="714" spans="1:23" x14ac:dyDescent="0.25">
      <c r="A714" s="177" t="s">
        <v>5379</v>
      </c>
      <c r="B714" s="177" t="s">
        <v>430</v>
      </c>
      <c r="C714" s="178" t="s">
        <v>5380</v>
      </c>
      <c r="D714" s="173" t="s">
        <v>3968</v>
      </c>
      <c r="E714" s="20"/>
      <c r="F714" s="20"/>
      <c r="G714" s="175"/>
      <c r="H714" s="20"/>
      <c r="I714" s="20"/>
      <c r="J714" s="20"/>
      <c r="K714" s="20"/>
      <c r="L714" s="20"/>
      <c r="M714" s="20"/>
      <c r="N714" s="20"/>
      <c r="O714" s="20"/>
      <c r="P714" s="20"/>
      <c r="Q714" s="20"/>
      <c r="R714" s="20"/>
      <c r="S714" s="20"/>
      <c r="T714" s="20"/>
      <c r="U714" s="20"/>
      <c r="V714" s="20"/>
      <c r="W714" s="20"/>
    </row>
    <row r="715" spans="1:23" x14ac:dyDescent="0.25">
      <c r="A715" s="177" t="s">
        <v>5381</v>
      </c>
      <c r="B715" s="177" t="s">
        <v>431</v>
      </c>
      <c r="C715" s="178" t="s">
        <v>5382</v>
      </c>
      <c r="D715" s="173" t="s">
        <v>3968</v>
      </c>
      <c r="E715" s="20"/>
      <c r="F715" s="20"/>
      <c r="G715" s="175"/>
      <c r="H715" s="20"/>
      <c r="I715" s="20"/>
      <c r="J715" s="20"/>
      <c r="K715" s="20"/>
      <c r="L715" s="20"/>
      <c r="M715" s="20"/>
      <c r="N715" s="20"/>
      <c r="O715" s="20"/>
      <c r="P715" s="20"/>
      <c r="Q715" s="20"/>
      <c r="R715" s="20"/>
      <c r="S715" s="20"/>
      <c r="T715" s="20"/>
      <c r="U715" s="20"/>
      <c r="V715" s="20"/>
      <c r="W715" s="20"/>
    </row>
    <row r="716" spans="1:23" x14ac:dyDescent="0.25">
      <c r="A716" s="177" t="s">
        <v>5383</v>
      </c>
      <c r="B716" s="177" t="s">
        <v>3166</v>
      </c>
      <c r="C716" s="178" t="s">
        <v>5384</v>
      </c>
      <c r="D716" s="173" t="s">
        <v>3968</v>
      </c>
      <c r="E716" s="20"/>
      <c r="F716" s="20"/>
      <c r="G716" s="175"/>
      <c r="H716" s="20"/>
      <c r="I716" s="20"/>
      <c r="J716" s="20"/>
      <c r="K716" s="20"/>
      <c r="L716" s="20"/>
      <c r="M716" s="20"/>
      <c r="N716" s="20"/>
      <c r="O716" s="20"/>
      <c r="P716" s="20"/>
      <c r="Q716" s="20"/>
      <c r="R716" s="20"/>
      <c r="S716" s="20"/>
      <c r="T716" s="20"/>
      <c r="U716" s="20"/>
      <c r="V716" s="20"/>
      <c r="W716" s="20"/>
    </row>
    <row r="717" spans="1:23" x14ac:dyDescent="0.25">
      <c r="A717" s="177" t="s">
        <v>5385</v>
      </c>
      <c r="B717" s="177" t="s">
        <v>5386</v>
      </c>
      <c r="C717" s="178" t="s">
        <v>5387</v>
      </c>
      <c r="D717" s="173" t="s">
        <v>3968</v>
      </c>
      <c r="E717" s="20"/>
      <c r="F717" s="20"/>
      <c r="G717" s="175"/>
      <c r="H717" s="20"/>
      <c r="I717" s="20"/>
      <c r="J717" s="20"/>
      <c r="K717" s="20"/>
      <c r="L717" s="20"/>
      <c r="M717" s="20"/>
      <c r="N717" s="20"/>
      <c r="O717" s="20"/>
      <c r="P717" s="20"/>
      <c r="Q717" s="20"/>
      <c r="R717" s="20"/>
      <c r="S717" s="20"/>
      <c r="T717" s="20"/>
      <c r="U717" s="20"/>
      <c r="V717" s="20"/>
      <c r="W717" s="20"/>
    </row>
    <row r="718" spans="1:23" x14ac:dyDescent="0.25">
      <c r="A718" s="177" t="s">
        <v>5388</v>
      </c>
      <c r="B718" s="177" t="s">
        <v>1279</v>
      </c>
      <c r="C718" s="178" t="s">
        <v>5389</v>
      </c>
      <c r="D718" s="173" t="s">
        <v>3968</v>
      </c>
      <c r="E718" s="20"/>
      <c r="F718" s="20"/>
      <c r="G718" s="175"/>
      <c r="H718" s="20"/>
      <c r="I718" s="20"/>
      <c r="J718" s="20"/>
      <c r="K718" s="20"/>
      <c r="L718" s="20"/>
      <c r="M718" s="20"/>
      <c r="N718" s="20"/>
      <c r="O718" s="20"/>
      <c r="P718" s="20"/>
      <c r="Q718" s="20"/>
      <c r="R718" s="20"/>
      <c r="S718" s="20"/>
      <c r="T718" s="20"/>
      <c r="U718" s="20"/>
      <c r="V718" s="20"/>
      <c r="W718" s="20"/>
    </row>
    <row r="719" spans="1:23" x14ac:dyDescent="0.25">
      <c r="A719" s="177" t="s">
        <v>5390</v>
      </c>
      <c r="B719" s="177" t="s">
        <v>45</v>
      </c>
      <c r="C719" s="178" t="s">
        <v>5391</v>
      </c>
      <c r="D719" s="173" t="s">
        <v>3968</v>
      </c>
      <c r="E719" s="20"/>
      <c r="F719" s="20"/>
      <c r="G719" s="175"/>
      <c r="H719" s="20"/>
      <c r="I719" s="20"/>
      <c r="J719" s="20"/>
      <c r="K719" s="20"/>
      <c r="L719" s="20"/>
      <c r="M719" s="20"/>
      <c r="N719" s="20"/>
      <c r="O719" s="20"/>
      <c r="P719" s="20"/>
      <c r="Q719" s="20"/>
      <c r="R719" s="20"/>
      <c r="S719" s="20"/>
      <c r="T719" s="20"/>
      <c r="U719" s="20"/>
      <c r="V719" s="20"/>
      <c r="W719" s="20"/>
    </row>
    <row r="720" spans="1:23" x14ac:dyDescent="0.25">
      <c r="A720" s="177" t="s">
        <v>5392</v>
      </c>
      <c r="B720" s="177" t="s">
        <v>44</v>
      </c>
      <c r="C720" s="178" t="s">
        <v>5393</v>
      </c>
      <c r="D720" s="173" t="s">
        <v>3968</v>
      </c>
      <c r="E720" s="20"/>
      <c r="F720" s="20"/>
      <c r="G720" s="175"/>
      <c r="H720" s="20"/>
      <c r="I720" s="20"/>
      <c r="J720" s="20"/>
      <c r="K720" s="20"/>
      <c r="L720" s="20"/>
      <c r="M720" s="20"/>
      <c r="N720" s="20"/>
      <c r="O720" s="20"/>
      <c r="P720" s="20"/>
      <c r="Q720" s="20"/>
      <c r="R720" s="20"/>
      <c r="S720" s="20"/>
      <c r="T720" s="20"/>
      <c r="U720" s="20"/>
      <c r="V720" s="20"/>
      <c r="W720" s="20"/>
    </row>
    <row r="721" spans="1:23" x14ac:dyDescent="0.25">
      <c r="A721" s="177" t="s">
        <v>5394</v>
      </c>
      <c r="B721" s="177" t="s">
        <v>43</v>
      </c>
      <c r="C721" s="178" t="s">
        <v>5395</v>
      </c>
      <c r="D721" s="173" t="s">
        <v>3968</v>
      </c>
      <c r="E721" s="20"/>
      <c r="F721" s="20"/>
      <c r="G721" s="175"/>
      <c r="H721" s="20"/>
      <c r="I721" s="20"/>
      <c r="J721" s="20"/>
      <c r="K721" s="20"/>
      <c r="L721" s="20"/>
      <c r="M721" s="20"/>
      <c r="N721" s="20"/>
      <c r="O721" s="20"/>
      <c r="P721" s="20"/>
      <c r="Q721" s="20"/>
      <c r="R721" s="20"/>
      <c r="S721" s="20"/>
      <c r="T721" s="20"/>
      <c r="U721" s="20"/>
      <c r="V721" s="20"/>
      <c r="W721" s="20"/>
    </row>
    <row r="722" spans="1:23" x14ac:dyDescent="0.25">
      <c r="A722" s="177" t="s">
        <v>5396</v>
      </c>
      <c r="B722" s="177" t="s">
        <v>42</v>
      </c>
      <c r="C722" s="178" t="s">
        <v>5397</v>
      </c>
      <c r="D722" s="173" t="s">
        <v>3968</v>
      </c>
      <c r="E722" s="20"/>
      <c r="F722" s="20"/>
      <c r="G722" s="175"/>
      <c r="H722" s="20"/>
      <c r="I722" s="20"/>
      <c r="J722" s="20"/>
      <c r="K722" s="20"/>
      <c r="L722" s="20"/>
      <c r="M722" s="20"/>
      <c r="N722" s="20"/>
      <c r="O722" s="20"/>
      <c r="P722" s="20"/>
      <c r="Q722" s="20"/>
      <c r="R722" s="20"/>
      <c r="S722" s="20"/>
      <c r="T722" s="20"/>
      <c r="U722" s="20"/>
      <c r="V722" s="20"/>
      <c r="W722" s="20"/>
    </row>
    <row r="723" spans="1:23" x14ac:dyDescent="0.25">
      <c r="A723" s="177" t="s">
        <v>5398</v>
      </c>
      <c r="B723" s="177" t="s">
        <v>374</v>
      </c>
      <c r="C723" s="178" t="s">
        <v>5399</v>
      </c>
      <c r="D723" s="173" t="s">
        <v>3968</v>
      </c>
      <c r="E723" s="20"/>
      <c r="F723" s="20"/>
      <c r="G723" s="175"/>
      <c r="H723" s="20"/>
      <c r="I723" s="20"/>
      <c r="J723" s="20"/>
      <c r="K723" s="20"/>
      <c r="L723" s="20"/>
      <c r="M723" s="20"/>
      <c r="N723" s="20"/>
      <c r="O723" s="20"/>
      <c r="P723" s="20"/>
      <c r="Q723" s="20"/>
      <c r="R723" s="20"/>
      <c r="S723" s="20"/>
      <c r="T723" s="20"/>
      <c r="U723" s="20"/>
      <c r="V723" s="20"/>
      <c r="W723" s="20"/>
    </row>
    <row r="724" spans="1:23" x14ac:dyDescent="0.25">
      <c r="A724" s="177" t="s">
        <v>5400</v>
      </c>
      <c r="B724" s="177" t="s">
        <v>46</v>
      </c>
      <c r="C724" s="178" t="s">
        <v>5401</v>
      </c>
      <c r="D724" s="173" t="s">
        <v>3968</v>
      </c>
      <c r="E724" s="20"/>
      <c r="F724" s="20"/>
      <c r="G724" s="175"/>
      <c r="H724" s="20"/>
      <c r="I724" s="20"/>
      <c r="J724" s="20"/>
      <c r="K724" s="20"/>
      <c r="L724" s="20"/>
      <c r="M724" s="20"/>
      <c r="N724" s="20"/>
      <c r="O724" s="20"/>
      <c r="P724" s="20"/>
      <c r="Q724" s="20"/>
      <c r="R724" s="20"/>
      <c r="S724" s="20"/>
      <c r="T724" s="20"/>
      <c r="U724" s="20"/>
      <c r="V724" s="20"/>
      <c r="W724" s="20"/>
    </row>
    <row r="725" spans="1:23" x14ac:dyDescent="0.25">
      <c r="A725" s="177" t="s">
        <v>5402</v>
      </c>
      <c r="B725" s="177" t="s">
        <v>47</v>
      </c>
      <c r="C725" s="178" t="s">
        <v>5403</v>
      </c>
      <c r="D725" s="173" t="s">
        <v>3968</v>
      </c>
      <c r="E725" s="20"/>
      <c r="F725" s="20"/>
      <c r="G725" s="175"/>
      <c r="H725" s="20"/>
      <c r="I725" s="20"/>
      <c r="J725" s="20"/>
      <c r="K725" s="20"/>
      <c r="L725" s="20"/>
      <c r="M725" s="20"/>
      <c r="N725" s="20"/>
      <c r="O725" s="20"/>
      <c r="P725" s="20"/>
      <c r="Q725" s="20"/>
      <c r="R725" s="20"/>
      <c r="S725" s="20"/>
      <c r="T725" s="20"/>
      <c r="U725" s="20"/>
      <c r="V725" s="20"/>
      <c r="W725" s="20"/>
    </row>
    <row r="726" spans="1:23" x14ac:dyDescent="0.25">
      <c r="A726" s="177" t="s">
        <v>5392</v>
      </c>
      <c r="B726" s="177" t="s">
        <v>5404</v>
      </c>
      <c r="C726" s="178" t="s">
        <v>5403</v>
      </c>
      <c r="D726" s="173" t="s">
        <v>3968</v>
      </c>
      <c r="E726" s="20"/>
      <c r="F726" s="20"/>
      <c r="G726" s="175"/>
      <c r="H726" s="20"/>
      <c r="I726" s="20"/>
      <c r="J726" s="20"/>
      <c r="K726" s="20"/>
      <c r="L726" s="20"/>
      <c r="M726" s="20"/>
      <c r="N726" s="20"/>
      <c r="O726" s="20"/>
      <c r="P726" s="20"/>
      <c r="Q726" s="20"/>
      <c r="R726" s="20"/>
      <c r="S726" s="20"/>
      <c r="T726" s="20"/>
      <c r="U726" s="20"/>
      <c r="V726" s="20"/>
      <c r="W726" s="20"/>
    </row>
    <row r="727" spans="1:23" x14ac:dyDescent="0.25">
      <c r="A727" s="177" t="s">
        <v>5405</v>
      </c>
      <c r="B727" s="177" t="s">
        <v>5406</v>
      </c>
      <c r="C727" s="178" t="s">
        <v>5407</v>
      </c>
      <c r="D727" s="173" t="s">
        <v>3968</v>
      </c>
      <c r="E727" s="20"/>
      <c r="F727" s="20"/>
      <c r="G727" s="175"/>
      <c r="H727" s="20"/>
      <c r="I727" s="20"/>
      <c r="J727" s="20"/>
      <c r="K727" s="20"/>
      <c r="L727" s="20"/>
      <c r="M727" s="20"/>
      <c r="N727" s="20"/>
      <c r="O727" s="20"/>
      <c r="P727" s="20"/>
      <c r="Q727" s="20"/>
      <c r="R727" s="20"/>
      <c r="S727" s="20"/>
      <c r="T727" s="20"/>
      <c r="U727" s="20"/>
      <c r="V727" s="20"/>
      <c r="W727" s="20"/>
    </row>
    <row r="728" spans="1:23" x14ac:dyDescent="0.25">
      <c r="A728" s="177" t="s">
        <v>5408</v>
      </c>
      <c r="B728" s="177" t="s">
        <v>41</v>
      </c>
      <c r="C728" s="178" t="s">
        <v>5409</v>
      </c>
      <c r="D728" s="173" t="s">
        <v>3968</v>
      </c>
      <c r="E728" s="20"/>
      <c r="F728" s="20"/>
      <c r="G728" s="175"/>
      <c r="H728" s="20"/>
      <c r="I728" s="20"/>
      <c r="J728" s="20"/>
      <c r="K728" s="20"/>
      <c r="L728" s="20"/>
      <c r="M728" s="20"/>
      <c r="N728" s="20"/>
      <c r="O728" s="20"/>
      <c r="P728" s="20"/>
      <c r="Q728" s="20"/>
      <c r="R728" s="20"/>
      <c r="S728" s="20"/>
      <c r="T728" s="20"/>
      <c r="U728" s="20"/>
      <c r="V728" s="20"/>
      <c r="W728" s="20"/>
    </row>
    <row r="729" spans="1:23" x14ac:dyDescent="0.25">
      <c r="A729" s="171" t="s">
        <v>5410</v>
      </c>
      <c r="B729" s="177" t="s">
        <v>3218</v>
      </c>
      <c r="C729" s="178" t="s">
        <v>5411</v>
      </c>
      <c r="D729" s="173" t="s">
        <v>3968</v>
      </c>
      <c r="E729" s="20"/>
      <c r="F729" s="20"/>
      <c r="G729" s="175"/>
      <c r="H729" s="20"/>
      <c r="I729" s="20"/>
      <c r="J729" s="20"/>
      <c r="K729" s="20"/>
      <c r="L729" s="20"/>
      <c r="M729" s="20"/>
      <c r="N729" s="20"/>
      <c r="O729" s="20"/>
      <c r="P729" s="20"/>
      <c r="Q729" s="20"/>
      <c r="R729" s="20"/>
      <c r="S729" s="20"/>
      <c r="T729" s="20"/>
      <c r="U729" s="20"/>
      <c r="V729" s="20"/>
      <c r="W729" s="20"/>
    </row>
    <row r="730" spans="1:23" x14ac:dyDescent="0.25">
      <c r="A730" s="177" t="s">
        <v>5412</v>
      </c>
      <c r="B730" s="177" t="s">
        <v>368</v>
      </c>
      <c r="C730" s="178" t="s">
        <v>5413</v>
      </c>
      <c r="D730" s="173" t="s">
        <v>3968</v>
      </c>
      <c r="E730" s="20"/>
      <c r="F730" s="20"/>
      <c r="G730" s="175"/>
      <c r="H730" s="20"/>
      <c r="I730" s="20"/>
      <c r="J730" s="20"/>
      <c r="K730" s="20"/>
      <c r="L730" s="20"/>
      <c r="M730" s="20"/>
      <c r="N730" s="20"/>
      <c r="O730" s="20"/>
      <c r="P730" s="20"/>
      <c r="Q730" s="20"/>
      <c r="R730" s="20"/>
      <c r="S730" s="20"/>
      <c r="T730" s="20"/>
      <c r="U730" s="20"/>
      <c r="V730" s="20"/>
      <c r="W730" s="20"/>
    </row>
    <row r="731" spans="1:23" x14ac:dyDescent="0.25">
      <c r="A731" s="177" t="s">
        <v>5414</v>
      </c>
      <c r="B731" s="177" t="s">
        <v>38</v>
      </c>
      <c r="C731" s="178" t="s">
        <v>5415</v>
      </c>
      <c r="D731" s="173" t="s">
        <v>3968</v>
      </c>
      <c r="E731" s="20"/>
      <c r="F731" s="20"/>
      <c r="G731" s="175"/>
      <c r="H731" s="20"/>
      <c r="I731" s="20"/>
      <c r="J731" s="20"/>
      <c r="K731" s="20"/>
      <c r="L731" s="20"/>
      <c r="M731" s="20"/>
      <c r="N731" s="20"/>
      <c r="O731" s="20"/>
      <c r="P731" s="20"/>
      <c r="Q731" s="20"/>
      <c r="R731" s="20"/>
      <c r="S731" s="20"/>
      <c r="T731" s="20"/>
      <c r="U731" s="20"/>
      <c r="V731" s="20"/>
      <c r="W731" s="20"/>
    </row>
    <row r="732" spans="1:23" x14ac:dyDescent="0.25">
      <c r="A732" s="177" t="s">
        <v>5416</v>
      </c>
      <c r="B732" s="177" t="s">
        <v>372</v>
      </c>
      <c r="C732" s="178" t="s">
        <v>5417</v>
      </c>
      <c r="D732" s="173" t="s">
        <v>3968</v>
      </c>
      <c r="E732" s="20"/>
      <c r="F732" s="20"/>
      <c r="G732" s="175"/>
      <c r="H732" s="20"/>
      <c r="I732" s="20"/>
      <c r="J732" s="20"/>
      <c r="K732" s="20"/>
      <c r="L732" s="20"/>
      <c r="M732" s="20"/>
      <c r="N732" s="20"/>
      <c r="O732" s="20"/>
      <c r="P732" s="20"/>
      <c r="Q732" s="20"/>
      <c r="R732" s="20"/>
      <c r="S732" s="20"/>
      <c r="T732" s="20"/>
      <c r="U732" s="20"/>
      <c r="V732" s="20"/>
      <c r="W732" s="20"/>
    </row>
    <row r="733" spans="1:23" x14ac:dyDescent="0.25">
      <c r="A733" s="177" t="s">
        <v>5418</v>
      </c>
      <c r="B733" s="177" t="s">
        <v>448</v>
      </c>
      <c r="C733" s="178" t="s">
        <v>5419</v>
      </c>
      <c r="D733" s="173" t="s">
        <v>3968</v>
      </c>
      <c r="E733" s="20"/>
      <c r="F733" s="20"/>
      <c r="G733" s="175"/>
      <c r="H733" s="20"/>
      <c r="I733" s="20"/>
      <c r="J733" s="20"/>
      <c r="K733" s="20"/>
      <c r="L733" s="20"/>
      <c r="M733" s="20"/>
      <c r="N733" s="20"/>
      <c r="O733" s="20"/>
      <c r="P733" s="20"/>
      <c r="Q733" s="20"/>
      <c r="R733" s="20"/>
      <c r="S733" s="20"/>
      <c r="T733" s="20"/>
      <c r="U733" s="20"/>
      <c r="V733" s="20"/>
      <c r="W733" s="20"/>
    </row>
    <row r="734" spans="1:23" x14ac:dyDescent="0.25">
      <c r="A734" s="177" t="s">
        <v>3859</v>
      </c>
      <c r="B734" s="177" t="s">
        <v>325</v>
      </c>
      <c r="C734" s="178" t="s">
        <v>5420</v>
      </c>
      <c r="D734" s="173" t="s">
        <v>3968</v>
      </c>
      <c r="E734" s="20"/>
      <c r="F734" s="20"/>
      <c r="G734" s="175"/>
      <c r="H734" s="20"/>
      <c r="I734" s="20"/>
      <c r="J734" s="20"/>
      <c r="K734" s="20"/>
      <c r="L734" s="20"/>
      <c r="M734" s="20"/>
      <c r="N734" s="20"/>
      <c r="O734" s="20"/>
      <c r="P734" s="20"/>
      <c r="Q734" s="20"/>
      <c r="R734" s="20"/>
      <c r="S734" s="20"/>
      <c r="T734" s="20"/>
      <c r="U734" s="20"/>
      <c r="V734" s="20"/>
      <c r="W734" s="20"/>
    </row>
    <row r="735" spans="1:23" x14ac:dyDescent="0.25">
      <c r="A735" s="177" t="s">
        <v>3862</v>
      </c>
      <c r="B735" s="177" t="s">
        <v>327</v>
      </c>
      <c r="C735" s="178" t="s">
        <v>5421</v>
      </c>
      <c r="D735" s="173" t="s">
        <v>3968</v>
      </c>
      <c r="E735" s="20"/>
      <c r="F735" s="20"/>
      <c r="G735" s="175"/>
      <c r="H735" s="20"/>
      <c r="I735" s="20"/>
      <c r="J735" s="20"/>
      <c r="K735" s="20"/>
      <c r="L735" s="20"/>
      <c r="M735" s="20"/>
      <c r="N735" s="20"/>
      <c r="O735" s="20"/>
      <c r="P735" s="20"/>
      <c r="Q735" s="20"/>
      <c r="R735" s="20"/>
      <c r="S735" s="20"/>
      <c r="T735" s="20"/>
      <c r="U735" s="20"/>
      <c r="V735" s="20"/>
      <c r="W735" s="20"/>
    </row>
    <row r="736" spans="1:23" x14ac:dyDescent="0.25">
      <c r="A736" s="177" t="s">
        <v>3865</v>
      </c>
      <c r="B736" s="177" t="s">
        <v>326</v>
      </c>
      <c r="C736" s="178" t="s">
        <v>5422</v>
      </c>
      <c r="D736" s="173" t="s">
        <v>3968</v>
      </c>
      <c r="E736" s="20"/>
      <c r="F736" s="20"/>
      <c r="G736" s="175"/>
      <c r="H736" s="20"/>
      <c r="I736" s="20"/>
      <c r="J736" s="20"/>
      <c r="K736" s="20"/>
      <c r="L736" s="20"/>
      <c r="M736" s="20"/>
      <c r="N736" s="20"/>
      <c r="O736" s="20"/>
      <c r="P736" s="20"/>
      <c r="Q736" s="20"/>
      <c r="R736" s="20"/>
      <c r="S736" s="20"/>
      <c r="T736" s="20"/>
      <c r="U736" s="20"/>
      <c r="V736" s="20"/>
      <c r="W736" s="20"/>
    </row>
    <row r="737" spans="1:23" x14ac:dyDescent="0.25">
      <c r="A737" s="171" t="s">
        <v>5423</v>
      </c>
      <c r="B737" s="177" t="s">
        <v>5424</v>
      </c>
      <c r="C737" s="178" t="s">
        <v>5100</v>
      </c>
      <c r="D737" s="173" t="s">
        <v>3968</v>
      </c>
      <c r="E737" s="20"/>
      <c r="F737" s="20"/>
      <c r="G737" s="175"/>
      <c r="H737" s="20"/>
      <c r="I737" s="20"/>
      <c r="J737" s="20"/>
      <c r="K737" s="20"/>
      <c r="L737" s="20"/>
      <c r="M737" s="20"/>
      <c r="N737" s="20"/>
      <c r="O737" s="20"/>
      <c r="P737" s="20"/>
      <c r="Q737" s="20"/>
      <c r="R737" s="20"/>
      <c r="S737" s="20"/>
      <c r="T737" s="20"/>
      <c r="U737" s="20"/>
      <c r="V737" s="20"/>
      <c r="W737" s="20"/>
    </row>
    <row r="738" spans="1:23" x14ac:dyDescent="0.25">
      <c r="A738" s="177" t="s">
        <v>5425</v>
      </c>
      <c r="B738" s="177" t="s">
        <v>5426</v>
      </c>
      <c r="C738" s="178" t="s">
        <v>5102</v>
      </c>
      <c r="D738" s="173" t="s">
        <v>3968</v>
      </c>
      <c r="E738" s="20"/>
      <c r="F738" s="20"/>
      <c r="G738" s="175"/>
      <c r="H738" s="20"/>
      <c r="I738" s="20"/>
      <c r="J738" s="20"/>
      <c r="K738" s="20"/>
      <c r="L738" s="20"/>
      <c r="M738" s="20"/>
      <c r="N738" s="20"/>
      <c r="O738" s="20"/>
      <c r="P738" s="20"/>
      <c r="Q738" s="20"/>
      <c r="R738" s="20"/>
      <c r="S738" s="20"/>
      <c r="T738" s="20"/>
      <c r="U738" s="20"/>
      <c r="V738" s="20"/>
      <c r="W738" s="20"/>
    </row>
    <row r="739" spans="1:23" x14ac:dyDescent="0.25">
      <c r="A739" s="177" t="s">
        <v>5427</v>
      </c>
      <c r="B739" s="177" t="s">
        <v>397</v>
      </c>
      <c r="C739" s="178" t="s">
        <v>5428</v>
      </c>
      <c r="D739" s="173" t="s">
        <v>3968</v>
      </c>
      <c r="E739" s="20"/>
      <c r="F739" s="20"/>
      <c r="G739" s="175"/>
      <c r="H739" s="20"/>
      <c r="I739" s="20"/>
      <c r="J739" s="20"/>
      <c r="K739" s="20"/>
      <c r="L739" s="20"/>
      <c r="M739" s="20"/>
      <c r="N739" s="20"/>
      <c r="O739" s="20"/>
      <c r="P739" s="20"/>
      <c r="Q739" s="20"/>
      <c r="R739" s="20"/>
      <c r="S739" s="20"/>
      <c r="T739" s="20"/>
      <c r="U739" s="20"/>
      <c r="V739" s="20"/>
      <c r="W739" s="20"/>
    </row>
    <row r="740" spans="1:23" x14ac:dyDescent="0.25">
      <c r="A740" s="177" t="s">
        <v>5429</v>
      </c>
      <c r="B740" s="177" t="s">
        <v>1674</v>
      </c>
      <c r="C740" s="178" t="s">
        <v>5430</v>
      </c>
      <c r="D740" s="173" t="s">
        <v>3968</v>
      </c>
      <c r="E740" s="20"/>
      <c r="F740" s="20"/>
      <c r="G740" s="175"/>
      <c r="H740" s="20"/>
      <c r="I740" s="20"/>
      <c r="J740" s="20"/>
      <c r="K740" s="20"/>
      <c r="L740" s="20"/>
      <c r="M740" s="20"/>
      <c r="N740" s="20"/>
      <c r="O740" s="20"/>
      <c r="P740" s="20"/>
      <c r="Q740" s="20"/>
      <c r="R740" s="20"/>
      <c r="S740" s="20"/>
      <c r="T740" s="20"/>
      <c r="U740" s="20"/>
      <c r="V740" s="20"/>
      <c r="W740" s="20"/>
    </row>
    <row r="741" spans="1:23" x14ac:dyDescent="0.25">
      <c r="A741" s="177" t="s">
        <v>5431</v>
      </c>
      <c r="B741" s="177" t="s">
        <v>1285</v>
      </c>
      <c r="C741" s="178" t="s">
        <v>5432</v>
      </c>
      <c r="D741" s="173" t="s">
        <v>3968</v>
      </c>
      <c r="E741" s="20"/>
      <c r="F741" s="20"/>
      <c r="G741" s="175"/>
      <c r="H741" s="20"/>
      <c r="I741" s="20"/>
      <c r="J741" s="20"/>
      <c r="K741" s="20"/>
      <c r="L741" s="20"/>
      <c r="M741" s="20"/>
      <c r="N741" s="20"/>
      <c r="O741" s="20"/>
      <c r="P741" s="20"/>
      <c r="Q741" s="20"/>
      <c r="R741" s="20"/>
      <c r="S741" s="20"/>
      <c r="T741" s="20"/>
      <c r="U741" s="20"/>
      <c r="V741" s="20"/>
      <c r="W741" s="20"/>
    </row>
    <row r="742" spans="1:23" x14ac:dyDescent="0.25">
      <c r="A742" s="177" t="s">
        <v>5433</v>
      </c>
      <c r="B742" s="177" t="s">
        <v>1288</v>
      </c>
      <c r="C742" s="178" t="s">
        <v>5434</v>
      </c>
      <c r="D742" s="173" t="s">
        <v>3968</v>
      </c>
      <c r="E742" s="20"/>
      <c r="F742" s="20"/>
      <c r="G742" s="175"/>
      <c r="H742" s="20"/>
      <c r="I742" s="20"/>
      <c r="J742" s="20"/>
      <c r="K742" s="20"/>
      <c r="L742" s="20"/>
      <c r="M742" s="20"/>
      <c r="N742" s="20"/>
      <c r="O742" s="20"/>
      <c r="P742" s="20"/>
      <c r="Q742" s="20"/>
      <c r="R742" s="20"/>
      <c r="S742" s="20"/>
      <c r="T742" s="20"/>
      <c r="U742" s="20"/>
      <c r="V742" s="20"/>
      <c r="W742" s="20"/>
    </row>
    <row r="743" spans="1:23" x14ac:dyDescent="0.25">
      <c r="A743" s="177" t="s">
        <v>5435</v>
      </c>
      <c r="B743" s="177" t="s">
        <v>1439</v>
      </c>
      <c r="C743" s="178" t="s">
        <v>5436</v>
      </c>
      <c r="D743" s="173" t="s">
        <v>3968</v>
      </c>
      <c r="E743" s="20"/>
      <c r="F743" s="20"/>
      <c r="G743" s="175"/>
      <c r="H743" s="20"/>
      <c r="I743" s="20"/>
      <c r="J743" s="20"/>
      <c r="K743" s="20"/>
      <c r="L743" s="20"/>
      <c r="M743" s="20"/>
      <c r="N743" s="20"/>
      <c r="O743" s="20"/>
      <c r="P743" s="20"/>
      <c r="Q743" s="20"/>
      <c r="R743" s="20"/>
      <c r="S743" s="20"/>
      <c r="T743" s="20"/>
      <c r="U743" s="20"/>
      <c r="V743" s="20"/>
      <c r="W743" s="20"/>
    </row>
    <row r="744" spans="1:23" x14ac:dyDescent="0.25">
      <c r="A744" s="177" t="s">
        <v>5437</v>
      </c>
      <c r="B744" s="177" t="s">
        <v>5438</v>
      </c>
      <c r="C744" s="178" t="s">
        <v>5439</v>
      </c>
      <c r="D744" s="173" t="s">
        <v>3968</v>
      </c>
      <c r="E744" s="20"/>
      <c r="F744" s="20"/>
      <c r="G744" s="175"/>
      <c r="H744" s="20"/>
      <c r="I744" s="20"/>
      <c r="J744" s="20"/>
      <c r="K744" s="20"/>
      <c r="L744" s="20"/>
      <c r="M744" s="20"/>
      <c r="N744" s="20"/>
      <c r="O744" s="20"/>
      <c r="P744" s="20"/>
      <c r="Q744" s="20"/>
      <c r="R744" s="20"/>
      <c r="S744" s="20"/>
      <c r="T744" s="20"/>
      <c r="U744" s="20"/>
      <c r="V744" s="20"/>
      <c r="W744" s="20"/>
    </row>
    <row r="745" spans="1:23" x14ac:dyDescent="0.25">
      <c r="A745" s="177" t="s">
        <v>5440</v>
      </c>
      <c r="B745" s="177" t="s">
        <v>5441</v>
      </c>
      <c r="C745" s="178" t="s">
        <v>5442</v>
      </c>
      <c r="D745" s="173" t="s">
        <v>3968</v>
      </c>
      <c r="E745" s="20"/>
      <c r="F745" s="20"/>
      <c r="G745" s="175"/>
      <c r="H745" s="20"/>
      <c r="I745" s="20"/>
      <c r="J745" s="20"/>
      <c r="K745" s="20"/>
      <c r="L745" s="20"/>
      <c r="M745" s="20"/>
      <c r="N745" s="20"/>
      <c r="O745" s="20"/>
      <c r="P745" s="20"/>
      <c r="Q745" s="20"/>
      <c r="R745" s="20"/>
      <c r="S745" s="20"/>
      <c r="T745" s="20"/>
      <c r="U745" s="20"/>
      <c r="V745" s="20"/>
      <c r="W745" s="20"/>
    </row>
    <row r="746" spans="1:23" x14ac:dyDescent="0.25">
      <c r="A746" s="177" t="s">
        <v>5443</v>
      </c>
      <c r="B746" s="177" t="s">
        <v>563</v>
      </c>
      <c r="C746" s="178" t="s">
        <v>5444</v>
      </c>
      <c r="D746" s="173" t="s">
        <v>3968</v>
      </c>
      <c r="E746" s="20"/>
      <c r="F746" s="20"/>
      <c r="G746" s="175"/>
      <c r="H746" s="20"/>
      <c r="I746" s="20"/>
      <c r="J746" s="20"/>
      <c r="K746" s="20"/>
      <c r="L746" s="20"/>
      <c r="M746" s="20"/>
      <c r="N746" s="20"/>
      <c r="O746" s="20"/>
      <c r="P746" s="20"/>
      <c r="Q746" s="20"/>
      <c r="R746" s="20"/>
      <c r="S746" s="20"/>
      <c r="T746" s="20"/>
      <c r="U746" s="20"/>
      <c r="V746" s="20"/>
      <c r="W746" s="20"/>
    </row>
    <row r="747" spans="1:23" x14ac:dyDescent="0.25">
      <c r="A747" s="177" t="s">
        <v>5445</v>
      </c>
      <c r="B747" s="177" t="s">
        <v>3250</v>
      </c>
      <c r="C747" s="178" t="s">
        <v>5446</v>
      </c>
      <c r="D747" s="173" t="s">
        <v>3968</v>
      </c>
      <c r="E747" s="20"/>
      <c r="F747" s="20"/>
      <c r="G747" s="175"/>
      <c r="H747" s="20"/>
      <c r="I747" s="20"/>
      <c r="J747" s="20"/>
      <c r="K747" s="20"/>
      <c r="L747" s="20"/>
      <c r="M747" s="20"/>
      <c r="N747" s="20"/>
      <c r="O747" s="20"/>
      <c r="P747" s="20"/>
      <c r="Q747" s="20"/>
      <c r="R747" s="20"/>
      <c r="S747" s="20"/>
      <c r="T747" s="20"/>
      <c r="U747" s="20"/>
      <c r="V747" s="20"/>
      <c r="W747" s="20"/>
    </row>
    <row r="748" spans="1:23" x14ac:dyDescent="0.25">
      <c r="A748" s="177" t="s">
        <v>5447</v>
      </c>
      <c r="B748" s="177" t="s">
        <v>564</v>
      </c>
      <c r="C748" s="178" t="s">
        <v>5448</v>
      </c>
      <c r="D748" s="173" t="s">
        <v>3968</v>
      </c>
      <c r="E748" s="20"/>
      <c r="F748" s="20"/>
      <c r="G748" s="175"/>
      <c r="H748" s="20"/>
      <c r="I748" s="20"/>
      <c r="J748" s="20"/>
      <c r="K748" s="20"/>
      <c r="L748" s="20"/>
      <c r="M748" s="20"/>
      <c r="N748" s="20"/>
      <c r="O748" s="20"/>
      <c r="P748" s="20"/>
      <c r="Q748" s="20"/>
      <c r="R748" s="20"/>
      <c r="S748" s="20"/>
      <c r="T748" s="20"/>
      <c r="U748" s="20"/>
      <c r="V748" s="20"/>
      <c r="W748" s="20"/>
    </row>
    <row r="749" spans="1:23" x14ac:dyDescent="0.25">
      <c r="A749" s="177" t="s">
        <v>5449</v>
      </c>
      <c r="B749" s="177" t="s">
        <v>565</v>
      </c>
      <c r="C749" s="178" t="s">
        <v>5450</v>
      </c>
      <c r="D749" s="173" t="s">
        <v>3968</v>
      </c>
      <c r="E749" s="20"/>
      <c r="F749" s="20"/>
      <c r="G749" s="175"/>
      <c r="H749" s="20"/>
      <c r="I749" s="20"/>
      <c r="J749" s="20"/>
      <c r="K749" s="20"/>
      <c r="L749" s="20"/>
      <c r="M749" s="20"/>
      <c r="N749" s="20"/>
      <c r="O749" s="20"/>
      <c r="P749" s="20"/>
      <c r="Q749" s="20"/>
      <c r="R749" s="20"/>
      <c r="S749" s="20"/>
      <c r="T749" s="20"/>
      <c r="U749" s="20"/>
      <c r="V749" s="20"/>
      <c r="W749" s="20"/>
    </row>
    <row r="750" spans="1:23" x14ac:dyDescent="0.25">
      <c r="A750" s="177" t="s">
        <v>5451</v>
      </c>
      <c r="B750" s="177" t="s">
        <v>566</v>
      </c>
      <c r="C750" s="178" t="s">
        <v>5452</v>
      </c>
      <c r="D750" s="173" t="s">
        <v>3968</v>
      </c>
      <c r="E750" s="20"/>
      <c r="F750" s="20"/>
      <c r="G750" s="175"/>
      <c r="H750" s="20"/>
      <c r="I750" s="20"/>
      <c r="J750" s="20"/>
      <c r="K750" s="20"/>
      <c r="L750" s="20"/>
      <c r="M750" s="20"/>
      <c r="N750" s="20"/>
      <c r="O750" s="20"/>
      <c r="P750" s="20"/>
      <c r="Q750" s="20"/>
      <c r="R750" s="20"/>
      <c r="S750" s="20"/>
      <c r="T750" s="20"/>
      <c r="U750" s="20"/>
      <c r="V750" s="20"/>
      <c r="W750" s="20"/>
    </row>
    <row r="751" spans="1:23" x14ac:dyDescent="0.25">
      <c r="A751" s="177" t="s">
        <v>5453</v>
      </c>
      <c r="B751" s="177" t="s">
        <v>3257</v>
      </c>
      <c r="C751" s="178" t="s">
        <v>5454</v>
      </c>
      <c r="D751" s="173" t="s">
        <v>3968</v>
      </c>
      <c r="E751" s="20"/>
      <c r="F751" s="20"/>
      <c r="G751" s="175"/>
      <c r="H751" s="20"/>
      <c r="I751" s="20"/>
      <c r="J751" s="20"/>
      <c r="K751" s="20"/>
      <c r="L751" s="20"/>
      <c r="M751" s="20"/>
      <c r="N751" s="20"/>
      <c r="O751" s="20"/>
      <c r="P751" s="20"/>
      <c r="Q751" s="20"/>
      <c r="R751" s="20"/>
      <c r="S751" s="20"/>
      <c r="T751" s="20"/>
      <c r="U751" s="20"/>
      <c r="V751" s="20"/>
      <c r="W751" s="20"/>
    </row>
    <row r="752" spans="1:23" x14ac:dyDescent="0.25">
      <c r="A752" s="177" t="s">
        <v>5455</v>
      </c>
      <c r="B752" s="177" t="s">
        <v>567</v>
      </c>
      <c r="C752" s="178" t="s">
        <v>5456</v>
      </c>
      <c r="D752" s="173" t="s">
        <v>3968</v>
      </c>
      <c r="E752" s="20"/>
      <c r="F752" s="20"/>
      <c r="G752" s="175"/>
      <c r="H752" s="20"/>
      <c r="I752" s="20"/>
      <c r="J752" s="20"/>
      <c r="K752" s="20"/>
      <c r="L752" s="20"/>
      <c r="M752" s="20"/>
      <c r="N752" s="20"/>
      <c r="O752" s="20"/>
      <c r="P752" s="20"/>
      <c r="Q752" s="20"/>
      <c r="R752" s="20"/>
      <c r="S752" s="20"/>
      <c r="T752" s="20"/>
      <c r="U752" s="20"/>
      <c r="V752" s="20"/>
      <c r="W752" s="20"/>
    </row>
    <row r="753" spans="1:23" x14ac:dyDescent="0.25">
      <c r="A753" s="177" t="s">
        <v>5457</v>
      </c>
      <c r="B753" s="177" t="s">
        <v>395</v>
      </c>
      <c r="C753" s="178" t="s">
        <v>5458</v>
      </c>
      <c r="D753" s="173" t="s">
        <v>3968</v>
      </c>
      <c r="E753" s="20"/>
      <c r="F753" s="20"/>
      <c r="G753" s="175"/>
      <c r="H753" s="20"/>
      <c r="I753" s="20"/>
      <c r="J753" s="20"/>
      <c r="K753" s="20"/>
      <c r="L753" s="20"/>
      <c r="M753" s="20"/>
      <c r="N753" s="20"/>
      <c r="O753" s="20"/>
      <c r="P753" s="20"/>
      <c r="Q753" s="20"/>
      <c r="R753" s="20"/>
      <c r="S753" s="20"/>
      <c r="T753" s="20"/>
      <c r="U753" s="20"/>
      <c r="V753" s="20"/>
      <c r="W753" s="20"/>
    </row>
    <row r="754" spans="1:23" x14ac:dyDescent="0.25">
      <c r="A754" s="177" t="s">
        <v>5459</v>
      </c>
      <c r="B754" s="177" t="s">
        <v>1297</v>
      </c>
      <c r="C754" s="178" t="s">
        <v>5460</v>
      </c>
      <c r="D754" s="173" t="s">
        <v>3968</v>
      </c>
      <c r="E754" s="20"/>
      <c r="F754" s="20"/>
      <c r="G754" s="175"/>
      <c r="H754" s="20"/>
      <c r="I754" s="20"/>
      <c r="J754" s="20"/>
      <c r="K754" s="20"/>
      <c r="L754" s="20"/>
      <c r="M754" s="20"/>
      <c r="N754" s="20"/>
      <c r="O754" s="20"/>
      <c r="P754" s="20"/>
      <c r="Q754" s="20"/>
      <c r="R754" s="20"/>
      <c r="S754" s="20"/>
      <c r="T754" s="20"/>
      <c r="U754" s="20"/>
      <c r="V754" s="20"/>
      <c r="W754" s="20"/>
    </row>
    <row r="755" spans="1:23" x14ac:dyDescent="0.25">
      <c r="A755" s="177" t="s">
        <v>5461</v>
      </c>
      <c r="B755" s="177" t="s">
        <v>1448</v>
      </c>
      <c r="C755" s="178" t="s">
        <v>5462</v>
      </c>
      <c r="D755" s="173" t="s">
        <v>3968</v>
      </c>
      <c r="E755" s="20"/>
      <c r="F755" s="20"/>
      <c r="G755" s="175"/>
      <c r="H755" s="20"/>
      <c r="I755" s="20"/>
      <c r="J755" s="20"/>
      <c r="K755" s="20"/>
      <c r="L755" s="20"/>
      <c r="M755" s="20"/>
      <c r="N755" s="20"/>
      <c r="O755" s="20"/>
      <c r="P755" s="20"/>
      <c r="Q755" s="20"/>
      <c r="R755" s="20"/>
      <c r="S755" s="20"/>
      <c r="T755" s="20"/>
      <c r="U755" s="20"/>
      <c r="V755" s="20"/>
      <c r="W755" s="20"/>
    </row>
    <row r="756" spans="1:23" x14ac:dyDescent="0.25">
      <c r="A756" s="177" t="s">
        <v>5463</v>
      </c>
      <c r="B756" s="177" t="s">
        <v>552</v>
      </c>
      <c r="C756" s="178" t="s">
        <v>5464</v>
      </c>
      <c r="D756" s="173" t="s">
        <v>3968</v>
      </c>
      <c r="E756" s="20"/>
      <c r="F756" s="20"/>
      <c r="G756" s="175"/>
      <c r="H756" s="20"/>
      <c r="I756" s="20"/>
      <c r="J756" s="20"/>
      <c r="K756" s="20"/>
      <c r="L756" s="20"/>
      <c r="M756" s="20"/>
      <c r="N756" s="20"/>
      <c r="O756" s="20"/>
      <c r="P756" s="20"/>
      <c r="Q756" s="20"/>
      <c r="R756" s="20"/>
      <c r="S756" s="20"/>
      <c r="T756" s="20"/>
      <c r="U756" s="20"/>
      <c r="V756" s="20"/>
      <c r="W756" s="20"/>
    </row>
    <row r="757" spans="1:23" x14ac:dyDescent="0.25">
      <c r="A757" s="177" t="s">
        <v>5465</v>
      </c>
      <c r="B757" s="177" t="s">
        <v>543</v>
      </c>
      <c r="C757" s="178" t="s">
        <v>5466</v>
      </c>
      <c r="D757" s="173" t="s">
        <v>3968</v>
      </c>
      <c r="E757" s="20"/>
      <c r="F757" s="20"/>
      <c r="G757" s="175"/>
      <c r="H757" s="20"/>
      <c r="I757" s="20"/>
      <c r="J757" s="20"/>
      <c r="K757" s="20"/>
      <c r="L757" s="20"/>
      <c r="M757" s="20"/>
      <c r="N757" s="20"/>
      <c r="O757" s="20"/>
      <c r="P757" s="20"/>
      <c r="Q757" s="20"/>
      <c r="R757" s="20"/>
      <c r="S757" s="20"/>
      <c r="T757" s="20"/>
      <c r="U757" s="20"/>
      <c r="V757" s="20"/>
      <c r="W757" s="20"/>
    </row>
    <row r="758" spans="1:23" x14ac:dyDescent="0.25">
      <c r="A758" s="177" t="s">
        <v>3868</v>
      </c>
      <c r="B758" s="177" t="s">
        <v>328</v>
      </c>
      <c r="C758" s="178" t="s">
        <v>5467</v>
      </c>
      <c r="D758" s="173" t="s">
        <v>3968</v>
      </c>
      <c r="E758" s="20"/>
      <c r="F758" s="20"/>
      <c r="G758" s="175"/>
      <c r="H758" s="20"/>
      <c r="I758" s="20"/>
      <c r="J758" s="20"/>
      <c r="K758" s="20"/>
      <c r="L758" s="20"/>
      <c r="M758" s="20"/>
      <c r="N758" s="20"/>
      <c r="O758" s="20"/>
      <c r="P758" s="20"/>
      <c r="Q758" s="20"/>
      <c r="R758" s="20"/>
      <c r="S758" s="20"/>
      <c r="T758" s="20"/>
      <c r="U758" s="20"/>
      <c r="V758" s="20"/>
      <c r="W758" s="20"/>
    </row>
    <row r="759" spans="1:23" x14ac:dyDescent="0.25">
      <c r="A759" s="177" t="s">
        <v>3871</v>
      </c>
      <c r="B759" s="177" t="s">
        <v>5468</v>
      </c>
      <c r="C759" s="178" t="s">
        <v>5469</v>
      </c>
      <c r="D759" s="173" t="s">
        <v>3968</v>
      </c>
      <c r="E759" s="20"/>
      <c r="F759" s="20"/>
      <c r="G759" s="175"/>
      <c r="H759" s="20"/>
      <c r="I759" s="20"/>
      <c r="J759" s="20"/>
      <c r="K759" s="20"/>
      <c r="L759" s="20"/>
      <c r="M759" s="20"/>
      <c r="N759" s="20"/>
      <c r="O759" s="20"/>
      <c r="P759" s="20"/>
      <c r="Q759" s="20"/>
      <c r="R759" s="20"/>
      <c r="S759" s="20"/>
      <c r="T759" s="20"/>
      <c r="U759" s="20"/>
      <c r="V759" s="20"/>
      <c r="W759" s="20"/>
    </row>
    <row r="760" spans="1:23" x14ac:dyDescent="0.25">
      <c r="A760" s="177" t="s">
        <v>3874</v>
      </c>
      <c r="B760" s="177" t="s">
        <v>5470</v>
      </c>
      <c r="C760" s="178" t="s">
        <v>5471</v>
      </c>
      <c r="D760" s="173" t="s">
        <v>3968</v>
      </c>
      <c r="E760" s="20"/>
      <c r="F760" s="20"/>
      <c r="G760" s="175"/>
      <c r="H760" s="20"/>
      <c r="I760" s="20"/>
      <c r="J760" s="20"/>
      <c r="K760" s="20"/>
      <c r="L760" s="20"/>
      <c r="M760" s="20"/>
      <c r="N760" s="20"/>
      <c r="O760" s="20"/>
      <c r="P760" s="20"/>
      <c r="Q760" s="20"/>
      <c r="R760" s="20"/>
      <c r="S760" s="20"/>
      <c r="T760" s="20"/>
      <c r="U760" s="20"/>
      <c r="V760" s="20"/>
      <c r="W760" s="20"/>
    </row>
    <row r="761" spans="1:23" x14ac:dyDescent="0.25">
      <c r="A761" s="177" t="s">
        <v>5472</v>
      </c>
      <c r="B761" s="177" t="s">
        <v>5473</v>
      </c>
      <c r="C761" s="178" t="s">
        <v>5474</v>
      </c>
      <c r="D761" s="173" t="s">
        <v>3968</v>
      </c>
      <c r="E761" s="20"/>
      <c r="F761" s="20"/>
      <c r="G761" s="175"/>
      <c r="H761" s="20"/>
      <c r="I761" s="20"/>
      <c r="J761" s="20"/>
      <c r="K761" s="20"/>
      <c r="L761" s="20"/>
      <c r="M761" s="20"/>
      <c r="N761" s="20"/>
      <c r="O761" s="20"/>
      <c r="P761" s="20"/>
      <c r="Q761" s="20"/>
      <c r="R761" s="20"/>
      <c r="S761" s="20"/>
      <c r="T761" s="20"/>
      <c r="U761" s="20"/>
      <c r="V761" s="20"/>
      <c r="W761" s="20"/>
    </row>
    <row r="762" spans="1:23" x14ac:dyDescent="0.25">
      <c r="A762" s="177" t="s">
        <v>5475</v>
      </c>
      <c r="B762" s="177" t="s">
        <v>553</v>
      </c>
      <c r="C762" s="178" t="s">
        <v>5476</v>
      </c>
      <c r="D762" s="173" t="s">
        <v>3968</v>
      </c>
      <c r="E762" s="20"/>
      <c r="F762" s="20"/>
      <c r="G762" s="175"/>
      <c r="H762" s="20"/>
      <c r="I762" s="20"/>
      <c r="J762" s="20"/>
      <c r="K762" s="20"/>
      <c r="L762" s="20"/>
      <c r="M762" s="20"/>
      <c r="N762" s="20"/>
      <c r="O762" s="20"/>
      <c r="P762" s="20"/>
      <c r="Q762" s="20"/>
      <c r="R762" s="20"/>
      <c r="S762" s="20"/>
      <c r="T762" s="20"/>
      <c r="U762" s="20"/>
      <c r="V762" s="20"/>
      <c r="W762" s="20"/>
    </row>
    <row r="763" spans="1:23" x14ac:dyDescent="0.25">
      <c r="A763" s="177" t="s">
        <v>5477</v>
      </c>
      <c r="B763" s="177" t="s">
        <v>544</v>
      </c>
      <c r="C763" s="178" t="s">
        <v>5478</v>
      </c>
      <c r="D763" s="173" t="s">
        <v>3968</v>
      </c>
      <c r="E763" s="20"/>
      <c r="F763" s="20"/>
      <c r="G763" s="175"/>
      <c r="H763" s="20"/>
      <c r="I763" s="20"/>
      <c r="J763" s="20"/>
      <c r="K763" s="20"/>
      <c r="L763" s="20"/>
      <c r="M763" s="20"/>
      <c r="N763" s="20"/>
      <c r="O763" s="20"/>
      <c r="P763" s="20"/>
      <c r="Q763" s="20"/>
      <c r="R763" s="20"/>
      <c r="S763" s="20"/>
      <c r="T763" s="20"/>
      <c r="U763" s="20"/>
      <c r="V763" s="20"/>
      <c r="W763" s="20"/>
    </row>
    <row r="764" spans="1:23" x14ac:dyDescent="0.25">
      <c r="A764" s="177" t="s">
        <v>5479</v>
      </c>
      <c r="B764" s="177" t="s">
        <v>554</v>
      </c>
      <c r="C764" s="178" t="s">
        <v>5480</v>
      </c>
      <c r="D764" s="173" t="s">
        <v>3968</v>
      </c>
      <c r="E764" s="20"/>
      <c r="F764" s="20"/>
      <c r="G764" s="175"/>
      <c r="H764" s="20"/>
      <c r="I764" s="20"/>
      <c r="J764" s="20"/>
      <c r="K764" s="20"/>
      <c r="L764" s="20"/>
      <c r="M764" s="20"/>
      <c r="N764" s="20"/>
      <c r="O764" s="20"/>
      <c r="P764" s="20"/>
      <c r="Q764" s="20"/>
      <c r="R764" s="20"/>
      <c r="S764" s="20"/>
      <c r="T764" s="20"/>
      <c r="U764" s="20"/>
      <c r="V764" s="20"/>
      <c r="W764" s="20"/>
    </row>
    <row r="765" spans="1:23" x14ac:dyDescent="0.25">
      <c r="A765" s="177" t="s">
        <v>5481</v>
      </c>
      <c r="B765" s="177" t="s">
        <v>545</v>
      </c>
      <c r="C765" s="178" t="s">
        <v>5482</v>
      </c>
      <c r="D765" s="173" t="s">
        <v>3968</v>
      </c>
      <c r="E765" s="20"/>
      <c r="F765" s="20"/>
      <c r="G765" s="175"/>
      <c r="H765" s="20"/>
      <c r="I765" s="20"/>
      <c r="J765" s="20"/>
      <c r="K765" s="20"/>
      <c r="L765" s="20"/>
      <c r="M765" s="20"/>
      <c r="N765" s="20"/>
      <c r="O765" s="20"/>
      <c r="P765" s="20"/>
      <c r="Q765" s="20"/>
      <c r="R765" s="20"/>
      <c r="S765" s="20"/>
      <c r="T765" s="20"/>
      <c r="U765" s="20"/>
      <c r="V765" s="20"/>
      <c r="W765" s="20"/>
    </row>
    <row r="766" spans="1:23" x14ac:dyDescent="0.25">
      <c r="A766" s="177" t="s">
        <v>5483</v>
      </c>
      <c r="B766" s="177" t="s">
        <v>555</v>
      </c>
      <c r="C766" s="178" t="s">
        <v>5484</v>
      </c>
      <c r="D766" s="173" t="s">
        <v>3968</v>
      </c>
      <c r="E766" s="20"/>
      <c r="F766" s="20"/>
      <c r="G766" s="175"/>
      <c r="H766" s="20"/>
      <c r="I766" s="20"/>
      <c r="J766" s="20"/>
      <c r="K766" s="20"/>
      <c r="L766" s="20"/>
      <c r="M766" s="20"/>
      <c r="N766" s="20"/>
      <c r="O766" s="20"/>
      <c r="P766" s="20"/>
      <c r="Q766" s="20"/>
      <c r="R766" s="20"/>
      <c r="S766" s="20"/>
      <c r="T766" s="20"/>
      <c r="U766" s="20"/>
      <c r="V766" s="20"/>
      <c r="W766" s="20"/>
    </row>
    <row r="767" spans="1:23" x14ac:dyDescent="0.25">
      <c r="A767" s="177" t="s">
        <v>5485</v>
      </c>
      <c r="B767" s="177" t="s">
        <v>546</v>
      </c>
      <c r="C767" s="178" t="s">
        <v>5486</v>
      </c>
      <c r="D767" s="173" t="s">
        <v>3968</v>
      </c>
      <c r="E767" s="20"/>
      <c r="F767" s="20"/>
      <c r="G767" s="175"/>
      <c r="H767" s="20"/>
      <c r="I767" s="20"/>
      <c r="J767" s="20"/>
      <c r="K767" s="20"/>
      <c r="L767" s="20"/>
      <c r="M767" s="20"/>
      <c r="N767" s="20"/>
      <c r="O767" s="20"/>
      <c r="P767" s="20"/>
      <c r="Q767" s="20"/>
      <c r="R767" s="20"/>
      <c r="S767" s="20"/>
      <c r="T767" s="20"/>
      <c r="U767" s="20"/>
      <c r="V767" s="20"/>
      <c r="W767" s="20"/>
    </row>
    <row r="768" spans="1:23" x14ac:dyDescent="0.25">
      <c r="A768" s="177" t="s">
        <v>5487</v>
      </c>
      <c r="B768" s="177" t="s">
        <v>5488</v>
      </c>
      <c r="C768" s="178" t="s">
        <v>5489</v>
      </c>
      <c r="D768" s="173" t="s">
        <v>3968</v>
      </c>
      <c r="E768" s="20"/>
      <c r="F768" s="20"/>
      <c r="G768" s="175"/>
      <c r="H768" s="20"/>
      <c r="I768" s="20"/>
      <c r="J768" s="20"/>
      <c r="K768" s="20"/>
      <c r="L768" s="20"/>
      <c r="M768" s="20"/>
      <c r="N768" s="20"/>
      <c r="O768" s="20"/>
      <c r="P768" s="20"/>
      <c r="Q768" s="20"/>
      <c r="R768" s="20"/>
      <c r="S768" s="20"/>
      <c r="T768" s="20"/>
      <c r="U768" s="20"/>
      <c r="V768" s="20"/>
      <c r="W768" s="20"/>
    </row>
    <row r="769" spans="1:23" x14ac:dyDescent="0.25">
      <c r="A769" s="177" t="s">
        <v>5490</v>
      </c>
      <c r="B769" s="177" t="s">
        <v>549</v>
      </c>
      <c r="C769" s="178" t="s">
        <v>5491</v>
      </c>
      <c r="D769" s="173" t="s">
        <v>3968</v>
      </c>
      <c r="E769" s="20"/>
      <c r="F769" s="20"/>
      <c r="G769" s="175"/>
      <c r="H769" s="20"/>
      <c r="I769" s="20"/>
      <c r="J769" s="20"/>
      <c r="K769" s="20"/>
      <c r="L769" s="20"/>
      <c r="M769" s="20"/>
      <c r="N769" s="20"/>
      <c r="O769" s="20"/>
      <c r="P769" s="20"/>
      <c r="Q769" s="20"/>
      <c r="R769" s="20"/>
      <c r="S769" s="20"/>
      <c r="T769" s="20"/>
      <c r="U769" s="20"/>
      <c r="V769" s="20"/>
      <c r="W769" s="20"/>
    </row>
    <row r="770" spans="1:23" x14ac:dyDescent="0.25">
      <c r="A770" s="177" t="s">
        <v>5492</v>
      </c>
      <c r="B770" s="177" t="s">
        <v>547</v>
      </c>
      <c r="C770" s="178" t="s">
        <v>5493</v>
      </c>
      <c r="D770" s="173" t="s">
        <v>3968</v>
      </c>
      <c r="E770" s="20"/>
      <c r="F770" s="20"/>
      <c r="G770" s="175"/>
      <c r="H770" s="20"/>
      <c r="I770" s="20"/>
      <c r="J770" s="20"/>
      <c r="K770" s="20"/>
      <c r="L770" s="20"/>
      <c r="M770" s="20"/>
      <c r="N770" s="20"/>
      <c r="O770" s="20"/>
      <c r="P770" s="20"/>
      <c r="Q770" s="20"/>
      <c r="R770" s="20"/>
      <c r="S770" s="20"/>
      <c r="T770" s="20"/>
      <c r="U770" s="20"/>
      <c r="V770" s="20"/>
      <c r="W770" s="20"/>
    </row>
    <row r="771" spans="1:23" x14ac:dyDescent="0.25">
      <c r="A771" s="177" t="s">
        <v>5494</v>
      </c>
      <c r="B771" s="177" t="s">
        <v>548</v>
      </c>
      <c r="C771" s="178" t="s">
        <v>5495</v>
      </c>
      <c r="D771" s="173" t="s">
        <v>3968</v>
      </c>
      <c r="E771" s="20"/>
      <c r="F771" s="20"/>
      <c r="G771" s="175"/>
      <c r="H771" s="20"/>
      <c r="I771" s="20"/>
      <c r="J771" s="20"/>
      <c r="K771" s="20"/>
      <c r="L771" s="20"/>
      <c r="M771" s="20"/>
      <c r="N771" s="20"/>
      <c r="O771" s="20"/>
      <c r="P771" s="20"/>
      <c r="Q771" s="20"/>
      <c r="R771" s="20"/>
      <c r="S771" s="20"/>
      <c r="T771" s="20"/>
      <c r="U771" s="20"/>
      <c r="V771" s="20"/>
      <c r="W771" s="20"/>
    </row>
    <row r="772" spans="1:23" x14ac:dyDescent="0.25">
      <c r="A772" s="177" t="s">
        <v>5496</v>
      </c>
      <c r="B772" s="177" t="s">
        <v>5497</v>
      </c>
      <c r="C772" s="178" t="s">
        <v>5498</v>
      </c>
      <c r="D772" s="173" t="s">
        <v>3968</v>
      </c>
      <c r="E772" s="20"/>
      <c r="F772" s="20"/>
      <c r="G772" s="175"/>
      <c r="H772" s="20"/>
      <c r="I772" s="20"/>
      <c r="J772" s="20"/>
      <c r="K772" s="20"/>
      <c r="L772" s="20"/>
      <c r="M772" s="20"/>
      <c r="N772" s="20"/>
      <c r="O772" s="20"/>
      <c r="P772" s="20"/>
      <c r="Q772" s="20"/>
      <c r="R772" s="20"/>
      <c r="S772" s="20"/>
      <c r="T772" s="20"/>
      <c r="U772" s="20"/>
      <c r="V772" s="20"/>
      <c r="W772" s="20"/>
    </row>
    <row r="773" spans="1:23" x14ac:dyDescent="0.25">
      <c r="A773" s="177" t="s">
        <v>5499</v>
      </c>
      <c r="B773" s="177" t="s">
        <v>408</v>
      </c>
      <c r="C773" s="178" t="s">
        <v>5500</v>
      </c>
      <c r="D773" s="173" t="s">
        <v>3968</v>
      </c>
      <c r="E773" s="20"/>
      <c r="F773" s="20"/>
      <c r="G773" s="175"/>
      <c r="H773" s="20"/>
      <c r="I773" s="20"/>
      <c r="J773" s="20"/>
      <c r="K773" s="20"/>
      <c r="L773" s="20"/>
      <c r="M773" s="20"/>
      <c r="N773" s="20"/>
      <c r="O773" s="20"/>
      <c r="P773" s="20"/>
      <c r="Q773" s="20"/>
      <c r="R773" s="20"/>
      <c r="S773" s="20"/>
      <c r="T773" s="20"/>
      <c r="U773" s="20"/>
      <c r="V773" s="20"/>
      <c r="W773" s="20"/>
    </row>
    <row r="774" spans="1:23" x14ac:dyDescent="0.25">
      <c r="A774" s="177" t="s">
        <v>5501</v>
      </c>
      <c r="B774" s="177" t="s">
        <v>409</v>
      </c>
      <c r="C774" s="178" t="s">
        <v>5502</v>
      </c>
      <c r="D774" s="173" t="s">
        <v>3968</v>
      </c>
      <c r="E774" s="20"/>
      <c r="F774" s="20"/>
      <c r="G774" s="175"/>
      <c r="H774" s="20"/>
      <c r="I774" s="20"/>
      <c r="J774" s="20"/>
      <c r="K774" s="20"/>
      <c r="L774" s="20"/>
      <c r="M774" s="20"/>
      <c r="N774" s="20"/>
      <c r="O774" s="20"/>
      <c r="P774" s="20"/>
      <c r="Q774" s="20"/>
      <c r="R774" s="20"/>
      <c r="S774" s="20"/>
      <c r="T774" s="20"/>
      <c r="U774" s="20"/>
      <c r="V774" s="20"/>
      <c r="W774" s="20"/>
    </row>
    <row r="775" spans="1:23" x14ac:dyDescent="0.25">
      <c r="A775" s="177" t="s">
        <v>5503</v>
      </c>
      <c r="B775" s="177" t="s">
        <v>841</v>
      </c>
      <c r="C775" s="178" t="s">
        <v>5504</v>
      </c>
      <c r="D775" s="173" t="s">
        <v>3968</v>
      </c>
      <c r="E775" s="20"/>
      <c r="F775" s="20"/>
      <c r="G775" s="175"/>
      <c r="H775" s="20"/>
      <c r="I775" s="20"/>
      <c r="J775" s="20"/>
      <c r="K775" s="20"/>
      <c r="L775" s="20"/>
      <c r="M775" s="20"/>
      <c r="N775" s="20"/>
      <c r="O775" s="20"/>
      <c r="P775" s="20"/>
      <c r="Q775" s="20"/>
      <c r="R775" s="20"/>
      <c r="S775" s="20"/>
      <c r="T775" s="20"/>
      <c r="U775" s="20"/>
      <c r="V775" s="20"/>
      <c r="W775" s="20"/>
    </row>
    <row r="776" spans="1:23" x14ac:dyDescent="0.25">
      <c r="A776" s="177" t="s">
        <v>5505</v>
      </c>
      <c r="B776" s="177" t="s">
        <v>867</v>
      </c>
      <c r="C776" s="178" t="s">
        <v>5506</v>
      </c>
      <c r="D776" s="173" t="s">
        <v>3968</v>
      </c>
      <c r="E776" s="20"/>
      <c r="F776" s="20"/>
      <c r="G776" s="175"/>
      <c r="H776" s="20"/>
      <c r="I776" s="20"/>
      <c r="J776" s="20"/>
      <c r="K776" s="20"/>
      <c r="L776" s="20"/>
      <c r="M776" s="20"/>
      <c r="N776" s="20"/>
      <c r="O776" s="20"/>
      <c r="P776" s="20"/>
      <c r="Q776" s="20"/>
      <c r="R776" s="20"/>
      <c r="S776" s="20"/>
      <c r="T776" s="20"/>
      <c r="U776" s="20"/>
      <c r="V776" s="20"/>
      <c r="W776" s="20"/>
    </row>
    <row r="777" spans="1:23" x14ac:dyDescent="0.25">
      <c r="A777" s="177" t="s">
        <v>5507</v>
      </c>
      <c r="B777" s="177" t="s">
        <v>477</v>
      </c>
      <c r="C777" s="178" t="s">
        <v>5508</v>
      </c>
      <c r="D777" s="173" t="s">
        <v>3968</v>
      </c>
      <c r="E777" s="20"/>
      <c r="F777" s="20"/>
      <c r="G777" s="175"/>
      <c r="H777" s="20"/>
      <c r="I777" s="20"/>
      <c r="J777" s="20"/>
      <c r="K777" s="20"/>
      <c r="L777" s="20"/>
      <c r="M777" s="20"/>
      <c r="N777" s="20"/>
      <c r="O777" s="20"/>
      <c r="P777" s="20"/>
      <c r="Q777" s="20"/>
      <c r="R777" s="20"/>
      <c r="S777" s="20"/>
      <c r="T777" s="20"/>
      <c r="U777" s="20"/>
      <c r="V777" s="20"/>
      <c r="W777" s="20"/>
    </row>
    <row r="778" spans="1:23" x14ac:dyDescent="0.25">
      <c r="A778" s="177" t="s">
        <v>5509</v>
      </c>
      <c r="B778" s="177" t="s">
        <v>601</v>
      </c>
      <c r="C778" s="178" t="s">
        <v>5510</v>
      </c>
      <c r="D778" s="173" t="s">
        <v>3968</v>
      </c>
      <c r="E778" s="20"/>
      <c r="F778" s="20"/>
      <c r="G778" s="175"/>
      <c r="H778" s="20"/>
      <c r="I778" s="20"/>
      <c r="J778" s="20"/>
      <c r="K778" s="20"/>
      <c r="L778" s="20"/>
      <c r="M778" s="20"/>
      <c r="N778" s="20"/>
      <c r="O778" s="20"/>
      <c r="P778" s="20"/>
      <c r="Q778" s="20"/>
      <c r="R778" s="20"/>
      <c r="S778" s="20"/>
      <c r="T778" s="20"/>
      <c r="U778" s="20"/>
      <c r="V778" s="20"/>
      <c r="W778" s="20"/>
    </row>
    <row r="779" spans="1:23" x14ac:dyDescent="0.25">
      <c r="A779" s="177" t="s">
        <v>5511</v>
      </c>
      <c r="B779" s="177" t="s">
        <v>602</v>
      </c>
      <c r="C779" s="178" t="s">
        <v>5512</v>
      </c>
      <c r="D779" s="173" t="s">
        <v>3968</v>
      </c>
      <c r="E779" s="20"/>
      <c r="F779" s="20"/>
      <c r="G779" s="175"/>
      <c r="H779" s="20"/>
      <c r="I779" s="20"/>
      <c r="J779" s="20"/>
      <c r="K779" s="20"/>
      <c r="L779" s="20"/>
      <c r="M779" s="20"/>
      <c r="N779" s="20"/>
      <c r="O779" s="20"/>
      <c r="P779" s="20"/>
      <c r="Q779" s="20"/>
      <c r="R779" s="20"/>
      <c r="S779" s="20"/>
      <c r="T779" s="20"/>
      <c r="U779" s="20"/>
      <c r="V779" s="20"/>
      <c r="W779" s="20"/>
    </row>
    <row r="780" spans="1:23" x14ac:dyDescent="0.25">
      <c r="A780" s="177" t="s">
        <v>5513</v>
      </c>
      <c r="B780" s="177" t="s">
        <v>603</v>
      </c>
      <c r="C780" s="178" t="s">
        <v>5514</v>
      </c>
      <c r="D780" s="173" t="s">
        <v>3968</v>
      </c>
      <c r="E780" s="20"/>
      <c r="F780" s="20"/>
      <c r="G780" s="175"/>
      <c r="H780" s="20"/>
      <c r="I780" s="20"/>
      <c r="J780" s="20"/>
      <c r="K780" s="20"/>
      <c r="L780" s="20"/>
      <c r="M780" s="20"/>
      <c r="N780" s="20"/>
      <c r="O780" s="20"/>
      <c r="P780" s="20"/>
      <c r="Q780" s="20"/>
      <c r="R780" s="20"/>
      <c r="S780" s="20"/>
      <c r="T780" s="20"/>
      <c r="U780" s="20"/>
      <c r="V780" s="20"/>
      <c r="W780" s="20"/>
    </row>
    <row r="781" spans="1:23" x14ac:dyDescent="0.25">
      <c r="A781" s="177" t="s">
        <v>5515</v>
      </c>
      <c r="B781" s="177" t="s">
        <v>604</v>
      </c>
      <c r="C781" s="178" t="s">
        <v>5516</v>
      </c>
      <c r="D781" s="173" t="s">
        <v>3968</v>
      </c>
      <c r="E781" s="20"/>
      <c r="F781" s="20"/>
      <c r="G781" s="175"/>
      <c r="H781" s="20"/>
      <c r="I781" s="20"/>
      <c r="J781" s="20"/>
      <c r="K781" s="20"/>
      <c r="L781" s="20"/>
      <c r="M781" s="20"/>
      <c r="N781" s="20"/>
      <c r="O781" s="20"/>
      <c r="P781" s="20"/>
      <c r="Q781" s="20"/>
      <c r="R781" s="20"/>
      <c r="S781" s="20"/>
      <c r="T781" s="20"/>
      <c r="U781" s="20"/>
      <c r="V781" s="20"/>
      <c r="W781" s="20"/>
    </row>
    <row r="782" spans="1:23" x14ac:dyDescent="0.25">
      <c r="A782" s="177" t="s">
        <v>5517</v>
      </c>
      <c r="B782" s="177" t="s">
        <v>5518</v>
      </c>
      <c r="C782" s="178" t="s">
        <v>5519</v>
      </c>
      <c r="D782" s="173" t="s">
        <v>3968</v>
      </c>
      <c r="E782" s="20"/>
      <c r="F782" s="20"/>
      <c r="G782" s="175"/>
      <c r="H782" s="20"/>
      <c r="I782" s="20"/>
      <c r="J782" s="20"/>
      <c r="K782" s="20"/>
      <c r="L782" s="20"/>
      <c r="M782" s="20"/>
      <c r="N782" s="20"/>
      <c r="O782" s="20"/>
      <c r="P782" s="20"/>
      <c r="Q782" s="20"/>
      <c r="R782" s="20"/>
      <c r="S782" s="20"/>
      <c r="T782" s="20"/>
      <c r="U782" s="20"/>
      <c r="V782" s="20"/>
      <c r="W782" s="20"/>
    </row>
    <row r="783" spans="1:23" x14ac:dyDescent="0.25">
      <c r="A783" s="177" t="s">
        <v>5520</v>
      </c>
      <c r="B783" s="177" t="s">
        <v>5521</v>
      </c>
      <c r="C783" s="178" t="s">
        <v>5522</v>
      </c>
      <c r="D783" s="173" t="s">
        <v>3968</v>
      </c>
      <c r="E783" s="20"/>
      <c r="F783" s="20"/>
      <c r="G783" s="175"/>
      <c r="H783" s="20"/>
      <c r="I783" s="20"/>
      <c r="J783" s="20"/>
      <c r="K783" s="20"/>
      <c r="L783" s="20"/>
      <c r="M783" s="20"/>
      <c r="N783" s="20"/>
      <c r="O783" s="20"/>
      <c r="P783" s="20"/>
      <c r="Q783" s="20"/>
      <c r="R783" s="20"/>
      <c r="S783" s="20"/>
      <c r="T783" s="20"/>
      <c r="U783" s="20"/>
      <c r="V783" s="20"/>
      <c r="W783" s="20"/>
    </row>
    <row r="784" spans="1:23" x14ac:dyDescent="0.25">
      <c r="A784" s="177" t="s">
        <v>5523</v>
      </c>
      <c r="B784" s="177" t="s">
        <v>561</v>
      </c>
      <c r="C784" s="178" t="s">
        <v>5524</v>
      </c>
      <c r="D784" s="173" t="s">
        <v>3968</v>
      </c>
      <c r="E784" s="20"/>
      <c r="F784" s="20"/>
      <c r="G784" s="175"/>
      <c r="H784" s="20"/>
      <c r="I784" s="20"/>
      <c r="J784" s="20"/>
      <c r="K784" s="20"/>
      <c r="L784" s="20"/>
      <c r="M784" s="20"/>
      <c r="N784" s="20"/>
      <c r="O784" s="20"/>
      <c r="P784" s="20"/>
      <c r="Q784" s="20"/>
      <c r="R784" s="20"/>
      <c r="S784" s="20"/>
      <c r="T784" s="20"/>
      <c r="U784" s="20"/>
      <c r="V784" s="20"/>
      <c r="W784" s="20"/>
    </row>
    <row r="785" spans="1:23" x14ac:dyDescent="0.25">
      <c r="A785" s="177" t="s">
        <v>5525</v>
      </c>
      <c r="B785" s="177" t="s">
        <v>2128</v>
      </c>
      <c r="C785" s="178" t="s">
        <v>5428</v>
      </c>
      <c r="D785" s="173" t="s">
        <v>3968</v>
      </c>
      <c r="E785" s="20"/>
      <c r="F785" s="20"/>
      <c r="G785" s="175"/>
      <c r="H785" s="20"/>
      <c r="I785" s="20"/>
      <c r="J785" s="20"/>
      <c r="K785" s="20"/>
      <c r="L785" s="20"/>
      <c r="M785" s="20"/>
      <c r="N785" s="20"/>
      <c r="O785" s="20"/>
      <c r="P785" s="20"/>
      <c r="Q785" s="20"/>
      <c r="R785" s="20"/>
      <c r="S785" s="20"/>
      <c r="T785" s="20"/>
      <c r="U785" s="20"/>
      <c r="V785" s="20"/>
      <c r="W785" s="20"/>
    </row>
    <row r="786" spans="1:23" x14ac:dyDescent="0.25">
      <c r="A786" s="177" t="s">
        <v>5526</v>
      </c>
      <c r="B786" s="177" t="s">
        <v>399</v>
      </c>
      <c r="C786" s="178" t="s">
        <v>5527</v>
      </c>
      <c r="D786" s="173" t="s">
        <v>3968</v>
      </c>
      <c r="E786" s="20"/>
      <c r="F786" s="20"/>
      <c r="G786" s="175"/>
      <c r="H786" s="20"/>
      <c r="I786" s="20"/>
      <c r="J786" s="20"/>
      <c r="K786" s="20"/>
      <c r="L786" s="20"/>
      <c r="M786" s="20"/>
      <c r="N786" s="20"/>
      <c r="O786" s="20"/>
      <c r="P786" s="20"/>
      <c r="Q786" s="20"/>
      <c r="R786" s="20"/>
      <c r="S786" s="20"/>
      <c r="T786" s="20"/>
      <c r="U786" s="20"/>
      <c r="V786" s="20"/>
      <c r="W786" s="20"/>
    </row>
    <row r="787" spans="1:23" x14ac:dyDescent="0.25">
      <c r="A787" s="177" t="s">
        <v>5528</v>
      </c>
      <c r="B787" s="177" t="s">
        <v>560</v>
      </c>
      <c r="C787" s="178" t="s">
        <v>5529</v>
      </c>
      <c r="D787" s="173" t="s">
        <v>3968</v>
      </c>
      <c r="E787" s="20"/>
      <c r="F787" s="20"/>
      <c r="G787" s="175"/>
      <c r="H787" s="20"/>
      <c r="I787" s="20"/>
      <c r="J787" s="20"/>
      <c r="K787" s="20"/>
      <c r="L787" s="20"/>
      <c r="M787" s="20"/>
      <c r="N787" s="20"/>
      <c r="O787" s="20"/>
      <c r="P787" s="20"/>
      <c r="Q787" s="20"/>
      <c r="R787" s="20"/>
      <c r="S787" s="20"/>
      <c r="T787" s="20"/>
      <c r="U787" s="20"/>
      <c r="V787" s="20"/>
      <c r="W787" s="20"/>
    </row>
    <row r="788" spans="1:23" x14ac:dyDescent="0.25">
      <c r="A788" s="177" t="s">
        <v>5530</v>
      </c>
      <c r="B788" s="177" t="s">
        <v>5531</v>
      </c>
      <c r="C788" s="178" t="s">
        <v>5532</v>
      </c>
      <c r="D788" s="173" t="s">
        <v>3968</v>
      </c>
      <c r="E788" s="20"/>
      <c r="F788" s="20"/>
      <c r="G788" s="175"/>
      <c r="H788" s="20"/>
      <c r="I788" s="20"/>
      <c r="J788" s="20"/>
      <c r="K788" s="20"/>
      <c r="L788" s="20"/>
      <c r="M788" s="20"/>
      <c r="N788" s="20"/>
      <c r="O788" s="20"/>
      <c r="P788" s="20"/>
      <c r="Q788" s="20"/>
      <c r="R788" s="20"/>
      <c r="S788" s="20"/>
      <c r="T788" s="20"/>
      <c r="U788" s="20"/>
      <c r="V788" s="20"/>
      <c r="W788" s="20"/>
    </row>
    <row r="789" spans="1:23" x14ac:dyDescent="0.25">
      <c r="A789" s="177" t="s">
        <v>5533</v>
      </c>
      <c r="B789" s="177" t="s">
        <v>3309</v>
      </c>
      <c r="C789" s="178" t="s">
        <v>5534</v>
      </c>
      <c r="D789" s="173" t="s">
        <v>3968</v>
      </c>
      <c r="E789" s="20"/>
      <c r="F789" s="20"/>
      <c r="G789" s="175"/>
      <c r="H789" s="20"/>
      <c r="I789" s="20"/>
      <c r="J789" s="20"/>
      <c r="K789" s="20"/>
      <c r="L789" s="20"/>
      <c r="M789" s="20"/>
      <c r="N789" s="20"/>
      <c r="O789" s="20"/>
      <c r="P789" s="20"/>
      <c r="Q789" s="20"/>
      <c r="R789" s="20"/>
      <c r="S789" s="20"/>
      <c r="T789" s="20"/>
      <c r="U789" s="20"/>
      <c r="V789" s="20"/>
      <c r="W789" s="20"/>
    </row>
    <row r="790" spans="1:23" x14ac:dyDescent="0.25">
      <c r="A790" s="177" t="s">
        <v>5535</v>
      </c>
      <c r="B790" s="177" t="s">
        <v>5536</v>
      </c>
      <c r="C790" s="178" t="s">
        <v>5537</v>
      </c>
      <c r="D790" s="173" t="s">
        <v>3968</v>
      </c>
      <c r="E790" s="20"/>
      <c r="F790" s="20"/>
      <c r="G790" s="175"/>
      <c r="H790" s="20"/>
      <c r="I790" s="20"/>
      <c r="J790" s="20"/>
      <c r="K790" s="20"/>
      <c r="L790" s="20"/>
      <c r="M790" s="20"/>
      <c r="N790" s="20"/>
      <c r="O790" s="20"/>
      <c r="P790" s="20"/>
      <c r="Q790" s="20"/>
      <c r="R790" s="20"/>
      <c r="S790" s="20"/>
      <c r="T790" s="20"/>
      <c r="U790" s="20"/>
      <c r="V790" s="20"/>
      <c r="W790" s="20"/>
    </row>
    <row r="791" spans="1:23" x14ac:dyDescent="0.25">
      <c r="A791" s="177" t="s">
        <v>5538</v>
      </c>
      <c r="B791" s="177" t="s">
        <v>352</v>
      </c>
      <c r="C791" s="178" t="s">
        <v>5539</v>
      </c>
      <c r="D791" s="173" t="s">
        <v>3968</v>
      </c>
      <c r="E791" s="20"/>
      <c r="F791" s="20"/>
      <c r="G791" s="175"/>
      <c r="H791" s="20"/>
      <c r="I791" s="20"/>
      <c r="J791" s="20"/>
      <c r="K791" s="20"/>
      <c r="L791" s="20"/>
      <c r="M791" s="20"/>
      <c r="N791" s="20"/>
      <c r="O791" s="20"/>
      <c r="P791" s="20"/>
      <c r="Q791" s="20"/>
      <c r="R791" s="20"/>
      <c r="S791" s="20"/>
      <c r="T791" s="20"/>
      <c r="U791" s="20"/>
      <c r="V791" s="20"/>
      <c r="W791" s="20"/>
    </row>
    <row r="792" spans="1:23" x14ac:dyDescent="0.25">
      <c r="A792" s="177" t="s">
        <v>5540</v>
      </c>
      <c r="B792" s="177" t="s">
        <v>454</v>
      </c>
      <c r="C792" s="178" t="s">
        <v>5541</v>
      </c>
      <c r="D792" s="173" t="s">
        <v>3968</v>
      </c>
      <c r="E792" s="20"/>
      <c r="F792" s="20"/>
      <c r="G792" s="175"/>
      <c r="H792" s="20"/>
      <c r="I792" s="20"/>
      <c r="J792" s="20"/>
      <c r="K792" s="20"/>
      <c r="L792" s="20"/>
      <c r="M792" s="20"/>
      <c r="N792" s="20"/>
      <c r="O792" s="20"/>
      <c r="P792" s="20"/>
      <c r="Q792" s="20"/>
      <c r="R792" s="20"/>
      <c r="S792" s="20"/>
      <c r="T792" s="20"/>
      <c r="U792" s="20"/>
      <c r="V792" s="20"/>
      <c r="W792" s="20"/>
    </row>
    <row r="793" spans="1:23" x14ac:dyDescent="0.25">
      <c r="A793" s="177" t="s">
        <v>5542</v>
      </c>
      <c r="B793" s="177" t="s">
        <v>3315</v>
      </c>
      <c r="C793" s="178" t="s">
        <v>5543</v>
      </c>
      <c r="D793" s="173" t="s">
        <v>3968</v>
      </c>
      <c r="E793" s="20"/>
      <c r="F793" s="20"/>
      <c r="G793" s="175"/>
      <c r="H793" s="20"/>
      <c r="I793" s="20"/>
      <c r="J793" s="20"/>
      <c r="K793" s="20"/>
      <c r="L793" s="20"/>
      <c r="M793" s="20"/>
      <c r="N793" s="20"/>
      <c r="O793" s="20"/>
      <c r="P793" s="20"/>
      <c r="Q793" s="20"/>
      <c r="R793" s="20"/>
      <c r="S793" s="20"/>
      <c r="T793" s="20"/>
      <c r="U793" s="20"/>
      <c r="V793" s="20"/>
      <c r="W793" s="20"/>
    </row>
    <row r="794" spans="1:23" x14ac:dyDescent="0.25">
      <c r="A794" s="177" t="s">
        <v>5544</v>
      </c>
      <c r="B794" s="177" t="s">
        <v>635</v>
      </c>
      <c r="C794" s="178" t="s">
        <v>5545</v>
      </c>
      <c r="D794" s="173" t="s">
        <v>3968</v>
      </c>
      <c r="E794" s="20"/>
      <c r="F794" s="20"/>
      <c r="G794" s="175"/>
      <c r="H794" s="20"/>
      <c r="I794" s="20"/>
      <c r="J794" s="20"/>
      <c r="K794" s="20"/>
      <c r="L794" s="20"/>
      <c r="M794" s="20"/>
      <c r="N794" s="20"/>
      <c r="O794" s="20"/>
      <c r="P794" s="20"/>
      <c r="Q794" s="20"/>
      <c r="R794" s="20"/>
      <c r="S794" s="20"/>
      <c r="T794" s="20"/>
      <c r="U794" s="20"/>
      <c r="V794" s="20"/>
      <c r="W794" s="20"/>
    </row>
    <row r="795" spans="1:23" x14ac:dyDescent="0.25">
      <c r="A795" s="177" t="s">
        <v>5546</v>
      </c>
      <c r="B795" s="177" t="s">
        <v>1404</v>
      </c>
      <c r="C795" s="178" t="s">
        <v>5547</v>
      </c>
      <c r="D795" s="173" t="s">
        <v>3968</v>
      </c>
      <c r="E795" s="20"/>
      <c r="F795" s="20"/>
      <c r="G795" s="175"/>
      <c r="H795" s="20"/>
      <c r="I795" s="20"/>
      <c r="J795" s="20"/>
      <c r="K795" s="20"/>
      <c r="L795" s="20"/>
      <c r="M795" s="20"/>
      <c r="N795" s="20"/>
      <c r="O795" s="20"/>
      <c r="P795" s="20"/>
      <c r="Q795" s="20"/>
      <c r="R795" s="20"/>
      <c r="S795" s="20"/>
      <c r="T795" s="20"/>
      <c r="U795" s="20"/>
      <c r="V795" s="20"/>
      <c r="W795" s="20"/>
    </row>
    <row r="796" spans="1:23" x14ac:dyDescent="0.25">
      <c r="A796" s="177" t="s">
        <v>5548</v>
      </c>
      <c r="B796" s="177" t="s">
        <v>5549</v>
      </c>
      <c r="C796" s="178" t="s">
        <v>5550</v>
      </c>
      <c r="D796" s="173" t="s">
        <v>3968</v>
      </c>
      <c r="E796" s="20"/>
      <c r="F796" s="20"/>
      <c r="G796" s="175"/>
      <c r="H796" s="20"/>
      <c r="I796" s="20"/>
      <c r="J796" s="20"/>
      <c r="K796" s="20"/>
      <c r="L796" s="20"/>
      <c r="M796" s="20"/>
      <c r="N796" s="20"/>
      <c r="O796" s="20"/>
      <c r="P796" s="20"/>
      <c r="Q796" s="20"/>
      <c r="R796" s="20"/>
      <c r="S796" s="20"/>
      <c r="T796" s="20"/>
      <c r="U796" s="20"/>
      <c r="V796" s="20"/>
      <c r="W796" s="20"/>
    </row>
    <row r="797" spans="1:23" x14ac:dyDescent="0.25">
      <c r="A797" s="177" t="s">
        <v>5551</v>
      </c>
      <c r="B797" s="177" t="s">
        <v>338</v>
      </c>
      <c r="C797" s="178" t="s">
        <v>5552</v>
      </c>
      <c r="D797" s="173" t="s">
        <v>3968</v>
      </c>
      <c r="E797" s="20"/>
      <c r="F797" s="20"/>
      <c r="G797" s="175"/>
      <c r="H797" s="20"/>
      <c r="I797" s="20"/>
      <c r="J797" s="20"/>
      <c r="K797" s="20"/>
      <c r="L797" s="20"/>
      <c r="M797" s="20"/>
      <c r="N797" s="20"/>
      <c r="O797" s="20"/>
      <c r="P797" s="20"/>
      <c r="Q797" s="20"/>
      <c r="R797" s="20"/>
      <c r="S797" s="20"/>
      <c r="T797" s="20"/>
      <c r="U797" s="20"/>
      <c r="V797" s="20"/>
      <c r="W797" s="20"/>
    </row>
    <row r="798" spans="1:23" x14ac:dyDescent="0.25">
      <c r="A798" s="177" t="s">
        <v>5553</v>
      </c>
      <c r="B798" s="177" t="s">
        <v>2121</v>
      </c>
      <c r="C798" s="178" t="s">
        <v>5554</v>
      </c>
      <c r="D798" s="173" t="s">
        <v>3968</v>
      </c>
      <c r="E798" s="20"/>
      <c r="F798" s="20"/>
      <c r="G798" s="175"/>
      <c r="H798" s="20"/>
      <c r="I798" s="20"/>
      <c r="J798" s="20"/>
      <c r="K798" s="20"/>
      <c r="L798" s="20"/>
      <c r="M798" s="20"/>
      <c r="N798" s="20"/>
      <c r="O798" s="20"/>
      <c r="P798" s="20"/>
      <c r="Q798" s="20"/>
      <c r="R798" s="20"/>
      <c r="S798" s="20"/>
      <c r="T798" s="20"/>
      <c r="U798" s="20"/>
      <c r="V798" s="20"/>
      <c r="W798" s="20"/>
    </row>
    <row r="799" spans="1:23" x14ac:dyDescent="0.25">
      <c r="A799" s="177" t="s">
        <v>3848</v>
      </c>
      <c r="B799" s="177" t="s">
        <v>442</v>
      </c>
      <c r="C799" s="178" t="s">
        <v>5555</v>
      </c>
      <c r="D799" s="173" t="s">
        <v>3968</v>
      </c>
      <c r="E799" s="20"/>
      <c r="F799" s="20"/>
      <c r="G799" s="175"/>
      <c r="H799" s="20"/>
      <c r="I799" s="20"/>
      <c r="J799" s="20"/>
      <c r="K799" s="20"/>
      <c r="L799" s="20"/>
      <c r="M799" s="20"/>
      <c r="N799" s="20"/>
      <c r="O799" s="20"/>
      <c r="P799" s="20"/>
      <c r="Q799" s="20"/>
      <c r="R799" s="20"/>
      <c r="S799" s="20"/>
      <c r="T799" s="20"/>
      <c r="U799" s="20"/>
      <c r="V799" s="20"/>
      <c r="W799" s="20"/>
    </row>
    <row r="800" spans="1:23" x14ac:dyDescent="0.25">
      <c r="A800" s="177" t="s">
        <v>5556</v>
      </c>
      <c r="B800" s="177" t="s">
        <v>364</v>
      </c>
      <c r="C800" s="178" t="s">
        <v>5557</v>
      </c>
      <c r="D800" s="173" t="s">
        <v>3968</v>
      </c>
      <c r="E800" s="20"/>
      <c r="F800" s="20"/>
      <c r="G800" s="175"/>
      <c r="H800" s="20"/>
      <c r="I800" s="20"/>
      <c r="J800" s="20"/>
      <c r="K800" s="20"/>
      <c r="L800" s="20"/>
      <c r="M800" s="20"/>
      <c r="N800" s="20"/>
      <c r="O800" s="20"/>
      <c r="P800" s="20"/>
      <c r="Q800" s="20"/>
      <c r="R800" s="20"/>
      <c r="S800" s="20"/>
      <c r="T800" s="20"/>
      <c r="U800" s="20"/>
      <c r="V800" s="20"/>
      <c r="W800" s="20"/>
    </row>
    <row r="801" spans="1:23" x14ac:dyDescent="0.25">
      <c r="A801" s="177" t="s">
        <v>5558</v>
      </c>
      <c r="B801" s="177" t="s">
        <v>885</v>
      </c>
      <c r="C801" s="178" t="s">
        <v>5559</v>
      </c>
      <c r="D801" s="173" t="s">
        <v>3968</v>
      </c>
      <c r="E801" s="20"/>
      <c r="F801" s="20"/>
      <c r="G801" s="175"/>
      <c r="H801" s="20"/>
      <c r="I801" s="20"/>
      <c r="J801" s="20"/>
      <c r="K801" s="20"/>
      <c r="L801" s="20"/>
      <c r="M801" s="20"/>
      <c r="N801" s="20"/>
      <c r="O801" s="20"/>
      <c r="P801" s="20"/>
      <c r="Q801" s="20"/>
      <c r="R801" s="20"/>
      <c r="S801" s="20"/>
      <c r="T801" s="20"/>
      <c r="U801" s="20"/>
      <c r="V801" s="20"/>
      <c r="W801" s="20"/>
    </row>
    <row r="802" spans="1:23" x14ac:dyDescent="0.25">
      <c r="A802" s="177" t="s">
        <v>5560</v>
      </c>
      <c r="B802" s="177" t="s">
        <v>896</v>
      </c>
      <c r="C802" s="178" t="s">
        <v>5561</v>
      </c>
      <c r="D802" s="173" t="s">
        <v>3968</v>
      </c>
      <c r="E802" s="20"/>
      <c r="F802" s="20"/>
      <c r="G802" s="175"/>
      <c r="H802" s="20"/>
      <c r="I802" s="20"/>
      <c r="J802" s="20"/>
      <c r="K802" s="20"/>
      <c r="L802" s="20"/>
      <c r="M802" s="20"/>
      <c r="N802" s="20"/>
      <c r="O802" s="20"/>
      <c r="P802" s="20"/>
      <c r="Q802" s="20"/>
      <c r="R802" s="20"/>
      <c r="S802" s="20"/>
      <c r="T802" s="20"/>
      <c r="U802" s="20"/>
      <c r="V802" s="20"/>
      <c r="W802" s="20"/>
    </row>
    <row r="803" spans="1:23" x14ac:dyDescent="0.25">
      <c r="A803" s="177" t="s">
        <v>5562</v>
      </c>
      <c r="B803" s="177" t="s">
        <v>48</v>
      </c>
      <c r="C803" s="178" t="s">
        <v>5563</v>
      </c>
      <c r="D803" s="173" t="s">
        <v>3968</v>
      </c>
      <c r="E803" s="20"/>
      <c r="F803" s="20"/>
      <c r="G803" s="175"/>
      <c r="H803" s="20"/>
      <c r="I803" s="20"/>
      <c r="J803" s="20"/>
      <c r="K803" s="20"/>
      <c r="L803" s="20"/>
      <c r="M803" s="20"/>
      <c r="N803" s="20"/>
      <c r="O803" s="20"/>
      <c r="P803" s="20"/>
      <c r="Q803" s="20"/>
      <c r="R803" s="20"/>
      <c r="S803" s="20"/>
      <c r="T803" s="20"/>
      <c r="U803" s="20"/>
      <c r="V803" s="20"/>
      <c r="W803" s="20"/>
    </row>
    <row r="804" spans="1:23" x14ac:dyDescent="0.25">
      <c r="A804" s="177" t="s">
        <v>5564</v>
      </c>
      <c r="B804" s="177" t="s">
        <v>49</v>
      </c>
      <c r="C804" s="178" t="s">
        <v>5565</v>
      </c>
      <c r="D804" s="173" t="s">
        <v>3968</v>
      </c>
      <c r="E804" s="20"/>
      <c r="F804" s="20"/>
      <c r="G804" s="175"/>
      <c r="H804" s="20"/>
      <c r="I804" s="20"/>
      <c r="J804" s="20"/>
      <c r="K804" s="20"/>
      <c r="L804" s="20"/>
      <c r="M804" s="20"/>
      <c r="N804" s="20"/>
      <c r="O804" s="20"/>
      <c r="P804" s="20"/>
      <c r="Q804" s="20"/>
      <c r="R804" s="20"/>
      <c r="S804" s="20"/>
      <c r="T804" s="20"/>
      <c r="U804" s="20"/>
      <c r="V804" s="20"/>
      <c r="W804" s="20"/>
    </row>
    <row r="805" spans="1:23" x14ac:dyDescent="0.25">
      <c r="A805" s="177" t="s">
        <v>5566</v>
      </c>
      <c r="B805" s="177" t="s">
        <v>384</v>
      </c>
      <c r="C805" s="178" t="s">
        <v>5567</v>
      </c>
      <c r="D805" s="173" t="s">
        <v>3968</v>
      </c>
      <c r="E805" s="20"/>
      <c r="F805" s="20"/>
      <c r="G805" s="175"/>
      <c r="H805" s="20"/>
      <c r="I805" s="20"/>
      <c r="J805" s="20"/>
      <c r="K805" s="20"/>
      <c r="L805" s="20"/>
      <c r="M805" s="20"/>
      <c r="N805" s="20"/>
      <c r="O805" s="20"/>
      <c r="P805" s="20"/>
      <c r="Q805" s="20"/>
      <c r="R805" s="20"/>
      <c r="S805" s="20"/>
      <c r="T805" s="20"/>
      <c r="U805" s="20"/>
      <c r="V805" s="20"/>
      <c r="W805" s="20"/>
    </row>
    <row r="806" spans="1:23" x14ac:dyDescent="0.25">
      <c r="A806" s="177" t="s">
        <v>5568</v>
      </c>
      <c r="B806" s="177" t="s">
        <v>890</v>
      </c>
      <c r="C806" s="178" t="s">
        <v>5569</v>
      </c>
      <c r="D806" s="173" t="s">
        <v>3968</v>
      </c>
      <c r="E806" s="20"/>
      <c r="F806" s="20"/>
      <c r="G806" s="175"/>
      <c r="H806" s="20"/>
      <c r="I806" s="20"/>
      <c r="J806" s="20"/>
      <c r="K806" s="20"/>
      <c r="L806" s="20"/>
      <c r="M806" s="20"/>
      <c r="N806" s="20"/>
      <c r="O806" s="20"/>
      <c r="P806" s="20"/>
      <c r="Q806" s="20"/>
      <c r="R806" s="20"/>
      <c r="S806" s="20"/>
      <c r="T806" s="20"/>
      <c r="U806" s="20"/>
      <c r="V806" s="20"/>
      <c r="W806" s="20"/>
    </row>
    <row r="807" spans="1:23" x14ac:dyDescent="0.25">
      <c r="A807" s="177" t="s">
        <v>5570</v>
      </c>
      <c r="B807" s="177" t="s">
        <v>50</v>
      </c>
      <c r="C807" s="178" t="s">
        <v>5571</v>
      </c>
      <c r="D807" s="173" t="s">
        <v>3968</v>
      </c>
      <c r="E807" s="20"/>
      <c r="F807" s="20"/>
      <c r="G807" s="175"/>
      <c r="H807" s="20"/>
      <c r="I807" s="20"/>
      <c r="J807" s="20"/>
      <c r="K807" s="20"/>
      <c r="L807" s="20"/>
      <c r="M807" s="20"/>
      <c r="N807" s="20"/>
      <c r="O807" s="20"/>
      <c r="P807" s="20"/>
      <c r="Q807" s="20"/>
      <c r="R807" s="20"/>
      <c r="S807" s="20"/>
      <c r="T807" s="20"/>
      <c r="U807" s="20"/>
      <c r="V807" s="20"/>
      <c r="W807" s="20"/>
    </row>
    <row r="808" spans="1:23" x14ac:dyDescent="0.25">
      <c r="A808" s="177" t="s">
        <v>5572</v>
      </c>
      <c r="B808" s="177" t="s">
        <v>893</v>
      </c>
      <c r="C808" s="178" t="s">
        <v>5573</v>
      </c>
      <c r="D808" s="173" t="s">
        <v>3968</v>
      </c>
      <c r="E808" s="20"/>
      <c r="F808" s="20"/>
      <c r="G808" s="175"/>
      <c r="H808" s="20"/>
      <c r="I808" s="20"/>
      <c r="J808" s="20"/>
      <c r="K808" s="20"/>
      <c r="L808" s="20"/>
      <c r="M808" s="20"/>
      <c r="N808" s="20"/>
      <c r="O808" s="20"/>
      <c r="P808" s="20"/>
      <c r="Q808" s="20"/>
      <c r="R808" s="20"/>
      <c r="S808" s="20"/>
      <c r="T808" s="20"/>
      <c r="U808" s="20"/>
      <c r="V808" s="20"/>
      <c r="W808" s="20"/>
    </row>
    <row r="809" spans="1:23" x14ac:dyDescent="0.25">
      <c r="A809" s="177" t="s">
        <v>5574</v>
      </c>
      <c r="B809" s="177" t="s">
        <v>905</v>
      </c>
      <c r="C809" s="178" t="s">
        <v>5575</v>
      </c>
      <c r="D809" s="173" t="s">
        <v>3968</v>
      </c>
      <c r="E809" s="20"/>
      <c r="F809" s="20"/>
      <c r="G809" s="175"/>
      <c r="H809" s="20"/>
      <c r="I809" s="20"/>
      <c r="J809" s="20"/>
      <c r="K809" s="20"/>
      <c r="L809" s="20"/>
      <c r="M809" s="20"/>
      <c r="N809" s="20"/>
      <c r="O809" s="20"/>
      <c r="P809" s="20"/>
      <c r="Q809" s="20"/>
      <c r="R809" s="20"/>
      <c r="S809" s="20"/>
      <c r="T809" s="20"/>
      <c r="U809" s="20"/>
      <c r="V809" s="20"/>
      <c r="W809" s="20"/>
    </row>
    <row r="810" spans="1:23" x14ac:dyDescent="0.25">
      <c r="A810" s="177" t="s">
        <v>5576</v>
      </c>
      <c r="B810" s="177" t="s">
        <v>597</v>
      </c>
      <c r="C810" s="178" t="s">
        <v>5577</v>
      </c>
      <c r="D810" s="173" t="s">
        <v>3968</v>
      </c>
      <c r="E810" s="20"/>
      <c r="F810" s="20"/>
      <c r="G810" s="175"/>
      <c r="H810" s="20"/>
      <c r="I810" s="20"/>
      <c r="J810" s="20"/>
      <c r="K810" s="20"/>
      <c r="L810" s="20"/>
      <c r="M810" s="20"/>
      <c r="N810" s="20"/>
      <c r="O810" s="20"/>
      <c r="P810" s="20"/>
      <c r="Q810" s="20"/>
      <c r="R810" s="20"/>
      <c r="S810" s="20"/>
      <c r="T810" s="20"/>
      <c r="U810" s="20"/>
      <c r="V810" s="20"/>
      <c r="W810" s="20"/>
    </row>
    <row r="811" spans="1:23" x14ac:dyDescent="0.25">
      <c r="A811" s="177" t="s">
        <v>5578</v>
      </c>
      <c r="B811" s="177" t="s">
        <v>3409</v>
      </c>
      <c r="C811" s="178" t="s">
        <v>5579</v>
      </c>
      <c r="D811" s="173" t="s">
        <v>3968</v>
      </c>
      <c r="E811" s="20"/>
      <c r="F811" s="20"/>
      <c r="G811" s="175"/>
      <c r="H811" s="20"/>
      <c r="I811" s="20"/>
      <c r="J811" s="20"/>
      <c r="K811" s="20"/>
      <c r="L811" s="20"/>
      <c r="M811" s="20"/>
      <c r="N811" s="20"/>
      <c r="O811" s="20"/>
      <c r="P811" s="20"/>
      <c r="Q811" s="20"/>
      <c r="R811" s="20"/>
      <c r="S811" s="20"/>
      <c r="T811" s="20"/>
      <c r="U811" s="20"/>
      <c r="V811" s="20"/>
      <c r="W811" s="20"/>
    </row>
    <row r="812" spans="1:23" x14ac:dyDescent="0.25">
      <c r="A812" s="177" t="s">
        <v>5580</v>
      </c>
      <c r="B812" s="177" t="s">
        <v>3411</v>
      </c>
      <c r="C812" s="178" t="s">
        <v>5100</v>
      </c>
      <c r="D812" s="173" t="s">
        <v>3968</v>
      </c>
      <c r="E812" s="20"/>
      <c r="F812" s="20"/>
      <c r="G812" s="175"/>
      <c r="H812" s="20"/>
      <c r="I812" s="20"/>
      <c r="J812" s="20"/>
      <c r="K812" s="20"/>
      <c r="L812" s="20"/>
      <c r="M812" s="20"/>
      <c r="N812" s="20"/>
      <c r="O812" s="20"/>
      <c r="P812" s="20"/>
      <c r="Q812" s="20"/>
      <c r="R812" s="20"/>
      <c r="S812" s="20"/>
      <c r="T812" s="20"/>
      <c r="U812" s="20"/>
      <c r="V812" s="20"/>
      <c r="W812" s="20"/>
    </row>
    <row r="813" spans="1:23" x14ac:dyDescent="0.25">
      <c r="A813" s="177" t="s">
        <v>5581</v>
      </c>
      <c r="B813" s="177" t="s">
        <v>3413</v>
      </c>
      <c r="C813" s="178" t="s">
        <v>5102</v>
      </c>
      <c r="D813" s="173" t="s">
        <v>3968</v>
      </c>
      <c r="E813" s="20"/>
      <c r="F813" s="20"/>
      <c r="G813" s="175"/>
      <c r="H813" s="20"/>
      <c r="I813" s="20"/>
      <c r="J813" s="20"/>
      <c r="K813" s="20"/>
      <c r="L813" s="20"/>
      <c r="M813" s="20"/>
      <c r="N813" s="20"/>
      <c r="O813" s="20"/>
      <c r="P813" s="20"/>
      <c r="Q813" s="20"/>
      <c r="R813" s="20"/>
      <c r="S813" s="20"/>
      <c r="T813" s="20"/>
      <c r="U813" s="20"/>
      <c r="V813" s="20"/>
      <c r="W813" s="20"/>
    </row>
    <row r="814" spans="1:23" x14ac:dyDescent="0.25">
      <c r="A814" s="177" t="s">
        <v>5582</v>
      </c>
      <c r="B814" s="177" t="s">
        <v>439</v>
      </c>
      <c r="C814" s="178" t="s">
        <v>5583</v>
      </c>
      <c r="D814" s="173" t="s">
        <v>3968</v>
      </c>
      <c r="E814" s="20"/>
      <c r="F814" s="20"/>
      <c r="G814" s="175"/>
      <c r="H814" s="20"/>
      <c r="I814" s="20"/>
      <c r="J814" s="20"/>
      <c r="K814" s="20"/>
      <c r="L814" s="20"/>
      <c r="M814" s="20"/>
      <c r="N814" s="20"/>
      <c r="O814" s="20"/>
      <c r="P814" s="20"/>
      <c r="Q814" s="20"/>
      <c r="R814" s="20"/>
      <c r="S814" s="20"/>
      <c r="T814" s="20"/>
      <c r="U814" s="20"/>
      <c r="V814" s="20"/>
      <c r="W814" s="20"/>
    </row>
    <row r="815" spans="1:23" x14ac:dyDescent="0.25">
      <c r="A815" s="177" t="s">
        <v>5584</v>
      </c>
      <c r="B815" s="177" t="s">
        <v>5585</v>
      </c>
      <c r="C815" s="178" t="s">
        <v>5586</v>
      </c>
      <c r="D815" s="173" t="s">
        <v>3968</v>
      </c>
      <c r="E815" s="20"/>
      <c r="F815" s="20"/>
      <c r="G815" s="175"/>
      <c r="H815" s="20"/>
      <c r="I815" s="20"/>
      <c r="J815" s="20"/>
      <c r="K815" s="20"/>
      <c r="L815" s="20"/>
      <c r="M815" s="20"/>
      <c r="N815" s="20"/>
      <c r="O815" s="20"/>
      <c r="P815" s="20"/>
      <c r="Q815" s="20"/>
      <c r="R815" s="20"/>
      <c r="S815" s="20"/>
      <c r="T815" s="20"/>
      <c r="U815" s="20"/>
      <c r="V815" s="20"/>
      <c r="W815" s="20"/>
    </row>
    <row r="816" spans="1:23" x14ac:dyDescent="0.25">
      <c r="A816" s="177" t="s">
        <v>5587</v>
      </c>
      <c r="B816" s="177" t="s">
        <v>3354</v>
      </c>
      <c r="C816" s="178" t="s">
        <v>5588</v>
      </c>
      <c r="D816" s="173" t="s">
        <v>3968</v>
      </c>
      <c r="E816" s="20"/>
      <c r="F816" s="20"/>
      <c r="G816" s="175"/>
      <c r="H816" s="20"/>
      <c r="I816" s="20"/>
      <c r="J816" s="20"/>
      <c r="K816" s="20"/>
      <c r="L816" s="20"/>
      <c r="M816" s="20"/>
      <c r="N816" s="20"/>
      <c r="O816" s="20"/>
      <c r="P816" s="20"/>
      <c r="Q816" s="20"/>
      <c r="R816" s="20"/>
      <c r="S816" s="20"/>
      <c r="T816" s="20"/>
      <c r="U816" s="20"/>
      <c r="V816" s="20"/>
      <c r="W816" s="20"/>
    </row>
    <row r="817" spans="1:23" x14ac:dyDescent="0.25">
      <c r="A817" s="177" t="s">
        <v>5589</v>
      </c>
      <c r="B817" s="177" t="s">
        <v>1517</v>
      </c>
      <c r="C817" s="178" t="s">
        <v>5590</v>
      </c>
      <c r="D817" s="173" t="s">
        <v>3968</v>
      </c>
      <c r="E817" s="20"/>
      <c r="F817" s="20"/>
      <c r="G817" s="175"/>
      <c r="H817" s="20"/>
      <c r="I817" s="20"/>
      <c r="J817" s="20"/>
      <c r="K817" s="20"/>
      <c r="L817" s="20"/>
      <c r="M817" s="20"/>
      <c r="N817" s="20"/>
      <c r="O817" s="20"/>
      <c r="P817" s="20"/>
      <c r="Q817" s="20"/>
      <c r="R817" s="20"/>
      <c r="S817" s="20"/>
      <c r="T817" s="20"/>
      <c r="U817" s="20"/>
      <c r="V817" s="20"/>
      <c r="W817" s="20"/>
    </row>
    <row r="818" spans="1:23" x14ac:dyDescent="0.25">
      <c r="A818" s="177" t="s">
        <v>5591</v>
      </c>
      <c r="B818" s="177" t="s">
        <v>5592</v>
      </c>
      <c r="C818" s="178" t="s">
        <v>5593</v>
      </c>
      <c r="D818" s="173" t="s">
        <v>3968</v>
      </c>
      <c r="E818" s="20"/>
      <c r="F818" s="20"/>
      <c r="G818" s="175"/>
      <c r="H818" s="20"/>
      <c r="I818" s="20"/>
      <c r="J818" s="20"/>
      <c r="K818" s="20"/>
      <c r="L818" s="20"/>
      <c r="M818" s="20"/>
      <c r="N818" s="20"/>
      <c r="O818" s="20"/>
      <c r="P818" s="20"/>
      <c r="Q818" s="20"/>
      <c r="R818" s="20"/>
      <c r="S818" s="20"/>
      <c r="T818" s="20"/>
      <c r="U818" s="20"/>
      <c r="V818" s="20"/>
      <c r="W818" s="20"/>
    </row>
    <row r="819" spans="1:23" x14ac:dyDescent="0.25">
      <c r="A819" s="177" t="s">
        <v>5594</v>
      </c>
      <c r="B819" s="177" t="s">
        <v>342</v>
      </c>
      <c r="C819" s="178" t="s">
        <v>5595</v>
      </c>
      <c r="D819" s="173" t="s">
        <v>3968</v>
      </c>
      <c r="E819" s="20"/>
      <c r="F819" s="20"/>
      <c r="G819" s="175"/>
      <c r="H819" s="20"/>
      <c r="I819" s="20"/>
      <c r="J819" s="20"/>
      <c r="K819" s="20"/>
      <c r="L819" s="20"/>
      <c r="M819" s="20"/>
      <c r="N819" s="20"/>
      <c r="O819" s="20"/>
      <c r="P819" s="20"/>
      <c r="Q819" s="20"/>
      <c r="R819" s="20"/>
      <c r="S819" s="20"/>
      <c r="T819" s="20"/>
      <c r="U819" s="20"/>
      <c r="V819" s="20"/>
      <c r="W819" s="20"/>
    </row>
    <row r="820" spans="1:23" x14ac:dyDescent="0.25">
      <c r="A820" s="177" t="s">
        <v>5596</v>
      </c>
      <c r="B820" s="177" t="s">
        <v>343</v>
      </c>
      <c r="C820" s="178" t="s">
        <v>5597</v>
      </c>
      <c r="D820" s="173" t="s">
        <v>3968</v>
      </c>
      <c r="E820" s="20"/>
      <c r="F820" s="20"/>
      <c r="G820" s="175"/>
      <c r="H820" s="20"/>
      <c r="I820" s="20"/>
      <c r="J820" s="20"/>
      <c r="K820" s="20"/>
      <c r="L820" s="20"/>
      <c r="M820" s="20"/>
      <c r="N820" s="20"/>
      <c r="O820" s="20"/>
      <c r="P820" s="20"/>
      <c r="Q820" s="20"/>
      <c r="R820" s="20"/>
      <c r="S820" s="20"/>
      <c r="T820" s="20"/>
      <c r="U820" s="20"/>
      <c r="V820" s="20"/>
      <c r="W820" s="20"/>
    </row>
    <row r="821" spans="1:23" x14ac:dyDescent="0.25">
      <c r="A821" s="177" t="s">
        <v>5598</v>
      </c>
      <c r="B821" s="177" t="s">
        <v>592</v>
      </c>
      <c r="C821" s="178" t="s">
        <v>5599</v>
      </c>
      <c r="D821" s="173" t="s">
        <v>3968</v>
      </c>
      <c r="E821" s="20"/>
      <c r="F821" s="20"/>
      <c r="G821" s="175"/>
      <c r="H821" s="20"/>
      <c r="I821" s="20"/>
      <c r="J821" s="20"/>
      <c r="K821" s="20"/>
      <c r="L821" s="20"/>
      <c r="M821" s="20"/>
      <c r="N821" s="20"/>
      <c r="O821" s="20"/>
      <c r="P821" s="20"/>
      <c r="Q821" s="20"/>
      <c r="R821" s="20"/>
      <c r="S821" s="20"/>
      <c r="T821" s="20"/>
      <c r="U821" s="20"/>
      <c r="V821" s="20"/>
      <c r="W821" s="20"/>
    </row>
    <row r="822" spans="1:23" x14ac:dyDescent="0.25">
      <c r="A822" s="177" t="s">
        <v>5600</v>
      </c>
      <c r="B822" s="177" t="s">
        <v>591</v>
      </c>
      <c r="C822" s="178" t="s">
        <v>5601</v>
      </c>
      <c r="D822" s="173" t="s">
        <v>3968</v>
      </c>
      <c r="E822" s="20"/>
      <c r="F822" s="20"/>
      <c r="G822" s="175"/>
      <c r="H822" s="20"/>
      <c r="I822" s="20"/>
      <c r="J822" s="20"/>
      <c r="K822" s="20"/>
      <c r="L822" s="20"/>
      <c r="M822" s="20"/>
      <c r="N822" s="20"/>
      <c r="O822" s="20"/>
      <c r="P822" s="20"/>
      <c r="Q822" s="20"/>
      <c r="R822" s="20"/>
      <c r="S822" s="20"/>
      <c r="T822" s="20"/>
      <c r="U822" s="20"/>
      <c r="V822" s="20"/>
      <c r="W822" s="20"/>
    </row>
    <row r="823" spans="1:23" x14ac:dyDescent="0.25">
      <c r="A823" s="177" t="s">
        <v>5602</v>
      </c>
      <c r="B823" s="177" t="s">
        <v>3369</v>
      </c>
      <c r="C823" s="178" t="s">
        <v>5603</v>
      </c>
      <c r="D823" s="173" t="s">
        <v>3968</v>
      </c>
      <c r="E823" s="20"/>
      <c r="F823" s="20"/>
      <c r="G823" s="175"/>
      <c r="H823" s="20"/>
      <c r="I823" s="20"/>
      <c r="J823" s="20"/>
      <c r="K823" s="20"/>
      <c r="L823" s="20"/>
      <c r="M823" s="20"/>
      <c r="N823" s="20"/>
      <c r="O823" s="20"/>
      <c r="P823" s="20"/>
      <c r="Q823" s="20"/>
      <c r="R823" s="20"/>
      <c r="S823" s="20"/>
      <c r="T823" s="20"/>
      <c r="U823" s="20"/>
      <c r="V823" s="20"/>
      <c r="W823" s="20"/>
    </row>
    <row r="824" spans="1:23" x14ac:dyDescent="0.25">
      <c r="A824" s="177" t="s">
        <v>5604</v>
      </c>
      <c r="B824" s="177" t="s">
        <v>1336</v>
      </c>
      <c r="C824" s="178" t="s">
        <v>5605</v>
      </c>
      <c r="D824" s="173" t="s">
        <v>3968</v>
      </c>
      <c r="E824" s="20"/>
      <c r="F824" s="20"/>
      <c r="G824" s="175"/>
      <c r="H824" s="20"/>
      <c r="I824" s="20"/>
      <c r="J824" s="20"/>
      <c r="K824" s="20"/>
      <c r="L824" s="20"/>
      <c r="M824" s="20"/>
      <c r="N824" s="20"/>
      <c r="O824" s="20"/>
      <c r="P824" s="20"/>
      <c r="Q824" s="20"/>
      <c r="R824" s="20"/>
      <c r="S824" s="20"/>
      <c r="T824" s="20"/>
      <c r="U824" s="20"/>
      <c r="V824" s="20"/>
      <c r="W824" s="20"/>
    </row>
    <row r="825" spans="1:23" x14ac:dyDescent="0.25">
      <c r="A825" s="177" t="s">
        <v>5606</v>
      </c>
      <c r="B825" s="177" t="s">
        <v>31</v>
      </c>
      <c r="C825" s="178" t="s">
        <v>5607</v>
      </c>
      <c r="D825" s="173" t="s">
        <v>3968</v>
      </c>
      <c r="E825" s="20"/>
      <c r="F825" s="20"/>
      <c r="G825" s="175"/>
      <c r="H825" s="20"/>
      <c r="I825" s="20"/>
      <c r="J825" s="20"/>
      <c r="K825" s="20"/>
      <c r="L825" s="20"/>
      <c r="M825" s="20"/>
      <c r="N825" s="20"/>
      <c r="O825" s="20"/>
      <c r="P825" s="20"/>
      <c r="Q825" s="20"/>
      <c r="R825" s="20"/>
      <c r="S825" s="20"/>
      <c r="T825" s="20"/>
      <c r="U825" s="20"/>
      <c r="V825" s="20"/>
      <c r="W825" s="20"/>
    </row>
    <row r="826" spans="1:23" x14ac:dyDescent="0.25">
      <c r="A826" s="177" t="s">
        <v>5608</v>
      </c>
      <c r="B826" s="177" t="s">
        <v>1025</v>
      </c>
      <c r="C826" s="178" t="s">
        <v>5609</v>
      </c>
      <c r="D826" s="173" t="s">
        <v>3968</v>
      </c>
      <c r="E826" s="20"/>
      <c r="F826" s="20"/>
      <c r="G826" s="175"/>
      <c r="H826" s="20"/>
      <c r="I826" s="20"/>
      <c r="J826" s="20"/>
      <c r="K826" s="20"/>
      <c r="L826" s="20"/>
      <c r="M826" s="20"/>
      <c r="N826" s="20"/>
      <c r="O826" s="20"/>
      <c r="P826" s="20"/>
      <c r="Q826" s="20"/>
      <c r="R826" s="20"/>
      <c r="S826" s="20"/>
      <c r="T826" s="20"/>
      <c r="U826" s="20"/>
      <c r="V826" s="20"/>
      <c r="W826" s="20"/>
    </row>
    <row r="827" spans="1:23" x14ac:dyDescent="0.25">
      <c r="A827" s="177" t="s">
        <v>5610</v>
      </c>
      <c r="B827" s="177" t="s">
        <v>1028</v>
      </c>
      <c r="C827" s="178" t="s">
        <v>5611</v>
      </c>
      <c r="D827" s="173" t="s">
        <v>3968</v>
      </c>
      <c r="E827" s="20"/>
      <c r="F827" s="20"/>
      <c r="G827" s="175"/>
      <c r="H827" s="20"/>
      <c r="I827" s="20"/>
      <c r="J827" s="20"/>
      <c r="K827" s="20"/>
      <c r="L827" s="20"/>
      <c r="M827" s="20"/>
      <c r="N827" s="20"/>
      <c r="O827" s="20"/>
      <c r="P827" s="20"/>
      <c r="Q827" s="20"/>
      <c r="R827" s="20"/>
      <c r="S827" s="20"/>
      <c r="T827" s="20"/>
      <c r="U827" s="20"/>
      <c r="V827" s="20"/>
      <c r="W827" s="20"/>
    </row>
    <row r="828" spans="1:23" x14ac:dyDescent="0.25">
      <c r="A828" s="177" t="s">
        <v>5612</v>
      </c>
      <c r="B828" s="177" t="s">
        <v>3383</v>
      </c>
      <c r="C828" s="178" t="s">
        <v>5613</v>
      </c>
      <c r="D828" s="173" t="s">
        <v>3968</v>
      </c>
      <c r="E828" s="20"/>
      <c r="F828" s="20"/>
      <c r="G828" s="175"/>
      <c r="H828" s="20"/>
      <c r="I828" s="20"/>
      <c r="J828" s="20"/>
      <c r="K828" s="20"/>
      <c r="L828" s="20"/>
      <c r="M828" s="20"/>
      <c r="N828" s="20"/>
      <c r="O828" s="20"/>
      <c r="P828" s="20"/>
      <c r="Q828" s="20"/>
      <c r="R828" s="20"/>
      <c r="S828" s="20"/>
      <c r="T828" s="20"/>
      <c r="U828" s="20"/>
      <c r="V828" s="20"/>
      <c r="W828" s="20"/>
    </row>
    <row r="829" spans="1:23" x14ac:dyDescent="0.25">
      <c r="A829" s="177" t="s">
        <v>5614</v>
      </c>
      <c r="B829" s="177" t="s">
        <v>3387</v>
      </c>
      <c r="C829" s="178" t="s">
        <v>5615</v>
      </c>
      <c r="D829" s="173" t="s">
        <v>3968</v>
      </c>
      <c r="E829" s="20"/>
      <c r="F829" s="20"/>
      <c r="G829" s="175"/>
      <c r="H829" s="20"/>
      <c r="I829" s="20"/>
      <c r="J829" s="20"/>
      <c r="K829" s="20"/>
      <c r="L829" s="20"/>
      <c r="M829" s="20"/>
      <c r="N829" s="20"/>
      <c r="O829" s="20"/>
      <c r="P829" s="20"/>
      <c r="Q829" s="20"/>
      <c r="R829" s="20"/>
      <c r="S829" s="20"/>
      <c r="T829" s="20"/>
      <c r="U829" s="20"/>
      <c r="V829" s="20"/>
      <c r="W829" s="20"/>
    </row>
    <row r="830" spans="1:23" x14ac:dyDescent="0.25">
      <c r="A830" s="177" t="s">
        <v>5616</v>
      </c>
      <c r="B830" s="177" t="s">
        <v>32</v>
      </c>
      <c r="C830" s="178" t="s">
        <v>5617</v>
      </c>
      <c r="D830" s="173" t="s">
        <v>3968</v>
      </c>
      <c r="E830" s="20"/>
      <c r="F830" s="20"/>
      <c r="G830" s="175"/>
      <c r="H830" s="20"/>
      <c r="I830" s="20"/>
      <c r="J830" s="20"/>
      <c r="K830" s="20"/>
      <c r="L830" s="20"/>
      <c r="M830" s="20"/>
      <c r="N830" s="20"/>
      <c r="O830" s="20"/>
      <c r="P830" s="20"/>
      <c r="Q830" s="20"/>
      <c r="R830" s="20"/>
      <c r="S830" s="20"/>
      <c r="T830" s="20"/>
      <c r="U830" s="20"/>
      <c r="V830" s="20"/>
      <c r="W830" s="20"/>
    </row>
    <row r="831" spans="1:23" x14ac:dyDescent="0.25">
      <c r="A831" s="177" t="s">
        <v>5618</v>
      </c>
      <c r="B831" s="177" t="s">
        <v>5619</v>
      </c>
      <c r="C831" s="178" t="s">
        <v>5620</v>
      </c>
      <c r="D831" s="173" t="s">
        <v>3968</v>
      </c>
      <c r="E831" s="20"/>
      <c r="F831" s="20"/>
      <c r="G831" s="175"/>
      <c r="H831" s="20"/>
      <c r="I831" s="20"/>
      <c r="J831" s="20"/>
      <c r="K831" s="20"/>
      <c r="L831" s="20"/>
      <c r="M831" s="20"/>
      <c r="N831" s="20"/>
      <c r="O831" s="20"/>
      <c r="P831" s="20"/>
      <c r="Q831" s="20"/>
      <c r="R831" s="20"/>
      <c r="S831" s="20"/>
      <c r="T831" s="20"/>
      <c r="U831" s="20"/>
      <c r="V831" s="20"/>
      <c r="W831" s="20"/>
    </row>
    <row r="832" spans="1:23" x14ac:dyDescent="0.25">
      <c r="A832" s="177" t="s">
        <v>5621</v>
      </c>
      <c r="B832" s="177" t="s">
        <v>5622</v>
      </c>
      <c r="C832" s="178" t="s">
        <v>5623</v>
      </c>
      <c r="D832" s="173" t="s">
        <v>3968</v>
      </c>
      <c r="E832" s="20"/>
      <c r="F832" s="20"/>
      <c r="G832" s="175"/>
      <c r="H832" s="20"/>
      <c r="I832" s="20"/>
      <c r="J832" s="20"/>
      <c r="K832" s="20"/>
      <c r="L832" s="20"/>
      <c r="M832" s="20"/>
      <c r="N832" s="20"/>
      <c r="O832" s="20"/>
      <c r="P832" s="20"/>
      <c r="Q832" s="20"/>
      <c r="R832" s="20"/>
      <c r="S832" s="20"/>
      <c r="T832" s="20"/>
      <c r="U832" s="20"/>
      <c r="V832" s="20"/>
      <c r="W832" s="20"/>
    </row>
    <row r="833" spans="1:23" x14ac:dyDescent="0.25">
      <c r="A833" s="177" t="s">
        <v>5624</v>
      </c>
      <c r="B833" s="177" t="s">
        <v>5625</v>
      </c>
      <c r="C833" s="178" t="s">
        <v>5626</v>
      </c>
      <c r="D833" s="173" t="s">
        <v>3968</v>
      </c>
      <c r="E833" s="20"/>
      <c r="F833" s="20"/>
      <c r="G833" s="175"/>
      <c r="H833" s="20"/>
      <c r="I833" s="20"/>
      <c r="J833" s="20"/>
      <c r="K833" s="20"/>
      <c r="L833" s="20"/>
      <c r="M833" s="20"/>
      <c r="N833" s="20"/>
      <c r="O833" s="20"/>
      <c r="P833" s="20"/>
      <c r="Q833" s="20"/>
      <c r="R833" s="20"/>
      <c r="S833" s="20"/>
      <c r="T833" s="20"/>
      <c r="U833" s="20"/>
      <c r="V833" s="20"/>
      <c r="W833" s="20"/>
    </row>
    <row r="834" spans="1:23" x14ac:dyDescent="0.25">
      <c r="A834" s="177" t="s">
        <v>5627</v>
      </c>
      <c r="B834" s="177" t="s">
        <v>5628</v>
      </c>
      <c r="C834" s="178" t="s">
        <v>5629</v>
      </c>
      <c r="D834" s="173" t="s">
        <v>3968</v>
      </c>
      <c r="E834" s="20"/>
      <c r="F834" s="20"/>
      <c r="G834" s="175"/>
      <c r="H834" s="20"/>
      <c r="I834" s="20"/>
      <c r="J834" s="20"/>
      <c r="K834" s="20"/>
      <c r="L834" s="20"/>
      <c r="M834" s="20"/>
      <c r="N834" s="20"/>
      <c r="O834" s="20"/>
      <c r="P834" s="20"/>
      <c r="Q834" s="20"/>
      <c r="R834" s="20"/>
      <c r="S834" s="20"/>
      <c r="T834" s="20"/>
      <c r="U834" s="20"/>
      <c r="V834" s="20"/>
      <c r="W834" s="20"/>
    </row>
    <row r="835" spans="1:23" x14ac:dyDescent="0.25">
      <c r="A835" s="177" t="s">
        <v>5630</v>
      </c>
      <c r="B835" s="177" t="s">
        <v>5631</v>
      </c>
      <c r="C835" s="178" t="s">
        <v>5632</v>
      </c>
      <c r="D835" s="173" t="s">
        <v>3968</v>
      </c>
      <c r="E835" s="20"/>
      <c r="F835" s="20"/>
      <c r="G835" s="175"/>
      <c r="H835" s="20"/>
      <c r="I835" s="20"/>
      <c r="J835" s="20"/>
      <c r="K835" s="20"/>
      <c r="L835" s="20"/>
      <c r="M835" s="20"/>
      <c r="N835" s="20"/>
      <c r="O835" s="20"/>
      <c r="P835" s="20"/>
      <c r="Q835" s="20"/>
      <c r="R835" s="20"/>
      <c r="S835" s="20"/>
      <c r="T835" s="20"/>
      <c r="U835" s="20"/>
      <c r="V835" s="20"/>
      <c r="W835" s="20"/>
    </row>
    <row r="836" spans="1:23" x14ac:dyDescent="0.25">
      <c r="A836" s="177" t="s">
        <v>5633</v>
      </c>
      <c r="B836" s="177" t="s">
        <v>5634</v>
      </c>
      <c r="C836" s="178" t="s">
        <v>5635</v>
      </c>
      <c r="D836" s="173" t="s">
        <v>3968</v>
      </c>
      <c r="E836" s="20"/>
      <c r="F836" s="20"/>
      <c r="G836" s="175"/>
      <c r="H836" s="20"/>
      <c r="I836" s="20"/>
      <c r="J836" s="20"/>
      <c r="K836" s="20"/>
      <c r="L836" s="20"/>
      <c r="M836" s="20"/>
      <c r="N836" s="20"/>
      <c r="O836" s="20"/>
      <c r="P836" s="20"/>
      <c r="Q836" s="20"/>
      <c r="R836" s="20"/>
      <c r="S836" s="20"/>
      <c r="T836" s="20"/>
      <c r="U836" s="20"/>
      <c r="V836" s="20"/>
      <c r="W836" s="20"/>
    </row>
    <row r="837" spans="1:23" x14ac:dyDescent="0.25">
      <c r="A837" s="177" t="s">
        <v>5636</v>
      </c>
      <c r="B837" s="177" t="s">
        <v>5637</v>
      </c>
      <c r="C837" s="178" t="s">
        <v>5638</v>
      </c>
      <c r="D837" s="173" t="s">
        <v>3968</v>
      </c>
      <c r="E837" s="20"/>
      <c r="F837" s="20"/>
      <c r="G837" s="175"/>
      <c r="H837" s="20"/>
      <c r="I837" s="20"/>
      <c r="J837" s="20"/>
      <c r="K837" s="20"/>
      <c r="L837" s="20"/>
      <c r="M837" s="20"/>
      <c r="N837" s="20"/>
      <c r="O837" s="20"/>
      <c r="P837" s="20"/>
      <c r="Q837" s="20"/>
      <c r="R837" s="20"/>
      <c r="S837" s="20"/>
      <c r="T837" s="20"/>
      <c r="U837" s="20"/>
      <c r="V837" s="20"/>
      <c r="W837" s="20"/>
    </row>
    <row r="838" spans="1:23" x14ac:dyDescent="0.25">
      <c r="A838" s="177" t="s">
        <v>5639</v>
      </c>
      <c r="B838" s="177" t="s">
        <v>5640</v>
      </c>
      <c r="C838" s="178" t="s">
        <v>5641</v>
      </c>
      <c r="D838" s="173" t="s">
        <v>3968</v>
      </c>
      <c r="E838" s="20"/>
      <c r="F838" s="20"/>
      <c r="G838" s="175"/>
      <c r="H838" s="20"/>
      <c r="I838" s="20"/>
      <c r="J838" s="20"/>
      <c r="K838" s="20"/>
      <c r="L838" s="20"/>
      <c r="M838" s="20"/>
      <c r="N838" s="20"/>
      <c r="O838" s="20"/>
      <c r="P838" s="20"/>
      <c r="Q838" s="20"/>
      <c r="R838" s="20"/>
      <c r="S838" s="20"/>
      <c r="T838" s="20"/>
      <c r="U838" s="20"/>
      <c r="V838" s="20"/>
      <c r="W838" s="20"/>
    </row>
    <row r="839" spans="1:23" x14ac:dyDescent="0.25">
      <c r="A839" s="177" t="s">
        <v>5642</v>
      </c>
      <c r="B839" s="177" t="s">
        <v>5643</v>
      </c>
      <c r="C839" s="178" t="s">
        <v>5644</v>
      </c>
      <c r="D839" s="173" t="s">
        <v>3968</v>
      </c>
      <c r="E839" s="20"/>
      <c r="F839" s="20"/>
      <c r="G839" s="175"/>
      <c r="H839" s="20"/>
      <c r="I839" s="20"/>
      <c r="J839" s="20"/>
      <c r="K839" s="20"/>
      <c r="L839" s="20"/>
      <c r="M839" s="20"/>
      <c r="N839" s="20"/>
      <c r="O839" s="20"/>
      <c r="P839" s="20"/>
      <c r="Q839" s="20"/>
      <c r="R839" s="20"/>
      <c r="S839" s="20"/>
      <c r="T839" s="20"/>
      <c r="U839" s="20"/>
      <c r="V839" s="20"/>
      <c r="W839" s="20"/>
    </row>
    <row r="840" spans="1:23" x14ac:dyDescent="0.25">
      <c r="A840" s="177" t="s">
        <v>5645</v>
      </c>
      <c r="B840" s="177" t="s">
        <v>5646</v>
      </c>
      <c r="C840" s="178" t="s">
        <v>5647</v>
      </c>
      <c r="D840" s="173" t="s">
        <v>3968</v>
      </c>
      <c r="E840" s="20"/>
      <c r="F840" s="20"/>
      <c r="G840" s="175"/>
      <c r="H840" s="20"/>
      <c r="I840" s="20"/>
      <c r="J840" s="20"/>
      <c r="K840" s="20"/>
      <c r="L840" s="20"/>
      <c r="M840" s="20"/>
      <c r="N840" s="20"/>
      <c r="O840" s="20"/>
      <c r="P840" s="20"/>
      <c r="Q840" s="20"/>
      <c r="R840" s="20"/>
      <c r="S840" s="20"/>
      <c r="T840" s="20"/>
      <c r="U840" s="20"/>
      <c r="V840" s="20"/>
      <c r="W840" s="20"/>
    </row>
    <row r="841" spans="1:23" x14ac:dyDescent="0.25">
      <c r="A841" s="177" t="s">
        <v>5648</v>
      </c>
      <c r="B841" s="177" t="s">
        <v>33</v>
      </c>
      <c r="C841" s="178" t="s">
        <v>5649</v>
      </c>
      <c r="D841" s="173" t="s">
        <v>3968</v>
      </c>
      <c r="E841" s="20"/>
      <c r="F841" s="20"/>
      <c r="G841" s="175"/>
      <c r="H841" s="20"/>
      <c r="I841" s="20"/>
      <c r="J841" s="20"/>
      <c r="K841" s="20"/>
      <c r="L841" s="20"/>
      <c r="M841" s="20"/>
      <c r="N841" s="20"/>
      <c r="O841" s="20"/>
      <c r="P841" s="20"/>
      <c r="Q841" s="20"/>
      <c r="R841" s="20"/>
      <c r="S841" s="20"/>
      <c r="T841" s="20"/>
      <c r="U841" s="20"/>
      <c r="V841" s="20"/>
      <c r="W841" s="20"/>
    </row>
    <row r="842" spans="1:23" x14ac:dyDescent="0.25">
      <c r="A842" s="177" t="s">
        <v>5650</v>
      </c>
      <c r="B842" s="177" t="s">
        <v>34</v>
      </c>
      <c r="C842" s="178" t="s">
        <v>5651</v>
      </c>
      <c r="D842" s="173" t="s">
        <v>3968</v>
      </c>
      <c r="E842" s="20"/>
      <c r="F842" s="20"/>
      <c r="G842" s="175"/>
      <c r="H842" s="20"/>
      <c r="I842" s="20"/>
      <c r="J842" s="20"/>
      <c r="K842" s="20"/>
      <c r="L842" s="20"/>
      <c r="M842" s="20"/>
      <c r="N842" s="20"/>
      <c r="O842" s="20"/>
      <c r="P842" s="20"/>
      <c r="Q842" s="20"/>
      <c r="R842" s="20"/>
      <c r="S842" s="20"/>
      <c r="T842" s="20"/>
      <c r="U842" s="20"/>
      <c r="V842" s="20"/>
      <c r="W842" s="20"/>
    </row>
    <row r="843" spans="1:23" x14ac:dyDescent="0.25">
      <c r="A843" s="177" t="s">
        <v>5652</v>
      </c>
      <c r="B843" s="177" t="s">
        <v>595</v>
      </c>
      <c r="C843" s="178" t="s">
        <v>5653</v>
      </c>
      <c r="D843" s="173" t="s">
        <v>3968</v>
      </c>
      <c r="E843" s="20"/>
      <c r="F843" s="20"/>
      <c r="G843" s="175"/>
      <c r="H843" s="20"/>
      <c r="I843" s="20"/>
      <c r="J843" s="20"/>
      <c r="K843" s="20"/>
      <c r="L843" s="20"/>
      <c r="M843" s="20"/>
      <c r="N843" s="20"/>
      <c r="O843" s="20"/>
      <c r="P843" s="20"/>
      <c r="Q843" s="20"/>
      <c r="R843" s="20"/>
      <c r="S843" s="20"/>
      <c r="T843" s="20"/>
      <c r="U843" s="20"/>
      <c r="V843" s="20"/>
      <c r="W843" s="20"/>
    </row>
    <row r="844" spans="1:23" x14ac:dyDescent="0.25">
      <c r="A844" s="177" t="s">
        <v>5654</v>
      </c>
      <c r="B844" s="177" t="s">
        <v>5655</v>
      </c>
      <c r="C844" s="178" t="s">
        <v>5656</v>
      </c>
      <c r="D844" s="173" t="s">
        <v>3968</v>
      </c>
      <c r="E844" s="20"/>
      <c r="F844" s="20"/>
      <c r="G844" s="175"/>
      <c r="H844" s="20"/>
      <c r="I844" s="20"/>
      <c r="J844" s="20"/>
      <c r="K844" s="20"/>
      <c r="L844" s="20"/>
      <c r="M844" s="20"/>
      <c r="N844" s="20"/>
      <c r="O844" s="20"/>
      <c r="P844" s="20"/>
      <c r="Q844" s="20"/>
      <c r="R844" s="20"/>
      <c r="S844" s="20"/>
      <c r="T844" s="20"/>
      <c r="U844" s="20"/>
      <c r="V844" s="20"/>
      <c r="W844" s="20"/>
    </row>
    <row r="845" spans="1:23" x14ac:dyDescent="0.25">
      <c r="A845" s="177" t="s">
        <v>5657</v>
      </c>
      <c r="B845" s="177" t="s">
        <v>355</v>
      </c>
      <c r="C845" s="178" t="s">
        <v>5658</v>
      </c>
      <c r="D845" s="173" t="s">
        <v>3968</v>
      </c>
      <c r="E845" s="20"/>
      <c r="F845" s="20"/>
      <c r="G845" s="175"/>
      <c r="H845" s="20"/>
      <c r="I845" s="20"/>
      <c r="J845" s="20"/>
      <c r="K845" s="20"/>
      <c r="L845" s="20"/>
      <c r="M845" s="20"/>
      <c r="N845" s="20"/>
      <c r="O845" s="20"/>
      <c r="P845" s="20"/>
      <c r="Q845" s="20"/>
      <c r="R845" s="20"/>
      <c r="S845" s="20"/>
      <c r="T845" s="20"/>
      <c r="U845" s="20"/>
      <c r="V845" s="20"/>
      <c r="W845" s="20"/>
    </row>
    <row r="846" spans="1:23" x14ac:dyDescent="0.25">
      <c r="A846" s="177" t="s">
        <v>5659</v>
      </c>
      <c r="B846" s="177" t="s">
        <v>386</v>
      </c>
      <c r="C846" s="178" t="s">
        <v>5660</v>
      </c>
      <c r="D846" s="173" t="s">
        <v>3968</v>
      </c>
      <c r="E846" s="20"/>
      <c r="F846" s="20"/>
      <c r="G846" s="175"/>
      <c r="H846" s="20"/>
      <c r="I846" s="20"/>
      <c r="J846" s="20"/>
      <c r="K846" s="20"/>
      <c r="L846" s="20"/>
      <c r="M846" s="20"/>
      <c r="N846" s="20"/>
      <c r="O846" s="20"/>
      <c r="P846" s="20"/>
      <c r="Q846" s="20"/>
      <c r="R846" s="20"/>
      <c r="S846" s="20"/>
      <c r="T846" s="20"/>
      <c r="U846" s="20"/>
      <c r="V846" s="20"/>
      <c r="W846" s="20"/>
    </row>
    <row r="847" spans="1:23" x14ac:dyDescent="0.25">
      <c r="A847" s="177" t="s">
        <v>5661</v>
      </c>
      <c r="B847" s="177" t="s">
        <v>5662</v>
      </c>
      <c r="C847" s="178" t="s">
        <v>5656</v>
      </c>
      <c r="D847" s="173" t="s">
        <v>3968</v>
      </c>
      <c r="E847" s="20"/>
      <c r="F847" s="20"/>
      <c r="G847" s="175"/>
      <c r="H847" s="20"/>
      <c r="I847" s="20"/>
      <c r="J847" s="20"/>
      <c r="K847" s="20"/>
      <c r="L847" s="20"/>
      <c r="M847" s="20"/>
      <c r="N847" s="20"/>
      <c r="O847" s="20"/>
      <c r="P847" s="20"/>
      <c r="Q847" s="20"/>
      <c r="R847" s="20"/>
      <c r="S847" s="20"/>
      <c r="T847" s="20"/>
      <c r="U847" s="20"/>
      <c r="V847" s="20"/>
      <c r="W847" s="20"/>
    </row>
    <row r="848" spans="1:23" x14ac:dyDescent="0.25">
      <c r="A848" s="177" t="s">
        <v>5663</v>
      </c>
      <c r="B848" s="177" t="s">
        <v>5664</v>
      </c>
      <c r="C848" s="178" t="s">
        <v>5665</v>
      </c>
      <c r="D848" s="173" t="s">
        <v>3968</v>
      </c>
      <c r="E848" s="20"/>
      <c r="F848" s="20"/>
      <c r="G848" s="175"/>
      <c r="H848" s="20"/>
      <c r="I848" s="20"/>
      <c r="J848" s="20"/>
      <c r="K848" s="20"/>
      <c r="L848" s="20"/>
      <c r="M848" s="20"/>
      <c r="N848" s="20"/>
      <c r="O848" s="20"/>
      <c r="P848" s="20"/>
      <c r="Q848" s="20"/>
      <c r="R848" s="20"/>
      <c r="S848" s="20"/>
      <c r="T848" s="20"/>
      <c r="U848" s="20"/>
      <c r="V848" s="20"/>
      <c r="W848" s="20"/>
    </row>
    <row r="849" spans="1:23" x14ac:dyDescent="0.25">
      <c r="A849" s="177" t="s">
        <v>5666</v>
      </c>
      <c r="B849" s="177" t="s">
        <v>5667</v>
      </c>
      <c r="C849" s="178" t="s">
        <v>5668</v>
      </c>
      <c r="D849" s="173" t="s">
        <v>3968</v>
      </c>
      <c r="E849" s="20"/>
      <c r="F849" s="20"/>
      <c r="G849" s="175"/>
      <c r="H849" s="20"/>
      <c r="I849" s="20"/>
      <c r="J849" s="20"/>
      <c r="K849" s="20"/>
      <c r="L849" s="20"/>
      <c r="M849" s="20"/>
      <c r="N849" s="20"/>
      <c r="O849" s="20"/>
      <c r="P849" s="20"/>
      <c r="Q849" s="20"/>
      <c r="R849" s="20"/>
      <c r="S849" s="20"/>
      <c r="T849" s="20"/>
      <c r="U849" s="20"/>
      <c r="V849" s="20"/>
      <c r="W849" s="20"/>
    </row>
    <row r="850" spans="1:23" x14ac:dyDescent="0.25">
      <c r="A850" s="171" t="s">
        <v>5669</v>
      </c>
      <c r="B850" s="177" t="s">
        <v>5670</v>
      </c>
      <c r="C850" s="178" t="s">
        <v>5671</v>
      </c>
      <c r="D850" s="173" t="s">
        <v>3968</v>
      </c>
      <c r="E850" s="20"/>
      <c r="F850" s="20"/>
      <c r="G850" s="175"/>
      <c r="H850" s="20"/>
      <c r="I850" s="20"/>
      <c r="J850" s="20"/>
      <c r="K850" s="20"/>
      <c r="L850" s="20"/>
      <c r="M850" s="20"/>
      <c r="N850" s="20"/>
      <c r="O850" s="20"/>
      <c r="P850" s="20"/>
      <c r="Q850" s="20"/>
      <c r="R850" s="20"/>
      <c r="S850" s="20"/>
      <c r="T850" s="20"/>
      <c r="U850" s="20"/>
      <c r="V850" s="20"/>
      <c r="W850" s="20"/>
    </row>
    <row r="851" spans="1:23" x14ac:dyDescent="0.25">
      <c r="A851" s="177" t="s">
        <v>5672</v>
      </c>
      <c r="B851" s="177" t="s">
        <v>5673</v>
      </c>
      <c r="C851" s="178" t="s">
        <v>5674</v>
      </c>
      <c r="D851" s="173" t="s">
        <v>3968</v>
      </c>
      <c r="E851" s="20"/>
      <c r="F851" s="20"/>
      <c r="G851" s="175"/>
      <c r="H851" s="20"/>
      <c r="I851" s="20"/>
      <c r="J851" s="20"/>
      <c r="K851" s="20"/>
      <c r="L851" s="20"/>
      <c r="M851" s="20"/>
      <c r="N851" s="20"/>
      <c r="O851" s="20"/>
      <c r="P851" s="20"/>
      <c r="Q851" s="20"/>
      <c r="R851" s="20"/>
      <c r="S851" s="20"/>
      <c r="T851" s="20"/>
      <c r="U851" s="20"/>
      <c r="V851" s="20"/>
      <c r="W851" s="20"/>
    </row>
    <row r="852" spans="1:23" x14ac:dyDescent="0.25">
      <c r="A852" s="177" t="s">
        <v>5675</v>
      </c>
      <c r="B852" s="177" t="s">
        <v>356</v>
      </c>
      <c r="C852" s="178" t="s">
        <v>5676</v>
      </c>
      <c r="D852" s="173" t="s">
        <v>3968</v>
      </c>
      <c r="E852" s="20"/>
      <c r="F852" s="20"/>
      <c r="G852" s="175"/>
      <c r="H852" s="20"/>
      <c r="I852" s="20"/>
      <c r="J852" s="20"/>
      <c r="K852" s="20"/>
      <c r="L852" s="20"/>
      <c r="M852" s="20"/>
      <c r="N852" s="20"/>
      <c r="O852" s="20"/>
      <c r="P852" s="20"/>
      <c r="Q852" s="20"/>
      <c r="R852" s="20"/>
      <c r="S852" s="20"/>
      <c r="T852" s="20"/>
      <c r="U852" s="20"/>
      <c r="V852" s="20"/>
      <c r="W852" s="20"/>
    </row>
    <row r="853" spans="1:23" x14ac:dyDescent="0.25">
      <c r="A853" s="177" t="s">
        <v>5677</v>
      </c>
      <c r="B853" s="177" t="s">
        <v>416</v>
      </c>
      <c r="C853" s="178" t="s">
        <v>5678</v>
      </c>
      <c r="D853" s="173" t="s">
        <v>3968</v>
      </c>
      <c r="E853" s="20"/>
      <c r="F853" s="20"/>
      <c r="G853" s="175"/>
      <c r="H853" s="20"/>
      <c r="I853" s="20"/>
      <c r="J853" s="20"/>
      <c r="K853" s="20"/>
      <c r="L853" s="20"/>
      <c r="M853" s="20"/>
      <c r="N853" s="20"/>
      <c r="O853" s="20"/>
      <c r="P853" s="20"/>
      <c r="Q853" s="20"/>
      <c r="R853" s="20"/>
      <c r="S853" s="20"/>
      <c r="T853" s="20"/>
      <c r="U853" s="20"/>
      <c r="V853" s="20"/>
      <c r="W853" s="20"/>
    </row>
    <row r="854" spans="1:23" x14ac:dyDescent="0.25">
      <c r="A854" s="177" t="s">
        <v>5679</v>
      </c>
      <c r="B854" s="177" t="s">
        <v>5680</v>
      </c>
      <c r="C854" s="178" t="s">
        <v>5681</v>
      </c>
      <c r="D854" s="173" t="s">
        <v>3968</v>
      </c>
      <c r="E854" s="20"/>
      <c r="F854" s="20"/>
      <c r="G854" s="175"/>
      <c r="H854" s="20"/>
      <c r="I854" s="20"/>
      <c r="J854" s="20"/>
      <c r="K854" s="20"/>
      <c r="L854" s="20"/>
      <c r="M854" s="20"/>
      <c r="N854" s="20"/>
      <c r="O854" s="20"/>
      <c r="P854" s="20"/>
      <c r="Q854" s="20"/>
      <c r="R854" s="20"/>
      <c r="S854" s="20"/>
      <c r="T854" s="20"/>
      <c r="U854" s="20"/>
      <c r="V854" s="20"/>
      <c r="W854" s="20"/>
    </row>
    <row r="855" spans="1:23" x14ac:dyDescent="0.25">
      <c r="A855" s="177" t="s">
        <v>5682</v>
      </c>
      <c r="B855" s="177" t="s">
        <v>1512</v>
      </c>
      <c r="C855" s="178" t="s">
        <v>5683</v>
      </c>
      <c r="D855" s="173" t="s">
        <v>3968</v>
      </c>
      <c r="E855" s="20"/>
      <c r="F855" s="20"/>
      <c r="G855" s="175"/>
      <c r="H855" s="20"/>
      <c r="I855" s="20"/>
      <c r="J855" s="20"/>
      <c r="K855" s="20"/>
      <c r="L855" s="20"/>
      <c r="M855" s="20"/>
      <c r="N855" s="20"/>
      <c r="O855" s="20"/>
      <c r="P855" s="20"/>
      <c r="Q855" s="20"/>
      <c r="R855" s="20"/>
      <c r="S855" s="20"/>
      <c r="T855" s="20"/>
      <c r="U855" s="20"/>
      <c r="V855" s="20"/>
      <c r="W855" s="20"/>
    </row>
    <row r="856" spans="1:23" x14ac:dyDescent="0.25">
      <c r="A856" s="177" t="s">
        <v>5684</v>
      </c>
      <c r="B856" s="177" t="s">
        <v>1339</v>
      </c>
      <c r="C856" s="178" t="s">
        <v>5685</v>
      </c>
      <c r="D856" s="173" t="s">
        <v>3968</v>
      </c>
      <c r="E856" s="20"/>
      <c r="F856" s="20"/>
      <c r="G856" s="175"/>
      <c r="H856" s="20"/>
      <c r="I856" s="20"/>
      <c r="J856" s="20"/>
      <c r="K856" s="20"/>
      <c r="L856" s="20"/>
      <c r="M856" s="20"/>
      <c r="N856" s="20"/>
      <c r="O856" s="20"/>
      <c r="P856" s="20"/>
      <c r="Q856" s="20"/>
      <c r="R856" s="20"/>
      <c r="S856" s="20"/>
      <c r="T856" s="20"/>
      <c r="U856" s="20"/>
      <c r="V856" s="20"/>
      <c r="W856" s="20"/>
    </row>
    <row r="857" spans="1:23" x14ac:dyDescent="0.25">
      <c r="A857" s="177" t="s">
        <v>5686</v>
      </c>
      <c r="B857" s="177" t="s">
        <v>3426</v>
      </c>
      <c r="C857" s="178" t="s">
        <v>5687</v>
      </c>
      <c r="D857" s="173" t="s">
        <v>3968</v>
      </c>
      <c r="E857" s="20"/>
      <c r="F857" s="20"/>
      <c r="G857" s="175"/>
      <c r="H857" s="20"/>
      <c r="I857" s="20"/>
      <c r="J857" s="20"/>
      <c r="K857" s="20"/>
      <c r="L857" s="20"/>
      <c r="M857" s="20"/>
      <c r="N857" s="20"/>
      <c r="O857" s="20"/>
      <c r="P857" s="20"/>
      <c r="Q857" s="20"/>
      <c r="R857" s="20"/>
      <c r="S857" s="20"/>
      <c r="T857" s="20"/>
      <c r="U857" s="20"/>
      <c r="V857" s="20"/>
      <c r="W857" s="20"/>
    </row>
    <row r="858" spans="1:23" x14ac:dyDescent="0.25">
      <c r="A858" s="177" t="s">
        <v>5688</v>
      </c>
      <c r="B858" s="177" t="s">
        <v>3430</v>
      </c>
      <c r="C858" s="178" t="s">
        <v>5689</v>
      </c>
      <c r="D858" s="173" t="s">
        <v>3968</v>
      </c>
      <c r="E858" s="20"/>
      <c r="F858" s="20"/>
      <c r="G858" s="175"/>
      <c r="H858" s="20"/>
      <c r="I858" s="20"/>
      <c r="J858" s="20"/>
      <c r="K858" s="20"/>
      <c r="L858" s="20"/>
      <c r="M858" s="20"/>
      <c r="N858" s="20"/>
      <c r="O858" s="20"/>
      <c r="P858" s="20"/>
      <c r="Q858" s="20"/>
      <c r="R858" s="20"/>
      <c r="S858" s="20"/>
      <c r="T858" s="20"/>
      <c r="U858" s="20"/>
      <c r="V858" s="20"/>
      <c r="W858" s="20"/>
    </row>
    <row r="859" spans="1:23" x14ac:dyDescent="0.25">
      <c r="A859" s="177" t="s">
        <v>5690</v>
      </c>
      <c r="B859" s="177" t="s">
        <v>5691</v>
      </c>
      <c r="C859" s="178" t="s">
        <v>5692</v>
      </c>
      <c r="D859" s="173" t="s">
        <v>3968</v>
      </c>
      <c r="E859" s="20"/>
      <c r="F859" s="20"/>
      <c r="G859" s="175"/>
      <c r="H859" s="20"/>
      <c r="I859" s="20"/>
      <c r="J859" s="20"/>
      <c r="K859" s="20"/>
      <c r="L859" s="20"/>
      <c r="M859" s="20"/>
      <c r="N859" s="20"/>
      <c r="O859" s="20"/>
      <c r="P859" s="20"/>
      <c r="Q859" s="20"/>
      <c r="R859" s="20"/>
      <c r="S859" s="20"/>
      <c r="T859" s="20"/>
      <c r="U859" s="20"/>
      <c r="V859" s="20"/>
      <c r="W859" s="20"/>
    </row>
    <row r="860" spans="1:23" x14ac:dyDescent="0.25">
      <c r="A860" s="177" t="s">
        <v>5690</v>
      </c>
      <c r="B860" s="177" t="s">
        <v>3433</v>
      </c>
      <c r="C860" s="178" t="s">
        <v>5693</v>
      </c>
      <c r="D860" s="173" t="s">
        <v>3968</v>
      </c>
      <c r="E860" s="20"/>
      <c r="F860" s="20"/>
      <c r="G860" s="175"/>
      <c r="H860" s="20"/>
      <c r="I860" s="20"/>
      <c r="J860" s="20"/>
      <c r="K860" s="20"/>
      <c r="L860" s="20"/>
      <c r="M860" s="20"/>
      <c r="N860" s="20"/>
      <c r="O860" s="20"/>
      <c r="P860" s="20"/>
      <c r="Q860" s="20"/>
      <c r="R860" s="20"/>
      <c r="S860" s="20"/>
      <c r="T860" s="20"/>
      <c r="U860" s="20"/>
      <c r="V860" s="20"/>
      <c r="W860" s="20"/>
    </row>
    <row r="861" spans="1:23" x14ac:dyDescent="0.25">
      <c r="A861" s="177" t="s">
        <v>5694</v>
      </c>
      <c r="B861" s="177" t="s">
        <v>5695</v>
      </c>
      <c r="C861" s="178" t="s">
        <v>5696</v>
      </c>
      <c r="D861" s="173" t="s">
        <v>3968</v>
      </c>
      <c r="E861" s="20"/>
      <c r="F861" s="20"/>
      <c r="G861" s="175"/>
      <c r="H861" s="20"/>
      <c r="I861" s="20"/>
      <c r="J861" s="20"/>
      <c r="K861" s="20"/>
      <c r="L861" s="20"/>
      <c r="M861" s="20"/>
      <c r="N861" s="20"/>
      <c r="O861" s="20"/>
      <c r="P861" s="20"/>
      <c r="Q861" s="20"/>
      <c r="R861" s="20"/>
      <c r="S861" s="20"/>
      <c r="T861" s="20"/>
      <c r="U861" s="20"/>
      <c r="V861" s="20"/>
      <c r="W861" s="20"/>
    </row>
    <row r="862" spans="1:23" x14ac:dyDescent="0.25">
      <c r="A862" s="177" t="s">
        <v>5697</v>
      </c>
      <c r="B862" s="177" t="s">
        <v>357</v>
      </c>
      <c r="C862" s="178" t="s">
        <v>5696</v>
      </c>
      <c r="D862" s="173" t="s">
        <v>3968</v>
      </c>
      <c r="E862" s="20"/>
      <c r="F862" s="20"/>
      <c r="G862" s="175"/>
      <c r="H862" s="20"/>
      <c r="I862" s="20"/>
      <c r="J862" s="20"/>
      <c r="K862" s="20"/>
      <c r="L862" s="20"/>
      <c r="M862" s="20"/>
      <c r="N862" s="20"/>
      <c r="O862" s="20"/>
      <c r="P862" s="20"/>
      <c r="Q862" s="20"/>
      <c r="R862" s="20"/>
      <c r="S862" s="20"/>
      <c r="T862" s="20"/>
      <c r="U862" s="20"/>
      <c r="V862" s="20"/>
      <c r="W862" s="20"/>
    </row>
    <row r="863" spans="1:23" x14ac:dyDescent="0.25">
      <c r="A863" s="177" t="s">
        <v>5698</v>
      </c>
      <c r="B863" s="177" t="s">
        <v>35</v>
      </c>
      <c r="C863" s="178" t="s">
        <v>5699</v>
      </c>
      <c r="D863" s="173" t="s">
        <v>3968</v>
      </c>
      <c r="E863" s="20"/>
      <c r="F863" s="20"/>
      <c r="G863" s="175"/>
      <c r="H863" s="20"/>
      <c r="I863" s="20"/>
      <c r="J863" s="20"/>
      <c r="K863" s="20"/>
      <c r="L863" s="20"/>
      <c r="M863" s="20"/>
      <c r="N863" s="20"/>
      <c r="O863" s="20"/>
      <c r="P863" s="20"/>
      <c r="Q863" s="20"/>
      <c r="R863" s="20"/>
      <c r="S863" s="20"/>
      <c r="T863" s="20"/>
      <c r="U863" s="20"/>
      <c r="V863" s="20"/>
      <c r="W863" s="20"/>
    </row>
    <row r="864" spans="1:23" x14ac:dyDescent="0.25">
      <c r="A864" s="177" t="s">
        <v>5700</v>
      </c>
      <c r="B864" s="177" t="s">
        <v>387</v>
      </c>
      <c r="C864" s="178" t="s">
        <v>5701</v>
      </c>
      <c r="D864" s="173" t="s">
        <v>3968</v>
      </c>
      <c r="E864" s="20"/>
      <c r="F864" s="20"/>
      <c r="G864" s="175"/>
      <c r="H864" s="20"/>
      <c r="I864" s="20"/>
      <c r="J864" s="20"/>
      <c r="K864" s="20"/>
      <c r="L864" s="20"/>
      <c r="M864" s="20"/>
      <c r="N864" s="20"/>
      <c r="O864" s="20"/>
      <c r="P864" s="20"/>
      <c r="Q864" s="20"/>
      <c r="R864" s="20"/>
      <c r="S864" s="20"/>
      <c r="T864" s="20"/>
      <c r="U864" s="20"/>
      <c r="V864" s="20"/>
      <c r="W864" s="20"/>
    </row>
    <row r="865" spans="1:23" x14ac:dyDescent="0.25">
      <c r="A865" s="177" t="s">
        <v>5702</v>
      </c>
      <c r="B865" s="177" t="s">
        <v>36</v>
      </c>
      <c r="C865" s="178" t="s">
        <v>5703</v>
      </c>
      <c r="D865" s="173" t="s">
        <v>3968</v>
      </c>
      <c r="E865" s="20"/>
      <c r="F865" s="20"/>
      <c r="G865" s="175"/>
      <c r="H865" s="20"/>
      <c r="I865" s="20"/>
      <c r="J865" s="20"/>
      <c r="K865" s="20"/>
      <c r="L865" s="20"/>
      <c r="M865" s="20"/>
      <c r="N865" s="20"/>
      <c r="O865" s="20"/>
      <c r="P865" s="20"/>
      <c r="Q865" s="20"/>
      <c r="R865" s="20"/>
      <c r="S865" s="20"/>
      <c r="T865" s="20"/>
      <c r="U865" s="20"/>
      <c r="V865" s="20"/>
      <c r="W865" s="20"/>
    </row>
    <row r="866" spans="1:23" x14ac:dyDescent="0.25">
      <c r="A866" s="177" t="s">
        <v>5704</v>
      </c>
      <c r="B866" s="177" t="s">
        <v>418</v>
      </c>
      <c r="C866" s="178" t="s">
        <v>5705</v>
      </c>
      <c r="D866" s="173" t="s">
        <v>3968</v>
      </c>
      <c r="E866" s="20"/>
      <c r="F866" s="20"/>
      <c r="G866" s="175"/>
      <c r="H866" s="20"/>
      <c r="I866" s="20"/>
      <c r="J866" s="20"/>
      <c r="K866" s="20"/>
      <c r="L866" s="20"/>
      <c r="M866" s="20"/>
      <c r="N866" s="20"/>
      <c r="O866" s="20"/>
      <c r="P866" s="20"/>
      <c r="Q866" s="20"/>
      <c r="R866" s="20"/>
      <c r="S866" s="20"/>
      <c r="T866" s="20"/>
      <c r="U866" s="20"/>
      <c r="V866" s="20"/>
      <c r="W866" s="20"/>
    </row>
    <row r="867" spans="1:23" x14ac:dyDescent="0.25">
      <c r="A867" s="177" t="s">
        <v>5706</v>
      </c>
      <c r="B867" s="177" t="s">
        <v>457</v>
      </c>
      <c r="C867" s="178" t="s">
        <v>5707</v>
      </c>
      <c r="D867" s="173" t="s">
        <v>3968</v>
      </c>
      <c r="E867" s="20"/>
      <c r="F867" s="20"/>
      <c r="G867" s="175"/>
      <c r="H867" s="20"/>
      <c r="I867" s="20"/>
      <c r="J867" s="20"/>
      <c r="K867" s="20"/>
      <c r="L867" s="20"/>
      <c r="M867" s="20"/>
      <c r="N867" s="20"/>
      <c r="O867" s="20"/>
      <c r="P867" s="20"/>
      <c r="Q867" s="20"/>
      <c r="R867" s="20"/>
      <c r="S867" s="20"/>
      <c r="T867" s="20"/>
      <c r="U867" s="20"/>
      <c r="V867" s="20"/>
      <c r="W867" s="20"/>
    </row>
    <row r="868" spans="1:23" x14ac:dyDescent="0.25">
      <c r="A868" s="177" t="s">
        <v>5708</v>
      </c>
      <c r="B868" s="177" t="s">
        <v>506</v>
      </c>
      <c r="C868" s="178" t="s">
        <v>5709</v>
      </c>
      <c r="D868" s="173" t="s">
        <v>3968</v>
      </c>
      <c r="E868" s="20"/>
      <c r="F868" s="20"/>
      <c r="G868" s="175"/>
      <c r="H868" s="20"/>
      <c r="I868" s="20"/>
      <c r="J868" s="20"/>
      <c r="K868" s="20"/>
      <c r="L868" s="20"/>
      <c r="M868" s="20"/>
      <c r="N868" s="20"/>
      <c r="O868" s="20"/>
      <c r="P868" s="20"/>
      <c r="Q868" s="20"/>
      <c r="R868" s="20"/>
      <c r="S868" s="20"/>
      <c r="T868" s="20"/>
      <c r="U868" s="20"/>
      <c r="V868" s="20"/>
      <c r="W868" s="20"/>
    </row>
    <row r="869" spans="1:23" x14ac:dyDescent="0.25">
      <c r="A869" s="177" t="s">
        <v>5710</v>
      </c>
      <c r="B869" s="177" t="s">
        <v>510</v>
      </c>
      <c r="C869" s="178" t="s">
        <v>5711</v>
      </c>
      <c r="D869" s="173" t="s">
        <v>3968</v>
      </c>
      <c r="E869" s="20"/>
      <c r="F869" s="20"/>
      <c r="G869" s="175"/>
      <c r="H869" s="20"/>
      <c r="I869" s="20"/>
      <c r="J869" s="20"/>
      <c r="K869" s="20"/>
      <c r="L869" s="20"/>
      <c r="M869" s="20"/>
      <c r="N869" s="20"/>
      <c r="O869" s="20"/>
      <c r="P869" s="20"/>
      <c r="Q869" s="20"/>
      <c r="R869" s="20"/>
      <c r="S869" s="20"/>
      <c r="T869" s="20"/>
      <c r="U869" s="20"/>
      <c r="V869" s="20"/>
      <c r="W869" s="20"/>
    </row>
    <row r="870" spans="1:23" x14ac:dyDescent="0.25">
      <c r="A870" s="177" t="s">
        <v>5712</v>
      </c>
      <c r="B870" s="177" t="s">
        <v>507</v>
      </c>
      <c r="C870" s="178" t="s">
        <v>5713</v>
      </c>
      <c r="D870" s="173" t="s">
        <v>3968</v>
      </c>
      <c r="E870" s="20"/>
      <c r="F870" s="20"/>
      <c r="G870" s="175"/>
      <c r="H870" s="20"/>
      <c r="I870" s="20"/>
      <c r="J870" s="20"/>
      <c r="K870" s="20"/>
      <c r="L870" s="20"/>
      <c r="M870" s="20"/>
      <c r="N870" s="20"/>
      <c r="O870" s="20"/>
      <c r="P870" s="20"/>
      <c r="Q870" s="20"/>
      <c r="R870" s="20"/>
      <c r="S870" s="20"/>
      <c r="T870" s="20"/>
      <c r="U870" s="20"/>
      <c r="V870" s="20"/>
      <c r="W870" s="20"/>
    </row>
    <row r="871" spans="1:23" x14ac:dyDescent="0.25">
      <c r="A871" s="177" t="s">
        <v>5714</v>
      </c>
      <c r="B871" s="177" t="s">
        <v>511</v>
      </c>
      <c r="C871" s="178" t="s">
        <v>5715</v>
      </c>
      <c r="D871" s="173" t="s">
        <v>3968</v>
      </c>
      <c r="E871" s="20"/>
      <c r="F871" s="20"/>
      <c r="G871" s="175"/>
      <c r="H871" s="20"/>
      <c r="I871" s="20"/>
      <c r="J871" s="20"/>
      <c r="K871" s="20"/>
      <c r="L871" s="20"/>
      <c r="M871" s="20"/>
      <c r="N871" s="20"/>
      <c r="O871" s="20"/>
      <c r="P871" s="20"/>
      <c r="Q871" s="20"/>
      <c r="R871" s="20"/>
      <c r="S871" s="20"/>
      <c r="T871" s="20"/>
      <c r="U871" s="20"/>
      <c r="V871" s="20"/>
      <c r="W871" s="20"/>
    </row>
    <row r="872" spans="1:23" x14ac:dyDescent="0.25">
      <c r="A872" s="177" t="s">
        <v>5716</v>
      </c>
      <c r="B872" s="177" t="s">
        <v>508</v>
      </c>
      <c r="C872" s="178" t="s">
        <v>5717</v>
      </c>
      <c r="D872" s="173" t="s">
        <v>3968</v>
      </c>
      <c r="E872" s="20"/>
      <c r="F872" s="20"/>
      <c r="G872" s="175"/>
      <c r="H872" s="20"/>
      <c r="I872" s="20"/>
      <c r="J872" s="20"/>
      <c r="K872" s="20"/>
      <c r="L872" s="20"/>
      <c r="M872" s="20"/>
      <c r="N872" s="20"/>
      <c r="O872" s="20"/>
      <c r="P872" s="20"/>
      <c r="Q872" s="20"/>
      <c r="R872" s="20"/>
      <c r="S872" s="20"/>
      <c r="T872" s="20"/>
      <c r="U872" s="20"/>
      <c r="V872" s="20"/>
      <c r="W872" s="20"/>
    </row>
    <row r="873" spans="1:23" x14ac:dyDescent="0.25">
      <c r="A873" s="177" t="s">
        <v>5718</v>
      </c>
      <c r="B873" s="177" t="s">
        <v>512</v>
      </c>
      <c r="C873" s="178" t="s">
        <v>5719</v>
      </c>
      <c r="D873" s="173" t="s">
        <v>3968</v>
      </c>
      <c r="E873" s="20"/>
      <c r="F873" s="20"/>
      <c r="G873" s="175"/>
      <c r="H873" s="20"/>
      <c r="I873" s="20"/>
      <c r="J873" s="20"/>
      <c r="K873" s="20"/>
      <c r="L873" s="20"/>
      <c r="M873" s="20"/>
      <c r="N873" s="20"/>
      <c r="O873" s="20"/>
      <c r="P873" s="20"/>
      <c r="Q873" s="20"/>
      <c r="R873" s="20"/>
      <c r="S873" s="20"/>
      <c r="T873" s="20"/>
      <c r="U873" s="20"/>
      <c r="V873" s="20"/>
      <c r="W873" s="20"/>
    </row>
    <row r="874" spans="1:23" x14ac:dyDescent="0.25">
      <c r="A874" s="177" t="s">
        <v>5720</v>
      </c>
      <c r="B874" s="177" t="s">
        <v>509</v>
      </c>
      <c r="C874" s="178" t="s">
        <v>5721</v>
      </c>
      <c r="D874" s="173" t="s">
        <v>3968</v>
      </c>
      <c r="E874" s="20"/>
      <c r="F874" s="20"/>
      <c r="G874" s="175"/>
      <c r="H874" s="20"/>
      <c r="I874" s="20"/>
      <c r="J874" s="20"/>
      <c r="K874" s="20"/>
      <c r="L874" s="20"/>
      <c r="M874" s="20"/>
      <c r="N874" s="20"/>
      <c r="O874" s="20"/>
      <c r="P874" s="20"/>
      <c r="Q874" s="20"/>
      <c r="R874" s="20"/>
      <c r="S874" s="20"/>
      <c r="T874" s="20"/>
      <c r="U874" s="20"/>
      <c r="V874" s="20"/>
      <c r="W874" s="20"/>
    </row>
    <row r="875" spans="1:23" x14ac:dyDescent="0.25">
      <c r="A875" s="177" t="s">
        <v>5722</v>
      </c>
      <c r="B875" s="177" t="s">
        <v>513</v>
      </c>
      <c r="C875" s="178" t="s">
        <v>5723</v>
      </c>
      <c r="D875" s="173" t="s">
        <v>3968</v>
      </c>
      <c r="E875" s="20"/>
      <c r="F875" s="20"/>
      <c r="G875" s="175"/>
      <c r="H875" s="20"/>
      <c r="I875" s="20"/>
      <c r="J875" s="20"/>
      <c r="K875" s="20"/>
      <c r="L875" s="20"/>
      <c r="M875" s="20"/>
      <c r="N875" s="20"/>
      <c r="O875" s="20"/>
      <c r="P875" s="20"/>
      <c r="Q875" s="20"/>
      <c r="R875" s="20"/>
      <c r="S875" s="20"/>
      <c r="T875" s="20"/>
      <c r="U875" s="20"/>
      <c r="V875" s="20"/>
      <c r="W875" s="20"/>
    </row>
    <row r="876" spans="1:23" x14ac:dyDescent="0.25">
      <c r="A876" s="177" t="s">
        <v>5724</v>
      </c>
      <c r="B876" s="177" t="s">
        <v>495</v>
      </c>
      <c r="C876" s="178" t="s">
        <v>5725</v>
      </c>
      <c r="D876" s="173" t="s">
        <v>3968</v>
      </c>
      <c r="E876" s="20"/>
      <c r="F876" s="20"/>
      <c r="G876" s="175"/>
      <c r="H876" s="20"/>
      <c r="I876" s="20"/>
      <c r="J876" s="20"/>
      <c r="K876" s="20"/>
      <c r="L876" s="20"/>
      <c r="M876" s="20"/>
      <c r="N876" s="20"/>
      <c r="O876" s="20"/>
      <c r="P876" s="20"/>
      <c r="Q876" s="20"/>
      <c r="R876" s="20"/>
      <c r="S876" s="20"/>
      <c r="T876" s="20"/>
      <c r="U876" s="20"/>
      <c r="V876" s="20"/>
      <c r="W876" s="20"/>
    </row>
    <row r="877" spans="1:23" x14ac:dyDescent="0.25">
      <c r="A877" s="177" t="s">
        <v>5726</v>
      </c>
      <c r="B877" s="177" t="s">
        <v>494</v>
      </c>
      <c r="C877" s="178" t="s">
        <v>5727</v>
      </c>
      <c r="D877" s="173" t="s">
        <v>3968</v>
      </c>
      <c r="E877" s="20"/>
      <c r="F877" s="20"/>
      <c r="G877" s="175"/>
      <c r="H877" s="20"/>
      <c r="I877" s="20"/>
      <c r="J877" s="20"/>
      <c r="K877" s="20"/>
      <c r="L877" s="20"/>
      <c r="M877" s="20"/>
      <c r="N877" s="20"/>
      <c r="O877" s="20"/>
      <c r="P877" s="20"/>
      <c r="Q877" s="20"/>
      <c r="R877" s="20"/>
      <c r="S877" s="20"/>
      <c r="T877" s="20"/>
      <c r="U877" s="20"/>
      <c r="V877" s="20"/>
      <c r="W877" s="20"/>
    </row>
    <row r="878" spans="1:23" x14ac:dyDescent="0.25">
      <c r="A878" s="177" t="s">
        <v>5728</v>
      </c>
      <c r="B878" s="177" t="s">
        <v>1088</v>
      </c>
      <c r="C878" s="178" t="s">
        <v>5729</v>
      </c>
      <c r="D878" s="173" t="s">
        <v>3968</v>
      </c>
      <c r="E878" s="20"/>
      <c r="F878" s="20"/>
      <c r="G878" s="175"/>
      <c r="H878" s="20"/>
      <c r="I878" s="20"/>
      <c r="J878" s="20"/>
      <c r="K878" s="20"/>
      <c r="L878" s="20"/>
      <c r="M878" s="20"/>
      <c r="N878" s="20"/>
      <c r="O878" s="20"/>
      <c r="P878" s="20"/>
      <c r="Q878" s="20"/>
      <c r="R878" s="20"/>
      <c r="S878" s="20"/>
      <c r="T878" s="20"/>
      <c r="U878" s="20"/>
      <c r="V878" s="20"/>
      <c r="W878" s="20"/>
    </row>
    <row r="879" spans="1:23" x14ac:dyDescent="0.25">
      <c r="A879" s="177" t="s">
        <v>5730</v>
      </c>
      <c r="B879" s="177" t="s">
        <v>1091</v>
      </c>
      <c r="C879" s="178" t="s">
        <v>5731</v>
      </c>
      <c r="D879" s="173" t="s">
        <v>3968</v>
      </c>
      <c r="E879" s="20"/>
      <c r="F879" s="20"/>
      <c r="G879" s="175"/>
      <c r="H879" s="20"/>
      <c r="I879" s="20"/>
      <c r="J879" s="20"/>
      <c r="K879" s="20"/>
      <c r="L879" s="20"/>
      <c r="M879" s="20"/>
      <c r="N879" s="20"/>
      <c r="O879" s="20"/>
      <c r="P879" s="20"/>
      <c r="Q879" s="20"/>
      <c r="R879" s="20"/>
      <c r="S879" s="20"/>
      <c r="T879" s="20"/>
      <c r="U879" s="20"/>
      <c r="V879" s="20"/>
      <c r="W879" s="20"/>
    </row>
    <row r="880" spans="1:23" x14ac:dyDescent="0.25">
      <c r="A880" s="177" t="s">
        <v>5732</v>
      </c>
      <c r="B880" s="177" t="s">
        <v>1094</v>
      </c>
      <c r="C880" s="178" t="s">
        <v>5733</v>
      </c>
      <c r="D880" s="173" t="s">
        <v>3968</v>
      </c>
      <c r="E880" s="20"/>
      <c r="F880" s="20"/>
      <c r="G880" s="175"/>
      <c r="H880" s="20"/>
      <c r="I880" s="20"/>
      <c r="J880" s="20"/>
      <c r="K880" s="20"/>
      <c r="L880" s="20"/>
      <c r="M880" s="20"/>
      <c r="N880" s="20"/>
      <c r="O880" s="20"/>
      <c r="P880" s="20"/>
      <c r="Q880" s="20"/>
      <c r="R880" s="20"/>
      <c r="S880" s="20"/>
      <c r="T880" s="20"/>
      <c r="U880" s="20"/>
      <c r="V880" s="20"/>
      <c r="W880" s="20"/>
    </row>
    <row r="881" spans="1:23" x14ac:dyDescent="0.25">
      <c r="A881" s="177" t="s">
        <v>5734</v>
      </c>
      <c r="B881" s="177" t="s">
        <v>1097</v>
      </c>
      <c r="C881" s="178" t="s">
        <v>5735</v>
      </c>
      <c r="D881" s="173" t="s">
        <v>3968</v>
      </c>
      <c r="E881" s="20"/>
      <c r="F881" s="20"/>
      <c r="G881" s="175"/>
      <c r="H881" s="20"/>
      <c r="I881" s="20"/>
      <c r="J881" s="20"/>
      <c r="K881" s="20"/>
      <c r="L881" s="20"/>
      <c r="M881" s="20"/>
      <c r="N881" s="20"/>
      <c r="O881" s="20"/>
      <c r="P881" s="20"/>
      <c r="Q881" s="20"/>
      <c r="R881" s="20"/>
      <c r="S881" s="20"/>
      <c r="T881" s="20"/>
      <c r="U881" s="20"/>
      <c r="V881" s="20"/>
      <c r="W881" s="20"/>
    </row>
    <row r="882" spans="1:23" x14ac:dyDescent="0.25">
      <c r="A882" s="177" t="s">
        <v>5736</v>
      </c>
      <c r="B882" s="177" t="s">
        <v>5737</v>
      </c>
      <c r="C882" s="178" t="s">
        <v>5738</v>
      </c>
      <c r="D882" s="173" t="s">
        <v>3968</v>
      </c>
      <c r="E882" s="20"/>
      <c r="F882" s="20"/>
      <c r="G882" s="175"/>
      <c r="H882" s="20"/>
      <c r="I882" s="20"/>
      <c r="J882" s="20"/>
      <c r="K882" s="20"/>
      <c r="L882" s="20"/>
      <c r="M882" s="20"/>
      <c r="N882" s="20"/>
      <c r="O882" s="20"/>
      <c r="P882" s="20"/>
      <c r="Q882" s="20"/>
      <c r="R882" s="20"/>
      <c r="S882" s="20"/>
      <c r="T882" s="20"/>
      <c r="U882" s="20"/>
      <c r="V882" s="20"/>
      <c r="W882" s="20"/>
    </row>
    <row r="883" spans="1:23" x14ac:dyDescent="0.25">
      <c r="A883" s="177" t="s">
        <v>5739</v>
      </c>
      <c r="B883" s="177" t="s">
        <v>526</v>
      </c>
      <c r="C883" s="178" t="s">
        <v>5740</v>
      </c>
      <c r="D883" s="173" t="s">
        <v>3968</v>
      </c>
      <c r="E883" s="20"/>
      <c r="F883" s="20"/>
      <c r="G883" s="175"/>
      <c r="H883" s="20"/>
      <c r="I883" s="20"/>
      <c r="J883" s="20"/>
      <c r="K883" s="20"/>
      <c r="L883" s="20"/>
      <c r="M883" s="20"/>
      <c r="N883" s="20"/>
      <c r="O883" s="20"/>
      <c r="P883" s="20"/>
      <c r="Q883" s="20"/>
      <c r="R883" s="20"/>
      <c r="S883" s="20"/>
      <c r="T883" s="20"/>
      <c r="U883" s="20"/>
      <c r="V883" s="20"/>
      <c r="W883" s="20"/>
    </row>
    <row r="884" spans="1:23" x14ac:dyDescent="0.25">
      <c r="A884" s="177" t="s">
        <v>5741</v>
      </c>
      <c r="B884" s="177" t="s">
        <v>527</v>
      </c>
      <c r="C884" s="178" t="s">
        <v>5742</v>
      </c>
      <c r="D884" s="173" t="s">
        <v>3968</v>
      </c>
      <c r="E884" s="20"/>
      <c r="F884" s="20"/>
      <c r="G884" s="175"/>
      <c r="H884" s="20"/>
      <c r="I884" s="20"/>
      <c r="J884" s="20"/>
      <c r="K884" s="20"/>
      <c r="L884" s="20"/>
      <c r="M884" s="20"/>
      <c r="N884" s="20"/>
      <c r="O884" s="20"/>
      <c r="P884" s="20"/>
      <c r="Q884" s="20"/>
      <c r="R884" s="20"/>
      <c r="S884" s="20"/>
      <c r="T884" s="20"/>
      <c r="U884" s="20"/>
      <c r="V884" s="20"/>
      <c r="W884" s="20"/>
    </row>
    <row r="885" spans="1:23" x14ac:dyDescent="0.25">
      <c r="A885" s="177" t="s">
        <v>5743</v>
      </c>
      <c r="B885" s="177" t="s">
        <v>528</v>
      </c>
      <c r="C885" s="178" t="s">
        <v>5744</v>
      </c>
      <c r="D885" s="173" t="s">
        <v>3968</v>
      </c>
      <c r="E885" s="20"/>
      <c r="F885" s="20"/>
      <c r="G885" s="175"/>
      <c r="H885" s="20"/>
      <c r="I885" s="20"/>
      <c r="J885" s="20"/>
      <c r="K885" s="20"/>
      <c r="L885" s="20"/>
      <c r="M885" s="20"/>
      <c r="N885" s="20"/>
      <c r="O885" s="20"/>
      <c r="P885" s="20"/>
      <c r="Q885" s="20"/>
      <c r="R885" s="20"/>
      <c r="S885" s="20"/>
      <c r="T885" s="20"/>
      <c r="U885" s="20"/>
      <c r="V885" s="20"/>
      <c r="W885" s="20"/>
    </row>
    <row r="886" spans="1:23" x14ac:dyDescent="0.25">
      <c r="A886" s="177" t="s">
        <v>5745</v>
      </c>
      <c r="B886" s="177" t="s">
        <v>5746</v>
      </c>
      <c r="C886" s="178" t="s">
        <v>5747</v>
      </c>
      <c r="D886" s="173" t="s">
        <v>3968</v>
      </c>
      <c r="E886" s="20"/>
      <c r="F886" s="20"/>
      <c r="G886" s="175"/>
      <c r="H886" s="20"/>
      <c r="I886" s="20"/>
      <c r="J886" s="20"/>
      <c r="K886" s="20"/>
      <c r="L886" s="20"/>
      <c r="M886" s="20"/>
      <c r="N886" s="20"/>
      <c r="O886" s="20"/>
      <c r="P886" s="20"/>
      <c r="Q886" s="20"/>
      <c r="R886" s="20"/>
      <c r="S886" s="20"/>
      <c r="T886" s="20"/>
      <c r="U886" s="20"/>
      <c r="V886" s="20"/>
      <c r="W886" s="20"/>
    </row>
    <row r="887" spans="1:23" x14ac:dyDescent="0.25">
      <c r="A887" s="177" t="s">
        <v>5748</v>
      </c>
      <c r="B887" s="177" t="s">
        <v>1069</v>
      </c>
      <c r="C887" s="178" t="s">
        <v>5749</v>
      </c>
      <c r="D887" s="173" t="s">
        <v>3968</v>
      </c>
      <c r="E887" s="20"/>
      <c r="F887" s="20"/>
      <c r="G887" s="175"/>
      <c r="H887" s="20"/>
      <c r="I887" s="20"/>
      <c r="J887" s="20"/>
      <c r="K887" s="20"/>
      <c r="L887" s="20"/>
      <c r="M887" s="20"/>
      <c r="N887" s="20"/>
      <c r="O887" s="20"/>
      <c r="P887" s="20"/>
      <c r="Q887" s="20"/>
      <c r="R887" s="20"/>
      <c r="S887" s="20"/>
      <c r="T887" s="20"/>
      <c r="U887" s="20"/>
      <c r="V887" s="20"/>
      <c r="W887" s="20"/>
    </row>
    <row r="888" spans="1:23" x14ac:dyDescent="0.25">
      <c r="A888" s="177" t="s">
        <v>5750</v>
      </c>
      <c r="B888" s="177" t="s">
        <v>1072</v>
      </c>
      <c r="C888" s="178" t="s">
        <v>5751</v>
      </c>
      <c r="D888" s="173" t="s">
        <v>3968</v>
      </c>
      <c r="E888" s="20"/>
      <c r="F888" s="20"/>
      <c r="G888" s="175"/>
      <c r="H888" s="20"/>
      <c r="I888" s="20"/>
      <c r="J888" s="20"/>
      <c r="K888" s="20"/>
      <c r="L888" s="20"/>
      <c r="M888" s="20"/>
      <c r="N888" s="20"/>
      <c r="O888" s="20"/>
      <c r="P888" s="20"/>
      <c r="Q888" s="20"/>
      <c r="R888" s="20"/>
      <c r="S888" s="20"/>
      <c r="T888" s="20"/>
      <c r="U888" s="20"/>
      <c r="V888" s="20"/>
      <c r="W888" s="20"/>
    </row>
    <row r="889" spans="1:23" x14ac:dyDescent="0.25">
      <c r="A889" s="177" t="s">
        <v>5752</v>
      </c>
      <c r="B889" s="177" t="s">
        <v>1074</v>
      </c>
      <c r="C889" s="178" t="s">
        <v>5753</v>
      </c>
      <c r="D889" s="173" t="s">
        <v>3968</v>
      </c>
      <c r="E889" s="20"/>
      <c r="F889" s="20"/>
      <c r="G889" s="175"/>
      <c r="H889" s="20"/>
      <c r="I889" s="20"/>
      <c r="J889" s="20"/>
      <c r="K889" s="20"/>
      <c r="L889" s="20"/>
      <c r="M889" s="20"/>
      <c r="N889" s="20"/>
      <c r="O889" s="20"/>
      <c r="P889" s="20"/>
      <c r="Q889" s="20"/>
      <c r="R889" s="20"/>
      <c r="S889" s="20"/>
      <c r="T889" s="20"/>
      <c r="U889" s="20"/>
      <c r="V889" s="20"/>
      <c r="W889" s="20"/>
    </row>
    <row r="890" spans="1:23" x14ac:dyDescent="0.25">
      <c r="A890" s="177" t="s">
        <v>5754</v>
      </c>
      <c r="B890" s="177" t="s">
        <v>340</v>
      </c>
      <c r="C890" s="178" t="s">
        <v>5755</v>
      </c>
      <c r="D890" s="173" t="s">
        <v>3968</v>
      </c>
      <c r="E890" s="20"/>
      <c r="F890" s="20"/>
      <c r="G890" s="175"/>
      <c r="H890" s="20"/>
      <c r="I890" s="20"/>
      <c r="J890" s="20"/>
      <c r="K890" s="20"/>
      <c r="L890" s="20"/>
      <c r="M890" s="20"/>
      <c r="N890" s="20"/>
      <c r="O890" s="20"/>
      <c r="P890" s="20"/>
      <c r="Q890" s="20"/>
      <c r="R890" s="20"/>
      <c r="S890" s="20"/>
      <c r="T890" s="20"/>
      <c r="U890" s="20"/>
      <c r="V890" s="20"/>
      <c r="W890" s="20"/>
    </row>
    <row r="891" spans="1:23" x14ac:dyDescent="0.25">
      <c r="A891" s="177" t="s">
        <v>5756</v>
      </c>
      <c r="B891" s="177" t="s">
        <v>600</v>
      </c>
      <c r="C891" s="178" t="s">
        <v>5757</v>
      </c>
      <c r="D891" s="173" t="s">
        <v>3968</v>
      </c>
      <c r="E891" s="20"/>
      <c r="F891" s="20"/>
      <c r="G891" s="175"/>
      <c r="H891" s="20"/>
      <c r="I891" s="20"/>
      <c r="J891" s="20"/>
      <c r="K891" s="20"/>
      <c r="L891" s="20"/>
      <c r="M891" s="20"/>
      <c r="N891" s="20"/>
      <c r="O891" s="20"/>
      <c r="P891" s="20"/>
      <c r="Q891" s="20"/>
      <c r="R891" s="20"/>
      <c r="S891" s="20"/>
      <c r="T891" s="20"/>
      <c r="U891" s="20"/>
      <c r="V891" s="20"/>
      <c r="W891" s="20"/>
    </row>
    <row r="892" spans="1:23" x14ac:dyDescent="0.25">
      <c r="A892" s="177" t="s">
        <v>5758</v>
      </c>
      <c r="B892" s="177" t="s">
        <v>410</v>
      </c>
      <c r="C892" s="178" t="s">
        <v>5759</v>
      </c>
      <c r="D892" s="173" t="s">
        <v>3968</v>
      </c>
      <c r="E892" s="20"/>
      <c r="F892" s="20"/>
      <c r="G892" s="175"/>
      <c r="H892" s="20"/>
      <c r="I892" s="20"/>
      <c r="J892" s="20"/>
      <c r="K892" s="20"/>
      <c r="L892" s="20"/>
      <c r="M892" s="20"/>
      <c r="N892" s="20"/>
      <c r="O892" s="20"/>
      <c r="P892" s="20"/>
      <c r="Q892" s="20"/>
      <c r="R892" s="20"/>
      <c r="S892" s="20"/>
      <c r="T892" s="20"/>
      <c r="U892" s="20"/>
      <c r="V892" s="20"/>
      <c r="W892" s="20"/>
    </row>
    <row r="893" spans="1:23" x14ac:dyDescent="0.25">
      <c r="A893" s="177" t="s">
        <v>5760</v>
      </c>
      <c r="B893" s="177" t="s">
        <v>411</v>
      </c>
      <c r="C893" s="178" t="s">
        <v>5761</v>
      </c>
      <c r="D893" s="173" t="s">
        <v>3968</v>
      </c>
      <c r="E893" s="20"/>
      <c r="F893" s="20"/>
      <c r="G893" s="175"/>
      <c r="H893" s="20"/>
      <c r="I893" s="20"/>
      <c r="J893" s="20"/>
      <c r="K893" s="20"/>
      <c r="L893" s="20"/>
      <c r="M893" s="20"/>
      <c r="N893" s="20"/>
      <c r="O893" s="20"/>
      <c r="P893" s="20"/>
      <c r="Q893" s="20"/>
      <c r="R893" s="20"/>
      <c r="S893" s="20"/>
      <c r="T893" s="20"/>
      <c r="U893" s="20"/>
      <c r="V893" s="20"/>
      <c r="W893" s="20"/>
    </row>
    <row r="894" spans="1:23" x14ac:dyDescent="0.25">
      <c r="A894" s="177" t="s">
        <v>5762</v>
      </c>
      <c r="B894" s="177" t="s">
        <v>5763</v>
      </c>
      <c r="C894" s="178" t="s">
        <v>5764</v>
      </c>
      <c r="D894" s="173" t="s">
        <v>3968</v>
      </c>
      <c r="E894" s="20"/>
      <c r="F894" s="20"/>
      <c r="G894" s="175"/>
      <c r="H894" s="20"/>
      <c r="I894" s="20"/>
      <c r="J894" s="20"/>
      <c r="K894" s="20"/>
      <c r="L894" s="20"/>
      <c r="M894" s="20"/>
      <c r="N894" s="20"/>
      <c r="O894" s="20"/>
      <c r="P894" s="20"/>
      <c r="Q894" s="20"/>
      <c r="R894" s="20"/>
      <c r="S894" s="20"/>
      <c r="T894" s="20"/>
      <c r="U894" s="20"/>
      <c r="V894" s="20"/>
      <c r="W894" s="20"/>
    </row>
    <row r="895" spans="1:23" x14ac:dyDescent="0.25">
      <c r="A895" s="177" t="s">
        <v>5765</v>
      </c>
      <c r="B895" s="177" t="s">
        <v>518</v>
      </c>
      <c r="C895" s="178" t="s">
        <v>5766</v>
      </c>
      <c r="D895" s="173" t="s">
        <v>3968</v>
      </c>
      <c r="E895" s="20"/>
      <c r="F895" s="20"/>
      <c r="G895" s="175"/>
      <c r="H895" s="20"/>
      <c r="I895" s="20"/>
      <c r="J895" s="20"/>
      <c r="K895" s="20"/>
      <c r="L895" s="20"/>
      <c r="M895" s="20"/>
      <c r="N895" s="20"/>
      <c r="O895" s="20"/>
      <c r="P895" s="20"/>
      <c r="Q895" s="20"/>
      <c r="R895" s="20"/>
      <c r="S895" s="20"/>
      <c r="T895" s="20"/>
      <c r="U895" s="20"/>
      <c r="V895" s="20"/>
      <c r="W895" s="20"/>
    </row>
    <row r="896" spans="1:23" x14ac:dyDescent="0.25">
      <c r="A896" s="177" t="s">
        <v>5767</v>
      </c>
      <c r="B896" s="177" t="s">
        <v>519</v>
      </c>
      <c r="C896" s="178" t="s">
        <v>5768</v>
      </c>
      <c r="D896" s="173" t="s">
        <v>3968</v>
      </c>
      <c r="E896" s="20"/>
      <c r="F896" s="20"/>
      <c r="G896" s="175"/>
      <c r="H896" s="20"/>
      <c r="I896" s="20"/>
      <c r="J896" s="20"/>
      <c r="K896" s="20"/>
      <c r="L896" s="20"/>
      <c r="M896" s="20"/>
      <c r="N896" s="20"/>
      <c r="O896" s="20"/>
      <c r="P896" s="20"/>
      <c r="Q896" s="20"/>
      <c r="R896" s="20"/>
      <c r="S896" s="20"/>
      <c r="T896" s="20"/>
      <c r="U896" s="20"/>
      <c r="V896" s="20"/>
      <c r="W896" s="20"/>
    </row>
    <row r="897" spans="1:23" x14ac:dyDescent="0.25">
      <c r="A897" s="177" t="s">
        <v>5769</v>
      </c>
      <c r="B897" s="177" t="s">
        <v>520</v>
      </c>
      <c r="C897" s="178" t="s">
        <v>5770</v>
      </c>
      <c r="D897" s="173" t="s">
        <v>3968</v>
      </c>
      <c r="E897" s="20"/>
      <c r="F897" s="20"/>
      <c r="G897" s="175"/>
      <c r="H897" s="20"/>
      <c r="I897" s="20"/>
      <c r="J897" s="20"/>
      <c r="K897" s="20"/>
      <c r="L897" s="20"/>
      <c r="M897" s="20"/>
      <c r="N897" s="20"/>
      <c r="O897" s="20"/>
      <c r="P897" s="20"/>
      <c r="Q897" s="20"/>
      <c r="R897" s="20"/>
      <c r="S897" s="20"/>
      <c r="T897" s="20"/>
      <c r="U897" s="20"/>
      <c r="V897" s="20"/>
      <c r="W897" s="20"/>
    </row>
    <row r="898" spans="1:23" x14ac:dyDescent="0.25">
      <c r="A898" s="177" t="s">
        <v>5771</v>
      </c>
      <c r="B898" s="177" t="s">
        <v>521</v>
      </c>
      <c r="C898" s="178" t="s">
        <v>5772</v>
      </c>
      <c r="D898" s="173" t="s">
        <v>3968</v>
      </c>
      <c r="E898" s="20"/>
      <c r="F898" s="20"/>
      <c r="G898" s="175"/>
      <c r="H898" s="20"/>
      <c r="I898" s="20"/>
      <c r="J898" s="20"/>
      <c r="K898" s="20"/>
      <c r="L898" s="20"/>
      <c r="M898" s="20"/>
      <c r="N898" s="20"/>
      <c r="O898" s="20"/>
      <c r="P898" s="20"/>
      <c r="Q898" s="20"/>
      <c r="R898" s="20"/>
      <c r="S898" s="20"/>
      <c r="T898" s="20"/>
      <c r="U898" s="20"/>
      <c r="V898" s="20"/>
      <c r="W898" s="20"/>
    </row>
    <row r="899" spans="1:23" x14ac:dyDescent="0.25">
      <c r="A899" s="177" t="s">
        <v>5773</v>
      </c>
      <c r="B899" s="177" t="s">
        <v>522</v>
      </c>
      <c r="C899" s="178" t="s">
        <v>5774</v>
      </c>
      <c r="D899" s="173" t="s">
        <v>3968</v>
      </c>
      <c r="E899" s="20"/>
      <c r="F899" s="20"/>
      <c r="G899" s="175"/>
      <c r="H899" s="20"/>
      <c r="I899" s="20"/>
      <c r="J899" s="20"/>
      <c r="K899" s="20"/>
      <c r="L899" s="20"/>
      <c r="M899" s="20"/>
      <c r="N899" s="20"/>
      <c r="O899" s="20"/>
      <c r="P899" s="20"/>
      <c r="Q899" s="20"/>
      <c r="R899" s="20"/>
      <c r="S899" s="20"/>
      <c r="T899" s="20"/>
      <c r="U899" s="20"/>
      <c r="V899" s="20"/>
      <c r="W899" s="20"/>
    </row>
    <row r="900" spans="1:23" x14ac:dyDescent="0.25">
      <c r="A900" s="177" t="s">
        <v>5775</v>
      </c>
      <c r="B900" s="177" t="s">
        <v>523</v>
      </c>
      <c r="C900" s="178" t="s">
        <v>5776</v>
      </c>
      <c r="D900" s="173" t="s">
        <v>3968</v>
      </c>
      <c r="E900" s="20"/>
      <c r="F900" s="20"/>
      <c r="G900" s="175"/>
      <c r="H900" s="20"/>
      <c r="I900" s="20"/>
      <c r="J900" s="20"/>
      <c r="K900" s="20"/>
      <c r="L900" s="20"/>
      <c r="M900" s="20"/>
      <c r="N900" s="20"/>
      <c r="O900" s="20"/>
      <c r="P900" s="20"/>
      <c r="Q900" s="20"/>
      <c r="R900" s="20"/>
      <c r="S900" s="20"/>
      <c r="T900" s="20"/>
      <c r="U900" s="20"/>
      <c r="V900" s="20"/>
      <c r="W900" s="20"/>
    </row>
    <row r="901" spans="1:23" x14ac:dyDescent="0.25">
      <c r="A901" s="177" t="s">
        <v>5777</v>
      </c>
      <c r="B901" s="177" t="s">
        <v>529</v>
      </c>
      <c r="C901" s="178" t="s">
        <v>5778</v>
      </c>
      <c r="D901" s="173" t="s">
        <v>3968</v>
      </c>
      <c r="E901" s="20"/>
      <c r="F901" s="20"/>
      <c r="G901" s="175"/>
      <c r="H901" s="20"/>
      <c r="I901" s="20"/>
      <c r="J901" s="20"/>
      <c r="K901" s="20"/>
      <c r="L901" s="20"/>
      <c r="M901" s="20"/>
      <c r="N901" s="20"/>
      <c r="O901" s="20"/>
      <c r="P901" s="20"/>
      <c r="Q901" s="20"/>
      <c r="R901" s="20"/>
      <c r="S901" s="20"/>
      <c r="T901" s="20"/>
      <c r="U901" s="20"/>
      <c r="V901" s="20"/>
      <c r="W901" s="20"/>
    </row>
    <row r="902" spans="1:23" x14ac:dyDescent="0.25">
      <c r="A902" s="177" t="s">
        <v>5779</v>
      </c>
      <c r="B902" s="177" t="s">
        <v>3489</v>
      </c>
      <c r="C902" s="178" t="s">
        <v>5780</v>
      </c>
      <c r="D902" s="173" t="s">
        <v>3968</v>
      </c>
      <c r="E902" s="20"/>
      <c r="F902" s="20"/>
      <c r="G902" s="175"/>
      <c r="H902" s="20"/>
      <c r="I902" s="20"/>
      <c r="J902" s="20"/>
      <c r="K902" s="20"/>
      <c r="L902" s="20"/>
      <c r="M902" s="20"/>
      <c r="N902" s="20"/>
      <c r="O902" s="20"/>
      <c r="P902" s="20"/>
      <c r="Q902" s="20"/>
      <c r="R902" s="20"/>
      <c r="S902" s="20"/>
      <c r="T902" s="20"/>
      <c r="U902" s="20"/>
      <c r="V902" s="20"/>
      <c r="W902" s="20"/>
    </row>
    <row r="903" spans="1:23" x14ac:dyDescent="0.25">
      <c r="A903" s="177" t="s">
        <v>5781</v>
      </c>
      <c r="B903" s="177" t="s">
        <v>3492</v>
      </c>
      <c r="C903" s="178" t="s">
        <v>5782</v>
      </c>
      <c r="D903" s="173" t="s">
        <v>3968</v>
      </c>
      <c r="E903" s="20"/>
      <c r="F903" s="20"/>
      <c r="G903" s="175"/>
      <c r="H903" s="20"/>
      <c r="I903" s="20"/>
      <c r="J903" s="20"/>
      <c r="K903" s="20"/>
      <c r="L903" s="20"/>
      <c r="M903" s="20"/>
      <c r="N903" s="20"/>
      <c r="O903" s="20"/>
      <c r="P903" s="20"/>
      <c r="Q903" s="20"/>
      <c r="R903" s="20"/>
      <c r="S903" s="20"/>
      <c r="T903" s="20"/>
      <c r="U903" s="20"/>
      <c r="V903" s="20"/>
      <c r="W903" s="20"/>
    </row>
    <row r="904" spans="1:23" x14ac:dyDescent="0.25">
      <c r="A904" s="177" t="s">
        <v>5783</v>
      </c>
      <c r="B904" s="177" t="s">
        <v>524</v>
      </c>
      <c r="C904" s="178" t="s">
        <v>5784</v>
      </c>
      <c r="D904" s="173" t="s">
        <v>3968</v>
      </c>
      <c r="E904" s="20"/>
      <c r="F904" s="20"/>
      <c r="G904" s="175"/>
      <c r="H904" s="20"/>
      <c r="I904" s="20"/>
      <c r="J904" s="20"/>
      <c r="K904" s="20"/>
      <c r="L904" s="20"/>
      <c r="M904" s="20"/>
      <c r="N904" s="20"/>
      <c r="O904" s="20"/>
      <c r="P904" s="20"/>
      <c r="Q904" s="20"/>
      <c r="R904" s="20"/>
      <c r="S904" s="20"/>
      <c r="T904" s="20"/>
      <c r="U904" s="20"/>
      <c r="V904" s="20"/>
      <c r="W904" s="20"/>
    </row>
    <row r="905" spans="1:23" x14ac:dyDescent="0.25">
      <c r="A905" s="177" t="s">
        <v>5785</v>
      </c>
      <c r="B905" s="177" t="s">
        <v>530</v>
      </c>
      <c r="C905" s="178" t="s">
        <v>5786</v>
      </c>
      <c r="D905" s="173" t="s">
        <v>3968</v>
      </c>
      <c r="E905" s="20"/>
      <c r="F905" s="20"/>
      <c r="G905" s="175"/>
      <c r="H905" s="20"/>
      <c r="I905" s="20"/>
      <c r="J905" s="20"/>
      <c r="K905" s="20"/>
      <c r="L905" s="20"/>
      <c r="M905" s="20"/>
      <c r="N905" s="20"/>
      <c r="O905" s="20"/>
      <c r="P905" s="20"/>
      <c r="Q905" s="20"/>
      <c r="R905" s="20"/>
      <c r="S905" s="20"/>
      <c r="T905" s="20"/>
      <c r="U905" s="20"/>
      <c r="V905" s="20"/>
      <c r="W905" s="20"/>
    </row>
    <row r="906" spans="1:23" x14ac:dyDescent="0.25">
      <c r="A906" s="177" t="s">
        <v>5787</v>
      </c>
      <c r="B906" s="177" t="s">
        <v>3498</v>
      </c>
      <c r="C906" s="178" t="s">
        <v>5788</v>
      </c>
      <c r="D906" s="173" t="s">
        <v>3968</v>
      </c>
      <c r="E906" s="20"/>
      <c r="F906" s="20"/>
      <c r="G906" s="175"/>
      <c r="H906" s="20"/>
      <c r="I906" s="20"/>
      <c r="J906" s="20"/>
      <c r="K906" s="20"/>
      <c r="L906" s="20"/>
      <c r="M906" s="20"/>
      <c r="N906" s="20"/>
      <c r="O906" s="20"/>
      <c r="P906" s="20"/>
      <c r="Q906" s="20"/>
      <c r="R906" s="20"/>
      <c r="S906" s="20"/>
      <c r="T906" s="20"/>
      <c r="U906" s="20"/>
      <c r="V906" s="20"/>
      <c r="W906" s="20"/>
    </row>
    <row r="907" spans="1:23" x14ac:dyDescent="0.25">
      <c r="A907" s="177" t="s">
        <v>5789</v>
      </c>
      <c r="B907" s="177" t="s">
        <v>3501</v>
      </c>
      <c r="C907" s="178" t="s">
        <v>5790</v>
      </c>
      <c r="D907" s="173" t="s">
        <v>3968</v>
      </c>
      <c r="E907" s="20"/>
      <c r="F907" s="20"/>
      <c r="G907" s="175"/>
      <c r="H907" s="20"/>
      <c r="I907" s="20"/>
      <c r="J907" s="20"/>
      <c r="K907" s="20"/>
      <c r="L907" s="20"/>
      <c r="M907" s="20"/>
      <c r="N907" s="20"/>
      <c r="O907" s="20"/>
      <c r="P907" s="20"/>
      <c r="Q907" s="20"/>
      <c r="R907" s="20"/>
      <c r="S907" s="20"/>
      <c r="T907" s="20"/>
      <c r="U907" s="20"/>
      <c r="V907" s="20"/>
      <c r="W907" s="20"/>
    </row>
    <row r="908" spans="1:23" x14ac:dyDescent="0.25">
      <c r="A908" s="177" t="s">
        <v>5791</v>
      </c>
      <c r="B908" s="177" t="s">
        <v>525</v>
      </c>
      <c r="C908" s="178" t="s">
        <v>5792</v>
      </c>
      <c r="D908" s="173" t="s">
        <v>3968</v>
      </c>
      <c r="E908" s="20"/>
      <c r="F908" s="20"/>
      <c r="G908" s="175"/>
      <c r="H908" s="20"/>
      <c r="I908" s="20"/>
      <c r="J908" s="20"/>
      <c r="K908" s="20"/>
      <c r="L908" s="20"/>
      <c r="M908" s="20"/>
      <c r="N908" s="20"/>
      <c r="O908" s="20"/>
      <c r="P908" s="20"/>
      <c r="Q908" s="20"/>
      <c r="R908" s="20"/>
      <c r="S908" s="20"/>
      <c r="T908" s="20"/>
      <c r="U908" s="20"/>
      <c r="V908" s="20"/>
      <c r="W908" s="20"/>
    </row>
    <row r="909" spans="1:23" x14ac:dyDescent="0.25">
      <c r="A909" s="177" t="s">
        <v>5793</v>
      </c>
      <c r="B909" s="177" t="s">
        <v>531</v>
      </c>
      <c r="C909" s="178" t="s">
        <v>5794</v>
      </c>
      <c r="D909" s="173" t="s">
        <v>3968</v>
      </c>
      <c r="E909" s="20"/>
      <c r="F909" s="20"/>
      <c r="G909" s="175"/>
      <c r="H909" s="20"/>
      <c r="I909" s="20"/>
      <c r="J909" s="20"/>
      <c r="K909" s="20"/>
      <c r="L909" s="20"/>
      <c r="M909" s="20"/>
      <c r="N909" s="20"/>
      <c r="O909" s="20"/>
      <c r="P909" s="20"/>
      <c r="Q909" s="20"/>
      <c r="R909" s="20"/>
      <c r="S909" s="20"/>
      <c r="T909" s="20"/>
      <c r="U909" s="20"/>
      <c r="V909" s="20"/>
      <c r="W909" s="20"/>
    </row>
    <row r="910" spans="1:23" x14ac:dyDescent="0.25">
      <c r="A910" s="177" t="s">
        <v>5795</v>
      </c>
      <c r="B910" s="177" t="s">
        <v>3507</v>
      </c>
      <c r="C910" s="178" t="s">
        <v>5796</v>
      </c>
      <c r="D910" s="173" t="s">
        <v>3968</v>
      </c>
      <c r="E910" s="20"/>
      <c r="F910" s="20"/>
      <c r="G910" s="175"/>
      <c r="H910" s="20"/>
      <c r="I910" s="20"/>
      <c r="J910" s="20"/>
      <c r="K910" s="20"/>
      <c r="L910" s="20"/>
      <c r="M910" s="20"/>
      <c r="N910" s="20"/>
      <c r="O910" s="20"/>
      <c r="P910" s="20"/>
      <c r="Q910" s="20"/>
      <c r="R910" s="20"/>
      <c r="S910" s="20"/>
      <c r="T910" s="20"/>
      <c r="U910" s="20"/>
      <c r="V910" s="20"/>
      <c r="W910" s="20"/>
    </row>
    <row r="911" spans="1:23" x14ac:dyDescent="0.25">
      <c r="A911" s="177" t="s">
        <v>5797</v>
      </c>
      <c r="B911" s="177" t="s">
        <v>3509</v>
      </c>
      <c r="C911" s="178" t="s">
        <v>5798</v>
      </c>
      <c r="D911" s="173" t="s">
        <v>3968</v>
      </c>
      <c r="E911" s="20"/>
      <c r="F911" s="20"/>
      <c r="G911" s="175"/>
      <c r="H911" s="20"/>
      <c r="I911" s="20"/>
      <c r="J911" s="20"/>
      <c r="K911" s="20"/>
      <c r="L911" s="20"/>
      <c r="M911" s="20"/>
      <c r="N911" s="20"/>
      <c r="O911" s="20"/>
      <c r="P911" s="20"/>
      <c r="Q911" s="20"/>
      <c r="R911" s="20"/>
      <c r="S911" s="20"/>
      <c r="T911" s="20"/>
      <c r="U911" s="20"/>
      <c r="V911" s="20"/>
      <c r="W911" s="20"/>
    </row>
    <row r="912" spans="1:23" x14ac:dyDescent="0.25">
      <c r="A912" s="177" t="s">
        <v>5799</v>
      </c>
      <c r="B912" s="177" t="s">
        <v>401</v>
      </c>
      <c r="C912" s="178" t="s">
        <v>5800</v>
      </c>
      <c r="D912" s="173" t="s">
        <v>3968</v>
      </c>
      <c r="E912" s="20"/>
      <c r="F912" s="20"/>
      <c r="G912" s="175"/>
      <c r="H912" s="20"/>
      <c r="I912" s="20"/>
      <c r="J912" s="20"/>
      <c r="K912" s="20"/>
      <c r="L912" s="20"/>
      <c r="M912" s="20"/>
      <c r="N912" s="20"/>
      <c r="O912" s="20"/>
      <c r="P912" s="20"/>
      <c r="Q912" s="20"/>
      <c r="R912" s="20"/>
      <c r="S912" s="20"/>
      <c r="T912" s="20"/>
      <c r="U912" s="20"/>
      <c r="V912" s="20"/>
      <c r="W912" s="20"/>
    </row>
    <row r="913" spans="1:23" x14ac:dyDescent="0.25">
      <c r="A913" s="177" t="s">
        <v>5801</v>
      </c>
      <c r="B913" s="177" t="s">
        <v>498</v>
      </c>
      <c r="C913" s="178" t="s">
        <v>5802</v>
      </c>
      <c r="D913" s="173" t="s">
        <v>3968</v>
      </c>
      <c r="E913" s="20"/>
      <c r="F913" s="20"/>
      <c r="G913" s="175"/>
      <c r="H913" s="20"/>
      <c r="I913" s="20"/>
      <c r="J913" s="20"/>
      <c r="K913" s="20"/>
      <c r="L913" s="20"/>
      <c r="M913" s="20"/>
      <c r="N913" s="20"/>
      <c r="O913" s="20"/>
      <c r="P913" s="20"/>
      <c r="Q913" s="20"/>
      <c r="R913" s="20"/>
      <c r="S913" s="20"/>
      <c r="T913" s="20"/>
      <c r="U913" s="20"/>
      <c r="V913" s="20"/>
      <c r="W913" s="20"/>
    </row>
    <row r="914" spans="1:23" x14ac:dyDescent="0.25">
      <c r="A914" s="177" t="s">
        <v>5803</v>
      </c>
      <c r="B914" s="177" t="s">
        <v>499</v>
      </c>
      <c r="C914" s="178" t="s">
        <v>5804</v>
      </c>
      <c r="D914" s="173" t="s">
        <v>3968</v>
      </c>
      <c r="E914" s="20"/>
      <c r="F914" s="20"/>
      <c r="G914" s="175"/>
      <c r="H914" s="20"/>
      <c r="I914" s="20"/>
      <c r="J914" s="20"/>
      <c r="K914" s="20"/>
      <c r="L914" s="20"/>
      <c r="M914" s="20"/>
      <c r="N914" s="20"/>
      <c r="O914" s="20"/>
      <c r="P914" s="20"/>
      <c r="Q914" s="20"/>
      <c r="R914" s="20"/>
      <c r="S914" s="20"/>
      <c r="T914" s="20"/>
      <c r="U914" s="20"/>
      <c r="V914" s="20"/>
      <c r="W914" s="20"/>
    </row>
    <row r="915" spans="1:23" x14ac:dyDescent="0.25">
      <c r="A915" s="177" t="s">
        <v>5805</v>
      </c>
      <c r="B915" s="177" t="s">
        <v>500</v>
      </c>
      <c r="C915" s="178" t="s">
        <v>5806</v>
      </c>
      <c r="D915" s="173" t="s">
        <v>3968</v>
      </c>
      <c r="E915" s="20"/>
      <c r="F915" s="20"/>
      <c r="G915" s="175"/>
      <c r="H915" s="20"/>
      <c r="I915" s="20"/>
      <c r="J915" s="20"/>
      <c r="K915" s="20"/>
      <c r="L915" s="20"/>
      <c r="M915" s="20"/>
      <c r="N915" s="20"/>
      <c r="O915" s="20"/>
      <c r="P915" s="20"/>
      <c r="Q915" s="20"/>
      <c r="R915" s="20"/>
      <c r="S915" s="20"/>
      <c r="T915" s="20"/>
      <c r="U915" s="20"/>
      <c r="V915" s="20"/>
      <c r="W915" s="20"/>
    </row>
    <row r="916" spans="1:23" x14ac:dyDescent="0.25">
      <c r="A916" s="177" t="s">
        <v>5807</v>
      </c>
      <c r="B916" s="177" t="s">
        <v>501</v>
      </c>
      <c r="C916" s="178" t="s">
        <v>5808</v>
      </c>
      <c r="D916" s="173" t="s">
        <v>3968</v>
      </c>
      <c r="E916" s="20"/>
      <c r="F916" s="20"/>
      <c r="G916" s="175"/>
      <c r="H916" s="20"/>
      <c r="I916" s="20"/>
      <c r="J916" s="20"/>
      <c r="K916" s="20"/>
      <c r="L916" s="20"/>
      <c r="M916" s="20"/>
      <c r="N916" s="20"/>
      <c r="O916" s="20"/>
      <c r="P916" s="20"/>
      <c r="Q916" s="20"/>
      <c r="R916" s="20"/>
      <c r="S916" s="20"/>
      <c r="T916" s="20"/>
      <c r="U916" s="20"/>
      <c r="V916" s="20"/>
      <c r="W916" s="20"/>
    </row>
    <row r="917" spans="1:23" x14ac:dyDescent="0.25">
      <c r="A917" s="177" t="s">
        <v>5809</v>
      </c>
      <c r="B917" s="177" t="s">
        <v>5810</v>
      </c>
      <c r="C917" s="178" t="s">
        <v>5811</v>
      </c>
      <c r="D917" s="173" t="s">
        <v>3968</v>
      </c>
      <c r="E917" s="20"/>
      <c r="F917" s="20"/>
      <c r="G917" s="175"/>
      <c r="H917" s="20"/>
      <c r="I917" s="20"/>
      <c r="J917" s="20"/>
      <c r="K917" s="20"/>
      <c r="L917" s="20"/>
      <c r="M917" s="20"/>
      <c r="N917" s="20"/>
      <c r="O917" s="20"/>
      <c r="P917" s="20"/>
      <c r="Q917" s="20"/>
      <c r="R917" s="20"/>
      <c r="S917" s="20"/>
      <c r="T917" s="20"/>
      <c r="U917" s="20"/>
      <c r="V917" s="20"/>
      <c r="W917" s="20"/>
    </row>
    <row r="918" spans="1:23" x14ac:dyDescent="0.25">
      <c r="A918" s="177" t="s">
        <v>5812</v>
      </c>
      <c r="B918" s="177" t="s">
        <v>388</v>
      </c>
      <c r="C918" s="178" t="s">
        <v>5813</v>
      </c>
      <c r="D918" s="173" t="s">
        <v>3968</v>
      </c>
      <c r="E918" s="20"/>
      <c r="F918" s="20"/>
      <c r="G918" s="175"/>
      <c r="H918" s="20"/>
      <c r="I918" s="20"/>
      <c r="J918" s="20"/>
      <c r="K918" s="20"/>
      <c r="L918" s="20"/>
      <c r="M918" s="20"/>
      <c r="N918" s="20"/>
      <c r="O918" s="20"/>
      <c r="P918" s="20"/>
      <c r="Q918" s="20"/>
      <c r="R918" s="20"/>
      <c r="S918" s="20"/>
      <c r="T918" s="20"/>
      <c r="U918" s="20"/>
      <c r="V918" s="20"/>
      <c r="W918" s="20"/>
    </row>
    <row r="919" spans="1:23" x14ac:dyDescent="0.25">
      <c r="A919" s="177" t="s">
        <v>5814</v>
      </c>
      <c r="B919" s="177" t="s">
        <v>1017</v>
      </c>
      <c r="C919" s="178" t="s">
        <v>5815</v>
      </c>
      <c r="D919" s="173" t="s">
        <v>3968</v>
      </c>
      <c r="E919" s="20"/>
      <c r="F919" s="20"/>
      <c r="G919" s="175"/>
      <c r="H919" s="20"/>
      <c r="I919" s="20"/>
      <c r="J919" s="20"/>
      <c r="K919" s="20"/>
      <c r="L919" s="20"/>
      <c r="M919" s="20"/>
      <c r="N919" s="20"/>
      <c r="O919" s="20"/>
      <c r="P919" s="20"/>
      <c r="Q919" s="20"/>
      <c r="R919" s="20"/>
      <c r="S919" s="20"/>
      <c r="T919" s="20"/>
      <c r="U919" s="20"/>
      <c r="V919" s="20"/>
      <c r="W919" s="20"/>
    </row>
    <row r="920" spans="1:23" x14ac:dyDescent="0.25">
      <c r="A920" s="177" t="s">
        <v>5816</v>
      </c>
      <c r="B920" s="177" t="s">
        <v>1020</v>
      </c>
      <c r="C920" s="178" t="s">
        <v>5817</v>
      </c>
      <c r="D920" s="173" t="s">
        <v>3968</v>
      </c>
      <c r="E920" s="20"/>
      <c r="F920" s="20"/>
      <c r="G920" s="175"/>
      <c r="H920" s="20"/>
      <c r="I920" s="20"/>
      <c r="J920" s="20"/>
      <c r="K920" s="20"/>
      <c r="L920" s="20"/>
      <c r="M920" s="20"/>
      <c r="N920" s="20"/>
      <c r="O920" s="20"/>
      <c r="P920" s="20"/>
      <c r="Q920" s="20"/>
      <c r="R920" s="20"/>
      <c r="S920" s="20"/>
      <c r="T920" s="20"/>
      <c r="U920" s="20"/>
      <c r="V920" s="20"/>
      <c r="W920" s="20"/>
    </row>
    <row r="921" spans="1:23" x14ac:dyDescent="0.25">
      <c r="A921" s="177" t="s">
        <v>5818</v>
      </c>
      <c r="B921" s="177" t="s">
        <v>1022</v>
      </c>
      <c r="C921" s="178" t="s">
        <v>5819</v>
      </c>
      <c r="D921" s="173" t="s">
        <v>3968</v>
      </c>
      <c r="E921" s="20"/>
      <c r="F921" s="20"/>
      <c r="G921" s="175"/>
      <c r="H921" s="20"/>
      <c r="I921" s="20"/>
      <c r="J921" s="20"/>
      <c r="K921" s="20"/>
      <c r="L921" s="20"/>
      <c r="M921" s="20"/>
      <c r="N921" s="20"/>
      <c r="O921" s="20"/>
      <c r="P921" s="20"/>
      <c r="Q921" s="20"/>
      <c r="R921" s="20"/>
      <c r="S921" s="20"/>
      <c r="T921" s="20"/>
      <c r="U921" s="20"/>
      <c r="V921" s="20"/>
      <c r="W921" s="20"/>
    </row>
    <row r="922" spans="1:23" x14ac:dyDescent="0.25">
      <c r="A922" s="177" t="s">
        <v>5820</v>
      </c>
      <c r="B922" s="177" t="s">
        <v>2275</v>
      </c>
      <c r="C922" s="178" t="s">
        <v>5821</v>
      </c>
      <c r="D922" s="173" t="s">
        <v>3968</v>
      </c>
      <c r="E922" s="20"/>
      <c r="F922" s="20"/>
      <c r="G922" s="175"/>
      <c r="H922" s="20"/>
      <c r="I922" s="20"/>
      <c r="J922" s="20"/>
      <c r="K922" s="20"/>
      <c r="L922" s="20"/>
      <c r="M922" s="20"/>
      <c r="N922" s="20"/>
      <c r="O922" s="20"/>
      <c r="P922" s="20"/>
      <c r="Q922" s="20"/>
      <c r="R922" s="20"/>
      <c r="S922" s="20"/>
      <c r="T922" s="20"/>
      <c r="U922" s="20"/>
      <c r="V922" s="20"/>
      <c r="W922" s="20"/>
    </row>
    <row r="923" spans="1:23" x14ac:dyDescent="0.25">
      <c r="A923" s="177" t="s">
        <v>5822</v>
      </c>
      <c r="B923" s="177" t="s">
        <v>488</v>
      </c>
      <c r="C923" s="178" t="s">
        <v>5823</v>
      </c>
      <c r="D923" s="173" t="s">
        <v>3968</v>
      </c>
      <c r="E923" s="20"/>
      <c r="F923" s="20"/>
      <c r="G923" s="175"/>
      <c r="H923" s="20"/>
      <c r="I923" s="20"/>
      <c r="J923" s="20"/>
      <c r="K923" s="20"/>
      <c r="L923" s="20"/>
      <c r="M923" s="20"/>
      <c r="N923" s="20"/>
      <c r="O923" s="20"/>
      <c r="P923" s="20"/>
      <c r="Q923" s="20"/>
      <c r="R923" s="20"/>
      <c r="S923" s="20"/>
      <c r="T923" s="20"/>
      <c r="U923" s="20"/>
      <c r="V923" s="20"/>
      <c r="W923" s="20"/>
    </row>
    <row r="924" spans="1:23" x14ac:dyDescent="0.25">
      <c r="A924" s="177" t="s">
        <v>5824</v>
      </c>
      <c r="B924" s="177" t="s">
        <v>487</v>
      </c>
      <c r="C924" s="178" t="s">
        <v>5825</v>
      </c>
      <c r="D924" s="173" t="s">
        <v>3968</v>
      </c>
      <c r="E924" s="20"/>
      <c r="F924" s="20"/>
      <c r="G924" s="175"/>
      <c r="H924" s="20"/>
      <c r="I924" s="20"/>
      <c r="J924" s="20"/>
      <c r="K924" s="20"/>
      <c r="L924" s="20"/>
      <c r="M924" s="20"/>
      <c r="N924" s="20"/>
      <c r="O924" s="20"/>
      <c r="P924" s="20"/>
      <c r="Q924" s="20"/>
      <c r="R924" s="20"/>
      <c r="S924" s="20"/>
      <c r="T924" s="20"/>
      <c r="U924" s="20"/>
      <c r="V924" s="20"/>
      <c r="W924" s="20"/>
    </row>
    <row r="925" spans="1:23" x14ac:dyDescent="0.25">
      <c r="A925" s="177" t="s">
        <v>5826</v>
      </c>
      <c r="B925" s="177" t="s">
        <v>2278</v>
      </c>
      <c r="C925" s="178" t="s">
        <v>5827</v>
      </c>
      <c r="D925" s="173" t="s">
        <v>3968</v>
      </c>
      <c r="E925" s="20"/>
      <c r="F925" s="20"/>
      <c r="G925" s="175"/>
      <c r="H925" s="20"/>
      <c r="I925" s="20"/>
      <c r="J925" s="20"/>
      <c r="K925" s="20"/>
      <c r="L925" s="20"/>
      <c r="M925" s="20"/>
      <c r="N925" s="20"/>
      <c r="O925" s="20"/>
      <c r="P925" s="20"/>
      <c r="Q925" s="20"/>
      <c r="R925" s="20"/>
      <c r="S925" s="20"/>
      <c r="T925" s="20"/>
      <c r="U925" s="20"/>
      <c r="V925" s="20"/>
      <c r="W925" s="20"/>
    </row>
    <row r="926" spans="1:23" x14ac:dyDescent="0.25">
      <c r="A926" s="177" t="s">
        <v>5828</v>
      </c>
      <c r="B926" s="177" t="s">
        <v>2280</v>
      </c>
      <c r="C926" s="178" t="s">
        <v>5829</v>
      </c>
      <c r="D926" s="173" t="s">
        <v>3968</v>
      </c>
      <c r="E926" s="20"/>
      <c r="F926" s="20"/>
      <c r="G926" s="175"/>
      <c r="H926" s="20"/>
      <c r="I926" s="20"/>
      <c r="J926" s="20"/>
      <c r="K926" s="20"/>
      <c r="L926" s="20"/>
      <c r="M926" s="20"/>
      <c r="N926" s="20"/>
      <c r="O926" s="20"/>
      <c r="P926" s="20"/>
      <c r="Q926" s="20"/>
      <c r="R926" s="20"/>
      <c r="S926" s="20"/>
      <c r="T926" s="20"/>
      <c r="U926" s="20"/>
      <c r="V926" s="20"/>
      <c r="W926" s="20"/>
    </row>
    <row r="927" spans="1:23" x14ac:dyDescent="0.25">
      <c r="A927" s="177" t="s">
        <v>5830</v>
      </c>
      <c r="B927" s="177" t="s">
        <v>52</v>
      </c>
      <c r="C927" s="178" t="s">
        <v>5831</v>
      </c>
      <c r="D927" s="173" t="s">
        <v>3968</v>
      </c>
      <c r="E927" s="20"/>
      <c r="F927" s="20"/>
      <c r="G927" s="175"/>
      <c r="H927" s="20"/>
      <c r="I927" s="20"/>
      <c r="J927" s="20"/>
      <c r="K927" s="20"/>
      <c r="L927" s="20"/>
      <c r="M927" s="20"/>
      <c r="N927" s="20"/>
      <c r="O927" s="20"/>
      <c r="P927" s="20"/>
      <c r="Q927" s="20"/>
      <c r="R927" s="20"/>
      <c r="S927" s="20"/>
      <c r="T927" s="20"/>
      <c r="U927" s="20"/>
      <c r="V927" s="20"/>
      <c r="W927" s="20"/>
    </row>
    <row r="928" spans="1:23" x14ac:dyDescent="0.25">
      <c r="A928" s="177" t="s">
        <v>5832</v>
      </c>
      <c r="B928" s="177" t="s">
        <v>348</v>
      </c>
      <c r="C928" s="178" t="s">
        <v>5833</v>
      </c>
      <c r="D928" s="173" t="s">
        <v>3968</v>
      </c>
      <c r="E928" s="20"/>
      <c r="F928" s="20"/>
      <c r="G928" s="175"/>
      <c r="H928" s="20"/>
      <c r="I928" s="20"/>
      <c r="J928" s="20"/>
      <c r="K928" s="20"/>
      <c r="L928" s="20"/>
      <c r="M928" s="20"/>
      <c r="N928" s="20"/>
      <c r="O928" s="20"/>
      <c r="P928" s="20"/>
      <c r="Q928" s="20"/>
      <c r="R928" s="20"/>
      <c r="S928" s="20"/>
      <c r="T928" s="20"/>
      <c r="U928" s="20"/>
      <c r="V928" s="20"/>
      <c r="W928" s="20"/>
    </row>
    <row r="929" spans="1:23" x14ac:dyDescent="0.25">
      <c r="A929" s="177" t="s">
        <v>5834</v>
      </c>
      <c r="B929" s="177" t="s">
        <v>2277</v>
      </c>
      <c r="C929" s="178" t="s">
        <v>5835</v>
      </c>
      <c r="D929" s="173" t="s">
        <v>3968</v>
      </c>
      <c r="E929" s="20"/>
      <c r="F929" s="20"/>
      <c r="G929" s="175"/>
      <c r="H929" s="20"/>
      <c r="I929" s="20"/>
      <c r="J929" s="20"/>
      <c r="K929" s="20"/>
      <c r="L929" s="20"/>
      <c r="M929" s="20"/>
      <c r="N929" s="20"/>
      <c r="O929" s="20"/>
      <c r="P929" s="20"/>
      <c r="Q929" s="20"/>
      <c r="R929" s="20"/>
      <c r="S929" s="20"/>
      <c r="T929" s="20"/>
      <c r="U929" s="20"/>
      <c r="V929" s="20"/>
      <c r="W929" s="20"/>
    </row>
    <row r="930" spans="1:23" x14ac:dyDescent="0.25">
      <c r="A930" s="177" t="s">
        <v>5836</v>
      </c>
      <c r="B930" s="177" t="s">
        <v>5837</v>
      </c>
      <c r="C930" s="178" t="s">
        <v>5838</v>
      </c>
      <c r="D930" s="173" t="s">
        <v>3968</v>
      </c>
      <c r="E930" s="20"/>
      <c r="F930" s="20"/>
      <c r="G930" s="175"/>
      <c r="H930" s="20"/>
      <c r="I930" s="20"/>
      <c r="J930" s="20"/>
      <c r="K930" s="20"/>
      <c r="L930" s="20"/>
      <c r="M930" s="20"/>
      <c r="N930" s="20"/>
      <c r="O930" s="20"/>
      <c r="P930" s="20"/>
      <c r="Q930" s="20"/>
      <c r="R930" s="20"/>
      <c r="S930" s="20"/>
      <c r="T930" s="20"/>
      <c r="U930" s="20"/>
      <c r="V930" s="20"/>
      <c r="W930" s="20"/>
    </row>
    <row r="931" spans="1:23" x14ac:dyDescent="0.25">
      <c r="A931" s="177" t="s">
        <v>5839</v>
      </c>
      <c r="B931" s="177" t="s">
        <v>349</v>
      </c>
      <c r="C931" s="178" t="s">
        <v>5840</v>
      </c>
      <c r="D931" s="173" t="s">
        <v>3968</v>
      </c>
      <c r="E931" s="20"/>
      <c r="F931" s="20"/>
      <c r="G931" s="175"/>
      <c r="H931" s="20"/>
      <c r="I931" s="20"/>
      <c r="J931" s="20"/>
      <c r="K931" s="20"/>
      <c r="L931" s="20"/>
      <c r="M931" s="20"/>
      <c r="N931" s="20"/>
      <c r="O931" s="20"/>
      <c r="P931" s="20"/>
      <c r="Q931" s="20"/>
      <c r="R931" s="20"/>
      <c r="S931" s="20"/>
      <c r="T931" s="20"/>
      <c r="U931" s="20"/>
      <c r="V931" s="20"/>
      <c r="W931" s="20"/>
    </row>
    <row r="932" spans="1:23" x14ac:dyDescent="0.25">
      <c r="A932" s="177" t="s">
        <v>5841</v>
      </c>
      <c r="B932" s="177" t="s">
        <v>40</v>
      </c>
      <c r="C932" s="178" t="s">
        <v>5842</v>
      </c>
      <c r="D932" s="173" t="s">
        <v>3968</v>
      </c>
      <c r="E932" s="20"/>
      <c r="F932" s="20"/>
      <c r="G932" s="175"/>
      <c r="H932" s="20"/>
      <c r="I932" s="20"/>
      <c r="J932" s="20"/>
      <c r="K932" s="20"/>
      <c r="L932" s="20"/>
      <c r="M932" s="20"/>
      <c r="N932" s="20"/>
      <c r="O932" s="20"/>
      <c r="P932" s="20"/>
      <c r="Q932" s="20"/>
      <c r="R932" s="20"/>
      <c r="S932" s="20"/>
      <c r="T932" s="20"/>
      <c r="U932" s="20"/>
      <c r="V932" s="20"/>
      <c r="W932" s="20"/>
    </row>
    <row r="933" spans="1:23" x14ac:dyDescent="0.25">
      <c r="A933" s="177" t="s">
        <v>5843</v>
      </c>
      <c r="B933" s="177" t="s">
        <v>379</v>
      </c>
      <c r="C933" s="178" t="s">
        <v>5844</v>
      </c>
      <c r="D933" s="173" t="s">
        <v>3968</v>
      </c>
      <c r="E933" s="20"/>
      <c r="F933" s="20"/>
      <c r="G933" s="175"/>
      <c r="H933" s="20"/>
      <c r="I933" s="20"/>
      <c r="J933" s="20"/>
      <c r="K933" s="20"/>
      <c r="L933" s="20"/>
      <c r="M933" s="20"/>
      <c r="N933" s="20"/>
      <c r="O933" s="20"/>
      <c r="P933" s="20"/>
      <c r="Q933" s="20"/>
      <c r="R933" s="20"/>
      <c r="S933" s="20"/>
      <c r="T933" s="20"/>
      <c r="U933" s="20"/>
      <c r="V933" s="20"/>
      <c r="W933" s="20"/>
    </row>
    <row r="934" spans="1:23" x14ac:dyDescent="0.25">
      <c r="A934" s="177" t="s">
        <v>5845</v>
      </c>
      <c r="B934" s="177" t="s">
        <v>370</v>
      </c>
      <c r="C934" s="178" t="s">
        <v>5846</v>
      </c>
      <c r="D934" s="173" t="s">
        <v>3968</v>
      </c>
      <c r="E934" s="20"/>
      <c r="F934" s="20"/>
      <c r="G934" s="175"/>
      <c r="H934" s="20"/>
      <c r="I934" s="20"/>
      <c r="J934" s="20"/>
      <c r="K934" s="20"/>
      <c r="L934" s="20"/>
      <c r="M934" s="20"/>
      <c r="N934" s="20"/>
      <c r="O934" s="20"/>
      <c r="P934" s="20"/>
      <c r="Q934" s="20"/>
      <c r="R934" s="20"/>
      <c r="S934" s="20"/>
      <c r="T934" s="20"/>
      <c r="U934" s="20"/>
      <c r="V934" s="20"/>
      <c r="W934" s="20"/>
    </row>
    <row r="935" spans="1:23" x14ac:dyDescent="0.25">
      <c r="A935" s="177" t="s">
        <v>5847</v>
      </c>
      <c r="B935" s="177" t="s">
        <v>39</v>
      </c>
      <c r="C935" s="178" t="s">
        <v>5848</v>
      </c>
      <c r="D935" s="173" t="s">
        <v>3968</v>
      </c>
      <c r="E935" s="20"/>
      <c r="F935" s="20"/>
      <c r="G935" s="175"/>
      <c r="H935" s="20"/>
      <c r="I935" s="20"/>
      <c r="J935" s="20"/>
      <c r="K935" s="20"/>
      <c r="L935" s="20"/>
      <c r="M935" s="20"/>
      <c r="N935" s="20"/>
      <c r="O935" s="20"/>
      <c r="P935" s="20"/>
      <c r="Q935" s="20"/>
      <c r="R935" s="20"/>
      <c r="S935" s="20"/>
      <c r="T935" s="20"/>
      <c r="U935" s="20"/>
      <c r="V935" s="20"/>
      <c r="W935" s="20"/>
    </row>
    <row r="936" spans="1:23" x14ac:dyDescent="0.25">
      <c r="A936" s="177" t="s">
        <v>5849</v>
      </c>
      <c r="B936" s="177" t="s">
        <v>433</v>
      </c>
      <c r="C936" s="178" t="s">
        <v>5850</v>
      </c>
      <c r="D936" s="173" t="s">
        <v>3968</v>
      </c>
      <c r="E936" s="20"/>
      <c r="F936" s="20"/>
      <c r="G936" s="175"/>
      <c r="H936" s="20"/>
      <c r="I936" s="20"/>
      <c r="J936" s="20"/>
      <c r="K936" s="20"/>
      <c r="L936" s="20"/>
      <c r="M936" s="20"/>
      <c r="N936" s="20"/>
      <c r="O936" s="20"/>
      <c r="P936" s="20"/>
      <c r="Q936" s="20"/>
      <c r="R936" s="20"/>
      <c r="S936" s="20"/>
      <c r="T936" s="20"/>
      <c r="U936" s="20"/>
      <c r="V936" s="20"/>
      <c r="W936" s="20"/>
    </row>
    <row r="937" spans="1:23" x14ac:dyDescent="0.25">
      <c r="A937" s="177" t="s">
        <v>5851</v>
      </c>
      <c r="B937" s="177" t="s">
        <v>3547</v>
      </c>
      <c r="C937" s="178" t="s">
        <v>5852</v>
      </c>
      <c r="D937" s="173" t="s">
        <v>3968</v>
      </c>
      <c r="E937" s="20"/>
      <c r="F937" s="20"/>
      <c r="G937" s="175"/>
      <c r="H937" s="20"/>
      <c r="I937" s="20"/>
      <c r="J937" s="20"/>
      <c r="K937" s="20"/>
      <c r="L937" s="20"/>
      <c r="M937" s="20"/>
      <c r="N937" s="20"/>
      <c r="O937" s="20"/>
      <c r="P937" s="20"/>
      <c r="Q937" s="20"/>
      <c r="R937" s="20"/>
      <c r="S937" s="20"/>
      <c r="T937" s="20"/>
      <c r="U937" s="20"/>
      <c r="V937" s="20"/>
      <c r="W937" s="20"/>
    </row>
    <row r="938" spans="1:23" x14ac:dyDescent="0.25">
      <c r="A938" s="177" t="s">
        <v>5853</v>
      </c>
      <c r="B938" s="177" t="s">
        <v>569</v>
      </c>
      <c r="C938" s="178" t="s">
        <v>5854</v>
      </c>
      <c r="D938" s="173" t="s">
        <v>3968</v>
      </c>
      <c r="E938" s="20"/>
      <c r="F938" s="20"/>
      <c r="G938" s="175"/>
      <c r="H938" s="20"/>
      <c r="I938" s="20"/>
      <c r="J938" s="20"/>
      <c r="K938" s="20"/>
      <c r="L938" s="20"/>
      <c r="M938" s="20"/>
      <c r="N938" s="20"/>
      <c r="O938" s="20"/>
      <c r="P938" s="20"/>
      <c r="Q938" s="20"/>
      <c r="R938" s="20"/>
      <c r="S938" s="20"/>
      <c r="T938" s="20"/>
      <c r="U938" s="20"/>
      <c r="V938" s="20"/>
      <c r="W938" s="20"/>
    </row>
    <row r="939" spans="1:23" x14ac:dyDescent="0.25">
      <c r="A939" s="177" t="s">
        <v>5855</v>
      </c>
      <c r="B939" s="177" t="s">
        <v>381</v>
      </c>
      <c r="C939" s="178" t="s">
        <v>5856</v>
      </c>
      <c r="D939" s="173" t="s">
        <v>3968</v>
      </c>
      <c r="E939" s="20"/>
      <c r="F939" s="20"/>
      <c r="G939" s="175"/>
      <c r="H939" s="20"/>
      <c r="I939" s="20"/>
      <c r="J939" s="20"/>
      <c r="K939" s="20"/>
      <c r="L939" s="20"/>
      <c r="M939" s="20"/>
      <c r="N939" s="20"/>
      <c r="O939" s="20"/>
      <c r="P939" s="20"/>
      <c r="Q939" s="20"/>
      <c r="R939" s="20"/>
      <c r="S939" s="20"/>
      <c r="T939" s="20"/>
      <c r="U939" s="20"/>
      <c r="V939" s="20"/>
      <c r="W939" s="20"/>
    </row>
    <row r="940" spans="1:23" x14ac:dyDescent="0.25">
      <c r="A940" s="177" t="s">
        <v>5857</v>
      </c>
      <c r="B940" s="177" t="s">
        <v>1657</v>
      </c>
      <c r="C940" s="178" t="s">
        <v>5858</v>
      </c>
      <c r="D940" s="173" t="s">
        <v>3968</v>
      </c>
      <c r="E940" s="20"/>
      <c r="F940" s="20"/>
      <c r="G940" s="175"/>
      <c r="H940" s="20"/>
      <c r="I940" s="20"/>
      <c r="J940" s="20"/>
      <c r="K940" s="20"/>
      <c r="L940" s="20"/>
      <c r="M940" s="20"/>
      <c r="N940" s="20"/>
      <c r="O940" s="20"/>
      <c r="P940" s="20"/>
      <c r="Q940" s="20"/>
      <c r="R940" s="20"/>
      <c r="S940" s="20"/>
      <c r="T940" s="20"/>
      <c r="U940" s="20"/>
      <c r="V940" s="20"/>
      <c r="W940" s="20"/>
    </row>
    <row r="941" spans="1:23" x14ac:dyDescent="0.25">
      <c r="A941" s="177" t="s">
        <v>5859</v>
      </c>
      <c r="B941" s="177" t="s">
        <v>383</v>
      </c>
      <c r="C941" s="178" t="s">
        <v>5860</v>
      </c>
      <c r="D941" s="173" t="s">
        <v>3968</v>
      </c>
      <c r="E941" s="20"/>
      <c r="F941" s="20"/>
      <c r="G941" s="175"/>
      <c r="H941" s="20"/>
      <c r="I941" s="20"/>
      <c r="J941" s="20"/>
      <c r="K941" s="20"/>
      <c r="L941" s="20"/>
      <c r="M941" s="20"/>
      <c r="N941" s="20"/>
      <c r="O941" s="20"/>
      <c r="P941" s="20"/>
      <c r="Q941" s="20"/>
      <c r="R941" s="20"/>
      <c r="S941" s="20"/>
      <c r="T941" s="20"/>
      <c r="U941" s="20"/>
      <c r="V941" s="20"/>
      <c r="W941" s="20"/>
    </row>
    <row r="942" spans="1:23" x14ac:dyDescent="0.25">
      <c r="A942" s="177" t="s">
        <v>5861</v>
      </c>
      <c r="B942" s="177" t="s">
        <v>54</v>
      </c>
      <c r="C942" s="178" t="s">
        <v>5862</v>
      </c>
      <c r="D942" s="173" t="s">
        <v>3968</v>
      </c>
      <c r="E942" s="20"/>
      <c r="F942" s="20"/>
      <c r="G942" s="175"/>
      <c r="H942" s="20"/>
      <c r="I942" s="20"/>
      <c r="J942" s="20"/>
      <c r="K942" s="20"/>
      <c r="L942" s="20"/>
      <c r="M942" s="20"/>
      <c r="N942" s="20"/>
      <c r="O942" s="20"/>
      <c r="P942" s="20"/>
      <c r="Q942" s="20"/>
      <c r="R942" s="20"/>
      <c r="S942" s="20"/>
      <c r="T942" s="20"/>
      <c r="U942" s="20"/>
      <c r="V942" s="20"/>
      <c r="W942" s="20"/>
    </row>
    <row r="943" spans="1:23" x14ac:dyDescent="0.25">
      <c r="A943" s="177" t="s">
        <v>5863</v>
      </c>
      <c r="B943" s="177" t="s">
        <v>344</v>
      </c>
      <c r="C943" s="178" t="s">
        <v>5864</v>
      </c>
      <c r="D943" s="173" t="s">
        <v>3968</v>
      </c>
      <c r="E943" s="20"/>
      <c r="F943" s="20"/>
      <c r="G943" s="175"/>
      <c r="H943" s="20"/>
      <c r="I943" s="20"/>
      <c r="J943" s="20"/>
      <c r="K943" s="20"/>
      <c r="L943" s="20"/>
      <c r="M943" s="20"/>
      <c r="N943" s="20"/>
      <c r="O943" s="20"/>
      <c r="P943" s="20"/>
      <c r="Q943" s="20"/>
      <c r="R943" s="20"/>
      <c r="S943" s="20"/>
      <c r="T943" s="20"/>
      <c r="U943" s="20"/>
      <c r="V943" s="20"/>
      <c r="W943" s="20"/>
    </row>
    <row r="944" spans="1:23" x14ac:dyDescent="0.25">
      <c r="A944" s="177" t="s">
        <v>5865</v>
      </c>
      <c r="B944" s="177" t="s">
        <v>345</v>
      </c>
      <c r="C944" s="178" t="s">
        <v>5866</v>
      </c>
      <c r="D944" s="173" t="s">
        <v>3968</v>
      </c>
      <c r="E944" s="20"/>
      <c r="F944" s="20"/>
      <c r="G944" s="175"/>
      <c r="H944" s="20"/>
      <c r="I944" s="20"/>
      <c r="J944" s="20"/>
      <c r="K944" s="20"/>
      <c r="L944" s="20"/>
      <c r="M944" s="20"/>
      <c r="N944" s="20"/>
      <c r="O944" s="20"/>
      <c r="P944" s="20"/>
      <c r="Q944" s="20"/>
      <c r="R944" s="20"/>
      <c r="S944" s="20"/>
      <c r="T944" s="20"/>
      <c r="U944" s="20"/>
      <c r="V944" s="20"/>
      <c r="W944" s="20"/>
    </row>
    <row r="945" spans="1:23" x14ac:dyDescent="0.25">
      <c r="A945" s="177" t="s">
        <v>5867</v>
      </c>
      <c r="B945" s="177" t="s">
        <v>346</v>
      </c>
      <c r="C945" s="178" t="s">
        <v>5868</v>
      </c>
      <c r="D945" s="173" t="s">
        <v>3968</v>
      </c>
      <c r="E945" s="20"/>
      <c r="F945" s="20"/>
      <c r="G945" s="175"/>
      <c r="H945" s="20"/>
      <c r="I945" s="20"/>
      <c r="J945" s="20"/>
      <c r="K945" s="20"/>
      <c r="L945" s="20"/>
      <c r="M945" s="20"/>
      <c r="N945" s="20"/>
      <c r="O945" s="20"/>
      <c r="P945" s="20"/>
      <c r="Q945" s="20"/>
      <c r="R945" s="20"/>
      <c r="S945" s="20"/>
      <c r="T945" s="20"/>
      <c r="U945" s="20"/>
      <c r="V945" s="20"/>
      <c r="W945" s="20"/>
    </row>
    <row r="946" spans="1:23" x14ac:dyDescent="0.25">
      <c r="A946" s="177" t="s">
        <v>5869</v>
      </c>
      <c r="B946" s="177" t="s">
        <v>347</v>
      </c>
      <c r="C946" s="178" t="s">
        <v>5870</v>
      </c>
      <c r="D946" s="173" t="s">
        <v>3968</v>
      </c>
      <c r="E946" s="20"/>
      <c r="F946" s="20"/>
      <c r="G946" s="175"/>
      <c r="H946" s="20"/>
      <c r="I946" s="20"/>
      <c r="J946" s="20"/>
      <c r="K946" s="20"/>
      <c r="L946" s="20"/>
      <c r="M946" s="20"/>
      <c r="N946" s="20"/>
      <c r="O946" s="20"/>
      <c r="P946" s="20"/>
      <c r="Q946" s="20"/>
      <c r="R946" s="20"/>
      <c r="S946" s="20"/>
      <c r="T946" s="20"/>
      <c r="U946" s="20"/>
      <c r="V946" s="20"/>
      <c r="W946" s="20"/>
    </row>
    <row r="947" spans="1:23" x14ac:dyDescent="0.25">
      <c r="A947" s="177" t="s">
        <v>5871</v>
      </c>
      <c r="B947" s="177" t="s">
        <v>350</v>
      </c>
      <c r="C947" s="178" t="s">
        <v>5872</v>
      </c>
      <c r="D947" s="173" t="s">
        <v>3968</v>
      </c>
      <c r="E947" s="20"/>
      <c r="F947" s="20"/>
      <c r="G947" s="175"/>
      <c r="H947" s="20"/>
      <c r="I947" s="20"/>
      <c r="J947" s="20"/>
      <c r="K947" s="20"/>
      <c r="L947" s="20"/>
      <c r="M947" s="20"/>
      <c r="N947" s="20"/>
      <c r="O947" s="20"/>
      <c r="P947" s="20"/>
      <c r="Q947" s="20"/>
      <c r="R947" s="20"/>
      <c r="S947" s="20"/>
      <c r="T947" s="20"/>
      <c r="U947" s="20"/>
      <c r="V947" s="20"/>
      <c r="W947" s="20"/>
    </row>
    <row r="948" spans="1:23" x14ac:dyDescent="0.25">
      <c r="A948" s="177" t="s">
        <v>5873</v>
      </c>
      <c r="B948" s="177" t="s">
        <v>351</v>
      </c>
      <c r="C948" s="178" t="s">
        <v>5874</v>
      </c>
      <c r="D948" s="173" t="s">
        <v>3968</v>
      </c>
      <c r="E948" s="20"/>
      <c r="F948" s="20"/>
      <c r="G948" s="175"/>
      <c r="H948" s="20"/>
      <c r="I948" s="20"/>
      <c r="J948" s="20"/>
      <c r="K948" s="20"/>
      <c r="L948" s="20"/>
      <c r="M948" s="20"/>
      <c r="N948" s="20"/>
      <c r="O948" s="20"/>
      <c r="P948" s="20"/>
      <c r="Q948" s="20"/>
      <c r="R948" s="20"/>
      <c r="S948" s="20"/>
      <c r="T948" s="20"/>
      <c r="U948" s="20"/>
      <c r="V948" s="20"/>
      <c r="W948" s="20"/>
    </row>
    <row r="949" spans="1:23" x14ac:dyDescent="0.25">
      <c r="A949" s="177" t="s">
        <v>5875</v>
      </c>
      <c r="B949" s="177" t="s">
        <v>422</v>
      </c>
      <c r="C949" s="178" t="s">
        <v>5876</v>
      </c>
      <c r="D949" s="173" t="s">
        <v>3968</v>
      </c>
      <c r="E949" s="20"/>
      <c r="F949" s="20"/>
      <c r="G949" s="175"/>
      <c r="H949" s="20"/>
      <c r="I949" s="20"/>
      <c r="J949" s="20"/>
      <c r="K949" s="20"/>
      <c r="L949" s="20"/>
      <c r="M949" s="20"/>
      <c r="N949" s="20"/>
      <c r="O949" s="20"/>
      <c r="P949" s="20"/>
      <c r="Q949" s="20"/>
      <c r="R949" s="20"/>
      <c r="S949" s="20"/>
      <c r="T949" s="20"/>
      <c r="U949" s="20"/>
      <c r="V949" s="20"/>
      <c r="W949" s="20"/>
    </row>
    <row r="950" spans="1:23" x14ac:dyDescent="0.25">
      <c r="A950" s="177" t="s">
        <v>5877</v>
      </c>
      <c r="B950" s="177" t="s">
        <v>423</v>
      </c>
      <c r="C950" s="178" t="s">
        <v>5878</v>
      </c>
      <c r="D950" s="173" t="s">
        <v>3968</v>
      </c>
      <c r="E950" s="20"/>
      <c r="F950" s="20"/>
      <c r="G950" s="175"/>
      <c r="H950" s="20"/>
      <c r="I950" s="20"/>
      <c r="J950" s="20"/>
      <c r="K950" s="20"/>
      <c r="L950" s="20"/>
      <c r="M950" s="20"/>
      <c r="N950" s="20"/>
      <c r="O950" s="20"/>
      <c r="P950" s="20"/>
      <c r="Q950" s="20"/>
      <c r="R950" s="20"/>
      <c r="S950" s="20"/>
      <c r="T950" s="20"/>
      <c r="U950" s="20"/>
      <c r="V950" s="20"/>
      <c r="W950" s="20"/>
    </row>
    <row r="951" spans="1:23" x14ac:dyDescent="0.25">
      <c r="A951" s="177" t="s">
        <v>5879</v>
      </c>
      <c r="B951" s="177" t="s">
        <v>413</v>
      </c>
      <c r="C951" s="178" t="s">
        <v>5880</v>
      </c>
      <c r="D951" s="173" t="s">
        <v>3968</v>
      </c>
      <c r="E951" s="20"/>
      <c r="F951" s="20"/>
      <c r="G951" s="175"/>
      <c r="H951" s="20"/>
      <c r="I951" s="20"/>
      <c r="J951" s="20"/>
      <c r="K951" s="20"/>
      <c r="L951" s="20"/>
      <c r="M951" s="20"/>
      <c r="N951" s="20"/>
      <c r="O951" s="20"/>
      <c r="P951" s="20"/>
      <c r="Q951" s="20"/>
      <c r="R951" s="20"/>
      <c r="S951" s="20"/>
      <c r="T951" s="20"/>
      <c r="U951" s="20"/>
      <c r="V951" s="20"/>
      <c r="W951" s="20"/>
    </row>
    <row r="952" spans="1:23" x14ac:dyDescent="0.25">
      <c r="A952" s="177" t="s">
        <v>5881</v>
      </c>
      <c r="B952" s="177" t="s">
        <v>51</v>
      </c>
      <c r="C952" s="178" t="s">
        <v>5882</v>
      </c>
      <c r="D952" s="173" t="s">
        <v>3968</v>
      </c>
      <c r="E952" s="20"/>
      <c r="F952" s="20"/>
      <c r="G952" s="175"/>
      <c r="H952" s="20"/>
      <c r="I952" s="20"/>
      <c r="J952" s="20"/>
      <c r="K952" s="20"/>
      <c r="L952" s="20"/>
      <c r="M952" s="20"/>
      <c r="N952" s="20"/>
      <c r="O952" s="20"/>
      <c r="P952" s="20"/>
      <c r="Q952" s="20"/>
      <c r="R952" s="20"/>
      <c r="S952" s="20"/>
      <c r="T952" s="20"/>
      <c r="U952" s="20"/>
      <c r="V952" s="20"/>
      <c r="W952" s="20"/>
    </row>
    <row r="953" spans="1:23" x14ac:dyDescent="0.25">
      <c r="A953" s="177" t="s">
        <v>5883</v>
      </c>
      <c r="B953" s="177" t="s">
        <v>1772</v>
      </c>
      <c r="C953" s="178" t="s">
        <v>5884</v>
      </c>
      <c r="D953" s="173" t="s">
        <v>3633</v>
      </c>
      <c r="E953" s="20"/>
      <c r="F953" s="20"/>
      <c r="G953" s="175"/>
      <c r="H953" s="20"/>
      <c r="I953" s="20"/>
      <c r="J953" s="20"/>
      <c r="K953" s="20"/>
      <c r="L953" s="20"/>
      <c r="M953" s="20"/>
      <c r="N953" s="20"/>
      <c r="O953" s="20"/>
      <c r="P953" s="20"/>
      <c r="Q953" s="20"/>
      <c r="R953" s="20"/>
      <c r="S953" s="20"/>
      <c r="T953" s="20"/>
      <c r="U953" s="20"/>
      <c r="V953" s="20"/>
      <c r="W953" s="20"/>
    </row>
    <row r="954" spans="1:23" x14ac:dyDescent="0.25">
      <c r="A954" s="177" t="s">
        <v>5885</v>
      </c>
      <c r="B954" s="177" t="s">
        <v>1401</v>
      </c>
      <c r="C954" s="178" t="s">
        <v>5886</v>
      </c>
      <c r="D954" s="173" t="s">
        <v>3968</v>
      </c>
      <c r="E954" s="20"/>
      <c r="F954" s="20"/>
      <c r="G954" s="175"/>
      <c r="H954" s="20"/>
      <c r="I954" s="20"/>
      <c r="J954" s="20"/>
      <c r="K954" s="20"/>
      <c r="L954" s="20"/>
      <c r="M954" s="20"/>
      <c r="N954" s="20"/>
      <c r="O954" s="20"/>
      <c r="P954" s="20"/>
      <c r="Q954" s="20"/>
      <c r="R954" s="20"/>
      <c r="S954" s="20"/>
      <c r="T954" s="20"/>
      <c r="U954" s="20"/>
      <c r="V954" s="20"/>
      <c r="W954" s="20"/>
    </row>
    <row r="955" spans="1:23" x14ac:dyDescent="0.25">
      <c r="A955" s="177" t="s">
        <v>5887</v>
      </c>
      <c r="B955" s="177" t="s">
        <v>333</v>
      </c>
      <c r="C955" s="178" t="s">
        <v>5888</v>
      </c>
      <c r="D955" s="173" t="s">
        <v>3715</v>
      </c>
      <c r="E955" s="20"/>
      <c r="F955" s="20"/>
      <c r="G955" s="175"/>
      <c r="H955" s="20"/>
      <c r="I955" s="20"/>
      <c r="J955" s="20"/>
      <c r="K955" s="20"/>
      <c r="L955" s="20"/>
      <c r="M955" s="20"/>
      <c r="N955" s="20"/>
      <c r="O955" s="20"/>
      <c r="P955" s="20"/>
      <c r="Q955" s="20"/>
      <c r="R955" s="20"/>
      <c r="S955" s="20"/>
      <c r="T955" s="20"/>
      <c r="U955" s="20"/>
      <c r="V955" s="20"/>
      <c r="W955" s="20"/>
    </row>
    <row r="956" spans="1:23" x14ac:dyDescent="0.25">
      <c r="A956" s="177" t="s">
        <v>5889</v>
      </c>
      <c r="B956" s="177" t="s">
        <v>5890</v>
      </c>
      <c r="C956" s="178" t="s">
        <v>5891</v>
      </c>
      <c r="D956" s="173" t="s">
        <v>3715</v>
      </c>
      <c r="E956" s="20"/>
      <c r="F956" s="20"/>
      <c r="G956" s="175"/>
      <c r="H956" s="20"/>
      <c r="I956" s="20"/>
      <c r="J956" s="20"/>
      <c r="K956" s="20"/>
      <c r="L956" s="20"/>
      <c r="M956" s="20"/>
      <c r="N956" s="20"/>
      <c r="O956" s="20"/>
      <c r="P956" s="20"/>
      <c r="Q956" s="20"/>
      <c r="R956" s="20"/>
      <c r="S956" s="20"/>
      <c r="T956" s="20"/>
      <c r="U956" s="20"/>
      <c r="V956" s="20"/>
      <c r="W956" s="20"/>
    </row>
    <row r="957" spans="1:23" x14ac:dyDescent="0.25">
      <c r="A957" s="177" t="s">
        <v>5892</v>
      </c>
      <c r="B957" s="177" t="s">
        <v>5893</v>
      </c>
      <c r="C957" s="178" t="s">
        <v>5894</v>
      </c>
      <c r="D957" s="173" t="s">
        <v>3968</v>
      </c>
      <c r="E957" s="20"/>
      <c r="F957" s="20"/>
      <c r="G957" s="175"/>
      <c r="H957" s="20"/>
      <c r="I957" s="20"/>
      <c r="J957" s="20"/>
      <c r="K957" s="20"/>
      <c r="L957" s="20"/>
      <c r="M957" s="20"/>
      <c r="N957" s="20"/>
      <c r="O957" s="20"/>
      <c r="P957" s="20"/>
      <c r="Q957" s="20"/>
      <c r="R957" s="20"/>
      <c r="S957" s="20"/>
      <c r="T957" s="20"/>
      <c r="U957" s="20"/>
      <c r="V957" s="20"/>
      <c r="W957" s="20"/>
    </row>
    <row r="958" spans="1:23" x14ac:dyDescent="0.25">
      <c r="A958" s="177" t="s">
        <v>5895</v>
      </c>
      <c r="B958" s="177" t="s">
        <v>5896</v>
      </c>
      <c r="C958" s="178" t="s">
        <v>5897</v>
      </c>
      <c r="D958" s="173" t="s">
        <v>3715</v>
      </c>
      <c r="E958" s="20"/>
      <c r="F958" s="20"/>
      <c r="G958" s="175"/>
      <c r="H958" s="20"/>
      <c r="I958" s="20"/>
      <c r="J958" s="20"/>
      <c r="K958" s="20"/>
      <c r="L958" s="20"/>
      <c r="M958" s="20"/>
      <c r="N958" s="20"/>
      <c r="O958" s="20"/>
      <c r="P958" s="20"/>
      <c r="Q958" s="20"/>
      <c r="R958" s="20"/>
      <c r="S958" s="20"/>
      <c r="T958" s="20"/>
      <c r="U958" s="20"/>
      <c r="V958" s="20"/>
      <c r="W958" s="20"/>
    </row>
    <row r="959" spans="1:23" x14ac:dyDescent="0.25">
      <c r="A959" s="177" t="s">
        <v>5898</v>
      </c>
      <c r="B959" s="177" t="s">
        <v>486</v>
      </c>
      <c r="C959" s="178" t="s">
        <v>5899</v>
      </c>
      <c r="D959" s="173" t="s">
        <v>3968</v>
      </c>
      <c r="E959" s="20"/>
      <c r="F959" s="20"/>
      <c r="G959" s="175"/>
      <c r="H959" s="20"/>
      <c r="I959" s="20"/>
      <c r="J959" s="20"/>
      <c r="K959" s="20"/>
      <c r="L959" s="20"/>
      <c r="M959" s="20"/>
      <c r="N959" s="20"/>
      <c r="O959" s="20"/>
      <c r="P959" s="20"/>
      <c r="Q959" s="20"/>
      <c r="R959" s="20"/>
      <c r="S959" s="20"/>
      <c r="T959" s="20"/>
      <c r="U959" s="20"/>
      <c r="V959" s="20"/>
      <c r="W959" s="20"/>
    </row>
    <row r="960" spans="1:23" x14ac:dyDescent="0.25">
      <c r="A960" s="177" t="s">
        <v>5900</v>
      </c>
      <c r="B960" s="177" t="s">
        <v>5901</v>
      </c>
      <c r="C960" s="178" t="s">
        <v>5902</v>
      </c>
      <c r="D960" s="173" t="s">
        <v>3715</v>
      </c>
      <c r="E960" s="20"/>
      <c r="F960" s="20"/>
      <c r="G960" s="175"/>
      <c r="H960" s="20"/>
      <c r="I960" s="20"/>
      <c r="J960" s="20"/>
      <c r="K960" s="20"/>
      <c r="L960" s="20"/>
      <c r="M960" s="20"/>
      <c r="N960" s="20"/>
      <c r="O960" s="20"/>
      <c r="P960" s="20"/>
      <c r="Q960" s="20"/>
      <c r="R960" s="20"/>
      <c r="S960" s="20"/>
      <c r="T960" s="20"/>
      <c r="U960" s="20"/>
      <c r="V960" s="20"/>
      <c r="W960" s="20"/>
    </row>
    <row r="961" spans="1:23" x14ac:dyDescent="0.25">
      <c r="A961" s="177" t="s">
        <v>5903</v>
      </c>
      <c r="B961" s="177" t="s">
        <v>332</v>
      </c>
      <c r="C961" s="178" t="s">
        <v>5904</v>
      </c>
      <c r="D961" s="173" t="s">
        <v>3968</v>
      </c>
      <c r="E961" s="20"/>
      <c r="F961" s="20"/>
      <c r="G961" s="175"/>
      <c r="H961" s="20"/>
      <c r="I961" s="20"/>
      <c r="J961" s="20"/>
      <c r="K961" s="20"/>
      <c r="L961" s="20"/>
      <c r="M961" s="20"/>
      <c r="N961" s="20"/>
      <c r="O961" s="20"/>
      <c r="P961" s="20"/>
      <c r="Q961" s="20"/>
      <c r="R961" s="20"/>
      <c r="S961" s="20"/>
      <c r="T961" s="20"/>
      <c r="U961" s="20"/>
      <c r="V961" s="20"/>
      <c r="W961" s="20"/>
    </row>
    <row r="962" spans="1:23" x14ac:dyDescent="0.25">
      <c r="A962" s="177" t="s">
        <v>5905</v>
      </c>
      <c r="B962" s="177" t="s">
        <v>5906</v>
      </c>
      <c r="C962" s="178" t="s">
        <v>5907</v>
      </c>
      <c r="D962" s="173" t="s">
        <v>3633</v>
      </c>
      <c r="E962" s="20"/>
      <c r="F962" s="20"/>
      <c r="G962" s="175"/>
      <c r="H962" s="20"/>
      <c r="I962" s="20"/>
      <c r="J962" s="20"/>
      <c r="K962" s="20"/>
      <c r="L962" s="20"/>
      <c r="M962" s="20"/>
      <c r="N962" s="20"/>
      <c r="O962" s="20"/>
      <c r="P962" s="20"/>
      <c r="Q962" s="20"/>
      <c r="R962" s="20"/>
      <c r="S962" s="20"/>
      <c r="T962" s="20"/>
      <c r="U962" s="20"/>
      <c r="V962" s="20"/>
      <c r="W962" s="20"/>
    </row>
    <row r="963" spans="1:23" x14ac:dyDescent="0.25">
      <c r="A963" s="177" t="s">
        <v>5908</v>
      </c>
      <c r="B963" s="177" t="s">
        <v>5909</v>
      </c>
      <c r="C963" s="178" t="s">
        <v>5910</v>
      </c>
      <c r="D963" s="173" t="s">
        <v>3968</v>
      </c>
      <c r="E963" s="20"/>
      <c r="F963" s="20"/>
      <c r="G963" s="175"/>
      <c r="H963" s="20"/>
      <c r="I963" s="20"/>
      <c r="J963" s="20"/>
      <c r="K963" s="20"/>
      <c r="L963" s="20"/>
      <c r="M963" s="20"/>
      <c r="N963" s="20"/>
      <c r="O963" s="20"/>
      <c r="P963" s="20"/>
      <c r="Q963" s="20"/>
      <c r="R963" s="20"/>
      <c r="S963" s="20"/>
      <c r="T963" s="20"/>
      <c r="U963" s="20"/>
      <c r="V963" s="20"/>
      <c r="W963" s="20"/>
    </row>
    <row r="964" spans="1:23" x14ac:dyDescent="0.25">
      <c r="A964" s="177" t="s">
        <v>5911</v>
      </c>
      <c r="B964" s="177" t="s">
        <v>618</v>
      </c>
      <c r="C964" s="178" t="s">
        <v>5912</v>
      </c>
      <c r="D964" s="173" t="s">
        <v>3968</v>
      </c>
      <c r="E964" s="20"/>
      <c r="F964" s="20"/>
      <c r="G964" s="175"/>
      <c r="H964" s="20"/>
      <c r="I964" s="20"/>
      <c r="J964" s="20"/>
      <c r="K964" s="20"/>
      <c r="L964" s="20"/>
      <c r="M964" s="20"/>
      <c r="N964" s="20"/>
      <c r="O964" s="20"/>
      <c r="P964" s="20"/>
      <c r="Q964" s="20"/>
      <c r="R964" s="20"/>
      <c r="S964" s="20"/>
      <c r="T964" s="20"/>
      <c r="U964" s="20"/>
      <c r="V964" s="20"/>
      <c r="W964" s="20"/>
    </row>
    <row r="965" spans="1:23" x14ac:dyDescent="0.25">
      <c r="A965" s="177" t="s">
        <v>5913</v>
      </c>
      <c r="B965" s="177" t="s">
        <v>619</v>
      </c>
      <c r="C965" s="178" t="s">
        <v>5914</v>
      </c>
      <c r="D965" s="173" t="s">
        <v>3968</v>
      </c>
      <c r="E965" s="20"/>
      <c r="F965" s="20"/>
      <c r="G965" s="175"/>
      <c r="H965" s="20"/>
      <c r="I965" s="20"/>
      <c r="J965" s="20"/>
      <c r="K965" s="20"/>
      <c r="L965" s="20"/>
      <c r="M965" s="20"/>
      <c r="N965" s="20"/>
      <c r="O965" s="20"/>
      <c r="P965" s="20"/>
      <c r="Q965" s="20"/>
      <c r="R965" s="20"/>
      <c r="S965" s="20"/>
      <c r="T965" s="20"/>
      <c r="U965" s="20"/>
      <c r="V965" s="20"/>
      <c r="W965" s="20"/>
    </row>
    <row r="966" spans="1:23" x14ac:dyDescent="0.25">
      <c r="A966" s="177" t="s">
        <v>5915</v>
      </c>
      <c r="B966" s="177" t="s">
        <v>620</v>
      </c>
      <c r="C966" s="178" t="s">
        <v>5916</v>
      </c>
      <c r="D966" s="173" t="s">
        <v>3968</v>
      </c>
      <c r="E966" s="20"/>
      <c r="F966" s="20"/>
      <c r="G966" s="175"/>
      <c r="H966" s="20"/>
      <c r="I966" s="20"/>
      <c r="J966" s="20"/>
      <c r="K966" s="20"/>
      <c r="L966" s="20"/>
      <c r="M966" s="20"/>
      <c r="N966" s="20"/>
      <c r="O966" s="20"/>
      <c r="P966" s="20"/>
      <c r="Q966" s="20"/>
      <c r="R966" s="20"/>
      <c r="S966" s="20"/>
      <c r="T966" s="20"/>
      <c r="U966" s="20"/>
      <c r="V966" s="20"/>
      <c r="W966" s="20"/>
    </row>
    <row r="967" spans="1:23" x14ac:dyDescent="0.25">
      <c r="A967" s="177" t="s">
        <v>5917</v>
      </c>
      <c r="B967" s="177" t="s">
        <v>594</v>
      </c>
      <c r="C967" s="178" t="s">
        <v>5918</v>
      </c>
      <c r="D967" s="173" t="s">
        <v>3968</v>
      </c>
      <c r="E967" s="20"/>
      <c r="F967" s="20"/>
      <c r="G967" s="175"/>
      <c r="H967" s="20"/>
      <c r="I967" s="20"/>
      <c r="J967" s="20"/>
      <c r="K967" s="20"/>
      <c r="L967" s="20"/>
      <c r="M967" s="20"/>
      <c r="N967" s="20"/>
      <c r="O967" s="20"/>
      <c r="P967" s="20"/>
      <c r="Q967" s="20"/>
      <c r="R967" s="20"/>
      <c r="S967" s="20"/>
      <c r="T967" s="20"/>
      <c r="U967" s="20"/>
      <c r="V967" s="20"/>
      <c r="W967" s="20"/>
    </row>
    <row r="968" spans="1:23" x14ac:dyDescent="0.25">
      <c r="A968" s="177" t="s">
        <v>5919</v>
      </c>
      <c r="B968" s="177" t="s">
        <v>396</v>
      </c>
      <c r="C968" s="178" t="s">
        <v>5920</v>
      </c>
      <c r="D968" s="173" t="s">
        <v>3968</v>
      </c>
      <c r="E968" s="20"/>
      <c r="F968" s="20"/>
      <c r="G968" s="175"/>
      <c r="H968" s="20"/>
      <c r="I968" s="20"/>
      <c r="J968" s="20"/>
      <c r="K968" s="20"/>
      <c r="L968" s="20"/>
      <c r="M968" s="20"/>
      <c r="N968" s="20"/>
      <c r="O968" s="20"/>
      <c r="P968" s="20"/>
      <c r="Q968" s="20"/>
      <c r="R968" s="20"/>
      <c r="S968" s="20"/>
      <c r="T968" s="20"/>
      <c r="U968" s="20"/>
      <c r="V968" s="20"/>
      <c r="W968" s="20"/>
    </row>
    <row r="969" spans="1:23" x14ac:dyDescent="0.25">
      <c r="A969" s="177" t="s">
        <v>5921</v>
      </c>
      <c r="B969" s="177" t="s">
        <v>879</v>
      </c>
      <c r="C969" s="178" t="s">
        <v>5922</v>
      </c>
      <c r="D969" s="173" t="s">
        <v>3968</v>
      </c>
      <c r="E969" s="20"/>
      <c r="F969" s="20"/>
      <c r="G969" s="175"/>
      <c r="H969" s="20"/>
      <c r="I969" s="20"/>
      <c r="J969" s="20"/>
      <c r="K969" s="20"/>
      <c r="L969" s="20"/>
      <c r="M969" s="20"/>
      <c r="N969" s="20"/>
      <c r="O969" s="20"/>
      <c r="P969" s="20"/>
      <c r="Q969" s="20"/>
      <c r="R969" s="20"/>
      <c r="S969" s="20"/>
      <c r="T969" s="20"/>
      <c r="U969" s="20"/>
      <c r="V969" s="20"/>
      <c r="W969" s="20"/>
    </row>
    <row r="970" spans="1:23" x14ac:dyDescent="0.25">
      <c r="A970" s="177" t="s">
        <v>5923</v>
      </c>
      <c r="B970" s="177" t="s">
        <v>5924</v>
      </c>
      <c r="C970" s="178" t="s">
        <v>5925</v>
      </c>
      <c r="D970" s="173" t="s">
        <v>3968</v>
      </c>
      <c r="E970" s="20"/>
      <c r="F970" s="20"/>
      <c r="G970" s="175"/>
      <c r="H970" s="20"/>
      <c r="I970" s="20"/>
      <c r="J970" s="20"/>
      <c r="K970" s="20"/>
      <c r="L970" s="20"/>
      <c r="M970" s="20"/>
      <c r="N970" s="20"/>
      <c r="O970" s="20"/>
      <c r="P970" s="20"/>
      <c r="Q970" s="20"/>
      <c r="R970" s="20"/>
      <c r="S970" s="20"/>
      <c r="T970" s="20"/>
      <c r="U970" s="20"/>
      <c r="V970" s="20"/>
      <c r="W970" s="20"/>
    </row>
    <row r="971" spans="1:23" x14ac:dyDescent="0.25">
      <c r="A971" s="177" t="s">
        <v>5926</v>
      </c>
      <c r="B971" s="177" t="s">
        <v>5927</v>
      </c>
      <c r="C971" s="178" t="s">
        <v>5928</v>
      </c>
      <c r="D971" s="173" t="s">
        <v>3968</v>
      </c>
      <c r="E971" s="20"/>
      <c r="F971" s="20"/>
      <c r="G971" s="175"/>
      <c r="H971" s="20"/>
      <c r="I971" s="20"/>
      <c r="J971" s="20"/>
      <c r="K971" s="20"/>
      <c r="L971" s="20"/>
      <c r="M971" s="20"/>
      <c r="N971" s="20"/>
      <c r="O971" s="20"/>
      <c r="P971" s="20"/>
      <c r="Q971" s="20"/>
      <c r="R971" s="20"/>
      <c r="S971" s="20"/>
      <c r="T971" s="20"/>
      <c r="U971" s="20"/>
      <c r="V971" s="20"/>
      <c r="W971" s="20"/>
    </row>
    <row r="972" spans="1:23" x14ac:dyDescent="0.25">
      <c r="A972" s="177" t="s">
        <v>5929</v>
      </c>
      <c r="B972" s="177" t="s">
        <v>5930</v>
      </c>
      <c r="C972" s="178" t="s">
        <v>5931</v>
      </c>
      <c r="D972" s="173" t="s">
        <v>3968</v>
      </c>
      <c r="E972" s="20"/>
      <c r="F972" s="20"/>
      <c r="G972" s="175"/>
      <c r="H972" s="20"/>
      <c r="I972" s="20"/>
      <c r="J972" s="20"/>
      <c r="K972" s="20"/>
      <c r="L972" s="20"/>
      <c r="M972" s="20"/>
      <c r="N972" s="20"/>
      <c r="O972" s="20"/>
      <c r="P972" s="20"/>
      <c r="Q972" s="20"/>
      <c r="R972" s="20"/>
      <c r="S972" s="20"/>
      <c r="T972" s="20"/>
      <c r="U972" s="20"/>
      <c r="V972" s="20"/>
      <c r="W972" s="20"/>
    </row>
    <row r="973" spans="1:23" x14ac:dyDescent="0.25">
      <c r="A973" s="177" t="s">
        <v>5932</v>
      </c>
      <c r="B973" s="177" t="s">
        <v>436</v>
      </c>
      <c r="C973" s="178" t="s">
        <v>5933</v>
      </c>
      <c r="D973" s="173" t="s">
        <v>3968</v>
      </c>
      <c r="E973" s="20"/>
      <c r="F973" s="20"/>
      <c r="G973" s="175"/>
      <c r="H973" s="20"/>
      <c r="I973" s="20"/>
      <c r="J973" s="20"/>
      <c r="K973" s="20"/>
      <c r="L973" s="20"/>
      <c r="M973" s="20"/>
      <c r="N973" s="20"/>
      <c r="O973" s="20"/>
      <c r="P973" s="20"/>
      <c r="Q973" s="20"/>
      <c r="R973" s="20"/>
      <c r="S973" s="20"/>
      <c r="T973" s="20"/>
      <c r="U973" s="20"/>
      <c r="V973" s="20"/>
      <c r="W973" s="20"/>
    </row>
    <row r="974" spans="1:23" x14ac:dyDescent="0.25">
      <c r="A974" s="177" t="s">
        <v>5934</v>
      </c>
      <c r="B974" s="177" t="s">
        <v>5935</v>
      </c>
      <c r="C974" s="178" t="s">
        <v>5936</v>
      </c>
      <c r="D974" s="173" t="s">
        <v>3968</v>
      </c>
      <c r="E974" s="20"/>
      <c r="F974" s="20"/>
      <c r="G974" s="175"/>
      <c r="H974" s="20"/>
      <c r="I974" s="20"/>
      <c r="J974" s="20"/>
      <c r="K974" s="20"/>
      <c r="L974" s="20"/>
      <c r="M974" s="20"/>
      <c r="N974" s="20"/>
      <c r="O974" s="20"/>
      <c r="P974" s="20"/>
      <c r="Q974" s="20"/>
      <c r="R974" s="20"/>
      <c r="S974" s="20"/>
      <c r="T974" s="20"/>
      <c r="U974" s="20"/>
      <c r="V974" s="20"/>
      <c r="W974" s="20"/>
    </row>
    <row r="975" spans="1:23" x14ac:dyDescent="0.25">
      <c r="A975" s="177" t="s">
        <v>5937</v>
      </c>
      <c r="B975" s="177" t="s">
        <v>5938</v>
      </c>
      <c r="C975" s="178" t="s">
        <v>5939</v>
      </c>
      <c r="D975" s="173" t="s">
        <v>3880</v>
      </c>
      <c r="E975" s="20"/>
      <c r="F975" s="20"/>
      <c r="G975" s="175"/>
      <c r="H975" s="20"/>
      <c r="I975" s="20"/>
      <c r="J975" s="20"/>
      <c r="K975" s="20"/>
      <c r="L975" s="20"/>
      <c r="M975" s="20"/>
      <c r="N975" s="20"/>
      <c r="O975" s="20"/>
      <c r="P975" s="20"/>
      <c r="Q975" s="20"/>
      <c r="R975" s="20"/>
      <c r="S975" s="20"/>
      <c r="T975" s="20"/>
      <c r="U975" s="20"/>
      <c r="V975" s="20"/>
      <c r="W975" s="20"/>
    </row>
    <row r="976" spans="1:23" x14ac:dyDescent="0.25">
      <c r="A976" s="177" t="s">
        <v>5940</v>
      </c>
      <c r="B976" s="177" t="s">
        <v>5941</v>
      </c>
      <c r="C976" s="178" t="s">
        <v>5942</v>
      </c>
      <c r="D976" s="173" t="s">
        <v>3968</v>
      </c>
      <c r="E976" s="20"/>
      <c r="F976" s="20"/>
      <c r="G976" s="175"/>
      <c r="H976" s="20"/>
      <c r="I976" s="20"/>
      <c r="J976" s="20"/>
      <c r="K976" s="20"/>
      <c r="L976" s="20"/>
      <c r="M976" s="20"/>
      <c r="N976" s="20"/>
      <c r="O976" s="20"/>
      <c r="P976" s="20"/>
      <c r="Q976" s="20"/>
      <c r="R976" s="20"/>
      <c r="S976" s="20"/>
      <c r="T976" s="20"/>
      <c r="U976" s="20"/>
      <c r="V976" s="20"/>
      <c r="W976" s="20"/>
    </row>
    <row r="977" spans="1:23" x14ac:dyDescent="0.25">
      <c r="A977" s="177" t="s">
        <v>5943</v>
      </c>
      <c r="B977" s="177" t="s">
        <v>5944</v>
      </c>
      <c r="C977" s="178" t="s">
        <v>5942</v>
      </c>
      <c r="D977" s="173" t="s">
        <v>3968</v>
      </c>
      <c r="E977" s="20"/>
      <c r="F977" s="20"/>
      <c r="G977" s="175"/>
      <c r="H977" s="20"/>
      <c r="I977" s="20"/>
      <c r="J977" s="20"/>
      <c r="K977" s="20"/>
      <c r="L977" s="20"/>
      <c r="M977" s="20"/>
      <c r="N977" s="20"/>
      <c r="O977" s="20"/>
      <c r="P977" s="20"/>
      <c r="Q977" s="20"/>
      <c r="R977" s="20"/>
      <c r="S977" s="20"/>
      <c r="T977" s="20"/>
      <c r="U977" s="20"/>
      <c r="V977" s="20"/>
      <c r="W977" s="20"/>
    </row>
    <row r="978" spans="1:23" x14ac:dyDescent="0.25">
      <c r="A978" s="177" t="s">
        <v>5945</v>
      </c>
      <c r="B978" s="177" t="s">
        <v>5946</v>
      </c>
      <c r="C978" s="178" t="s">
        <v>5947</v>
      </c>
      <c r="D978" s="173" t="s">
        <v>3968</v>
      </c>
      <c r="E978" s="20"/>
      <c r="F978" s="20"/>
      <c r="G978" s="175"/>
      <c r="H978" s="20"/>
      <c r="I978" s="20"/>
      <c r="J978" s="20"/>
      <c r="K978" s="20"/>
      <c r="L978" s="20"/>
      <c r="M978" s="20"/>
      <c r="N978" s="20"/>
      <c r="O978" s="20"/>
      <c r="P978" s="20"/>
      <c r="Q978" s="20"/>
      <c r="R978" s="20"/>
      <c r="S978" s="20"/>
      <c r="T978" s="20"/>
      <c r="U978" s="20"/>
      <c r="V978" s="20"/>
      <c r="W978" s="20"/>
    </row>
    <row r="979" spans="1:23" x14ac:dyDescent="0.25">
      <c r="A979" s="177" t="s">
        <v>5948</v>
      </c>
      <c r="B979" s="177" t="s">
        <v>5949</v>
      </c>
      <c r="C979" s="178" t="s">
        <v>5950</v>
      </c>
      <c r="D979" s="173" t="s">
        <v>3968</v>
      </c>
      <c r="E979" s="20"/>
      <c r="F979" s="20"/>
      <c r="G979" s="175"/>
      <c r="H979" s="20"/>
      <c r="I979" s="20"/>
      <c r="J979" s="20"/>
      <c r="K979" s="20"/>
      <c r="L979" s="20"/>
      <c r="M979" s="20"/>
      <c r="N979" s="20"/>
      <c r="O979" s="20"/>
      <c r="P979" s="20"/>
      <c r="Q979" s="20"/>
      <c r="R979" s="20"/>
      <c r="S979" s="20"/>
      <c r="T979" s="20"/>
      <c r="U979" s="20"/>
      <c r="V979" s="20"/>
      <c r="W979" s="20"/>
    </row>
    <row r="980" spans="1:23" x14ac:dyDescent="0.25">
      <c r="A980" s="177" t="s">
        <v>5951</v>
      </c>
      <c r="B980" s="177" t="s">
        <v>466</v>
      </c>
      <c r="C980" s="178" t="s">
        <v>5952</v>
      </c>
      <c r="D980" s="173" t="s">
        <v>3968</v>
      </c>
      <c r="E980" s="20"/>
      <c r="F980" s="20"/>
      <c r="G980" s="175"/>
      <c r="H980" s="20"/>
      <c r="I980" s="20"/>
      <c r="J980" s="20"/>
      <c r="K980" s="20"/>
      <c r="L980" s="20"/>
      <c r="M980" s="20"/>
      <c r="N980" s="20"/>
      <c r="O980" s="20"/>
      <c r="P980" s="20"/>
      <c r="Q980" s="20"/>
      <c r="R980" s="20"/>
      <c r="S980" s="20"/>
      <c r="T980" s="20"/>
      <c r="U980" s="20"/>
      <c r="V980" s="20"/>
      <c r="W980" s="20"/>
    </row>
    <row r="981" spans="1:23" x14ac:dyDescent="0.25">
      <c r="A981" s="177" t="s">
        <v>5953</v>
      </c>
      <c r="B981" s="177" t="s">
        <v>469</v>
      </c>
      <c r="C981" s="178" t="s">
        <v>5954</v>
      </c>
      <c r="D981" s="173" t="s">
        <v>3968</v>
      </c>
      <c r="E981" s="20"/>
      <c r="F981" s="20"/>
      <c r="G981" s="175"/>
      <c r="H981" s="20"/>
      <c r="I981" s="20"/>
      <c r="J981" s="20"/>
      <c r="K981" s="20"/>
      <c r="L981" s="20"/>
      <c r="M981" s="20"/>
      <c r="N981" s="20"/>
      <c r="O981" s="20"/>
      <c r="P981" s="20"/>
      <c r="Q981" s="20"/>
      <c r="R981" s="20"/>
      <c r="S981" s="20"/>
      <c r="T981" s="20"/>
      <c r="U981" s="20"/>
      <c r="V981" s="20"/>
      <c r="W981" s="20"/>
    </row>
    <row r="982" spans="1:23" x14ac:dyDescent="0.25">
      <c r="A982" s="177" t="s">
        <v>5955</v>
      </c>
      <c r="B982" s="177" t="s">
        <v>5956</v>
      </c>
      <c r="C982" s="178" t="s">
        <v>5957</v>
      </c>
      <c r="D982" s="173" t="s">
        <v>3968</v>
      </c>
      <c r="E982" s="20"/>
      <c r="F982" s="20"/>
      <c r="G982" s="175"/>
      <c r="H982" s="20"/>
      <c r="I982" s="20"/>
      <c r="J982" s="20"/>
      <c r="K982" s="20"/>
      <c r="L982" s="20"/>
      <c r="M982" s="20"/>
      <c r="N982" s="20"/>
      <c r="O982" s="20"/>
      <c r="P982" s="20"/>
      <c r="Q982" s="20"/>
      <c r="R982" s="20"/>
      <c r="S982" s="20"/>
      <c r="T982" s="20"/>
      <c r="U982" s="20"/>
      <c r="V982" s="20"/>
      <c r="W982" s="20"/>
    </row>
    <row r="983" spans="1:23" x14ac:dyDescent="0.25">
      <c r="A983" s="177" t="s">
        <v>5958</v>
      </c>
      <c r="B983" s="177" t="s">
        <v>5959</v>
      </c>
      <c r="C983" s="178" t="s">
        <v>5957</v>
      </c>
      <c r="D983" s="173" t="s">
        <v>3968</v>
      </c>
      <c r="E983" s="20"/>
      <c r="F983" s="20"/>
      <c r="G983" s="175"/>
      <c r="H983" s="20"/>
      <c r="I983" s="20"/>
      <c r="J983" s="20"/>
      <c r="K983" s="20"/>
      <c r="L983" s="20"/>
      <c r="M983" s="20"/>
      <c r="N983" s="20"/>
      <c r="O983" s="20"/>
      <c r="P983" s="20"/>
      <c r="Q983" s="20"/>
      <c r="R983" s="20"/>
      <c r="S983" s="20"/>
      <c r="T983" s="20"/>
      <c r="U983" s="20"/>
      <c r="V983" s="20"/>
      <c r="W983" s="20"/>
    </row>
    <row r="984" spans="1:23" x14ac:dyDescent="0.25">
      <c r="A984" s="177" t="s">
        <v>5960</v>
      </c>
      <c r="B984" s="177" t="s">
        <v>5961</v>
      </c>
      <c r="C984" s="178" t="s">
        <v>5962</v>
      </c>
      <c r="D984" s="173" t="s">
        <v>3968</v>
      </c>
      <c r="E984" s="20"/>
      <c r="F984" s="20"/>
      <c r="G984" s="175"/>
      <c r="H984" s="20"/>
      <c r="I984" s="20"/>
      <c r="J984" s="20"/>
      <c r="K984" s="20"/>
      <c r="L984" s="20"/>
      <c r="M984" s="20"/>
      <c r="N984" s="20"/>
      <c r="O984" s="20"/>
      <c r="P984" s="20"/>
      <c r="Q984" s="20"/>
      <c r="R984" s="20"/>
      <c r="S984" s="20"/>
      <c r="T984" s="20"/>
      <c r="U984" s="20"/>
      <c r="V984" s="20"/>
      <c r="W984" s="20"/>
    </row>
    <row r="985" spans="1:23" x14ac:dyDescent="0.25">
      <c r="A985" s="177" t="s">
        <v>5963</v>
      </c>
      <c r="B985" s="177" t="s">
        <v>2115</v>
      </c>
      <c r="C985" s="178" t="s">
        <v>5964</v>
      </c>
      <c r="D985" s="173" t="s">
        <v>3968</v>
      </c>
      <c r="E985" s="20"/>
      <c r="F985" s="20"/>
      <c r="G985" s="175"/>
      <c r="H985" s="20"/>
      <c r="I985" s="20"/>
      <c r="J985" s="20"/>
      <c r="K985" s="20"/>
      <c r="L985" s="20"/>
      <c r="M985" s="20"/>
      <c r="N985" s="20"/>
      <c r="O985" s="20"/>
      <c r="P985" s="20"/>
      <c r="Q985" s="20"/>
      <c r="R985" s="20"/>
      <c r="S985" s="20"/>
      <c r="T985" s="20"/>
      <c r="U985" s="20"/>
      <c r="V985" s="20"/>
      <c r="W985" s="20"/>
    </row>
    <row r="986" spans="1:23" x14ac:dyDescent="0.25">
      <c r="A986" s="177" t="s">
        <v>5960</v>
      </c>
      <c r="B986" s="177" t="s">
        <v>5965</v>
      </c>
      <c r="C986" s="178" t="s">
        <v>5966</v>
      </c>
      <c r="D986" s="173" t="s">
        <v>3968</v>
      </c>
      <c r="E986" s="20"/>
      <c r="F986" s="20"/>
      <c r="G986" s="175"/>
      <c r="H986" s="20"/>
      <c r="I986" s="20"/>
      <c r="J986" s="20"/>
      <c r="K986" s="20"/>
      <c r="L986" s="20"/>
      <c r="M986" s="20"/>
      <c r="N986" s="20"/>
      <c r="O986" s="20"/>
      <c r="P986" s="20"/>
      <c r="Q986" s="20"/>
      <c r="R986" s="20"/>
      <c r="S986" s="20"/>
      <c r="T986" s="20"/>
      <c r="U986" s="20"/>
      <c r="V986" s="20"/>
      <c r="W986" s="20"/>
    </row>
    <row r="987" spans="1:23" x14ac:dyDescent="0.25">
      <c r="A987" s="177" t="s">
        <v>5963</v>
      </c>
      <c r="B987" s="177" t="s">
        <v>5967</v>
      </c>
      <c r="C987" s="178" t="s">
        <v>5968</v>
      </c>
      <c r="D987" s="173" t="s">
        <v>3968</v>
      </c>
      <c r="E987" s="20"/>
      <c r="F987" s="20"/>
      <c r="G987" s="175"/>
      <c r="H987" s="20"/>
      <c r="I987" s="20"/>
      <c r="J987" s="20"/>
      <c r="K987" s="20"/>
      <c r="L987" s="20"/>
      <c r="M987" s="20"/>
      <c r="N987" s="20"/>
      <c r="O987" s="20"/>
      <c r="P987" s="20"/>
      <c r="Q987" s="20"/>
      <c r="R987" s="20"/>
      <c r="S987" s="20"/>
      <c r="T987" s="20"/>
      <c r="U987" s="20"/>
      <c r="V987" s="20"/>
      <c r="W987" s="20"/>
    </row>
    <row r="988" spans="1:23" x14ac:dyDescent="0.25">
      <c r="A988" s="177" t="s">
        <v>5969</v>
      </c>
      <c r="B988" s="177" t="s">
        <v>5970</v>
      </c>
      <c r="C988" s="178" t="s">
        <v>5971</v>
      </c>
      <c r="D988" s="173" t="s">
        <v>3968</v>
      </c>
      <c r="E988" s="20"/>
      <c r="F988" s="20"/>
      <c r="G988" s="175"/>
      <c r="H988" s="20"/>
      <c r="I988" s="20"/>
      <c r="J988" s="20"/>
      <c r="K988" s="20"/>
      <c r="L988" s="20"/>
      <c r="M988" s="20"/>
      <c r="N988" s="20"/>
      <c r="O988" s="20"/>
      <c r="P988" s="20"/>
      <c r="Q988" s="20"/>
      <c r="R988" s="20"/>
      <c r="S988" s="20"/>
      <c r="T988" s="20"/>
      <c r="U988" s="20"/>
      <c r="V988" s="20"/>
      <c r="W988" s="20"/>
    </row>
    <row r="989" spans="1:23" x14ac:dyDescent="0.25">
      <c r="A989" s="177" t="s">
        <v>5972</v>
      </c>
      <c r="B989" s="177" t="s">
        <v>5973</v>
      </c>
      <c r="C989" s="178" t="s">
        <v>5974</v>
      </c>
      <c r="D989" s="173" t="s">
        <v>3968</v>
      </c>
      <c r="E989" s="20"/>
      <c r="F989" s="20"/>
      <c r="G989" s="175"/>
      <c r="H989" s="20"/>
      <c r="I989" s="20"/>
      <c r="J989" s="20"/>
      <c r="K989" s="20"/>
      <c r="L989" s="20"/>
      <c r="M989" s="20"/>
      <c r="N989" s="20"/>
      <c r="O989" s="20"/>
      <c r="P989" s="20"/>
      <c r="Q989" s="20"/>
      <c r="R989" s="20"/>
      <c r="S989" s="20"/>
      <c r="T989" s="20"/>
      <c r="U989" s="20"/>
      <c r="V989" s="20"/>
      <c r="W989" s="20"/>
    </row>
    <row r="990" spans="1:23" x14ac:dyDescent="0.25">
      <c r="A990" s="177" t="s">
        <v>5975</v>
      </c>
      <c r="B990" s="177" t="s">
        <v>5976</v>
      </c>
      <c r="C990" s="178" t="s">
        <v>5977</v>
      </c>
      <c r="D990" s="173" t="s">
        <v>3968</v>
      </c>
      <c r="E990" s="20"/>
      <c r="F990" s="20"/>
      <c r="G990" s="175"/>
      <c r="H990" s="20"/>
      <c r="I990" s="20"/>
      <c r="J990" s="20"/>
      <c r="K990" s="20"/>
      <c r="L990" s="20"/>
      <c r="M990" s="20"/>
      <c r="N990" s="20"/>
      <c r="O990" s="20"/>
      <c r="P990" s="20"/>
      <c r="Q990" s="20"/>
      <c r="R990" s="20"/>
      <c r="S990" s="20"/>
      <c r="T990" s="20"/>
      <c r="U990" s="20"/>
      <c r="V990" s="20"/>
      <c r="W990" s="20"/>
    </row>
    <row r="991" spans="1:23" x14ac:dyDescent="0.25">
      <c r="A991" s="177" t="s">
        <v>5978</v>
      </c>
      <c r="B991" s="177" t="s">
        <v>5979</v>
      </c>
      <c r="C991" s="178" t="s">
        <v>5980</v>
      </c>
      <c r="D991" s="173" t="s">
        <v>3968</v>
      </c>
      <c r="E991" s="20"/>
      <c r="F991" s="20"/>
      <c r="G991" s="175"/>
      <c r="H991" s="20"/>
      <c r="I991" s="20"/>
      <c r="J991" s="20"/>
      <c r="K991" s="20"/>
      <c r="L991" s="20"/>
      <c r="M991" s="20"/>
      <c r="N991" s="20"/>
      <c r="O991" s="20"/>
      <c r="P991" s="20"/>
      <c r="Q991" s="20"/>
      <c r="R991" s="20"/>
      <c r="S991" s="20"/>
      <c r="T991" s="20"/>
      <c r="U991" s="20"/>
      <c r="V991" s="20"/>
      <c r="W991" s="20"/>
    </row>
    <row r="992" spans="1:23" x14ac:dyDescent="0.25">
      <c r="A992" s="177" t="s">
        <v>5981</v>
      </c>
      <c r="B992" s="177" t="s">
        <v>5982</v>
      </c>
      <c r="C992" s="178" t="s">
        <v>5983</v>
      </c>
      <c r="D992" s="173" t="s">
        <v>3968</v>
      </c>
      <c r="E992" s="20"/>
      <c r="F992" s="20"/>
      <c r="G992" s="175"/>
      <c r="H992" s="20"/>
      <c r="I992" s="20"/>
      <c r="J992" s="20"/>
      <c r="K992" s="20"/>
      <c r="L992" s="20"/>
      <c r="M992" s="20"/>
      <c r="N992" s="20"/>
      <c r="O992" s="20"/>
      <c r="P992" s="20"/>
      <c r="Q992" s="20"/>
      <c r="R992" s="20"/>
      <c r="S992" s="20"/>
      <c r="T992" s="20"/>
      <c r="U992" s="20"/>
      <c r="V992" s="20"/>
      <c r="W992" s="20"/>
    </row>
    <row r="993" spans="1:23" x14ac:dyDescent="0.25">
      <c r="A993" s="177" t="s">
        <v>5984</v>
      </c>
      <c r="B993" s="177" t="s">
        <v>5985</v>
      </c>
      <c r="C993" s="178" t="s">
        <v>5986</v>
      </c>
      <c r="D993" s="173" t="s">
        <v>3968</v>
      </c>
      <c r="E993" s="20"/>
      <c r="F993" s="20"/>
      <c r="G993" s="175"/>
      <c r="H993" s="20"/>
      <c r="I993" s="20"/>
      <c r="J993" s="20"/>
      <c r="K993" s="20"/>
      <c r="L993" s="20"/>
      <c r="M993" s="20"/>
      <c r="N993" s="20"/>
      <c r="O993" s="20"/>
      <c r="P993" s="20"/>
      <c r="Q993" s="20"/>
      <c r="R993" s="20"/>
      <c r="S993" s="20"/>
      <c r="T993" s="20"/>
      <c r="U993" s="20"/>
      <c r="V993" s="20"/>
      <c r="W993" s="20"/>
    </row>
    <row r="994" spans="1:23" x14ac:dyDescent="0.25">
      <c r="A994" s="177" t="s">
        <v>5987</v>
      </c>
      <c r="B994" s="177" t="s">
        <v>5988</v>
      </c>
      <c r="C994" s="178" t="s">
        <v>5989</v>
      </c>
      <c r="D994" s="173" t="s">
        <v>3968</v>
      </c>
      <c r="E994" s="20"/>
      <c r="F994" s="20"/>
      <c r="G994" s="175"/>
      <c r="H994" s="20"/>
      <c r="I994" s="20"/>
      <c r="J994" s="20"/>
      <c r="K994" s="20"/>
      <c r="L994" s="20"/>
      <c r="M994" s="20"/>
      <c r="N994" s="20"/>
      <c r="O994" s="20"/>
      <c r="P994" s="20"/>
      <c r="Q994" s="20"/>
      <c r="R994" s="20"/>
      <c r="S994" s="20"/>
      <c r="T994" s="20"/>
      <c r="U994" s="20"/>
      <c r="V994" s="20"/>
      <c r="W994" s="20"/>
    </row>
    <row r="995" spans="1:23" x14ac:dyDescent="0.25">
      <c r="A995" s="177" t="s">
        <v>5990</v>
      </c>
      <c r="B995" s="177" t="s">
        <v>5991</v>
      </c>
      <c r="C995" s="178" t="s">
        <v>5992</v>
      </c>
      <c r="D995" s="173" t="s">
        <v>3968</v>
      </c>
      <c r="E995" s="20"/>
      <c r="F995" s="20"/>
      <c r="G995" s="175"/>
      <c r="H995" s="20"/>
      <c r="I995" s="20"/>
      <c r="J995" s="20"/>
      <c r="K995" s="20"/>
      <c r="L995" s="20"/>
      <c r="M995" s="20"/>
      <c r="N995" s="20"/>
      <c r="O995" s="20"/>
      <c r="P995" s="20"/>
      <c r="Q995" s="20"/>
      <c r="R995" s="20"/>
      <c r="S995" s="20"/>
      <c r="T995" s="20"/>
      <c r="U995" s="20"/>
      <c r="V995" s="20"/>
      <c r="W995" s="20"/>
    </row>
    <row r="996" spans="1:23" x14ac:dyDescent="0.25">
      <c r="A996" s="177" t="s">
        <v>5993</v>
      </c>
      <c r="B996" s="177" t="s">
        <v>5994</v>
      </c>
      <c r="C996" s="178" t="s">
        <v>5995</v>
      </c>
      <c r="D996" s="173" t="s">
        <v>3968</v>
      </c>
      <c r="E996" s="20"/>
      <c r="F996" s="20"/>
      <c r="G996" s="175"/>
      <c r="H996" s="20"/>
      <c r="I996" s="20"/>
      <c r="J996" s="20"/>
      <c r="K996" s="20"/>
      <c r="L996" s="20"/>
      <c r="M996" s="20"/>
      <c r="N996" s="20"/>
      <c r="O996" s="20"/>
      <c r="P996" s="20"/>
      <c r="Q996" s="20"/>
      <c r="R996" s="20"/>
      <c r="S996" s="20"/>
      <c r="T996" s="20"/>
      <c r="U996" s="20"/>
      <c r="V996" s="20"/>
      <c r="W996" s="20"/>
    </row>
    <row r="997" spans="1:23" x14ac:dyDescent="0.25">
      <c r="A997" s="171" t="s">
        <v>5996</v>
      </c>
      <c r="B997" s="177" t="s">
        <v>5997</v>
      </c>
      <c r="C997" s="178" t="s">
        <v>5998</v>
      </c>
      <c r="D997" s="173" t="s">
        <v>3968</v>
      </c>
      <c r="E997" s="20"/>
      <c r="F997" s="20"/>
      <c r="G997" s="175"/>
      <c r="H997" s="20"/>
      <c r="I997" s="20"/>
      <c r="J997" s="20"/>
      <c r="K997" s="20"/>
      <c r="L997" s="20"/>
      <c r="M997" s="20"/>
      <c r="N997" s="20"/>
      <c r="O997" s="20"/>
      <c r="P997" s="20"/>
      <c r="Q997" s="20"/>
      <c r="R997" s="20"/>
      <c r="S997" s="20"/>
      <c r="T997" s="20"/>
      <c r="U997" s="20"/>
      <c r="V997" s="20"/>
      <c r="W997" s="20"/>
    </row>
    <row r="998" spans="1:23" x14ac:dyDescent="0.25">
      <c r="A998" s="177" t="s">
        <v>5999</v>
      </c>
      <c r="B998" s="177" t="s">
        <v>6000</v>
      </c>
      <c r="C998" s="178" t="s">
        <v>6001</v>
      </c>
      <c r="D998" s="173" t="s">
        <v>3968</v>
      </c>
      <c r="E998" s="20"/>
      <c r="F998" s="20"/>
      <c r="G998" s="175"/>
      <c r="H998" s="20"/>
      <c r="I998" s="20"/>
      <c r="J998" s="20"/>
      <c r="K998" s="20"/>
      <c r="L998" s="20"/>
      <c r="M998" s="20"/>
      <c r="N998" s="20"/>
      <c r="O998" s="20"/>
      <c r="P998" s="20"/>
      <c r="Q998" s="20"/>
      <c r="R998" s="20"/>
      <c r="S998" s="20"/>
      <c r="T998" s="20"/>
      <c r="U998" s="20"/>
      <c r="V998" s="20"/>
      <c r="W998" s="20"/>
    </row>
    <row r="999" spans="1:23" x14ac:dyDescent="0.25">
      <c r="A999" s="177" t="s">
        <v>6002</v>
      </c>
      <c r="B999" s="177" t="s">
        <v>6003</v>
      </c>
      <c r="C999" s="178" t="s">
        <v>6004</v>
      </c>
      <c r="D999" s="173" t="s">
        <v>3968</v>
      </c>
      <c r="E999" s="20"/>
      <c r="F999" s="20"/>
      <c r="G999" s="175"/>
      <c r="H999" s="20"/>
      <c r="I999" s="20"/>
      <c r="J999" s="20"/>
      <c r="K999" s="20"/>
      <c r="L999" s="20"/>
      <c r="M999" s="20"/>
      <c r="N999" s="20"/>
      <c r="O999" s="20"/>
      <c r="P999" s="20"/>
      <c r="Q999" s="20"/>
      <c r="R999" s="20"/>
      <c r="S999" s="20"/>
      <c r="T999" s="20"/>
      <c r="U999" s="20"/>
      <c r="V999" s="20"/>
      <c r="W999" s="20"/>
    </row>
    <row r="1000" spans="1:23" x14ac:dyDescent="0.25">
      <c r="A1000" s="177" t="s">
        <v>6005</v>
      </c>
      <c r="B1000" s="177" t="s">
        <v>6006</v>
      </c>
      <c r="C1000" s="178" t="s">
        <v>6007</v>
      </c>
      <c r="D1000" s="173" t="s">
        <v>3968</v>
      </c>
      <c r="E1000" s="20"/>
      <c r="F1000" s="20"/>
      <c r="G1000" s="175"/>
      <c r="H1000" s="20"/>
      <c r="I1000" s="20"/>
      <c r="J1000" s="20"/>
      <c r="K1000" s="20"/>
      <c r="L1000" s="20"/>
      <c r="M1000" s="20"/>
      <c r="N1000" s="20"/>
      <c r="O1000" s="20"/>
      <c r="P1000" s="20"/>
      <c r="Q1000" s="20"/>
      <c r="R1000" s="20"/>
      <c r="S1000" s="20"/>
      <c r="T1000" s="20"/>
      <c r="U1000" s="20"/>
      <c r="V1000" s="20"/>
      <c r="W1000" s="20"/>
    </row>
    <row r="1001" spans="1:23" x14ac:dyDescent="0.25">
      <c r="A1001" s="177" t="s">
        <v>6008</v>
      </c>
      <c r="B1001" s="177" t="s">
        <v>6009</v>
      </c>
      <c r="C1001" s="178" t="s">
        <v>6010</v>
      </c>
      <c r="D1001" s="173" t="s">
        <v>3968</v>
      </c>
      <c r="E1001" s="20"/>
      <c r="F1001" s="20"/>
      <c r="G1001" s="175"/>
      <c r="H1001" s="20"/>
      <c r="I1001" s="20"/>
      <c r="J1001" s="20"/>
      <c r="K1001" s="20"/>
      <c r="L1001" s="20"/>
      <c r="M1001" s="20"/>
      <c r="N1001" s="20"/>
      <c r="O1001" s="20"/>
      <c r="P1001" s="20"/>
      <c r="Q1001" s="20"/>
      <c r="R1001" s="20"/>
      <c r="S1001" s="20"/>
      <c r="T1001" s="20"/>
      <c r="U1001" s="20"/>
      <c r="V1001" s="20"/>
      <c r="W1001" s="20"/>
    </row>
    <row r="1002" spans="1:23" x14ac:dyDescent="0.25">
      <c r="A1002" s="177" t="s">
        <v>6011</v>
      </c>
      <c r="B1002" s="177" t="s">
        <v>6012</v>
      </c>
      <c r="C1002" s="178" t="s">
        <v>6013</v>
      </c>
      <c r="D1002" s="173" t="s">
        <v>3968</v>
      </c>
      <c r="E1002" s="20"/>
      <c r="F1002" s="20"/>
      <c r="G1002" s="175"/>
      <c r="H1002" s="20"/>
      <c r="I1002" s="20"/>
      <c r="J1002" s="20"/>
      <c r="K1002" s="20"/>
      <c r="L1002" s="20"/>
      <c r="M1002" s="20"/>
      <c r="N1002" s="20"/>
      <c r="O1002" s="20"/>
      <c r="P1002" s="20"/>
      <c r="Q1002" s="20"/>
      <c r="R1002" s="20"/>
      <c r="S1002" s="20"/>
      <c r="T1002" s="20"/>
      <c r="U1002" s="20"/>
      <c r="V1002" s="20"/>
      <c r="W1002" s="20"/>
    </row>
    <row r="1003" spans="1:23" x14ac:dyDescent="0.25">
      <c r="A1003" s="177" t="s">
        <v>6014</v>
      </c>
      <c r="B1003" s="177" t="s">
        <v>6015</v>
      </c>
      <c r="C1003" s="178" t="s">
        <v>6016</v>
      </c>
      <c r="D1003" s="173" t="s">
        <v>3968</v>
      </c>
      <c r="E1003" s="20"/>
      <c r="F1003" s="20"/>
      <c r="G1003" s="175"/>
      <c r="H1003" s="20"/>
      <c r="I1003" s="20"/>
      <c r="J1003" s="20"/>
      <c r="K1003" s="20"/>
      <c r="L1003" s="20"/>
      <c r="M1003" s="20"/>
      <c r="N1003" s="20"/>
      <c r="O1003" s="20"/>
      <c r="P1003" s="20"/>
      <c r="Q1003" s="20"/>
      <c r="R1003" s="20"/>
      <c r="S1003" s="20"/>
      <c r="T1003" s="20"/>
      <c r="U1003" s="20"/>
      <c r="V1003" s="20"/>
      <c r="W1003" s="20"/>
    </row>
    <row r="1004" spans="1:23" x14ac:dyDescent="0.25">
      <c r="A1004" s="177" t="s">
        <v>6017</v>
      </c>
      <c r="B1004" s="177" t="s">
        <v>6018</v>
      </c>
      <c r="C1004" s="178" t="s">
        <v>6019</v>
      </c>
      <c r="D1004" s="173" t="s">
        <v>3968</v>
      </c>
      <c r="E1004" s="20"/>
      <c r="F1004" s="20"/>
      <c r="G1004" s="175"/>
      <c r="H1004" s="20"/>
      <c r="I1004" s="20"/>
      <c r="J1004" s="20"/>
      <c r="K1004" s="20"/>
      <c r="L1004" s="20"/>
      <c r="M1004" s="20"/>
      <c r="N1004" s="20"/>
      <c r="O1004" s="20"/>
      <c r="P1004" s="20"/>
      <c r="Q1004" s="20"/>
      <c r="R1004" s="20"/>
      <c r="S1004" s="20"/>
      <c r="T1004" s="20"/>
      <c r="U1004" s="20"/>
      <c r="V1004" s="20"/>
      <c r="W1004" s="20"/>
    </row>
    <row r="1005" spans="1:23" x14ac:dyDescent="0.25">
      <c r="A1005" s="177" t="s">
        <v>6020</v>
      </c>
      <c r="B1005" s="177" t="s">
        <v>6021</v>
      </c>
      <c r="C1005" s="178" t="s">
        <v>6022</v>
      </c>
      <c r="D1005" s="173" t="s">
        <v>3968</v>
      </c>
      <c r="E1005" s="20"/>
      <c r="F1005" s="20"/>
      <c r="G1005" s="175"/>
      <c r="H1005" s="20"/>
      <c r="I1005" s="20"/>
      <c r="J1005" s="20"/>
      <c r="K1005" s="20"/>
      <c r="L1005" s="20"/>
      <c r="M1005" s="20"/>
      <c r="N1005" s="20"/>
      <c r="O1005" s="20"/>
      <c r="P1005" s="20"/>
      <c r="Q1005" s="20"/>
      <c r="R1005" s="20"/>
      <c r="S1005" s="20"/>
      <c r="T1005" s="20"/>
      <c r="U1005" s="20"/>
      <c r="V1005" s="20"/>
      <c r="W1005" s="20"/>
    </row>
    <row r="1006" spans="1:23" x14ac:dyDescent="0.25">
      <c r="A1006" s="177" t="s">
        <v>6023</v>
      </c>
      <c r="B1006" s="177" t="s">
        <v>6024</v>
      </c>
      <c r="C1006" s="178" t="s">
        <v>6025</v>
      </c>
      <c r="D1006" s="173" t="s">
        <v>3968</v>
      </c>
      <c r="E1006" s="20"/>
      <c r="F1006" s="20"/>
      <c r="G1006" s="175"/>
      <c r="H1006" s="20"/>
      <c r="I1006" s="20"/>
      <c r="J1006" s="20"/>
      <c r="K1006" s="20"/>
      <c r="L1006" s="20"/>
      <c r="M1006" s="20"/>
      <c r="N1006" s="20"/>
      <c r="O1006" s="20"/>
      <c r="P1006" s="20"/>
      <c r="Q1006" s="20"/>
      <c r="R1006" s="20"/>
      <c r="S1006" s="20"/>
      <c r="T1006" s="20"/>
      <c r="U1006" s="20"/>
      <c r="V1006" s="20"/>
      <c r="W1006" s="20"/>
    </row>
    <row r="1007" spans="1:23" x14ac:dyDescent="0.25">
      <c r="A1007" s="177" t="s">
        <v>6026</v>
      </c>
      <c r="B1007" s="177" t="s">
        <v>6027</v>
      </c>
      <c r="C1007" s="178" t="s">
        <v>6028</v>
      </c>
      <c r="D1007" s="173" t="s">
        <v>3968</v>
      </c>
      <c r="E1007" s="20"/>
      <c r="F1007" s="20"/>
      <c r="G1007" s="175"/>
      <c r="H1007" s="20"/>
      <c r="I1007" s="20"/>
      <c r="J1007" s="20"/>
      <c r="K1007" s="20"/>
      <c r="L1007" s="20"/>
      <c r="M1007" s="20"/>
      <c r="N1007" s="20"/>
      <c r="O1007" s="20"/>
      <c r="P1007" s="20"/>
      <c r="Q1007" s="20"/>
      <c r="R1007" s="20"/>
      <c r="S1007" s="20"/>
      <c r="T1007" s="20"/>
      <c r="U1007" s="20"/>
      <c r="V1007" s="20"/>
      <c r="W1007" s="20"/>
    </row>
    <row r="1008" spans="1:23" x14ac:dyDescent="0.25">
      <c r="A1008" s="177" t="s">
        <v>6029</v>
      </c>
      <c r="B1008" s="177" t="s">
        <v>6030</v>
      </c>
      <c r="C1008" s="178" t="s">
        <v>6031</v>
      </c>
      <c r="D1008" s="173" t="s">
        <v>3968</v>
      </c>
      <c r="E1008" s="20"/>
      <c r="F1008" s="20"/>
      <c r="G1008" s="175"/>
      <c r="H1008" s="20"/>
      <c r="I1008" s="20"/>
      <c r="J1008" s="20"/>
      <c r="K1008" s="20"/>
      <c r="L1008" s="20"/>
      <c r="M1008" s="20"/>
      <c r="N1008" s="20"/>
      <c r="O1008" s="20"/>
      <c r="P1008" s="20"/>
      <c r="Q1008" s="20"/>
      <c r="R1008" s="20"/>
      <c r="S1008" s="20"/>
      <c r="T1008" s="20"/>
      <c r="U1008" s="20"/>
      <c r="V1008" s="20"/>
      <c r="W1008" s="20"/>
    </row>
    <row r="1009" spans="1:23" x14ac:dyDescent="0.25">
      <c r="A1009" s="177" t="s">
        <v>6032</v>
      </c>
      <c r="B1009" s="177" t="s">
        <v>6033</v>
      </c>
      <c r="C1009" s="178" t="s">
        <v>6034</v>
      </c>
      <c r="D1009" s="173" t="s">
        <v>3968</v>
      </c>
      <c r="E1009" s="20"/>
      <c r="F1009" s="20"/>
      <c r="G1009" s="175"/>
      <c r="H1009" s="20"/>
      <c r="I1009" s="20"/>
      <c r="J1009" s="20"/>
      <c r="K1009" s="20"/>
      <c r="L1009" s="20"/>
      <c r="M1009" s="20"/>
      <c r="N1009" s="20"/>
      <c r="O1009" s="20"/>
      <c r="P1009" s="20"/>
      <c r="Q1009" s="20"/>
      <c r="R1009" s="20"/>
      <c r="S1009" s="20"/>
      <c r="T1009" s="20"/>
      <c r="U1009" s="20"/>
      <c r="V1009" s="20"/>
      <c r="W1009" s="20"/>
    </row>
    <row r="1010" spans="1:23" x14ac:dyDescent="0.25">
      <c r="A1010" s="177" t="s">
        <v>6035</v>
      </c>
      <c r="B1010" s="177" t="s">
        <v>6036</v>
      </c>
      <c r="C1010" s="178" t="s">
        <v>6037</v>
      </c>
      <c r="D1010" s="173" t="s">
        <v>3968</v>
      </c>
      <c r="E1010" s="20"/>
      <c r="F1010" s="20"/>
      <c r="G1010" s="175"/>
      <c r="H1010" s="20"/>
      <c r="I1010" s="20"/>
      <c r="J1010" s="20"/>
      <c r="K1010" s="20"/>
      <c r="L1010" s="20"/>
      <c r="M1010" s="20"/>
      <c r="N1010" s="20"/>
      <c r="O1010" s="20"/>
      <c r="P1010" s="20"/>
      <c r="Q1010" s="20"/>
      <c r="R1010" s="20"/>
      <c r="S1010" s="20"/>
      <c r="T1010" s="20"/>
      <c r="U1010" s="20"/>
      <c r="V1010" s="20"/>
      <c r="W1010" s="20"/>
    </row>
    <row r="1011" spans="1:23" x14ac:dyDescent="0.25">
      <c r="A1011" s="177" t="s">
        <v>6038</v>
      </c>
      <c r="B1011" s="177" t="s">
        <v>6039</v>
      </c>
      <c r="C1011" s="178" t="s">
        <v>6040</v>
      </c>
      <c r="D1011" s="173" t="s">
        <v>3968</v>
      </c>
      <c r="E1011" s="20"/>
      <c r="F1011" s="20"/>
      <c r="G1011" s="175"/>
      <c r="H1011" s="20"/>
      <c r="I1011" s="20"/>
      <c r="J1011" s="20"/>
      <c r="K1011" s="20"/>
      <c r="L1011" s="20"/>
      <c r="M1011" s="20"/>
      <c r="N1011" s="20"/>
      <c r="O1011" s="20"/>
      <c r="P1011" s="20"/>
      <c r="Q1011" s="20"/>
      <c r="R1011" s="20"/>
      <c r="S1011" s="20"/>
      <c r="T1011" s="20"/>
      <c r="U1011" s="20"/>
      <c r="V1011" s="20"/>
      <c r="W1011" s="20"/>
    </row>
    <row r="1012" spans="1:23" x14ac:dyDescent="0.25">
      <c r="A1012" s="177" t="s">
        <v>6041</v>
      </c>
      <c r="B1012" s="177" t="s">
        <v>6042</v>
      </c>
      <c r="C1012" s="178" t="s">
        <v>6043</v>
      </c>
      <c r="D1012" s="173" t="s">
        <v>3968</v>
      </c>
      <c r="E1012" s="20"/>
      <c r="F1012" s="20"/>
      <c r="G1012" s="175"/>
      <c r="H1012" s="20"/>
      <c r="I1012" s="20"/>
      <c r="J1012" s="20"/>
      <c r="K1012" s="20"/>
      <c r="L1012" s="20"/>
      <c r="M1012" s="20"/>
      <c r="N1012" s="20"/>
      <c r="O1012" s="20"/>
      <c r="P1012" s="20"/>
      <c r="Q1012" s="20"/>
      <c r="R1012" s="20"/>
      <c r="S1012" s="20"/>
      <c r="T1012" s="20"/>
      <c r="U1012" s="20"/>
      <c r="V1012" s="20"/>
      <c r="W1012" s="20"/>
    </row>
    <row r="1013" spans="1:23" x14ac:dyDescent="0.25">
      <c r="A1013" s="177" t="s">
        <v>6044</v>
      </c>
      <c r="B1013" s="177" t="s">
        <v>6045</v>
      </c>
      <c r="C1013" s="178" t="s">
        <v>6046</v>
      </c>
      <c r="D1013" s="173" t="s">
        <v>3968</v>
      </c>
      <c r="E1013" s="20"/>
      <c r="F1013" s="20"/>
      <c r="G1013" s="175"/>
      <c r="H1013" s="20"/>
      <c r="I1013" s="20"/>
      <c r="J1013" s="20"/>
      <c r="K1013" s="20"/>
      <c r="L1013" s="20"/>
      <c r="M1013" s="20"/>
      <c r="N1013" s="20"/>
      <c r="O1013" s="20"/>
      <c r="P1013" s="20"/>
      <c r="Q1013" s="20"/>
      <c r="R1013" s="20"/>
      <c r="S1013" s="20"/>
      <c r="T1013" s="20"/>
      <c r="U1013" s="20"/>
      <c r="V1013" s="20"/>
      <c r="W1013" s="20"/>
    </row>
    <row r="1014" spans="1:23" x14ac:dyDescent="0.25">
      <c r="A1014" s="177" t="s">
        <v>6047</v>
      </c>
      <c r="B1014" s="177" t="s">
        <v>6048</v>
      </c>
      <c r="C1014" s="178" t="s">
        <v>6049</v>
      </c>
      <c r="D1014" s="173" t="s">
        <v>3968</v>
      </c>
      <c r="E1014" s="20"/>
      <c r="F1014" s="20"/>
      <c r="G1014" s="175"/>
      <c r="H1014" s="20"/>
      <c r="I1014" s="20"/>
      <c r="J1014" s="20"/>
      <c r="K1014" s="20"/>
      <c r="L1014" s="20"/>
      <c r="M1014" s="20"/>
      <c r="N1014" s="20"/>
      <c r="O1014" s="20"/>
      <c r="P1014" s="20"/>
      <c r="Q1014" s="20"/>
      <c r="R1014" s="20"/>
      <c r="S1014" s="20"/>
      <c r="T1014" s="20"/>
      <c r="U1014" s="20"/>
      <c r="V1014" s="20"/>
      <c r="W1014" s="20"/>
    </row>
    <row r="1015" spans="1:23" x14ac:dyDescent="0.25">
      <c r="A1015" s="177" t="s">
        <v>6050</v>
      </c>
      <c r="B1015" s="177" t="s">
        <v>6051</v>
      </c>
      <c r="C1015" s="178" t="s">
        <v>6052</v>
      </c>
      <c r="D1015" s="173" t="s">
        <v>3968</v>
      </c>
      <c r="E1015" s="20"/>
      <c r="F1015" s="20"/>
      <c r="G1015" s="175"/>
      <c r="H1015" s="20"/>
      <c r="I1015" s="20"/>
      <c r="J1015" s="20"/>
      <c r="K1015" s="20"/>
      <c r="L1015" s="20"/>
      <c r="M1015" s="20"/>
      <c r="N1015" s="20"/>
      <c r="O1015" s="20"/>
      <c r="P1015" s="20"/>
      <c r="Q1015" s="20"/>
      <c r="R1015" s="20"/>
      <c r="S1015" s="20"/>
      <c r="T1015" s="20"/>
      <c r="U1015" s="20"/>
      <c r="V1015" s="20"/>
      <c r="W1015" s="20"/>
    </row>
    <row r="1016" spans="1:23" x14ac:dyDescent="0.25">
      <c r="A1016" s="177" t="s">
        <v>6053</v>
      </c>
      <c r="B1016" s="177" t="s">
        <v>6054</v>
      </c>
      <c r="C1016" s="178" t="s">
        <v>6055</v>
      </c>
      <c r="D1016" s="173" t="s">
        <v>3968</v>
      </c>
      <c r="E1016" s="20"/>
      <c r="F1016" s="20"/>
      <c r="G1016" s="175"/>
      <c r="H1016" s="20"/>
      <c r="I1016" s="20"/>
      <c r="J1016" s="20"/>
      <c r="K1016" s="20"/>
      <c r="L1016" s="20"/>
      <c r="M1016" s="20"/>
      <c r="N1016" s="20"/>
      <c r="O1016" s="20"/>
      <c r="P1016" s="20"/>
      <c r="Q1016" s="20"/>
      <c r="R1016" s="20"/>
      <c r="S1016" s="20"/>
      <c r="T1016" s="20"/>
      <c r="U1016" s="20"/>
      <c r="V1016" s="20"/>
      <c r="W1016" s="20"/>
    </row>
    <row r="1017" spans="1:23" x14ac:dyDescent="0.25">
      <c r="A1017" s="177" t="s">
        <v>6056</v>
      </c>
      <c r="B1017" s="177" t="s">
        <v>6057</v>
      </c>
      <c r="C1017" s="178" t="s">
        <v>6058</v>
      </c>
      <c r="D1017" s="173" t="s">
        <v>3968</v>
      </c>
      <c r="E1017" s="20"/>
      <c r="F1017" s="20"/>
      <c r="G1017" s="175"/>
      <c r="H1017" s="20"/>
      <c r="I1017" s="20"/>
      <c r="J1017" s="20"/>
      <c r="K1017" s="20"/>
      <c r="L1017" s="20"/>
      <c r="M1017" s="20"/>
      <c r="N1017" s="20"/>
      <c r="O1017" s="20"/>
      <c r="P1017" s="20"/>
      <c r="Q1017" s="20"/>
      <c r="R1017" s="20"/>
      <c r="S1017" s="20"/>
      <c r="T1017" s="20"/>
      <c r="U1017" s="20"/>
      <c r="V1017" s="20"/>
      <c r="W1017" s="20"/>
    </row>
    <row r="1018" spans="1:23" x14ac:dyDescent="0.25">
      <c r="A1018" s="177" t="s">
        <v>6059</v>
      </c>
      <c r="B1018" s="177" t="s">
        <v>6060</v>
      </c>
      <c r="C1018" s="178" t="s">
        <v>6061</v>
      </c>
      <c r="D1018" s="173" t="s">
        <v>3968</v>
      </c>
      <c r="E1018" s="20"/>
      <c r="F1018" s="20"/>
      <c r="G1018" s="175"/>
      <c r="H1018" s="20"/>
      <c r="I1018" s="20"/>
      <c r="J1018" s="20"/>
      <c r="K1018" s="20"/>
      <c r="L1018" s="20"/>
      <c r="M1018" s="20"/>
      <c r="N1018" s="20"/>
      <c r="O1018" s="20"/>
      <c r="P1018" s="20"/>
      <c r="Q1018" s="20"/>
      <c r="R1018" s="20"/>
      <c r="S1018" s="20"/>
      <c r="T1018" s="20"/>
      <c r="U1018" s="20"/>
      <c r="V1018" s="20"/>
      <c r="W1018" s="20"/>
    </row>
    <row r="1019" spans="1:23" x14ac:dyDescent="0.25">
      <c r="A1019" s="177" t="s">
        <v>6062</v>
      </c>
      <c r="B1019" s="177" t="s">
        <v>6063</v>
      </c>
      <c r="C1019" s="178" t="s">
        <v>6064</v>
      </c>
      <c r="D1019" s="173" t="s">
        <v>3968</v>
      </c>
      <c r="E1019" s="20"/>
      <c r="F1019" s="20"/>
      <c r="G1019" s="175"/>
      <c r="H1019" s="20"/>
      <c r="I1019" s="20"/>
      <c r="J1019" s="20"/>
      <c r="K1019" s="20"/>
      <c r="L1019" s="20"/>
      <c r="M1019" s="20"/>
      <c r="N1019" s="20"/>
      <c r="O1019" s="20"/>
      <c r="P1019" s="20"/>
      <c r="Q1019" s="20"/>
      <c r="R1019" s="20"/>
      <c r="S1019" s="20"/>
      <c r="T1019" s="20"/>
      <c r="U1019" s="20"/>
      <c r="V1019" s="20"/>
      <c r="W1019" s="20"/>
    </row>
    <row r="1020" spans="1:23" x14ac:dyDescent="0.25">
      <c r="A1020" s="177" t="s">
        <v>6065</v>
      </c>
      <c r="B1020" s="177" t="s">
        <v>6066</v>
      </c>
      <c r="C1020" s="178" t="s">
        <v>6067</v>
      </c>
      <c r="D1020" s="173" t="s">
        <v>3968</v>
      </c>
      <c r="E1020" s="20"/>
      <c r="F1020" s="20"/>
      <c r="G1020" s="175"/>
      <c r="H1020" s="20"/>
      <c r="I1020" s="20"/>
      <c r="J1020" s="20"/>
      <c r="K1020" s="20"/>
      <c r="L1020" s="20"/>
      <c r="M1020" s="20"/>
      <c r="N1020" s="20"/>
      <c r="O1020" s="20"/>
      <c r="P1020" s="20"/>
      <c r="Q1020" s="20"/>
      <c r="R1020" s="20"/>
      <c r="S1020" s="20"/>
      <c r="T1020" s="20"/>
      <c r="U1020" s="20"/>
      <c r="V1020" s="20"/>
      <c r="W1020" s="20"/>
    </row>
    <row r="1021" spans="1:23" x14ac:dyDescent="0.25">
      <c r="A1021" s="177" t="s">
        <v>6068</v>
      </c>
      <c r="B1021" s="177" t="s">
        <v>6069</v>
      </c>
      <c r="C1021" s="178" t="s">
        <v>6070</v>
      </c>
      <c r="D1021" s="173" t="s">
        <v>3968</v>
      </c>
      <c r="E1021" s="20"/>
      <c r="F1021" s="20"/>
      <c r="G1021" s="175"/>
      <c r="H1021" s="20"/>
      <c r="I1021" s="20"/>
      <c r="J1021" s="20"/>
      <c r="K1021" s="20"/>
      <c r="L1021" s="20"/>
      <c r="M1021" s="20"/>
      <c r="N1021" s="20"/>
      <c r="O1021" s="20"/>
      <c r="P1021" s="20"/>
      <c r="Q1021" s="20"/>
      <c r="R1021" s="20"/>
      <c r="S1021" s="20"/>
      <c r="T1021" s="20"/>
      <c r="U1021" s="20"/>
      <c r="V1021" s="20"/>
      <c r="W1021" s="20"/>
    </row>
    <row r="1022" spans="1:23" x14ac:dyDescent="0.25">
      <c r="A1022" s="177" t="s">
        <v>6071</v>
      </c>
      <c r="B1022" s="177" t="s">
        <v>6072</v>
      </c>
      <c r="C1022" s="178" t="s">
        <v>6073</v>
      </c>
      <c r="D1022" s="173" t="s">
        <v>3968</v>
      </c>
      <c r="E1022" s="20"/>
      <c r="F1022" s="20"/>
      <c r="G1022" s="175"/>
      <c r="H1022" s="20"/>
      <c r="I1022" s="20"/>
      <c r="J1022" s="20"/>
      <c r="K1022" s="20"/>
      <c r="L1022" s="20"/>
      <c r="M1022" s="20"/>
      <c r="N1022" s="20"/>
      <c r="O1022" s="20"/>
      <c r="P1022" s="20"/>
      <c r="Q1022" s="20"/>
      <c r="R1022" s="20"/>
      <c r="S1022" s="20"/>
      <c r="T1022" s="20"/>
      <c r="U1022" s="20"/>
      <c r="V1022" s="20"/>
      <c r="W1022" s="20"/>
    </row>
    <row r="1023" spans="1:23" x14ac:dyDescent="0.25">
      <c r="A1023" s="177" t="s">
        <v>6074</v>
      </c>
      <c r="B1023" s="177" t="s">
        <v>6075</v>
      </c>
      <c r="C1023" s="178" t="s">
        <v>6076</v>
      </c>
      <c r="D1023" s="173" t="s">
        <v>3968</v>
      </c>
      <c r="E1023" s="20"/>
      <c r="F1023" s="20"/>
      <c r="G1023" s="175"/>
      <c r="H1023" s="20"/>
      <c r="I1023" s="20"/>
      <c r="J1023" s="20"/>
      <c r="K1023" s="20"/>
      <c r="L1023" s="20"/>
      <c r="M1023" s="20"/>
      <c r="N1023" s="20"/>
      <c r="O1023" s="20"/>
      <c r="P1023" s="20"/>
      <c r="Q1023" s="20"/>
      <c r="R1023" s="20"/>
      <c r="S1023" s="20"/>
      <c r="T1023" s="20"/>
      <c r="U1023" s="20"/>
      <c r="V1023" s="20"/>
      <c r="W1023" s="20"/>
    </row>
    <row r="1024" spans="1:23" x14ac:dyDescent="0.25">
      <c r="A1024" s="177" t="s">
        <v>6077</v>
      </c>
      <c r="B1024" s="177" t="s">
        <v>6078</v>
      </c>
      <c r="C1024" s="178" t="s">
        <v>6079</v>
      </c>
      <c r="D1024" s="173" t="s">
        <v>3968</v>
      </c>
      <c r="E1024" s="20"/>
      <c r="F1024" s="20"/>
      <c r="G1024" s="175"/>
      <c r="H1024" s="20"/>
      <c r="I1024" s="20"/>
      <c r="J1024" s="20"/>
      <c r="K1024" s="20"/>
      <c r="L1024" s="20"/>
      <c r="M1024" s="20"/>
      <c r="N1024" s="20"/>
      <c r="O1024" s="20"/>
      <c r="P1024" s="20"/>
      <c r="Q1024" s="20"/>
      <c r="R1024" s="20"/>
      <c r="S1024" s="20"/>
      <c r="T1024" s="20"/>
      <c r="U1024" s="20"/>
      <c r="V1024" s="20"/>
      <c r="W1024" s="20"/>
    </row>
    <row r="1025" spans="1:23" x14ac:dyDescent="0.25">
      <c r="A1025" s="177" t="s">
        <v>6080</v>
      </c>
      <c r="B1025" s="177" t="s">
        <v>6081</v>
      </c>
      <c r="C1025" s="178" t="s">
        <v>6082</v>
      </c>
      <c r="D1025" s="173" t="s">
        <v>3968</v>
      </c>
      <c r="E1025" s="20"/>
      <c r="F1025" s="20"/>
      <c r="G1025" s="175"/>
      <c r="H1025" s="20"/>
      <c r="I1025" s="20"/>
      <c r="J1025" s="20"/>
      <c r="K1025" s="20"/>
      <c r="L1025" s="20"/>
      <c r="M1025" s="20"/>
      <c r="N1025" s="20"/>
      <c r="O1025" s="20"/>
      <c r="P1025" s="20"/>
      <c r="Q1025" s="20"/>
      <c r="R1025" s="20"/>
      <c r="S1025" s="20"/>
      <c r="T1025" s="20"/>
      <c r="U1025" s="20"/>
      <c r="V1025" s="20"/>
      <c r="W1025" s="20"/>
    </row>
    <row r="1026" spans="1:23" x14ac:dyDescent="0.25">
      <c r="A1026" s="177" t="s">
        <v>6083</v>
      </c>
      <c r="B1026" s="177" t="s">
        <v>6084</v>
      </c>
      <c r="C1026" s="178" t="s">
        <v>6085</v>
      </c>
      <c r="D1026" s="173" t="s">
        <v>3968</v>
      </c>
      <c r="E1026" s="20"/>
      <c r="F1026" s="20"/>
      <c r="G1026" s="175"/>
      <c r="H1026" s="20"/>
      <c r="I1026" s="20"/>
      <c r="J1026" s="20"/>
      <c r="K1026" s="20"/>
      <c r="L1026" s="20"/>
      <c r="M1026" s="20"/>
      <c r="N1026" s="20"/>
      <c r="O1026" s="20"/>
      <c r="P1026" s="20"/>
      <c r="Q1026" s="20"/>
      <c r="R1026" s="20"/>
      <c r="S1026" s="20"/>
      <c r="T1026" s="20"/>
      <c r="U1026" s="20"/>
      <c r="V1026" s="20"/>
      <c r="W1026" s="20"/>
    </row>
    <row r="1027" spans="1:23" x14ac:dyDescent="0.25">
      <c r="A1027" s="177" t="s">
        <v>6086</v>
      </c>
      <c r="B1027" s="177" t="s">
        <v>6087</v>
      </c>
      <c r="C1027" s="178" t="s">
        <v>6088</v>
      </c>
      <c r="D1027" s="173" t="s">
        <v>3968</v>
      </c>
      <c r="E1027" s="20"/>
      <c r="F1027" s="20"/>
      <c r="G1027" s="175"/>
      <c r="H1027" s="20"/>
      <c r="I1027" s="20"/>
      <c r="J1027" s="20"/>
      <c r="K1027" s="20"/>
      <c r="L1027" s="20"/>
      <c r="M1027" s="20"/>
      <c r="N1027" s="20"/>
      <c r="O1027" s="20"/>
      <c r="P1027" s="20"/>
      <c r="Q1027" s="20"/>
      <c r="R1027" s="20"/>
      <c r="S1027" s="20"/>
      <c r="T1027" s="20"/>
      <c r="U1027" s="20"/>
      <c r="V1027" s="20"/>
      <c r="W1027" s="20"/>
    </row>
    <row r="1028" spans="1:23" x14ac:dyDescent="0.25">
      <c r="A1028" s="177" t="s">
        <v>6089</v>
      </c>
      <c r="B1028" s="177" t="s">
        <v>6090</v>
      </c>
      <c r="C1028" s="178" t="s">
        <v>6091</v>
      </c>
      <c r="D1028" s="173" t="s">
        <v>3968</v>
      </c>
      <c r="E1028" s="20"/>
      <c r="F1028" s="20"/>
      <c r="G1028" s="175"/>
      <c r="H1028" s="20"/>
      <c r="I1028" s="20"/>
      <c r="J1028" s="20"/>
      <c r="K1028" s="20"/>
      <c r="L1028" s="20"/>
      <c r="M1028" s="20"/>
      <c r="N1028" s="20"/>
      <c r="O1028" s="20"/>
      <c r="P1028" s="20"/>
      <c r="Q1028" s="20"/>
      <c r="R1028" s="20"/>
      <c r="S1028" s="20"/>
      <c r="T1028" s="20"/>
      <c r="U1028" s="20"/>
      <c r="V1028" s="20"/>
      <c r="W1028" s="20"/>
    </row>
    <row r="1029" spans="1:23" x14ac:dyDescent="0.25">
      <c r="A1029" s="177" t="s">
        <v>6092</v>
      </c>
      <c r="B1029" s="177" t="s">
        <v>6093</v>
      </c>
      <c r="C1029" s="178" t="s">
        <v>1999</v>
      </c>
      <c r="D1029" s="173" t="s">
        <v>3968</v>
      </c>
      <c r="E1029" s="20"/>
      <c r="F1029" s="20"/>
      <c r="G1029" s="175"/>
      <c r="H1029" s="20"/>
      <c r="I1029" s="20"/>
      <c r="J1029" s="20"/>
      <c r="K1029" s="20"/>
      <c r="L1029" s="20"/>
      <c r="M1029" s="20"/>
      <c r="N1029" s="20"/>
      <c r="O1029" s="20"/>
      <c r="P1029" s="20"/>
      <c r="Q1029" s="20"/>
      <c r="R1029" s="20"/>
      <c r="S1029" s="20"/>
      <c r="T1029" s="20"/>
      <c r="U1029" s="20"/>
      <c r="V1029" s="20"/>
      <c r="W1029" s="20"/>
    </row>
    <row r="1030" spans="1:23" x14ac:dyDescent="0.25">
      <c r="A1030" s="177" t="s">
        <v>6094</v>
      </c>
      <c r="B1030" s="177" t="s">
        <v>6095</v>
      </c>
      <c r="C1030" s="178" t="s">
        <v>6096</v>
      </c>
      <c r="D1030" s="173" t="s">
        <v>3968</v>
      </c>
      <c r="E1030" s="20"/>
      <c r="F1030" s="20"/>
      <c r="G1030" s="175"/>
      <c r="H1030" s="20"/>
      <c r="I1030" s="20"/>
      <c r="J1030" s="20"/>
      <c r="K1030" s="20"/>
      <c r="L1030" s="20"/>
      <c r="M1030" s="20"/>
      <c r="N1030" s="20"/>
      <c r="O1030" s="20"/>
      <c r="P1030" s="20"/>
      <c r="Q1030" s="20"/>
      <c r="R1030" s="20"/>
      <c r="S1030" s="20"/>
      <c r="T1030" s="20"/>
      <c r="U1030" s="20"/>
      <c r="V1030" s="20"/>
      <c r="W1030" s="20"/>
    </row>
    <row r="1031" spans="1:23" x14ac:dyDescent="0.25">
      <c r="A1031" s="177" t="s">
        <v>6097</v>
      </c>
      <c r="B1031" s="177" t="s">
        <v>6098</v>
      </c>
      <c r="C1031" s="178" t="s">
        <v>6099</v>
      </c>
      <c r="D1031" s="173" t="s">
        <v>3968</v>
      </c>
      <c r="E1031" s="20"/>
      <c r="F1031" s="20"/>
      <c r="G1031" s="175"/>
      <c r="H1031" s="20"/>
      <c r="I1031" s="20"/>
      <c r="J1031" s="20"/>
      <c r="K1031" s="20"/>
      <c r="L1031" s="20"/>
      <c r="M1031" s="20"/>
      <c r="N1031" s="20"/>
      <c r="O1031" s="20"/>
      <c r="P1031" s="20"/>
      <c r="Q1031" s="20"/>
      <c r="R1031" s="20"/>
      <c r="S1031" s="20"/>
      <c r="T1031" s="20"/>
      <c r="U1031" s="20"/>
      <c r="V1031" s="20"/>
      <c r="W1031" s="20"/>
    </row>
    <row r="1032" spans="1:23" x14ac:dyDescent="0.25">
      <c r="A1032" s="177" t="s">
        <v>6100</v>
      </c>
      <c r="B1032" s="177" t="s">
        <v>6101</v>
      </c>
      <c r="C1032" s="178" t="s">
        <v>6102</v>
      </c>
      <c r="D1032" s="173" t="s">
        <v>3968</v>
      </c>
      <c r="E1032" s="20"/>
      <c r="F1032" s="20"/>
      <c r="G1032" s="175"/>
      <c r="H1032" s="20"/>
      <c r="I1032" s="20"/>
      <c r="J1032" s="20"/>
      <c r="K1032" s="20"/>
      <c r="L1032" s="20"/>
      <c r="M1032" s="20"/>
      <c r="N1032" s="20"/>
      <c r="O1032" s="20"/>
      <c r="P1032" s="20"/>
      <c r="Q1032" s="20"/>
      <c r="R1032" s="20"/>
      <c r="S1032" s="20"/>
      <c r="T1032" s="20"/>
      <c r="U1032" s="20"/>
      <c r="V1032" s="20"/>
      <c r="W1032" s="20"/>
    </row>
    <row r="1033" spans="1:23" x14ac:dyDescent="0.25">
      <c r="A1033" s="177" t="s">
        <v>6103</v>
      </c>
      <c r="B1033" s="177" t="s">
        <v>6104</v>
      </c>
      <c r="C1033" s="178" t="s">
        <v>6105</v>
      </c>
      <c r="D1033" s="173" t="s">
        <v>3968</v>
      </c>
      <c r="E1033" s="20"/>
      <c r="F1033" s="20"/>
      <c r="G1033" s="175"/>
      <c r="H1033" s="20"/>
      <c r="I1033" s="20"/>
      <c r="J1033" s="20"/>
      <c r="K1033" s="20"/>
      <c r="L1033" s="20"/>
      <c r="M1033" s="20"/>
      <c r="N1033" s="20"/>
      <c r="O1033" s="20"/>
      <c r="P1033" s="20"/>
      <c r="Q1033" s="20"/>
      <c r="R1033" s="20"/>
      <c r="S1033" s="20"/>
      <c r="T1033" s="20"/>
      <c r="U1033" s="20"/>
      <c r="V1033" s="20"/>
      <c r="W1033" s="20"/>
    </row>
    <row r="1034" spans="1:23" x14ac:dyDescent="0.25">
      <c r="A1034" s="177" t="s">
        <v>6106</v>
      </c>
      <c r="B1034" s="177" t="s">
        <v>6107</v>
      </c>
      <c r="C1034" s="178" t="s">
        <v>6108</v>
      </c>
      <c r="D1034" s="173" t="s">
        <v>3968</v>
      </c>
      <c r="E1034" s="20"/>
      <c r="F1034" s="20"/>
      <c r="G1034" s="175"/>
      <c r="H1034" s="20"/>
      <c r="I1034" s="20"/>
      <c r="J1034" s="20"/>
      <c r="K1034" s="20"/>
      <c r="L1034" s="20"/>
      <c r="M1034" s="20"/>
      <c r="N1034" s="20"/>
      <c r="O1034" s="20"/>
      <c r="P1034" s="20"/>
      <c r="Q1034" s="20"/>
      <c r="R1034" s="20"/>
      <c r="S1034" s="20"/>
      <c r="T1034" s="20"/>
      <c r="U1034" s="20"/>
      <c r="V1034" s="20"/>
      <c r="W1034" s="20"/>
    </row>
    <row r="1035" spans="1:23" x14ac:dyDescent="0.25">
      <c r="A1035" s="177" t="s">
        <v>6109</v>
      </c>
      <c r="B1035" s="177" t="s">
        <v>30</v>
      </c>
      <c r="C1035" s="178" t="s">
        <v>6110</v>
      </c>
      <c r="D1035" s="173" t="s">
        <v>3968</v>
      </c>
      <c r="E1035" s="20"/>
      <c r="F1035" s="20"/>
      <c r="G1035" s="175"/>
      <c r="H1035" s="20"/>
      <c r="I1035" s="20"/>
      <c r="J1035" s="20"/>
      <c r="K1035" s="20"/>
      <c r="L1035" s="20"/>
      <c r="M1035" s="20"/>
      <c r="N1035" s="20"/>
      <c r="O1035" s="20"/>
      <c r="P1035" s="20"/>
      <c r="Q1035" s="20"/>
      <c r="R1035" s="20"/>
      <c r="S1035" s="20"/>
      <c r="T1035" s="20"/>
      <c r="U1035" s="20"/>
      <c r="V1035" s="20"/>
      <c r="W1035" s="20"/>
    </row>
    <row r="1036" spans="1:23" x14ac:dyDescent="0.25">
      <c r="A1036" s="177" t="s">
        <v>6111</v>
      </c>
      <c r="B1036" s="177" t="s">
        <v>6112</v>
      </c>
      <c r="C1036" s="178" t="s">
        <v>6113</v>
      </c>
      <c r="D1036" s="173" t="s">
        <v>3968</v>
      </c>
      <c r="E1036" s="20"/>
      <c r="F1036" s="20"/>
      <c r="G1036" s="175"/>
      <c r="H1036" s="20"/>
      <c r="I1036" s="20"/>
      <c r="J1036" s="20"/>
      <c r="K1036" s="20"/>
      <c r="L1036" s="20"/>
      <c r="M1036" s="20"/>
      <c r="N1036" s="20"/>
      <c r="O1036" s="20"/>
      <c r="P1036" s="20"/>
      <c r="Q1036" s="20"/>
      <c r="R1036" s="20"/>
      <c r="S1036" s="20"/>
      <c r="T1036" s="20"/>
      <c r="U1036" s="20"/>
      <c r="V1036" s="20"/>
      <c r="W1036" s="20"/>
    </row>
    <row r="1037" spans="1:23" x14ac:dyDescent="0.25">
      <c r="A1037" s="177" t="s">
        <v>6114</v>
      </c>
      <c r="B1037" s="177" t="s">
        <v>6115</v>
      </c>
      <c r="C1037" s="178" t="s">
        <v>6116</v>
      </c>
      <c r="D1037" s="173" t="s">
        <v>3968</v>
      </c>
      <c r="E1037" s="20"/>
      <c r="F1037" s="20"/>
      <c r="G1037" s="175"/>
      <c r="H1037" s="20"/>
      <c r="I1037" s="20"/>
      <c r="J1037" s="20"/>
      <c r="K1037" s="20"/>
      <c r="L1037" s="20"/>
      <c r="M1037" s="20"/>
      <c r="N1037" s="20"/>
      <c r="O1037" s="20"/>
      <c r="P1037" s="20"/>
      <c r="Q1037" s="20"/>
      <c r="R1037" s="20"/>
      <c r="S1037" s="20"/>
      <c r="T1037" s="20"/>
      <c r="U1037" s="20"/>
      <c r="V1037" s="20"/>
      <c r="W1037" s="20"/>
    </row>
    <row r="1038" spans="1:23" x14ac:dyDescent="0.25">
      <c r="A1038" s="177" t="s">
        <v>6117</v>
      </c>
      <c r="B1038" s="177" t="s">
        <v>6118</v>
      </c>
      <c r="C1038" s="178" t="s">
        <v>6119</v>
      </c>
      <c r="D1038" s="173" t="s">
        <v>3968</v>
      </c>
      <c r="E1038" s="20"/>
      <c r="F1038" s="20"/>
      <c r="G1038" s="175"/>
      <c r="H1038" s="20"/>
      <c r="I1038" s="20"/>
      <c r="J1038" s="20"/>
      <c r="K1038" s="20"/>
      <c r="L1038" s="20"/>
      <c r="M1038" s="20"/>
      <c r="N1038" s="20"/>
      <c r="O1038" s="20"/>
      <c r="P1038" s="20"/>
      <c r="Q1038" s="20"/>
      <c r="R1038" s="20"/>
      <c r="S1038" s="20"/>
      <c r="T1038" s="20"/>
      <c r="U1038" s="20"/>
      <c r="V1038" s="20"/>
      <c r="W1038" s="20"/>
    </row>
    <row r="1039" spans="1:23" x14ac:dyDescent="0.25">
      <c r="A1039" s="177" t="s">
        <v>6120</v>
      </c>
      <c r="B1039" s="177" t="s">
        <v>6121</v>
      </c>
      <c r="C1039" s="178" t="s">
        <v>6122</v>
      </c>
      <c r="D1039" s="173" t="s">
        <v>3968</v>
      </c>
      <c r="E1039" s="20"/>
      <c r="F1039" s="20"/>
      <c r="G1039" s="175"/>
      <c r="H1039" s="20"/>
      <c r="I1039" s="20"/>
      <c r="J1039" s="20"/>
      <c r="K1039" s="20"/>
      <c r="L1039" s="20"/>
      <c r="M1039" s="20"/>
      <c r="N1039" s="20"/>
      <c r="O1039" s="20"/>
      <c r="P1039" s="20"/>
      <c r="Q1039" s="20"/>
      <c r="R1039" s="20"/>
      <c r="S1039" s="20"/>
      <c r="T1039" s="20"/>
      <c r="U1039" s="20"/>
      <c r="V1039" s="20"/>
      <c r="W1039" s="20"/>
    </row>
    <row r="1040" spans="1:23" x14ac:dyDescent="0.25">
      <c r="A1040" s="177" t="s">
        <v>6123</v>
      </c>
      <c r="B1040" s="177" t="s">
        <v>6124</v>
      </c>
      <c r="C1040" s="178" t="s">
        <v>6125</v>
      </c>
      <c r="D1040" s="173" t="s">
        <v>3968</v>
      </c>
      <c r="E1040" s="20"/>
      <c r="F1040" s="20"/>
      <c r="G1040" s="175"/>
      <c r="H1040" s="20"/>
      <c r="I1040" s="20"/>
      <c r="J1040" s="20"/>
      <c r="K1040" s="20"/>
      <c r="L1040" s="20"/>
      <c r="M1040" s="20"/>
      <c r="N1040" s="20"/>
      <c r="O1040" s="20"/>
      <c r="P1040" s="20"/>
      <c r="Q1040" s="20"/>
      <c r="R1040" s="20"/>
      <c r="S1040" s="20"/>
      <c r="T1040" s="20"/>
      <c r="U1040" s="20"/>
      <c r="V1040" s="20"/>
      <c r="W1040" s="20"/>
    </row>
    <row r="1041" spans="1:23" x14ac:dyDescent="0.25">
      <c r="A1041" s="171" t="s">
        <v>6126</v>
      </c>
      <c r="B1041" s="177" t="s">
        <v>6127</v>
      </c>
      <c r="C1041" s="178" t="s">
        <v>6128</v>
      </c>
      <c r="D1041" s="173" t="s">
        <v>3968</v>
      </c>
      <c r="E1041" s="20"/>
      <c r="F1041" s="20"/>
      <c r="G1041" s="175"/>
      <c r="H1041" s="20"/>
      <c r="I1041" s="20"/>
      <c r="J1041" s="20"/>
      <c r="K1041" s="20"/>
      <c r="L1041" s="20"/>
      <c r="M1041" s="20"/>
      <c r="N1041" s="20"/>
      <c r="O1041" s="20"/>
      <c r="P1041" s="20"/>
      <c r="Q1041" s="20"/>
      <c r="R1041" s="20"/>
      <c r="S1041" s="20"/>
      <c r="T1041" s="20"/>
      <c r="U1041" s="20"/>
      <c r="V1041" s="20"/>
      <c r="W1041" s="20"/>
    </row>
    <row r="1042" spans="1:23" x14ac:dyDescent="0.25">
      <c r="A1042" s="171" t="s">
        <v>6129</v>
      </c>
      <c r="B1042" s="177" t="s">
        <v>6130</v>
      </c>
      <c r="C1042" s="178" t="s">
        <v>6131</v>
      </c>
      <c r="D1042" s="173" t="s">
        <v>3968</v>
      </c>
      <c r="E1042" s="20"/>
      <c r="F1042" s="20"/>
      <c r="G1042" s="175"/>
      <c r="H1042" s="20"/>
      <c r="I1042" s="20"/>
      <c r="J1042" s="20"/>
      <c r="K1042" s="20"/>
      <c r="L1042" s="20"/>
      <c r="M1042" s="20"/>
      <c r="N1042" s="20"/>
      <c r="O1042" s="20"/>
      <c r="P1042" s="20"/>
      <c r="Q1042" s="20"/>
      <c r="R1042" s="20"/>
      <c r="S1042" s="20"/>
      <c r="T1042" s="20"/>
      <c r="U1042" s="20"/>
      <c r="V1042" s="20"/>
      <c r="W1042" s="20"/>
    </row>
    <row r="1043" spans="1:23" x14ac:dyDescent="0.25">
      <c r="A1043" s="171" t="s">
        <v>6132</v>
      </c>
      <c r="B1043" s="177" t="s">
        <v>6133</v>
      </c>
      <c r="C1043" s="178" t="s">
        <v>6134</v>
      </c>
      <c r="D1043" s="173" t="s">
        <v>3968</v>
      </c>
      <c r="E1043" s="20"/>
      <c r="F1043" s="20"/>
      <c r="G1043" s="175"/>
      <c r="H1043" s="20"/>
      <c r="I1043" s="20"/>
      <c r="J1043" s="20"/>
      <c r="K1043" s="20"/>
      <c r="L1043" s="20"/>
      <c r="M1043" s="20"/>
      <c r="N1043" s="20"/>
      <c r="O1043" s="20"/>
      <c r="P1043" s="20"/>
      <c r="Q1043" s="20"/>
      <c r="R1043" s="20"/>
      <c r="S1043" s="20"/>
      <c r="T1043" s="20"/>
      <c r="U1043" s="20"/>
      <c r="V1043" s="20"/>
      <c r="W1043" s="20"/>
    </row>
    <row r="1044" spans="1:23" x14ac:dyDescent="0.25">
      <c r="A1044" s="171" t="s">
        <v>6135</v>
      </c>
      <c r="B1044" s="177" t="s">
        <v>6136</v>
      </c>
      <c r="C1044" s="178" t="s">
        <v>6137</v>
      </c>
      <c r="D1044" s="173" t="s">
        <v>3968</v>
      </c>
      <c r="E1044" s="20"/>
      <c r="F1044" s="20"/>
      <c r="G1044" s="175"/>
      <c r="H1044" s="20"/>
      <c r="I1044" s="20"/>
      <c r="J1044" s="20"/>
      <c r="K1044" s="20"/>
      <c r="L1044" s="20"/>
      <c r="M1044" s="20"/>
      <c r="N1044" s="20"/>
      <c r="O1044" s="20"/>
      <c r="P1044" s="20"/>
      <c r="Q1044" s="20"/>
      <c r="R1044" s="20"/>
      <c r="S1044" s="20"/>
      <c r="T1044" s="20"/>
      <c r="U1044" s="20"/>
      <c r="V1044" s="20"/>
      <c r="W1044" s="20"/>
    </row>
    <row r="1045" spans="1:23" x14ac:dyDescent="0.25">
      <c r="A1045" s="171" t="s">
        <v>6138</v>
      </c>
      <c r="B1045" s="177" t="s">
        <v>6139</v>
      </c>
      <c r="C1045" s="178" t="s">
        <v>6140</v>
      </c>
      <c r="D1045" s="173" t="s">
        <v>3968</v>
      </c>
      <c r="E1045" s="20"/>
      <c r="F1045" s="20"/>
      <c r="G1045" s="175"/>
      <c r="H1045" s="20"/>
      <c r="I1045" s="20"/>
      <c r="J1045" s="20"/>
      <c r="K1045" s="20"/>
      <c r="L1045" s="20"/>
      <c r="M1045" s="20"/>
      <c r="N1045" s="20"/>
      <c r="O1045" s="20"/>
      <c r="P1045" s="20"/>
      <c r="Q1045" s="20"/>
      <c r="R1045" s="20"/>
      <c r="S1045" s="20"/>
      <c r="T1045" s="20"/>
      <c r="U1045" s="20"/>
      <c r="V1045" s="20"/>
      <c r="W1045" s="20"/>
    </row>
    <row r="1046" spans="1:23" x14ac:dyDescent="0.25">
      <c r="A1046" s="171" t="s">
        <v>6141</v>
      </c>
      <c r="B1046" s="177" t="s">
        <v>6142</v>
      </c>
      <c r="C1046" s="178" t="s">
        <v>6143</v>
      </c>
      <c r="D1046" s="173" t="s">
        <v>3968</v>
      </c>
      <c r="E1046" s="20"/>
      <c r="F1046" s="20"/>
      <c r="G1046" s="175"/>
      <c r="H1046" s="20"/>
      <c r="I1046" s="20"/>
      <c r="J1046" s="20"/>
      <c r="K1046" s="20"/>
      <c r="L1046" s="20"/>
      <c r="M1046" s="20"/>
      <c r="N1046" s="20"/>
      <c r="O1046" s="20"/>
      <c r="P1046" s="20"/>
      <c r="Q1046" s="20"/>
      <c r="R1046" s="20"/>
      <c r="S1046" s="20"/>
      <c r="T1046" s="20"/>
      <c r="U1046" s="20"/>
      <c r="V1046" s="20"/>
      <c r="W1046" s="20"/>
    </row>
    <row r="1047" spans="1:23" x14ac:dyDescent="0.25">
      <c r="A1047" s="177" t="s">
        <v>6144</v>
      </c>
      <c r="B1047" s="177" t="s">
        <v>6145</v>
      </c>
      <c r="C1047" s="178" t="s">
        <v>6146</v>
      </c>
      <c r="D1047" s="173" t="s">
        <v>3968</v>
      </c>
      <c r="E1047" s="20"/>
      <c r="F1047" s="20"/>
      <c r="G1047" s="175"/>
      <c r="H1047" s="20"/>
      <c r="I1047" s="20"/>
      <c r="J1047" s="20"/>
      <c r="K1047" s="20"/>
      <c r="L1047" s="20"/>
      <c r="M1047" s="20"/>
      <c r="N1047" s="20"/>
      <c r="O1047" s="20"/>
      <c r="P1047" s="20"/>
      <c r="Q1047" s="20"/>
      <c r="R1047" s="20"/>
      <c r="S1047" s="20"/>
      <c r="T1047" s="20"/>
      <c r="U1047" s="20"/>
      <c r="V1047" s="20"/>
      <c r="W1047" s="20"/>
    </row>
    <row r="1048" spans="1:23" x14ac:dyDescent="0.25">
      <c r="A1048" s="177" t="s">
        <v>6147</v>
      </c>
      <c r="B1048" s="177" t="s">
        <v>6148</v>
      </c>
      <c r="C1048" s="178" t="s">
        <v>6149</v>
      </c>
      <c r="D1048" s="173" t="s">
        <v>3968</v>
      </c>
      <c r="E1048" s="20"/>
      <c r="F1048" s="20"/>
      <c r="G1048" s="175"/>
      <c r="H1048" s="20"/>
      <c r="I1048" s="20"/>
      <c r="J1048" s="20"/>
      <c r="K1048" s="20"/>
      <c r="L1048" s="20"/>
      <c r="M1048" s="20"/>
      <c r="N1048" s="20"/>
      <c r="O1048" s="20"/>
      <c r="P1048" s="20"/>
      <c r="Q1048" s="20"/>
      <c r="R1048" s="20"/>
      <c r="S1048" s="20"/>
      <c r="T1048" s="20"/>
      <c r="U1048" s="20"/>
      <c r="V1048" s="20"/>
      <c r="W1048" s="20"/>
    </row>
    <row r="1049" spans="1:23" x14ac:dyDescent="0.25">
      <c r="A1049" s="177" t="s">
        <v>6150</v>
      </c>
      <c r="B1049" s="177" t="s">
        <v>6151</v>
      </c>
      <c r="C1049" s="178" t="s">
        <v>6152</v>
      </c>
      <c r="D1049" s="173" t="s">
        <v>3968</v>
      </c>
      <c r="E1049" s="20"/>
      <c r="F1049" s="20"/>
      <c r="G1049" s="175"/>
      <c r="H1049" s="20"/>
      <c r="I1049" s="20"/>
      <c r="J1049" s="20"/>
      <c r="K1049" s="20"/>
      <c r="L1049" s="20"/>
      <c r="M1049" s="20"/>
      <c r="N1049" s="20"/>
      <c r="O1049" s="20"/>
      <c r="P1049" s="20"/>
      <c r="Q1049" s="20"/>
      <c r="R1049" s="20"/>
      <c r="S1049" s="20"/>
      <c r="T1049" s="20"/>
      <c r="U1049" s="20"/>
      <c r="V1049" s="20"/>
      <c r="W1049" s="20"/>
    </row>
    <row r="1050" spans="1:23" x14ac:dyDescent="0.25">
      <c r="A1050" s="177" t="s">
        <v>6153</v>
      </c>
      <c r="B1050" s="177" t="s">
        <v>6154</v>
      </c>
      <c r="C1050" s="178" t="s">
        <v>6155</v>
      </c>
      <c r="D1050" s="173" t="s">
        <v>3968</v>
      </c>
      <c r="E1050" s="20"/>
      <c r="F1050" s="20"/>
      <c r="G1050" s="175"/>
      <c r="H1050" s="20"/>
      <c r="I1050" s="20"/>
      <c r="J1050" s="20"/>
      <c r="K1050" s="20"/>
      <c r="L1050" s="20"/>
      <c r="M1050" s="20"/>
      <c r="N1050" s="20"/>
      <c r="O1050" s="20"/>
      <c r="P1050" s="20"/>
      <c r="Q1050" s="20"/>
      <c r="R1050" s="20"/>
      <c r="S1050" s="20"/>
      <c r="T1050" s="20"/>
      <c r="U1050" s="20"/>
      <c r="V1050" s="20"/>
      <c r="W1050" s="20"/>
    </row>
    <row r="1051" spans="1:23" x14ac:dyDescent="0.25">
      <c r="A1051" s="177" t="s">
        <v>6156</v>
      </c>
      <c r="B1051" s="177" t="s">
        <v>6157</v>
      </c>
      <c r="C1051" s="178" t="s">
        <v>6158</v>
      </c>
      <c r="D1051" s="173" t="s">
        <v>3968</v>
      </c>
      <c r="E1051" s="20"/>
      <c r="F1051" s="20"/>
      <c r="G1051" s="175"/>
      <c r="H1051" s="20"/>
      <c r="I1051" s="20"/>
      <c r="J1051" s="20"/>
      <c r="K1051" s="20"/>
      <c r="L1051" s="20"/>
      <c r="M1051" s="20"/>
      <c r="N1051" s="20"/>
      <c r="O1051" s="20"/>
      <c r="P1051" s="20"/>
      <c r="Q1051" s="20"/>
      <c r="R1051" s="20"/>
      <c r="S1051" s="20"/>
      <c r="T1051" s="20"/>
      <c r="U1051" s="20"/>
      <c r="V1051" s="20"/>
      <c r="W1051" s="20"/>
    </row>
    <row r="1052" spans="1:23" x14ac:dyDescent="0.25">
      <c r="A1052" s="177" t="s">
        <v>6159</v>
      </c>
      <c r="B1052" s="177" t="s">
        <v>6160</v>
      </c>
      <c r="C1052" s="178" t="s">
        <v>6161</v>
      </c>
      <c r="D1052" s="173" t="s">
        <v>3968</v>
      </c>
      <c r="E1052" s="20"/>
      <c r="F1052" s="20"/>
      <c r="G1052" s="175"/>
      <c r="H1052" s="20"/>
      <c r="I1052" s="20"/>
      <c r="J1052" s="20"/>
      <c r="K1052" s="20"/>
      <c r="L1052" s="20"/>
      <c r="M1052" s="20"/>
      <c r="N1052" s="20"/>
      <c r="O1052" s="20"/>
      <c r="P1052" s="20"/>
      <c r="Q1052" s="20"/>
      <c r="R1052" s="20"/>
      <c r="S1052" s="20"/>
      <c r="T1052" s="20"/>
      <c r="U1052" s="20"/>
      <c r="V1052" s="20"/>
      <c r="W1052" s="20"/>
    </row>
    <row r="1053" spans="1:23" x14ac:dyDescent="0.25">
      <c r="A1053" s="177" t="s">
        <v>6162</v>
      </c>
      <c r="B1053" s="177" t="s">
        <v>6163</v>
      </c>
      <c r="C1053" s="178" t="s">
        <v>6164</v>
      </c>
      <c r="D1053" s="173" t="s">
        <v>3968</v>
      </c>
      <c r="E1053" s="20"/>
      <c r="F1053" s="20"/>
      <c r="G1053" s="175"/>
      <c r="H1053" s="20"/>
      <c r="I1053" s="20"/>
      <c r="J1053" s="20"/>
      <c r="K1053" s="20"/>
      <c r="L1053" s="20"/>
      <c r="M1053" s="20"/>
      <c r="N1053" s="20"/>
      <c r="O1053" s="20"/>
      <c r="P1053" s="20"/>
      <c r="Q1053" s="20"/>
      <c r="R1053" s="20"/>
      <c r="S1053" s="20"/>
      <c r="T1053" s="20"/>
      <c r="U1053" s="20"/>
      <c r="V1053" s="20"/>
      <c r="W1053" s="20"/>
    </row>
    <row r="1054" spans="1:23" x14ac:dyDescent="0.25">
      <c r="A1054" s="177" t="s">
        <v>6165</v>
      </c>
      <c r="B1054" s="177" t="s">
        <v>6166</v>
      </c>
      <c r="C1054" s="178" t="s">
        <v>6167</v>
      </c>
      <c r="D1054" s="173" t="s">
        <v>3968</v>
      </c>
      <c r="E1054" s="20"/>
      <c r="F1054" s="20"/>
      <c r="G1054" s="175"/>
      <c r="H1054" s="20"/>
      <c r="I1054" s="20"/>
      <c r="J1054" s="20"/>
      <c r="K1054" s="20"/>
      <c r="L1054" s="20"/>
      <c r="M1054" s="20"/>
      <c r="N1054" s="20"/>
      <c r="O1054" s="20"/>
      <c r="P1054" s="20"/>
      <c r="Q1054" s="20"/>
      <c r="R1054" s="20"/>
      <c r="S1054" s="20"/>
      <c r="T1054" s="20"/>
      <c r="U1054" s="20"/>
      <c r="V1054" s="20"/>
      <c r="W1054" s="20"/>
    </row>
    <row r="1055" spans="1:23" x14ac:dyDescent="0.25">
      <c r="A1055" s="177" t="s">
        <v>6168</v>
      </c>
      <c r="B1055" s="177" t="s">
        <v>6169</v>
      </c>
      <c r="C1055" s="178" t="s">
        <v>6170</v>
      </c>
      <c r="D1055" s="173" t="s">
        <v>3968</v>
      </c>
      <c r="E1055" s="20"/>
      <c r="F1055" s="20"/>
      <c r="G1055" s="175"/>
      <c r="H1055" s="20"/>
      <c r="I1055" s="20"/>
      <c r="J1055" s="20"/>
      <c r="K1055" s="20"/>
      <c r="L1055" s="20"/>
      <c r="M1055" s="20"/>
      <c r="N1055" s="20"/>
      <c r="O1055" s="20"/>
      <c r="P1055" s="20"/>
      <c r="Q1055" s="20"/>
      <c r="R1055" s="20"/>
      <c r="S1055" s="20"/>
      <c r="T1055" s="20"/>
      <c r="U1055" s="20"/>
      <c r="V1055" s="20"/>
      <c r="W1055" s="20"/>
    </row>
    <row r="1056" spans="1:23" x14ac:dyDescent="0.25">
      <c r="A1056" s="177" t="s">
        <v>6171</v>
      </c>
      <c r="B1056" s="177" t="s">
        <v>6172</v>
      </c>
      <c r="C1056" s="178" t="s">
        <v>6173</v>
      </c>
      <c r="D1056" s="173" t="s">
        <v>3968</v>
      </c>
      <c r="E1056" s="20"/>
      <c r="F1056" s="20"/>
      <c r="G1056" s="175"/>
      <c r="H1056" s="20"/>
      <c r="I1056" s="20"/>
      <c r="J1056" s="20"/>
      <c r="K1056" s="20"/>
      <c r="L1056" s="20"/>
      <c r="M1056" s="20"/>
      <c r="N1056" s="20"/>
      <c r="O1056" s="20"/>
      <c r="P1056" s="20"/>
      <c r="Q1056" s="20"/>
      <c r="R1056" s="20"/>
      <c r="S1056" s="20"/>
      <c r="T1056" s="20"/>
      <c r="U1056" s="20"/>
      <c r="V1056" s="20"/>
      <c r="W1056" s="20"/>
    </row>
    <row r="1057" spans="1:23" x14ac:dyDescent="0.25">
      <c r="A1057" s="177" t="s">
        <v>6174</v>
      </c>
      <c r="B1057" s="177" t="s">
        <v>6175</v>
      </c>
      <c r="C1057" s="178" t="s">
        <v>6176</v>
      </c>
      <c r="D1057" s="173" t="s">
        <v>3968</v>
      </c>
      <c r="E1057" s="20"/>
      <c r="F1057" s="20"/>
      <c r="G1057" s="175"/>
      <c r="H1057" s="20"/>
      <c r="I1057" s="20"/>
      <c r="J1057" s="20"/>
      <c r="K1057" s="20"/>
      <c r="L1057" s="20"/>
      <c r="M1057" s="20"/>
      <c r="N1057" s="20"/>
      <c r="O1057" s="20"/>
      <c r="P1057" s="20"/>
      <c r="Q1057" s="20"/>
      <c r="R1057" s="20"/>
      <c r="S1057" s="20"/>
      <c r="T1057" s="20"/>
      <c r="U1057" s="20"/>
      <c r="V1057" s="20"/>
      <c r="W1057" s="20"/>
    </row>
    <row r="1058" spans="1:23" x14ac:dyDescent="0.25">
      <c r="A1058" s="177" t="s">
        <v>6177</v>
      </c>
      <c r="B1058" s="177" t="s">
        <v>6178</v>
      </c>
      <c r="C1058" s="178" t="s">
        <v>6179</v>
      </c>
      <c r="D1058" s="173" t="s">
        <v>3968</v>
      </c>
      <c r="E1058" s="20"/>
      <c r="F1058" s="20"/>
      <c r="G1058" s="175"/>
      <c r="H1058" s="20"/>
      <c r="I1058" s="20"/>
      <c r="J1058" s="20"/>
      <c r="K1058" s="20"/>
      <c r="L1058" s="20"/>
      <c r="M1058" s="20"/>
      <c r="N1058" s="20"/>
      <c r="O1058" s="20"/>
      <c r="P1058" s="20"/>
      <c r="Q1058" s="20"/>
      <c r="R1058" s="20"/>
      <c r="S1058" s="20"/>
      <c r="T1058" s="20"/>
      <c r="U1058" s="20"/>
      <c r="V1058" s="20"/>
      <c r="W1058" s="20"/>
    </row>
    <row r="1059" spans="1:23" x14ac:dyDescent="0.25">
      <c r="A1059" s="177" t="s">
        <v>6180</v>
      </c>
      <c r="B1059" s="177" t="s">
        <v>6181</v>
      </c>
      <c r="C1059" s="178" t="s">
        <v>6182</v>
      </c>
      <c r="D1059" s="173" t="s">
        <v>3968</v>
      </c>
      <c r="E1059" s="20"/>
      <c r="F1059" s="20"/>
      <c r="G1059" s="175"/>
      <c r="H1059" s="20"/>
      <c r="I1059" s="20"/>
      <c r="J1059" s="20"/>
      <c r="K1059" s="20"/>
      <c r="L1059" s="20"/>
      <c r="M1059" s="20"/>
      <c r="N1059" s="20"/>
      <c r="O1059" s="20"/>
      <c r="P1059" s="20"/>
      <c r="Q1059" s="20"/>
      <c r="R1059" s="20"/>
      <c r="S1059" s="20"/>
      <c r="T1059" s="20"/>
      <c r="U1059" s="20"/>
      <c r="V1059" s="20"/>
      <c r="W1059" s="20"/>
    </row>
    <row r="1060" spans="1:23" x14ac:dyDescent="0.25">
      <c r="A1060" s="177" t="s">
        <v>6183</v>
      </c>
      <c r="B1060" s="177" t="s">
        <v>6184</v>
      </c>
      <c r="C1060" s="178" t="s">
        <v>6185</v>
      </c>
      <c r="D1060" s="173" t="s">
        <v>3968</v>
      </c>
      <c r="E1060" s="20"/>
      <c r="F1060" s="20"/>
      <c r="G1060" s="175"/>
      <c r="H1060" s="20"/>
      <c r="I1060" s="20"/>
      <c r="J1060" s="20"/>
      <c r="K1060" s="20"/>
      <c r="L1060" s="20"/>
      <c r="M1060" s="20"/>
      <c r="N1060" s="20"/>
      <c r="O1060" s="20"/>
      <c r="P1060" s="20"/>
      <c r="Q1060" s="20"/>
      <c r="R1060" s="20"/>
      <c r="S1060" s="20"/>
      <c r="T1060" s="20"/>
      <c r="U1060" s="20"/>
      <c r="V1060" s="20"/>
      <c r="W1060" s="20"/>
    </row>
    <row r="1061" spans="1:23" x14ac:dyDescent="0.25">
      <c r="A1061" s="177" t="s">
        <v>6186</v>
      </c>
      <c r="B1061" s="177" t="s">
        <v>6187</v>
      </c>
      <c r="C1061" s="178" t="s">
        <v>6188</v>
      </c>
      <c r="D1061" s="173" t="s">
        <v>3968</v>
      </c>
      <c r="E1061" s="20"/>
      <c r="F1061" s="20"/>
      <c r="G1061" s="175"/>
      <c r="H1061" s="20"/>
      <c r="I1061" s="20"/>
      <c r="J1061" s="20"/>
      <c r="K1061" s="20"/>
      <c r="L1061" s="20"/>
      <c r="M1061" s="20"/>
      <c r="N1061" s="20"/>
      <c r="O1061" s="20"/>
      <c r="P1061" s="20"/>
      <c r="Q1061" s="20"/>
      <c r="R1061" s="20"/>
      <c r="S1061" s="20"/>
      <c r="T1061" s="20"/>
      <c r="U1061" s="20"/>
      <c r="V1061" s="20"/>
      <c r="W1061" s="20"/>
    </row>
    <row r="1062" spans="1:23" x14ac:dyDescent="0.25">
      <c r="A1062" s="177" t="s">
        <v>6189</v>
      </c>
      <c r="B1062" s="177" t="s">
        <v>6190</v>
      </c>
      <c r="C1062" s="178" t="s">
        <v>6191</v>
      </c>
      <c r="D1062" s="173" t="s">
        <v>3968</v>
      </c>
      <c r="E1062" s="20"/>
      <c r="F1062" s="20"/>
      <c r="G1062" s="175"/>
      <c r="H1062" s="20"/>
      <c r="I1062" s="20"/>
      <c r="J1062" s="20"/>
      <c r="K1062" s="20"/>
      <c r="L1062" s="20"/>
      <c r="M1062" s="20"/>
      <c r="N1062" s="20"/>
      <c r="O1062" s="20"/>
      <c r="P1062" s="20"/>
      <c r="Q1062" s="20"/>
      <c r="R1062" s="20"/>
      <c r="S1062" s="20"/>
      <c r="T1062" s="20"/>
      <c r="U1062" s="20"/>
      <c r="V1062" s="20"/>
      <c r="W1062" s="20"/>
    </row>
    <row r="1063" spans="1:23" x14ac:dyDescent="0.25">
      <c r="A1063" s="177" t="s">
        <v>6192</v>
      </c>
      <c r="B1063" s="177" t="s">
        <v>6193</v>
      </c>
      <c r="C1063" s="178" t="s">
        <v>6194</v>
      </c>
      <c r="D1063" s="173" t="s">
        <v>3968</v>
      </c>
      <c r="E1063" s="20"/>
      <c r="F1063" s="20"/>
      <c r="G1063" s="175"/>
      <c r="H1063" s="20"/>
      <c r="I1063" s="20"/>
      <c r="J1063" s="20"/>
      <c r="K1063" s="20"/>
      <c r="L1063" s="20"/>
      <c r="M1063" s="20"/>
      <c r="N1063" s="20"/>
      <c r="O1063" s="20"/>
      <c r="P1063" s="20"/>
      <c r="Q1063" s="20"/>
      <c r="R1063" s="20"/>
      <c r="S1063" s="20"/>
      <c r="T1063" s="20"/>
      <c r="U1063" s="20"/>
      <c r="V1063" s="20"/>
      <c r="W1063" s="20"/>
    </row>
    <row r="1064" spans="1:23" x14ac:dyDescent="0.25">
      <c r="A1064" s="177" t="s">
        <v>6195</v>
      </c>
      <c r="B1064" s="177" t="s">
        <v>6196</v>
      </c>
      <c r="C1064" s="178" t="s">
        <v>6197</v>
      </c>
      <c r="D1064" s="173" t="s">
        <v>3968</v>
      </c>
      <c r="E1064" s="20"/>
      <c r="F1064" s="20"/>
      <c r="G1064" s="175"/>
      <c r="H1064" s="20"/>
      <c r="I1064" s="20"/>
      <c r="J1064" s="20"/>
      <c r="K1064" s="20"/>
      <c r="L1064" s="20"/>
      <c r="M1064" s="20"/>
      <c r="N1064" s="20"/>
      <c r="O1064" s="20"/>
      <c r="P1064" s="20"/>
      <c r="Q1064" s="20"/>
      <c r="R1064" s="20"/>
      <c r="S1064" s="20"/>
      <c r="T1064" s="20"/>
      <c r="U1064" s="20"/>
      <c r="V1064" s="20"/>
      <c r="W1064" s="20"/>
    </row>
    <row r="1065" spans="1:23" x14ac:dyDescent="0.25">
      <c r="A1065" s="177" t="s">
        <v>6198</v>
      </c>
      <c r="B1065" s="177" t="s">
        <v>6199</v>
      </c>
      <c r="C1065" s="178" t="s">
        <v>6200</v>
      </c>
      <c r="D1065" s="173" t="s">
        <v>3968</v>
      </c>
      <c r="E1065" s="20"/>
      <c r="F1065" s="20"/>
      <c r="G1065" s="175"/>
      <c r="H1065" s="20"/>
      <c r="I1065" s="20"/>
      <c r="J1065" s="20"/>
      <c r="K1065" s="20"/>
      <c r="L1065" s="20"/>
      <c r="M1065" s="20"/>
      <c r="N1065" s="20"/>
      <c r="O1065" s="20"/>
      <c r="P1065" s="20"/>
      <c r="Q1065" s="20"/>
      <c r="R1065" s="20"/>
      <c r="S1065" s="20"/>
      <c r="T1065" s="20"/>
      <c r="U1065" s="20"/>
      <c r="V1065" s="20"/>
      <c r="W1065" s="20"/>
    </row>
    <row r="1066" spans="1:23" x14ac:dyDescent="0.25">
      <c r="A1066" s="177" t="s">
        <v>6201</v>
      </c>
      <c r="B1066" s="177" t="s">
        <v>6202</v>
      </c>
      <c r="C1066" s="178" t="s">
        <v>6203</v>
      </c>
      <c r="D1066" s="173" t="s">
        <v>3968</v>
      </c>
      <c r="E1066" s="20"/>
      <c r="F1066" s="20"/>
      <c r="G1066" s="175"/>
      <c r="H1066" s="20"/>
      <c r="I1066" s="20"/>
      <c r="J1066" s="20"/>
      <c r="K1066" s="20"/>
      <c r="L1066" s="20"/>
      <c r="M1066" s="20"/>
      <c r="N1066" s="20"/>
      <c r="O1066" s="20"/>
      <c r="P1066" s="20"/>
      <c r="Q1066" s="20"/>
      <c r="R1066" s="20"/>
      <c r="S1066" s="20"/>
      <c r="T1066" s="20"/>
      <c r="U1066" s="20"/>
      <c r="V1066" s="20"/>
      <c r="W1066" s="20"/>
    </row>
    <row r="1067" spans="1:23" x14ac:dyDescent="0.25">
      <c r="A1067" s="177" t="s">
        <v>6204</v>
      </c>
      <c r="B1067" s="177" t="s">
        <v>6205</v>
      </c>
      <c r="C1067" s="178" t="s">
        <v>6206</v>
      </c>
      <c r="D1067" s="173" t="s">
        <v>3968</v>
      </c>
      <c r="E1067" s="20"/>
      <c r="F1067" s="20"/>
      <c r="G1067" s="175"/>
      <c r="H1067" s="20"/>
      <c r="I1067" s="20"/>
      <c r="J1067" s="20"/>
      <c r="K1067" s="20"/>
      <c r="L1067" s="20"/>
      <c r="M1067" s="20"/>
      <c r="N1067" s="20"/>
      <c r="O1067" s="20"/>
      <c r="P1067" s="20"/>
      <c r="Q1067" s="20"/>
      <c r="R1067" s="20"/>
      <c r="S1067" s="20"/>
      <c r="T1067" s="20"/>
      <c r="U1067" s="20"/>
      <c r="V1067" s="20"/>
      <c r="W1067" s="20"/>
    </row>
    <row r="1068" spans="1:23" x14ac:dyDescent="0.25">
      <c r="A1068" s="177" t="s">
        <v>6207</v>
      </c>
      <c r="B1068" s="177" t="s">
        <v>6208</v>
      </c>
      <c r="C1068" s="178" t="s">
        <v>6209</v>
      </c>
      <c r="D1068" s="173" t="s">
        <v>3968</v>
      </c>
      <c r="E1068" s="20"/>
      <c r="F1068" s="20"/>
      <c r="G1068" s="175"/>
      <c r="H1068" s="20"/>
      <c r="I1068" s="20"/>
      <c r="J1068" s="20"/>
      <c r="K1068" s="20"/>
      <c r="L1068" s="20"/>
      <c r="M1068" s="20"/>
      <c r="N1068" s="20"/>
      <c r="O1068" s="20"/>
      <c r="P1068" s="20"/>
      <c r="Q1068" s="20"/>
      <c r="R1068" s="20"/>
      <c r="S1068" s="20"/>
      <c r="T1068" s="20"/>
      <c r="U1068" s="20"/>
      <c r="V1068" s="20"/>
      <c r="W1068" s="20"/>
    </row>
    <row r="1069" spans="1:23" x14ac:dyDescent="0.25">
      <c r="A1069" s="177" t="s">
        <v>6210</v>
      </c>
      <c r="B1069" s="177" t="s">
        <v>6211</v>
      </c>
      <c r="C1069" s="178" t="s">
        <v>6212</v>
      </c>
      <c r="D1069" s="173" t="s">
        <v>3968</v>
      </c>
      <c r="E1069" s="20"/>
      <c r="F1069" s="20"/>
      <c r="G1069" s="175"/>
      <c r="H1069" s="20"/>
      <c r="I1069" s="20"/>
      <c r="J1069" s="20"/>
      <c r="K1069" s="20"/>
      <c r="L1069" s="20"/>
      <c r="M1069" s="20"/>
      <c r="N1069" s="20"/>
      <c r="O1069" s="20"/>
      <c r="P1069" s="20"/>
      <c r="Q1069" s="20"/>
      <c r="R1069" s="20"/>
      <c r="S1069" s="20"/>
      <c r="T1069" s="20"/>
      <c r="U1069" s="20"/>
      <c r="V1069" s="20"/>
      <c r="W1069" s="20"/>
    </row>
    <row r="1070" spans="1:23" x14ac:dyDescent="0.25">
      <c r="A1070" s="177" t="s">
        <v>6213</v>
      </c>
      <c r="B1070" s="177" t="s">
        <v>6214</v>
      </c>
      <c r="C1070" s="178" t="s">
        <v>6215</v>
      </c>
      <c r="D1070" s="173" t="s">
        <v>3968</v>
      </c>
      <c r="E1070" s="20"/>
      <c r="F1070" s="20"/>
      <c r="G1070" s="175"/>
      <c r="H1070" s="20"/>
      <c r="I1070" s="20"/>
      <c r="J1070" s="20"/>
      <c r="K1070" s="20"/>
      <c r="L1070" s="20"/>
      <c r="M1070" s="20"/>
      <c r="N1070" s="20"/>
      <c r="O1070" s="20"/>
      <c r="P1070" s="20"/>
      <c r="Q1070" s="20"/>
      <c r="R1070" s="20"/>
      <c r="S1070" s="20"/>
      <c r="T1070" s="20"/>
      <c r="U1070" s="20"/>
      <c r="V1070" s="20"/>
      <c r="W1070" s="20"/>
    </row>
    <row r="1071" spans="1:23" x14ac:dyDescent="0.25">
      <c r="A1071" s="177" t="s">
        <v>6216</v>
      </c>
      <c r="B1071" s="177" t="s">
        <v>6217</v>
      </c>
      <c r="C1071" s="178" t="s">
        <v>6218</v>
      </c>
      <c r="D1071" s="173" t="s">
        <v>3968</v>
      </c>
      <c r="E1071" s="20"/>
      <c r="F1071" s="20"/>
      <c r="G1071" s="175"/>
      <c r="H1071" s="20"/>
      <c r="I1071" s="20"/>
      <c r="J1071" s="20"/>
      <c r="K1071" s="20"/>
      <c r="L1071" s="20"/>
      <c r="M1071" s="20"/>
      <c r="N1071" s="20"/>
      <c r="O1071" s="20"/>
      <c r="P1071" s="20"/>
      <c r="Q1071" s="20"/>
      <c r="R1071" s="20"/>
      <c r="S1071" s="20"/>
      <c r="T1071" s="20"/>
      <c r="U1071" s="20"/>
      <c r="V1071" s="20"/>
      <c r="W1071" s="20"/>
    </row>
    <row r="1072" spans="1:23" x14ac:dyDescent="0.25">
      <c r="A1072" s="177" t="s">
        <v>6219</v>
      </c>
      <c r="B1072" s="177" t="s">
        <v>6220</v>
      </c>
      <c r="C1072" s="178" t="s">
        <v>6221</v>
      </c>
      <c r="D1072" s="173" t="s">
        <v>3968</v>
      </c>
      <c r="E1072" s="20"/>
      <c r="F1072" s="20"/>
      <c r="G1072" s="175"/>
      <c r="H1072" s="20"/>
      <c r="I1072" s="20"/>
      <c r="J1072" s="20"/>
      <c r="K1072" s="20"/>
      <c r="L1072" s="20"/>
      <c r="M1072" s="20"/>
      <c r="N1072" s="20"/>
      <c r="O1072" s="20"/>
      <c r="P1072" s="20"/>
      <c r="Q1072" s="20"/>
      <c r="R1072" s="20"/>
      <c r="S1072" s="20"/>
      <c r="T1072" s="20"/>
      <c r="U1072" s="20"/>
      <c r="V1072" s="20"/>
      <c r="W1072" s="20"/>
    </row>
    <row r="1073" spans="1:23" x14ac:dyDescent="0.25">
      <c r="A1073" s="177" t="s">
        <v>6222</v>
      </c>
      <c r="B1073" s="177" t="s">
        <v>6223</v>
      </c>
      <c r="C1073" s="178" t="s">
        <v>6224</v>
      </c>
      <c r="D1073" s="173" t="s">
        <v>3968</v>
      </c>
      <c r="E1073" s="20"/>
      <c r="F1073" s="20"/>
      <c r="G1073" s="175"/>
      <c r="H1073" s="20"/>
      <c r="I1073" s="20"/>
      <c r="J1073" s="20"/>
      <c r="K1073" s="20"/>
      <c r="L1073" s="20"/>
      <c r="M1073" s="20"/>
      <c r="N1073" s="20"/>
      <c r="O1073" s="20"/>
      <c r="P1073" s="20"/>
      <c r="Q1073" s="20"/>
      <c r="R1073" s="20"/>
      <c r="S1073" s="20"/>
      <c r="T1073" s="20"/>
      <c r="U1073" s="20"/>
      <c r="V1073" s="20"/>
      <c r="W1073" s="20"/>
    </row>
    <row r="1074" spans="1:23" x14ac:dyDescent="0.25">
      <c r="A1074" s="177" t="s">
        <v>6225</v>
      </c>
      <c r="B1074" s="177" t="s">
        <v>6226</v>
      </c>
      <c r="C1074" s="178" t="s">
        <v>6227</v>
      </c>
      <c r="D1074" s="173" t="s">
        <v>3968</v>
      </c>
      <c r="E1074" s="20"/>
      <c r="F1074" s="20"/>
      <c r="G1074" s="175"/>
      <c r="H1074" s="20"/>
      <c r="I1074" s="20"/>
      <c r="J1074" s="20"/>
      <c r="K1074" s="20"/>
      <c r="L1074" s="20"/>
      <c r="M1074" s="20"/>
      <c r="N1074" s="20"/>
      <c r="O1074" s="20"/>
      <c r="P1074" s="20"/>
      <c r="Q1074" s="20"/>
      <c r="R1074" s="20"/>
      <c r="S1074" s="20"/>
      <c r="T1074" s="20"/>
      <c r="U1074" s="20"/>
      <c r="V1074" s="20"/>
      <c r="W1074" s="20"/>
    </row>
    <row r="1075" spans="1:23" x14ac:dyDescent="0.25">
      <c r="A1075" s="177" t="s">
        <v>6228</v>
      </c>
      <c r="B1075" s="177" t="s">
        <v>6229</v>
      </c>
      <c r="C1075" s="178" t="s">
        <v>6230</v>
      </c>
      <c r="D1075" s="173" t="s">
        <v>3968</v>
      </c>
      <c r="E1075" s="20"/>
      <c r="F1075" s="20"/>
      <c r="G1075" s="175"/>
      <c r="H1075" s="20"/>
      <c r="I1075" s="20"/>
      <c r="J1075" s="20"/>
      <c r="K1075" s="20"/>
      <c r="L1075" s="20"/>
      <c r="M1075" s="20"/>
      <c r="N1075" s="20"/>
      <c r="O1075" s="20"/>
      <c r="P1075" s="20"/>
      <c r="Q1075" s="20"/>
      <c r="R1075" s="20"/>
      <c r="S1075" s="20"/>
      <c r="T1075" s="20"/>
      <c r="U1075" s="20"/>
      <c r="V1075" s="20"/>
      <c r="W1075" s="20"/>
    </row>
    <row r="1076" spans="1:23" x14ac:dyDescent="0.25">
      <c r="A1076" s="177" t="s">
        <v>6231</v>
      </c>
      <c r="B1076" s="177" t="s">
        <v>6232</v>
      </c>
      <c r="C1076" s="178" t="s">
        <v>6233</v>
      </c>
      <c r="D1076" s="173" t="s">
        <v>3968</v>
      </c>
      <c r="E1076" s="20"/>
      <c r="F1076" s="20"/>
      <c r="G1076" s="175"/>
      <c r="H1076" s="20"/>
      <c r="I1076" s="20"/>
      <c r="J1076" s="20"/>
      <c r="K1076" s="20"/>
      <c r="L1076" s="20"/>
      <c r="M1076" s="20"/>
      <c r="N1076" s="20"/>
      <c r="O1076" s="20"/>
      <c r="P1076" s="20"/>
      <c r="Q1076" s="20"/>
      <c r="R1076" s="20"/>
      <c r="S1076" s="20"/>
      <c r="T1076" s="20"/>
      <c r="U1076" s="20"/>
      <c r="V1076" s="20"/>
      <c r="W1076" s="20"/>
    </row>
    <row r="1077" spans="1:23" x14ac:dyDescent="0.25">
      <c r="A1077" s="177" t="s">
        <v>6234</v>
      </c>
      <c r="B1077" s="177" t="s">
        <v>6235</v>
      </c>
      <c r="C1077" s="178" t="s">
        <v>6236</v>
      </c>
      <c r="D1077" s="173" t="s">
        <v>3968</v>
      </c>
      <c r="E1077" s="20"/>
      <c r="F1077" s="20"/>
      <c r="G1077" s="175"/>
      <c r="H1077" s="20"/>
      <c r="I1077" s="20"/>
      <c r="J1077" s="20"/>
      <c r="K1077" s="20"/>
      <c r="L1077" s="20"/>
      <c r="M1077" s="20"/>
      <c r="N1077" s="20"/>
      <c r="O1077" s="20"/>
      <c r="P1077" s="20"/>
      <c r="Q1077" s="20"/>
      <c r="R1077" s="20"/>
      <c r="S1077" s="20"/>
      <c r="T1077" s="20"/>
      <c r="U1077" s="20"/>
      <c r="V1077" s="20"/>
      <c r="W1077" s="20"/>
    </row>
    <row r="1078" spans="1:23" x14ac:dyDescent="0.25">
      <c r="A1078" s="177" t="s">
        <v>6237</v>
      </c>
      <c r="B1078" s="177" t="s">
        <v>6238</v>
      </c>
      <c r="C1078" s="178" t="s">
        <v>6239</v>
      </c>
      <c r="D1078" s="173" t="s">
        <v>3968</v>
      </c>
      <c r="E1078" s="20"/>
      <c r="F1078" s="20"/>
      <c r="G1078" s="175"/>
      <c r="H1078" s="20"/>
      <c r="I1078" s="20"/>
      <c r="J1078" s="20"/>
      <c r="K1078" s="20"/>
      <c r="L1078" s="20"/>
      <c r="M1078" s="20"/>
      <c r="N1078" s="20"/>
      <c r="O1078" s="20"/>
      <c r="P1078" s="20"/>
      <c r="Q1078" s="20"/>
      <c r="R1078" s="20"/>
      <c r="S1078" s="20"/>
      <c r="T1078" s="20"/>
      <c r="U1078" s="20"/>
      <c r="V1078" s="20"/>
      <c r="W1078" s="20"/>
    </row>
    <row r="1079" spans="1:23" x14ac:dyDescent="0.25">
      <c r="A1079" s="177" t="s">
        <v>6240</v>
      </c>
      <c r="B1079" s="177" t="s">
        <v>6241</v>
      </c>
      <c r="C1079" s="178" t="s">
        <v>6239</v>
      </c>
      <c r="D1079" s="173" t="s">
        <v>3968</v>
      </c>
      <c r="E1079" s="20"/>
      <c r="F1079" s="20"/>
      <c r="G1079" s="175"/>
      <c r="H1079" s="20"/>
      <c r="I1079" s="20"/>
      <c r="J1079" s="20"/>
      <c r="K1079" s="20"/>
      <c r="L1079" s="20"/>
      <c r="M1079" s="20"/>
      <c r="N1079" s="20"/>
      <c r="O1079" s="20"/>
      <c r="P1079" s="20"/>
      <c r="Q1079" s="20"/>
      <c r="R1079" s="20"/>
      <c r="S1079" s="20"/>
      <c r="T1079" s="20"/>
      <c r="U1079" s="20"/>
      <c r="V1079" s="20"/>
      <c r="W1079" s="20"/>
    </row>
    <row r="1080" spans="1:23" x14ac:dyDescent="0.25">
      <c r="A1080" s="177" t="s">
        <v>6242</v>
      </c>
      <c r="B1080" s="177" t="s">
        <v>6243</v>
      </c>
      <c r="C1080" s="178" t="s">
        <v>6244</v>
      </c>
      <c r="D1080" s="173" t="s">
        <v>3968</v>
      </c>
      <c r="E1080" s="20"/>
      <c r="F1080" s="20"/>
      <c r="G1080" s="175"/>
      <c r="H1080" s="20"/>
      <c r="I1080" s="20"/>
      <c r="J1080" s="20"/>
      <c r="K1080" s="20"/>
      <c r="L1080" s="20"/>
      <c r="M1080" s="20"/>
      <c r="N1080" s="20"/>
      <c r="O1080" s="20"/>
      <c r="P1080" s="20"/>
      <c r="Q1080" s="20"/>
      <c r="R1080" s="20"/>
      <c r="S1080" s="20"/>
      <c r="T1080" s="20"/>
      <c r="U1080" s="20"/>
      <c r="V1080" s="20"/>
      <c r="W1080" s="20"/>
    </row>
    <row r="1081" spans="1:23" x14ac:dyDescent="0.25">
      <c r="A1081" s="177" t="s">
        <v>6245</v>
      </c>
      <c r="B1081" s="177" t="s">
        <v>6246</v>
      </c>
      <c r="C1081" s="178" t="s">
        <v>6247</v>
      </c>
      <c r="D1081" s="173" t="s">
        <v>3968</v>
      </c>
      <c r="E1081" s="20"/>
      <c r="F1081" s="20"/>
      <c r="G1081" s="175"/>
      <c r="H1081" s="20"/>
      <c r="I1081" s="20"/>
      <c r="J1081" s="20"/>
      <c r="K1081" s="20"/>
      <c r="L1081" s="20"/>
      <c r="M1081" s="20"/>
      <c r="N1081" s="20"/>
      <c r="O1081" s="20"/>
      <c r="P1081" s="20"/>
      <c r="Q1081" s="20"/>
      <c r="R1081" s="20"/>
      <c r="S1081" s="20"/>
      <c r="T1081" s="20"/>
      <c r="U1081" s="20"/>
      <c r="V1081" s="20"/>
      <c r="W1081" s="20"/>
    </row>
    <row r="1082" spans="1:23" x14ac:dyDescent="0.25">
      <c r="A1082" s="177" t="s">
        <v>6248</v>
      </c>
      <c r="B1082" s="177" t="s">
        <v>6249</v>
      </c>
      <c r="C1082" s="178" t="s">
        <v>6250</v>
      </c>
      <c r="D1082" s="173" t="s">
        <v>3968</v>
      </c>
      <c r="E1082" s="20"/>
      <c r="F1082" s="20"/>
      <c r="G1082" s="175"/>
      <c r="H1082" s="20"/>
      <c r="I1082" s="20"/>
      <c r="J1082" s="20"/>
      <c r="K1082" s="20"/>
      <c r="L1082" s="20"/>
      <c r="M1082" s="20"/>
      <c r="N1082" s="20"/>
      <c r="O1082" s="20"/>
      <c r="P1082" s="20"/>
      <c r="Q1082" s="20"/>
      <c r="R1082" s="20"/>
      <c r="S1082" s="20"/>
      <c r="T1082" s="20"/>
      <c r="U1082" s="20"/>
      <c r="V1082" s="20"/>
      <c r="W1082" s="20"/>
    </row>
    <row r="1083" spans="1:23" x14ac:dyDescent="0.25">
      <c r="A1083" s="177" t="s">
        <v>6251</v>
      </c>
      <c r="B1083" s="177" t="s">
        <v>6252</v>
      </c>
      <c r="C1083" s="178" t="s">
        <v>6253</v>
      </c>
      <c r="D1083" s="173" t="s">
        <v>3968</v>
      </c>
      <c r="E1083" s="20"/>
      <c r="F1083" s="20"/>
      <c r="G1083" s="175"/>
      <c r="H1083" s="20"/>
      <c r="I1083" s="20"/>
      <c r="J1083" s="20"/>
      <c r="K1083" s="20"/>
      <c r="L1083" s="20"/>
      <c r="M1083" s="20"/>
      <c r="N1083" s="20"/>
      <c r="O1083" s="20"/>
      <c r="P1083" s="20"/>
      <c r="Q1083" s="20"/>
      <c r="R1083" s="20"/>
      <c r="S1083" s="20"/>
      <c r="T1083" s="20"/>
      <c r="U1083" s="20"/>
      <c r="V1083" s="20"/>
      <c r="W1083" s="20"/>
    </row>
    <row r="1084" spans="1:23" x14ac:dyDescent="0.25">
      <c r="A1084" s="177" t="s">
        <v>6254</v>
      </c>
      <c r="B1084" s="177" t="s">
        <v>6255</v>
      </c>
      <c r="C1084" s="178" t="s">
        <v>6256</v>
      </c>
      <c r="D1084" s="173" t="s">
        <v>3968</v>
      </c>
      <c r="E1084" s="20"/>
      <c r="F1084" s="20"/>
      <c r="G1084" s="175"/>
      <c r="H1084" s="20"/>
      <c r="I1084" s="20"/>
      <c r="J1084" s="20"/>
      <c r="K1084" s="20"/>
      <c r="L1084" s="20"/>
      <c r="M1084" s="20"/>
      <c r="N1084" s="20"/>
      <c r="O1084" s="20"/>
      <c r="P1084" s="20"/>
      <c r="Q1084" s="20"/>
      <c r="R1084" s="20"/>
      <c r="S1084" s="20"/>
      <c r="T1084" s="20"/>
      <c r="U1084" s="20"/>
      <c r="V1084" s="20"/>
      <c r="W1084" s="20"/>
    </row>
    <row r="1085" spans="1:23" x14ac:dyDescent="0.25">
      <c r="A1085" s="177" t="s">
        <v>6257</v>
      </c>
      <c r="B1085" s="177" t="s">
        <v>6258</v>
      </c>
      <c r="C1085" s="178" t="s">
        <v>6259</v>
      </c>
      <c r="D1085" s="173" t="s">
        <v>3968</v>
      </c>
      <c r="E1085" s="20"/>
      <c r="F1085" s="20"/>
      <c r="G1085" s="175"/>
      <c r="H1085" s="20"/>
      <c r="I1085" s="20"/>
      <c r="J1085" s="20"/>
      <c r="K1085" s="20"/>
      <c r="L1085" s="20"/>
      <c r="M1085" s="20"/>
      <c r="N1085" s="20"/>
      <c r="O1085" s="20"/>
      <c r="P1085" s="20"/>
      <c r="Q1085" s="20"/>
      <c r="R1085" s="20"/>
      <c r="S1085" s="20"/>
      <c r="T1085" s="20"/>
      <c r="U1085" s="20"/>
      <c r="V1085" s="20"/>
      <c r="W1085" s="20"/>
    </row>
    <row r="1086" spans="1:23" x14ac:dyDescent="0.25">
      <c r="A1086" s="177" t="s">
        <v>6260</v>
      </c>
      <c r="B1086" s="177" t="s">
        <v>6261</v>
      </c>
      <c r="C1086" s="178" t="s">
        <v>6262</v>
      </c>
      <c r="D1086" s="173" t="s">
        <v>3968</v>
      </c>
      <c r="E1086" s="20"/>
      <c r="F1086" s="20"/>
      <c r="G1086" s="175"/>
      <c r="H1086" s="20"/>
      <c r="I1086" s="20"/>
      <c r="J1086" s="20"/>
      <c r="K1086" s="20"/>
      <c r="L1086" s="20"/>
      <c r="M1086" s="20"/>
      <c r="N1086" s="20"/>
      <c r="O1086" s="20"/>
      <c r="P1086" s="20"/>
      <c r="Q1086" s="20"/>
      <c r="R1086" s="20"/>
      <c r="S1086" s="20"/>
      <c r="T1086" s="20"/>
      <c r="U1086" s="20"/>
      <c r="V1086" s="20"/>
      <c r="W1086" s="20"/>
    </row>
    <row r="1087" spans="1:23" x14ac:dyDescent="0.25">
      <c r="A1087" s="177" t="s">
        <v>6263</v>
      </c>
      <c r="B1087" s="177" t="s">
        <v>6264</v>
      </c>
      <c r="C1087" s="178" t="s">
        <v>6265</v>
      </c>
      <c r="D1087" s="173" t="s">
        <v>3968</v>
      </c>
      <c r="E1087" s="20"/>
      <c r="F1087" s="20"/>
      <c r="G1087" s="175"/>
      <c r="H1087" s="20"/>
      <c r="I1087" s="20"/>
      <c r="J1087" s="20"/>
      <c r="K1087" s="20"/>
      <c r="L1087" s="20"/>
      <c r="M1087" s="20"/>
      <c r="N1087" s="20"/>
      <c r="O1087" s="20"/>
      <c r="P1087" s="20"/>
      <c r="Q1087" s="20"/>
      <c r="R1087" s="20"/>
      <c r="S1087" s="20"/>
      <c r="T1087" s="20"/>
      <c r="U1087" s="20"/>
      <c r="V1087" s="20"/>
      <c r="W1087" s="20"/>
    </row>
    <row r="1088" spans="1:23" x14ac:dyDescent="0.25">
      <c r="A1088" s="177" t="s">
        <v>6266</v>
      </c>
      <c r="B1088" s="177" t="s">
        <v>6267</v>
      </c>
      <c r="C1088" s="178" t="s">
        <v>6268</v>
      </c>
      <c r="D1088" s="173" t="s">
        <v>3968</v>
      </c>
      <c r="E1088" s="20"/>
      <c r="F1088" s="20"/>
      <c r="G1088" s="175"/>
      <c r="H1088" s="20"/>
      <c r="I1088" s="20"/>
      <c r="J1088" s="20"/>
      <c r="K1088" s="20"/>
      <c r="L1088" s="20"/>
      <c r="M1088" s="20"/>
      <c r="N1088" s="20"/>
      <c r="O1088" s="20"/>
      <c r="P1088" s="20"/>
      <c r="Q1088" s="20"/>
      <c r="R1088" s="20"/>
      <c r="S1088" s="20"/>
      <c r="T1088" s="20"/>
      <c r="U1088" s="20"/>
      <c r="V1088" s="20"/>
      <c r="W1088" s="20"/>
    </row>
    <row r="1089" spans="1:23" x14ac:dyDescent="0.25">
      <c r="A1089" s="177" t="s">
        <v>6269</v>
      </c>
      <c r="B1089" s="177" t="s">
        <v>6270</v>
      </c>
      <c r="C1089" s="178" t="s">
        <v>6271</v>
      </c>
      <c r="D1089" s="173" t="s">
        <v>3968</v>
      </c>
      <c r="E1089" s="20"/>
      <c r="F1089" s="20"/>
      <c r="G1089" s="175"/>
      <c r="H1089" s="20"/>
      <c r="I1089" s="20"/>
      <c r="J1089" s="20"/>
      <c r="K1089" s="20"/>
      <c r="L1089" s="20"/>
      <c r="M1089" s="20"/>
      <c r="N1089" s="20"/>
      <c r="O1089" s="20"/>
      <c r="P1089" s="20"/>
      <c r="Q1089" s="20"/>
      <c r="R1089" s="20"/>
      <c r="S1089" s="20"/>
      <c r="T1089" s="20"/>
      <c r="U1089" s="20"/>
      <c r="V1089" s="20"/>
      <c r="W1089" s="20"/>
    </row>
    <row r="1090" spans="1:23" x14ac:dyDescent="0.25">
      <c r="A1090" s="177" t="s">
        <v>6272</v>
      </c>
      <c r="B1090" s="177" t="s">
        <v>6273</v>
      </c>
      <c r="C1090" s="178" t="s">
        <v>6274</v>
      </c>
      <c r="D1090" s="173" t="s">
        <v>3968</v>
      </c>
      <c r="E1090" s="20"/>
      <c r="F1090" s="20"/>
      <c r="G1090" s="175"/>
      <c r="H1090" s="20"/>
      <c r="I1090" s="20"/>
      <c r="J1090" s="20"/>
      <c r="K1090" s="20"/>
      <c r="L1090" s="20"/>
      <c r="M1090" s="20"/>
      <c r="N1090" s="20"/>
      <c r="O1090" s="20"/>
      <c r="P1090" s="20"/>
      <c r="Q1090" s="20"/>
      <c r="R1090" s="20"/>
      <c r="S1090" s="20"/>
      <c r="T1090" s="20"/>
      <c r="U1090" s="20"/>
      <c r="V1090" s="20"/>
      <c r="W1090" s="20"/>
    </row>
    <row r="1091" spans="1:23" x14ac:dyDescent="0.25">
      <c r="A1091" s="177" t="s">
        <v>6275</v>
      </c>
      <c r="B1091" s="177" t="s">
        <v>6276</v>
      </c>
      <c r="C1091" s="178" t="s">
        <v>6277</v>
      </c>
      <c r="D1091" s="173" t="s">
        <v>3968</v>
      </c>
      <c r="E1091" s="20"/>
      <c r="F1091" s="20"/>
      <c r="G1091" s="175"/>
      <c r="H1091" s="20"/>
      <c r="I1091" s="20"/>
      <c r="J1091" s="20"/>
      <c r="K1091" s="20"/>
      <c r="L1091" s="20"/>
      <c r="M1091" s="20"/>
      <c r="N1091" s="20"/>
      <c r="O1091" s="20"/>
      <c r="P1091" s="20"/>
      <c r="Q1091" s="20"/>
      <c r="R1091" s="20"/>
      <c r="S1091" s="20"/>
      <c r="T1091" s="20"/>
      <c r="U1091" s="20"/>
      <c r="V1091" s="20"/>
      <c r="W1091" s="20"/>
    </row>
    <row r="1092" spans="1:23" x14ac:dyDescent="0.25">
      <c r="A1092" s="177" t="s">
        <v>6278</v>
      </c>
      <c r="B1092" s="177" t="s">
        <v>6279</v>
      </c>
      <c r="C1092" s="178" t="s">
        <v>6280</v>
      </c>
      <c r="D1092" s="173" t="s">
        <v>3968</v>
      </c>
      <c r="E1092" s="20"/>
      <c r="F1092" s="20"/>
      <c r="G1092" s="175"/>
      <c r="H1092" s="20"/>
      <c r="I1092" s="20"/>
      <c r="J1092" s="20"/>
      <c r="K1092" s="20"/>
      <c r="L1092" s="20"/>
      <c r="M1092" s="20"/>
      <c r="N1092" s="20"/>
      <c r="O1092" s="20"/>
      <c r="P1092" s="20"/>
      <c r="Q1092" s="20"/>
      <c r="R1092" s="20"/>
      <c r="S1092" s="20"/>
      <c r="T1092" s="20"/>
      <c r="U1092" s="20"/>
      <c r="V1092" s="20"/>
      <c r="W1092" s="20"/>
    </row>
    <row r="1093" spans="1:23" x14ac:dyDescent="0.25">
      <c r="A1093" s="177" t="s">
        <v>6281</v>
      </c>
      <c r="B1093" s="177" t="s">
        <v>6282</v>
      </c>
      <c r="C1093" s="178" t="s">
        <v>6283</v>
      </c>
      <c r="D1093" s="173" t="s">
        <v>3968</v>
      </c>
      <c r="E1093" s="20"/>
      <c r="F1093" s="20"/>
      <c r="G1093" s="175"/>
      <c r="H1093" s="20"/>
      <c r="I1093" s="20"/>
      <c r="J1093" s="20"/>
      <c r="K1093" s="20"/>
      <c r="L1093" s="20"/>
      <c r="M1093" s="20"/>
      <c r="N1093" s="20"/>
      <c r="O1093" s="20"/>
      <c r="P1093" s="20"/>
      <c r="Q1093" s="20"/>
      <c r="R1093" s="20"/>
      <c r="S1093" s="20"/>
      <c r="T1093" s="20"/>
      <c r="U1093" s="20"/>
      <c r="V1093" s="20"/>
      <c r="W1093" s="20"/>
    </row>
    <row r="1094" spans="1:23" x14ac:dyDescent="0.25">
      <c r="A1094" s="177" t="s">
        <v>6284</v>
      </c>
      <c r="B1094" s="177" t="s">
        <v>6285</v>
      </c>
      <c r="C1094" s="178" t="s">
        <v>6286</v>
      </c>
      <c r="D1094" s="173" t="s">
        <v>3968</v>
      </c>
      <c r="E1094" s="20"/>
      <c r="F1094" s="20"/>
      <c r="G1094" s="175"/>
      <c r="H1094" s="20"/>
      <c r="I1094" s="20"/>
      <c r="J1094" s="20"/>
      <c r="K1094" s="20"/>
      <c r="L1094" s="20"/>
      <c r="M1094" s="20"/>
      <c r="N1094" s="20"/>
      <c r="O1094" s="20"/>
      <c r="P1094" s="20"/>
      <c r="Q1094" s="20"/>
      <c r="R1094" s="20"/>
      <c r="S1094" s="20"/>
      <c r="T1094" s="20"/>
      <c r="U1094" s="20"/>
      <c r="V1094" s="20"/>
      <c r="W1094" s="20"/>
    </row>
    <row r="1095" spans="1:23" x14ac:dyDescent="0.25">
      <c r="A1095" s="177" t="s">
        <v>6287</v>
      </c>
      <c r="B1095" s="177" t="s">
        <v>6288</v>
      </c>
      <c r="C1095" s="178" t="s">
        <v>6289</v>
      </c>
      <c r="D1095" s="173" t="s">
        <v>3968</v>
      </c>
      <c r="E1095" s="20"/>
      <c r="F1095" s="20"/>
      <c r="G1095" s="175"/>
      <c r="H1095" s="20"/>
      <c r="I1095" s="20"/>
      <c r="J1095" s="20"/>
      <c r="K1095" s="20"/>
      <c r="L1095" s="20"/>
      <c r="M1095" s="20"/>
      <c r="N1095" s="20"/>
      <c r="O1095" s="20"/>
      <c r="P1095" s="20"/>
      <c r="Q1095" s="20"/>
      <c r="R1095" s="20"/>
      <c r="S1095" s="20"/>
      <c r="T1095" s="20"/>
      <c r="U1095" s="20"/>
      <c r="V1095" s="20"/>
      <c r="W1095" s="20"/>
    </row>
    <row r="1096" spans="1:23" x14ac:dyDescent="0.25">
      <c r="A1096" s="177" t="s">
        <v>6290</v>
      </c>
      <c r="B1096" s="177" t="s">
        <v>6291</v>
      </c>
      <c r="C1096" s="178" t="s">
        <v>6292</v>
      </c>
      <c r="D1096" s="173" t="s">
        <v>3968</v>
      </c>
      <c r="E1096" s="20"/>
      <c r="F1096" s="20"/>
      <c r="G1096" s="175"/>
      <c r="H1096" s="20"/>
      <c r="I1096" s="20"/>
      <c r="J1096" s="20"/>
      <c r="K1096" s="20"/>
      <c r="L1096" s="20"/>
      <c r="M1096" s="20"/>
      <c r="N1096" s="20"/>
      <c r="O1096" s="20"/>
      <c r="P1096" s="20"/>
      <c r="Q1096" s="20"/>
      <c r="R1096" s="20"/>
      <c r="S1096" s="20"/>
      <c r="T1096" s="20"/>
      <c r="U1096" s="20"/>
      <c r="V1096" s="20"/>
      <c r="W1096" s="20"/>
    </row>
    <row r="1097" spans="1:23" x14ac:dyDescent="0.25">
      <c r="A1097" s="177" t="s">
        <v>6293</v>
      </c>
      <c r="B1097" s="177" t="s">
        <v>6294</v>
      </c>
      <c r="C1097" s="178" t="s">
        <v>6295</v>
      </c>
      <c r="D1097" s="173" t="s">
        <v>3968</v>
      </c>
      <c r="E1097" s="20"/>
      <c r="F1097" s="20"/>
      <c r="G1097" s="175"/>
      <c r="H1097" s="20"/>
      <c r="I1097" s="20"/>
      <c r="J1097" s="20"/>
      <c r="K1097" s="20"/>
      <c r="L1097" s="20"/>
      <c r="M1097" s="20"/>
      <c r="N1097" s="20"/>
      <c r="O1097" s="20"/>
      <c r="P1097" s="20"/>
      <c r="Q1097" s="20"/>
      <c r="R1097" s="20"/>
      <c r="S1097" s="20"/>
      <c r="T1097" s="20"/>
      <c r="U1097" s="20"/>
      <c r="V1097" s="20"/>
      <c r="W1097" s="20"/>
    </row>
    <row r="1098" spans="1:23" x14ac:dyDescent="0.25">
      <c r="A1098" s="177" t="s">
        <v>6296</v>
      </c>
      <c r="B1098" s="177" t="s">
        <v>6297</v>
      </c>
      <c r="C1098" s="178" t="s">
        <v>6298</v>
      </c>
      <c r="D1098" s="173" t="s">
        <v>3968</v>
      </c>
      <c r="E1098" s="20"/>
      <c r="F1098" s="20"/>
      <c r="G1098" s="175"/>
      <c r="H1098" s="20"/>
      <c r="I1098" s="20"/>
      <c r="J1098" s="20"/>
      <c r="K1098" s="20"/>
      <c r="L1098" s="20"/>
      <c r="M1098" s="20"/>
      <c r="N1098" s="20"/>
      <c r="O1098" s="20"/>
      <c r="P1098" s="20"/>
      <c r="Q1098" s="20"/>
      <c r="R1098" s="20"/>
      <c r="S1098" s="20"/>
      <c r="T1098" s="20"/>
      <c r="U1098" s="20"/>
      <c r="V1098" s="20"/>
      <c r="W1098" s="20"/>
    </row>
    <row r="1099" spans="1:23" x14ac:dyDescent="0.25">
      <c r="A1099" s="177" t="s">
        <v>6299</v>
      </c>
      <c r="B1099" s="177" t="s">
        <v>6300</v>
      </c>
      <c r="C1099" s="178" t="s">
        <v>6301</v>
      </c>
      <c r="D1099" s="173" t="s">
        <v>3968</v>
      </c>
      <c r="E1099" s="20"/>
      <c r="F1099" s="20"/>
      <c r="G1099" s="175"/>
      <c r="H1099" s="20"/>
      <c r="I1099" s="20"/>
      <c r="J1099" s="20"/>
      <c r="K1099" s="20"/>
      <c r="L1099" s="20"/>
      <c r="M1099" s="20"/>
      <c r="N1099" s="20"/>
      <c r="O1099" s="20"/>
      <c r="P1099" s="20"/>
      <c r="Q1099" s="20"/>
      <c r="R1099" s="20"/>
      <c r="S1099" s="20"/>
      <c r="T1099" s="20"/>
      <c r="U1099" s="20"/>
      <c r="V1099" s="20"/>
      <c r="W1099" s="20"/>
    </row>
    <row r="1100" spans="1:23" x14ac:dyDescent="0.25">
      <c r="A1100" s="177" t="s">
        <v>6302</v>
      </c>
      <c r="B1100" s="177" t="s">
        <v>6303</v>
      </c>
      <c r="C1100" s="178" t="s">
        <v>6304</v>
      </c>
      <c r="D1100" s="173" t="s">
        <v>3968</v>
      </c>
      <c r="E1100" s="20"/>
      <c r="F1100" s="20"/>
      <c r="G1100" s="175"/>
      <c r="H1100" s="20"/>
      <c r="I1100" s="20"/>
      <c r="J1100" s="20"/>
      <c r="K1100" s="20"/>
      <c r="L1100" s="20"/>
      <c r="M1100" s="20"/>
      <c r="N1100" s="20"/>
      <c r="O1100" s="20"/>
      <c r="P1100" s="20"/>
      <c r="Q1100" s="20"/>
      <c r="R1100" s="20"/>
      <c r="S1100" s="20"/>
      <c r="T1100" s="20"/>
      <c r="U1100" s="20"/>
      <c r="V1100" s="20"/>
      <c r="W1100" s="20"/>
    </row>
    <row r="1101" spans="1:23" x14ac:dyDescent="0.25">
      <c r="A1101" s="177" t="s">
        <v>6305</v>
      </c>
      <c r="B1101" s="177" t="s">
        <v>6306</v>
      </c>
      <c r="C1101" s="178" t="s">
        <v>6307</v>
      </c>
      <c r="D1101" s="173" t="s">
        <v>3968</v>
      </c>
      <c r="E1101" s="20"/>
      <c r="F1101" s="20"/>
      <c r="G1101" s="175"/>
      <c r="H1101" s="20"/>
      <c r="I1101" s="20"/>
      <c r="J1101" s="20"/>
      <c r="K1101" s="20"/>
      <c r="L1101" s="20"/>
      <c r="M1101" s="20"/>
      <c r="N1101" s="20"/>
      <c r="O1101" s="20"/>
      <c r="P1101" s="20"/>
      <c r="Q1101" s="20"/>
      <c r="R1101" s="20"/>
      <c r="S1101" s="20"/>
      <c r="T1101" s="20"/>
      <c r="U1101" s="20"/>
      <c r="V1101" s="20"/>
      <c r="W1101" s="20"/>
    </row>
    <row r="1102" spans="1:23" x14ac:dyDescent="0.25">
      <c r="A1102" s="177" t="s">
        <v>6308</v>
      </c>
      <c r="B1102" s="177" t="s">
        <v>6309</v>
      </c>
      <c r="C1102" s="178" t="s">
        <v>6310</v>
      </c>
      <c r="D1102" s="173" t="s">
        <v>3968</v>
      </c>
      <c r="E1102" s="20"/>
      <c r="F1102" s="20"/>
      <c r="G1102" s="175"/>
      <c r="H1102" s="20"/>
      <c r="I1102" s="20"/>
      <c r="J1102" s="20"/>
      <c r="K1102" s="20"/>
      <c r="L1102" s="20"/>
      <c r="M1102" s="20"/>
      <c r="N1102" s="20"/>
      <c r="O1102" s="20"/>
      <c r="P1102" s="20"/>
      <c r="Q1102" s="20"/>
      <c r="R1102" s="20"/>
      <c r="S1102" s="20"/>
      <c r="T1102" s="20"/>
      <c r="U1102" s="20"/>
      <c r="V1102" s="20"/>
      <c r="W1102" s="20"/>
    </row>
    <row r="1103" spans="1:23" x14ac:dyDescent="0.25">
      <c r="A1103" s="177" t="s">
        <v>6311</v>
      </c>
      <c r="B1103" s="177" t="s">
        <v>1353</v>
      </c>
      <c r="C1103" s="178" t="s">
        <v>6312</v>
      </c>
      <c r="D1103" s="173" t="s">
        <v>3968</v>
      </c>
      <c r="E1103" s="20"/>
      <c r="F1103" s="20"/>
      <c r="G1103" s="175"/>
      <c r="H1103" s="20"/>
      <c r="I1103" s="20"/>
      <c r="J1103" s="20"/>
      <c r="K1103" s="20"/>
      <c r="L1103" s="20"/>
      <c r="M1103" s="20"/>
      <c r="N1103" s="20"/>
      <c r="O1103" s="20"/>
      <c r="P1103" s="20"/>
      <c r="Q1103" s="20"/>
      <c r="R1103" s="20"/>
      <c r="S1103" s="20"/>
      <c r="T1103" s="20"/>
      <c r="U1103" s="20"/>
      <c r="V1103" s="20"/>
      <c r="W1103" s="20"/>
    </row>
    <row r="1104" spans="1:23" x14ac:dyDescent="0.25">
      <c r="A1104" s="177" t="s">
        <v>6313</v>
      </c>
      <c r="B1104" s="177" t="s">
        <v>572</v>
      </c>
      <c r="C1104" s="178" t="s">
        <v>6314</v>
      </c>
      <c r="D1104" s="173" t="s">
        <v>3968</v>
      </c>
      <c r="E1104" s="20"/>
      <c r="F1104" s="20"/>
      <c r="G1104" s="175"/>
      <c r="H1104" s="20"/>
      <c r="I1104" s="20"/>
      <c r="J1104" s="20"/>
      <c r="K1104" s="20"/>
      <c r="L1104" s="20"/>
      <c r="M1104" s="20"/>
      <c r="N1104" s="20"/>
      <c r="O1104" s="20"/>
      <c r="P1104" s="20"/>
      <c r="Q1104" s="20"/>
      <c r="R1104" s="20"/>
      <c r="S1104" s="20"/>
      <c r="T1104" s="20"/>
      <c r="U1104" s="20"/>
      <c r="V1104" s="20"/>
      <c r="W1104" s="20"/>
    </row>
    <row r="1105" spans="1:23" x14ac:dyDescent="0.25">
      <c r="A1105" s="177" t="s">
        <v>6315</v>
      </c>
      <c r="B1105" s="177" t="s">
        <v>6316</v>
      </c>
      <c r="C1105" s="178" t="s">
        <v>6317</v>
      </c>
      <c r="D1105" s="173" t="s">
        <v>3968</v>
      </c>
      <c r="E1105" s="20"/>
      <c r="F1105" s="20"/>
      <c r="G1105" s="175"/>
      <c r="H1105" s="20"/>
      <c r="I1105" s="20"/>
      <c r="J1105" s="20"/>
      <c r="K1105" s="20"/>
      <c r="L1105" s="20"/>
      <c r="M1105" s="20"/>
      <c r="N1105" s="20"/>
      <c r="O1105" s="20"/>
      <c r="P1105" s="20"/>
      <c r="Q1105" s="20"/>
      <c r="R1105" s="20"/>
      <c r="S1105" s="20"/>
      <c r="T1105" s="20"/>
      <c r="U1105" s="20"/>
      <c r="V1105" s="20"/>
      <c r="W1105" s="20"/>
    </row>
    <row r="1106" spans="1:23" x14ac:dyDescent="0.25">
      <c r="A1106" s="177" t="s">
        <v>6318</v>
      </c>
      <c r="B1106" s="177" t="s">
        <v>815</v>
      </c>
      <c r="C1106" s="178" t="s">
        <v>6319</v>
      </c>
      <c r="D1106" s="173" t="s">
        <v>3968</v>
      </c>
      <c r="E1106" s="20"/>
      <c r="F1106" s="20"/>
      <c r="G1106" s="175"/>
      <c r="H1106" s="20"/>
      <c r="I1106" s="20"/>
      <c r="J1106" s="20"/>
      <c r="K1106" s="20"/>
      <c r="L1106" s="20"/>
      <c r="M1106" s="20"/>
      <c r="N1106" s="20"/>
      <c r="O1106" s="20"/>
      <c r="P1106" s="20"/>
      <c r="Q1106" s="20"/>
      <c r="R1106" s="20"/>
      <c r="S1106" s="20"/>
      <c r="T1106" s="20"/>
      <c r="U1106" s="20"/>
      <c r="V1106" s="20"/>
      <c r="W1106" s="20"/>
    </row>
    <row r="1107" spans="1:23" x14ac:dyDescent="0.25">
      <c r="A1107" s="177" t="s">
        <v>6320</v>
      </c>
      <c r="B1107" s="177" t="s">
        <v>437</v>
      </c>
      <c r="C1107" s="178" t="s">
        <v>6321</v>
      </c>
      <c r="D1107" s="173" t="s">
        <v>3968</v>
      </c>
      <c r="E1107" s="20"/>
      <c r="F1107" s="20"/>
      <c r="G1107" s="175"/>
      <c r="H1107" s="20"/>
      <c r="I1107" s="20"/>
      <c r="J1107" s="20"/>
      <c r="K1107" s="20"/>
      <c r="L1107" s="20"/>
      <c r="M1107" s="20"/>
      <c r="N1107" s="20"/>
      <c r="O1107" s="20"/>
      <c r="P1107" s="20"/>
      <c r="Q1107" s="20"/>
      <c r="R1107" s="20"/>
      <c r="S1107" s="20"/>
      <c r="T1107" s="20"/>
      <c r="U1107" s="20"/>
      <c r="V1107" s="20"/>
      <c r="W1107" s="20"/>
    </row>
    <row r="1108" spans="1:23" x14ac:dyDescent="0.25">
      <c r="A1108" s="177" t="s">
        <v>6322</v>
      </c>
      <c r="B1108" s="177" t="s">
        <v>37</v>
      </c>
      <c r="C1108" s="178" t="s">
        <v>6323</v>
      </c>
      <c r="D1108" s="173" t="s">
        <v>3968</v>
      </c>
      <c r="E1108" s="20"/>
      <c r="F1108" s="20"/>
      <c r="G1108" s="175"/>
      <c r="H1108" s="20"/>
      <c r="I1108" s="20"/>
      <c r="J1108" s="20"/>
      <c r="K1108" s="20"/>
      <c r="L1108" s="20"/>
      <c r="M1108" s="20"/>
      <c r="N1108" s="20"/>
      <c r="O1108" s="20"/>
      <c r="P1108" s="20"/>
      <c r="Q1108" s="20"/>
      <c r="R1108" s="20"/>
      <c r="S1108" s="20"/>
      <c r="T1108" s="20"/>
      <c r="U1108" s="20"/>
      <c r="V1108" s="20"/>
      <c r="W1108" s="20"/>
    </row>
    <row r="1109" spans="1:23" x14ac:dyDescent="0.25">
      <c r="A1109" s="177" t="s">
        <v>6324</v>
      </c>
      <c r="B1109" s="177" t="s">
        <v>1466</v>
      </c>
      <c r="C1109" s="178" t="s">
        <v>6325</v>
      </c>
      <c r="D1109" s="173" t="s">
        <v>3968</v>
      </c>
      <c r="E1109" s="20"/>
      <c r="F1109" s="20"/>
      <c r="G1109" s="175"/>
      <c r="H1109" s="20"/>
      <c r="I1109" s="20"/>
      <c r="J1109" s="20"/>
      <c r="K1109" s="20"/>
      <c r="L1109" s="20"/>
      <c r="M1109" s="20"/>
      <c r="N1109" s="20"/>
      <c r="O1109" s="20"/>
      <c r="P1109" s="20"/>
      <c r="Q1109" s="20"/>
      <c r="R1109" s="20"/>
      <c r="S1109" s="20"/>
      <c r="T1109" s="20"/>
      <c r="U1109" s="20"/>
      <c r="V1109" s="20"/>
      <c r="W1109" s="20"/>
    </row>
    <row r="1110" spans="1:23" x14ac:dyDescent="0.25">
      <c r="A1110" s="179" t="s">
        <v>6326</v>
      </c>
      <c r="B1110" s="180" t="s">
        <v>6327</v>
      </c>
      <c r="C1110" s="16"/>
      <c r="D1110" s="173" t="s">
        <v>3968</v>
      </c>
      <c r="E1110" s="20"/>
      <c r="F1110" s="20"/>
      <c r="G1110" s="175"/>
      <c r="H1110" s="20"/>
      <c r="I1110" s="20"/>
      <c r="J1110" s="20"/>
      <c r="K1110" s="20"/>
      <c r="L1110" s="20"/>
      <c r="M1110" s="20"/>
      <c r="N1110" s="20"/>
      <c r="O1110" s="20"/>
      <c r="P1110" s="20"/>
      <c r="Q1110" s="20"/>
      <c r="R1110" s="20"/>
      <c r="S1110" s="20"/>
      <c r="T1110" s="20"/>
      <c r="U1110" s="20"/>
      <c r="V1110" s="20"/>
      <c r="W1110" s="20"/>
    </row>
    <row r="1111" spans="1:23" x14ac:dyDescent="0.25">
      <c r="A1111" s="179" t="s">
        <v>5089</v>
      </c>
      <c r="B1111" s="180" t="s">
        <v>6328</v>
      </c>
      <c r="C1111" s="16"/>
      <c r="D1111" s="173" t="s">
        <v>3968</v>
      </c>
      <c r="E1111" s="20"/>
      <c r="F1111" s="20"/>
      <c r="G1111" s="175"/>
      <c r="H1111" s="20"/>
      <c r="I1111" s="20"/>
      <c r="J1111" s="20"/>
      <c r="K1111" s="20"/>
      <c r="L1111" s="20"/>
      <c r="M1111" s="20"/>
      <c r="N1111" s="20"/>
      <c r="O1111" s="20"/>
      <c r="P1111" s="20"/>
      <c r="Q1111" s="20"/>
      <c r="R1111" s="20"/>
      <c r="S1111" s="20"/>
      <c r="T1111" s="20"/>
      <c r="U1111" s="20"/>
      <c r="V1111" s="20"/>
      <c r="W1111" s="20"/>
    </row>
    <row r="1112" spans="1:23" x14ac:dyDescent="0.25">
      <c r="A1112" s="171" t="s">
        <v>6329</v>
      </c>
      <c r="B1112" s="180" t="s">
        <v>646</v>
      </c>
      <c r="C1112" s="178" t="s">
        <v>6330</v>
      </c>
      <c r="D1112" s="173" t="s">
        <v>3968</v>
      </c>
      <c r="E1112" s="20"/>
      <c r="F1112" s="20"/>
      <c r="G1112" s="175"/>
      <c r="H1112" s="20"/>
      <c r="I1112" s="20"/>
      <c r="J1112" s="20"/>
      <c r="K1112" s="20"/>
      <c r="L1112" s="20"/>
      <c r="M1112" s="20"/>
      <c r="N1112" s="20"/>
      <c r="O1112" s="20"/>
      <c r="P1112" s="20"/>
      <c r="Q1112" s="20"/>
      <c r="R1112" s="20"/>
      <c r="S1112" s="20"/>
      <c r="T1112" s="20"/>
      <c r="U1112" s="20"/>
      <c r="V1112" s="20"/>
      <c r="W1112" s="20"/>
    </row>
    <row r="1113" spans="1:23" x14ac:dyDescent="0.25">
      <c r="A1113" s="171" t="s">
        <v>6331</v>
      </c>
      <c r="B1113" s="180" t="s">
        <v>6332</v>
      </c>
      <c r="C1113" s="178" t="s">
        <v>4715</v>
      </c>
      <c r="D1113" s="173" t="s">
        <v>3633</v>
      </c>
      <c r="E1113" s="20"/>
      <c r="F1113" s="20"/>
      <c r="G1113" s="174">
        <v>5</v>
      </c>
      <c r="H1113" s="20"/>
      <c r="I1113" s="20"/>
      <c r="J1113" s="20"/>
      <c r="K1113" s="20"/>
      <c r="L1113" s="20"/>
      <c r="M1113" s="20"/>
      <c r="N1113" s="20"/>
      <c r="O1113" s="20"/>
      <c r="P1113" s="20"/>
      <c r="Q1113" s="20"/>
      <c r="R1113" s="20"/>
      <c r="S1113" s="20"/>
      <c r="T1113" s="20"/>
      <c r="U1113" s="20"/>
      <c r="V1113" s="20"/>
      <c r="W1113" s="20"/>
    </row>
    <row r="1114" spans="1:23" x14ac:dyDescent="0.25">
      <c r="A1114" s="171" t="s">
        <v>6333</v>
      </c>
      <c r="B1114" s="180" t="s">
        <v>6334</v>
      </c>
      <c r="C1114" s="178" t="s">
        <v>4709</v>
      </c>
      <c r="D1114" s="173" t="s">
        <v>3633</v>
      </c>
      <c r="E1114" s="20"/>
      <c r="F1114" s="20"/>
      <c r="G1114" s="174">
        <v>5</v>
      </c>
      <c r="H1114" s="20"/>
      <c r="I1114" s="20"/>
      <c r="J1114" s="20"/>
      <c r="K1114" s="20"/>
      <c r="L1114" s="20"/>
      <c r="M1114" s="20"/>
      <c r="N1114" s="20"/>
      <c r="O1114" s="20"/>
      <c r="P1114" s="20"/>
      <c r="Q1114" s="20"/>
      <c r="R1114" s="20"/>
      <c r="S1114" s="20"/>
      <c r="T1114" s="20"/>
      <c r="U1114" s="20"/>
      <c r="V1114" s="20"/>
      <c r="W1114" s="20"/>
    </row>
    <row r="1115" spans="1:23" x14ac:dyDescent="0.25">
      <c r="A1115" s="171" t="s">
        <v>6335</v>
      </c>
      <c r="B1115" s="180" t="s">
        <v>6336</v>
      </c>
      <c r="C1115" s="178" t="s">
        <v>4718</v>
      </c>
      <c r="D1115" s="173" t="s">
        <v>3633</v>
      </c>
      <c r="E1115" s="20"/>
      <c r="F1115" s="20"/>
      <c r="G1115" s="174">
        <v>5</v>
      </c>
      <c r="H1115" s="20"/>
      <c r="I1115" s="20"/>
      <c r="J1115" s="20"/>
      <c r="K1115" s="20"/>
      <c r="L1115" s="20"/>
      <c r="M1115" s="20"/>
      <c r="N1115" s="20"/>
      <c r="O1115" s="20"/>
      <c r="P1115" s="20"/>
      <c r="Q1115" s="20"/>
      <c r="R1115" s="20"/>
      <c r="S1115" s="20"/>
      <c r="T1115" s="20"/>
      <c r="U1115" s="20"/>
      <c r="V1115" s="20"/>
      <c r="W1115" s="20"/>
    </row>
    <row r="1116" spans="1:23" x14ac:dyDescent="0.25">
      <c r="A1116" s="171" t="s">
        <v>6337</v>
      </c>
      <c r="B1116" s="180" t="s">
        <v>6338</v>
      </c>
      <c r="C1116" s="178" t="s">
        <v>4712</v>
      </c>
      <c r="D1116" s="173" t="s">
        <v>3633</v>
      </c>
      <c r="E1116" s="20"/>
      <c r="F1116" s="20"/>
      <c r="G1116" s="174">
        <v>5</v>
      </c>
      <c r="H1116" s="20"/>
      <c r="I1116" s="20"/>
      <c r="J1116" s="20"/>
      <c r="K1116" s="20"/>
      <c r="L1116" s="20"/>
      <c r="M1116" s="20"/>
      <c r="N1116" s="20"/>
      <c r="O1116" s="20"/>
      <c r="P1116" s="20"/>
      <c r="Q1116" s="20"/>
      <c r="R1116" s="20"/>
      <c r="S1116" s="20"/>
      <c r="T1116" s="20"/>
      <c r="U1116" s="20"/>
      <c r="V1116" s="20"/>
      <c r="W1116" s="20"/>
    </row>
    <row r="1117" spans="1:23" x14ac:dyDescent="0.25">
      <c r="A1117" s="171" t="s">
        <v>6339</v>
      </c>
      <c r="B1117" s="180" t="s">
        <v>6340</v>
      </c>
      <c r="C1117" s="178" t="s">
        <v>6341</v>
      </c>
      <c r="D1117" s="173" t="s">
        <v>3968</v>
      </c>
      <c r="E1117" s="20"/>
      <c r="F1117" s="20"/>
      <c r="G1117" s="175"/>
      <c r="H1117" s="20"/>
      <c r="I1117" s="20"/>
      <c r="J1117" s="20"/>
      <c r="K1117" s="20"/>
      <c r="L1117" s="20"/>
      <c r="M1117" s="20"/>
      <c r="N1117" s="20"/>
      <c r="O1117" s="20"/>
      <c r="P1117" s="20"/>
      <c r="Q1117" s="20"/>
      <c r="R1117" s="20"/>
      <c r="S1117" s="20"/>
      <c r="T1117" s="20"/>
      <c r="U1117" s="20"/>
      <c r="V1117" s="20"/>
      <c r="W1117" s="20"/>
    </row>
    <row r="1118" spans="1:23" x14ac:dyDescent="0.25">
      <c r="A1118" s="171" t="s">
        <v>6342</v>
      </c>
      <c r="B1118" s="180" t="s">
        <v>6343</v>
      </c>
      <c r="C1118" s="178" t="s">
        <v>6344</v>
      </c>
      <c r="D1118" s="173" t="s">
        <v>3968</v>
      </c>
      <c r="E1118" s="20"/>
      <c r="F1118" s="20"/>
      <c r="G1118" s="175"/>
      <c r="H1118" s="20"/>
      <c r="I1118" s="20"/>
      <c r="J1118" s="20"/>
      <c r="K1118" s="20"/>
      <c r="L1118" s="20"/>
      <c r="M1118" s="20"/>
      <c r="N1118" s="20"/>
      <c r="O1118" s="20"/>
      <c r="P1118" s="20"/>
      <c r="Q1118" s="20"/>
      <c r="R1118" s="20"/>
      <c r="S1118" s="20"/>
      <c r="T1118" s="20"/>
      <c r="U1118" s="20"/>
      <c r="V1118" s="20"/>
      <c r="W1118" s="20"/>
    </row>
    <row r="1119" spans="1:23" x14ac:dyDescent="0.25">
      <c r="A1119" s="171" t="s">
        <v>6345</v>
      </c>
      <c r="B1119" s="180" t="s">
        <v>6346</v>
      </c>
      <c r="C1119" s="178" t="s">
        <v>6347</v>
      </c>
      <c r="D1119" s="173" t="s">
        <v>3968</v>
      </c>
      <c r="E1119" s="20"/>
      <c r="F1119" s="20"/>
      <c r="G1119" s="175"/>
      <c r="H1119" s="20"/>
      <c r="I1119" s="20"/>
      <c r="J1119" s="20"/>
      <c r="K1119" s="20"/>
      <c r="L1119" s="20"/>
      <c r="M1119" s="20"/>
      <c r="N1119" s="20"/>
      <c r="O1119" s="20"/>
      <c r="P1119" s="20"/>
      <c r="Q1119" s="20"/>
      <c r="R1119" s="20"/>
      <c r="S1119" s="20"/>
      <c r="T1119" s="20"/>
      <c r="U1119" s="20"/>
      <c r="V1119" s="20"/>
      <c r="W1119" s="20"/>
    </row>
    <row r="1120" spans="1:23" x14ac:dyDescent="0.25">
      <c r="A1120" s="171" t="s">
        <v>6348</v>
      </c>
      <c r="B1120" s="180" t="s">
        <v>6349</v>
      </c>
      <c r="C1120" s="178" t="s">
        <v>6350</v>
      </c>
      <c r="D1120" s="173" t="s">
        <v>3968</v>
      </c>
      <c r="E1120" s="20"/>
      <c r="F1120" s="20"/>
      <c r="G1120" s="175"/>
      <c r="H1120" s="20"/>
      <c r="I1120" s="20"/>
      <c r="J1120" s="20"/>
      <c r="K1120" s="20"/>
      <c r="L1120" s="20"/>
      <c r="M1120" s="20"/>
      <c r="N1120" s="20"/>
      <c r="O1120" s="20"/>
      <c r="P1120" s="20"/>
      <c r="Q1120" s="20"/>
      <c r="R1120" s="20"/>
      <c r="S1120" s="20"/>
      <c r="T1120" s="20"/>
      <c r="U1120" s="20"/>
      <c r="V1120" s="20"/>
      <c r="W1120" s="20"/>
    </row>
    <row r="1121" spans="1:23" x14ac:dyDescent="0.25">
      <c r="A1121" s="171" t="s">
        <v>6351</v>
      </c>
      <c r="B1121" s="180" t="s">
        <v>6352</v>
      </c>
      <c r="C1121" s="178" t="s">
        <v>6353</v>
      </c>
      <c r="D1121" s="173" t="s">
        <v>3968</v>
      </c>
      <c r="E1121" s="20"/>
      <c r="F1121" s="20"/>
      <c r="G1121" s="175"/>
      <c r="H1121" s="20"/>
      <c r="I1121" s="20"/>
      <c r="J1121" s="20"/>
      <c r="K1121" s="20"/>
      <c r="L1121" s="20"/>
      <c r="M1121" s="20"/>
      <c r="N1121" s="20"/>
      <c r="O1121" s="20"/>
      <c r="P1121" s="20"/>
      <c r="Q1121" s="20"/>
      <c r="R1121" s="20"/>
      <c r="S1121" s="20"/>
      <c r="T1121" s="20"/>
      <c r="U1121" s="20"/>
      <c r="V1121" s="20"/>
      <c r="W1121" s="20"/>
    </row>
    <row r="1122" spans="1:23" x14ac:dyDescent="0.25">
      <c r="A1122" s="171" t="s">
        <v>6354</v>
      </c>
      <c r="B1122" s="180" t="s">
        <v>6355</v>
      </c>
      <c r="C1122" s="178" t="s">
        <v>6356</v>
      </c>
      <c r="D1122" s="173" t="s">
        <v>3968</v>
      </c>
      <c r="E1122" s="20"/>
      <c r="F1122" s="20"/>
      <c r="G1122" s="175"/>
      <c r="H1122" s="20"/>
      <c r="I1122" s="20"/>
      <c r="J1122" s="20"/>
      <c r="K1122" s="20"/>
      <c r="L1122" s="20"/>
      <c r="M1122" s="20"/>
      <c r="N1122" s="20"/>
      <c r="O1122" s="20"/>
      <c r="P1122" s="20"/>
      <c r="Q1122" s="20"/>
      <c r="R1122" s="20"/>
      <c r="S1122" s="20"/>
      <c r="T1122" s="20"/>
      <c r="U1122" s="20"/>
      <c r="V1122" s="20"/>
      <c r="W1122" s="20"/>
    </row>
    <row r="1123" spans="1:23" x14ac:dyDescent="0.25">
      <c r="A1123" s="171" t="s">
        <v>6357</v>
      </c>
      <c r="B1123" s="180" t="s">
        <v>6358</v>
      </c>
      <c r="C1123" s="178" t="s">
        <v>6359</v>
      </c>
      <c r="D1123" s="173" t="s">
        <v>3968</v>
      </c>
      <c r="E1123" s="20"/>
      <c r="F1123" s="20"/>
      <c r="G1123" s="175"/>
      <c r="H1123" s="20"/>
      <c r="I1123" s="20"/>
      <c r="J1123" s="20"/>
      <c r="K1123" s="20"/>
      <c r="L1123" s="20"/>
      <c r="M1123" s="20"/>
      <c r="N1123" s="20"/>
      <c r="O1123" s="20"/>
      <c r="P1123" s="20"/>
      <c r="Q1123" s="20"/>
      <c r="R1123" s="20"/>
      <c r="S1123" s="20"/>
      <c r="T1123" s="20"/>
      <c r="U1123" s="20"/>
      <c r="V1123" s="20"/>
      <c r="W1123" s="20"/>
    </row>
    <row r="1124" spans="1:23" x14ac:dyDescent="0.25">
      <c r="A1124" s="171" t="s">
        <v>6360</v>
      </c>
      <c r="B1124" s="180" t="s">
        <v>6361</v>
      </c>
      <c r="C1124" s="178" t="s">
        <v>6362</v>
      </c>
      <c r="D1124" s="173" t="s">
        <v>3968</v>
      </c>
      <c r="E1124" s="20"/>
      <c r="F1124" s="20"/>
      <c r="G1124" s="175"/>
      <c r="H1124" s="20"/>
      <c r="I1124" s="20"/>
      <c r="J1124" s="20"/>
      <c r="K1124" s="20"/>
      <c r="L1124" s="20"/>
      <c r="M1124" s="20"/>
      <c r="N1124" s="20"/>
      <c r="O1124" s="20"/>
      <c r="P1124" s="20"/>
      <c r="Q1124" s="20"/>
      <c r="R1124" s="20"/>
      <c r="S1124" s="20"/>
      <c r="T1124" s="20"/>
      <c r="U1124" s="20"/>
      <c r="V1124" s="20"/>
      <c r="W1124" s="20"/>
    </row>
    <row r="1125" spans="1:23" x14ac:dyDescent="0.25">
      <c r="A1125" s="171" t="s">
        <v>6363</v>
      </c>
      <c r="B1125" s="180" t="s">
        <v>6364</v>
      </c>
      <c r="C1125" s="178" t="s">
        <v>6365</v>
      </c>
      <c r="D1125" s="173" t="s">
        <v>3968</v>
      </c>
      <c r="E1125" s="20"/>
      <c r="F1125" s="20"/>
      <c r="G1125" s="175"/>
      <c r="H1125" s="20"/>
      <c r="I1125" s="20"/>
      <c r="J1125" s="20"/>
      <c r="K1125" s="20"/>
      <c r="L1125" s="20"/>
      <c r="M1125" s="20"/>
      <c r="N1125" s="20"/>
      <c r="O1125" s="20"/>
      <c r="P1125" s="20"/>
      <c r="Q1125" s="20"/>
      <c r="R1125" s="20"/>
      <c r="S1125" s="20"/>
      <c r="T1125" s="20"/>
      <c r="U1125" s="20"/>
      <c r="V1125" s="20"/>
      <c r="W1125" s="20"/>
    </row>
    <row r="1126" spans="1:23" x14ac:dyDescent="0.25">
      <c r="A1126" s="171" t="s">
        <v>6366</v>
      </c>
      <c r="B1126" s="180" t="s">
        <v>6367</v>
      </c>
      <c r="C1126" s="178" t="s">
        <v>6368</v>
      </c>
      <c r="D1126" s="173" t="s">
        <v>3968</v>
      </c>
      <c r="E1126" s="20"/>
      <c r="F1126" s="20"/>
      <c r="G1126" s="175"/>
      <c r="H1126" s="20"/>
      <c r="I1126" s="20"/>
      <c r="J1126" s="20"/>
      <c r="K1126" s="20"/>
      <c r="L1126" s="20"/>
      <c r="M1126" s="20"/>
      <c r="N1126" s="20"/>
      <c r="O1126" s="20"/>
      <c r="P1126" s="20"/>
      <c r="Q1126" s="20"/>
      <c r="R1126" s="20"/>
      <c r="S1126" s="20"/>
      <c r="T1126" s="20"/>
      <c r="U1126" s="20"/>
      <c r="V1126" s="20"/>
      <c r="W1126" s="20"/>
    </row>
    <row r="1127" spans="1:23" x14ac:dyDescent="0.25">
      <c r="A1127" s="171" t="s">
        <v>6369</v>
      </c>
      <c r="B1127" s="180" t="s">
        <v>6370</v>
      </c>
      <c r="C1127" s="178" t="s">
        <v>6371</v>
      </c>
      <c r="D1127" s="173" t="s">
        <v>3968</v>
      </c>
      <c r="E1127" s="20"/>
      <c r="F1127" s="20"/>
      <c r="G1127" s="175"/>
      <c r="H1127" s="20"/>
      <c r="I1127" s="20"/>
      <c r="J1127" s="20"/>
      <c r="K1127" s="20"/>
      <c r="L1127" s="20"/>
      <c r="M1127" s="20"/>
      <c r="N1127" s="20"/>
      <c r="O1127" s="20"/>
      <c r="P1127" s="20"/>
      <c r="Q1127" s="20"/>
      <c r="R1127" s="20"/>
      <c r="S1127" s="20"/>
      <c r="T1127" s="20"/>
      <c r="U1127" s="20"/>
      <c r="V1127" s="20"/>
      <c r="W1127" s="20"/>
    </row>
    <row r="1128" spans="1:23" x14ac:dyDescent="0.25">
      <c r="A1128" s="171" t="s">
        <v>6372</v>
      </c>
      <c r="B1128" s="180" t="s">
        <v>6373</v>
      </c>
      <c r="C1128" s="178" t="s">
        <v>6374</v>
      </c>
      <c r="D1128" s="173" t="s">
        <v>3968</v>
      </c>
      <c r="E1128" s="20"/>
      <c r="F1128" s="20"/>
      <c r="G1128" s="175"/>
      <c r="H1128" s="20"/>
      <c r="I1128" s="20"/>
      <c r="J1128" s="20"/>
      <c r="K1128" s="20"/>
      <c r="L1128" s="20"/>
      <c r="M1128" s="20"/>
      <c r="N1128" s="20"/>
      <c r="O1128" s="20"/>
      <c r="P1128" s="20"/>
      <c r="Q1128" s="20"/>
      <c r="R1128" s="20"/>
      <c r="S1128" s="20"/>
      <c r="T1128" s="20"/>
      <c r="U1128" s="20"/>
      <c r="V1128" s="20"/>
      <c r="W1128" s="20"/>
    </row>
    <row r="1129" spans="1:23" x14ac:dyDescent="0.25">
      <c r="A1129" s="171" t="s">
        <v>6375</v>
      </c>
      <c r="B1129" s="180" t="s">
        <v>6376</v>
      </c>
      <c r="C1129" s="178" t="s">
        <v>6377</v>
      </c>
      <c r="D1129" s="173" t="s">
        <v>3968</v>
      </c>
      <c r="E1129" s="20"/>
      <c r="F1129" s="20"/>
      <c r="G1129" s="175"/>
      <c r="H1129" s="20"/>
      <c r="I1129" s="20"/>
      <c r="J1129" s="20"/>
      <c r="K1129" s="20"/>
      <c r="L1129" s="20"/>
      <c r="M1129" s="20"/>
      <c r="N1129" s="20"/>
      <c r="O1129" s="20"/>
      <c r="P1129" s="20"/>
      <c r="Q1129" s="20"/>
      <c r="R1129" s="20"/>
      <c r="S1129" s="20"/>
      <c r="T1129" s="20"/>
      <c r="U1129" s="20"/>
      <c r="V1129" s="20"/>
      <c r="W1129" s="20"/>
    </row>
    <row r="1130" spans="1:23" x14ac:dyDescent="0.25">
      <c r="A1130" s="171" t="s">
        <v>6378</v>
      </c>
      <c r="B1130" s="180" t="s">
        <v>22</v>
      </c>
      <c r="C1130" s="178" t="s">
        <v>6379</v>
      </c>
      <c r="D1130" s="173" t="s">
        <v>3715</v>
      </c>
      <c r="E1130" s="173" t="s">
        <v>6380</v>
      </c>
      <c r="F1130" s="20"/>
      <c r="G1130" s="175"/>
      <c r="H1130" s="20"/>
      <c r="I1130" s="20"/>
      <c r="J1130" s="20"/>
      <c r="K1130" s="20"/>
      <c r="L1130" s="20"/>
      <c r="M1130" s="20"/>
      <c r="N1130" s="20"/>
      <c r="O1130" s="20"/>
      <c r="P1130" s="20"/>
      <c r="Q1130" s="20"/>
      <c r="R1130" s="20"/>
      <c r="S1130" s="20"/>
      <c r="T1130" s="20"/>
      <c r="U1130" s="20"/>
      <c r="V1130" s="20"/>
      <c r="W1130" s="20"/>
    </row>
    <row r="1131" spans="1:23" x14ac:dyDescent="0.25">
      <c r="A1131" s="171" t="s">
        <v>6381</v>
      </c>
      <c r="B1131" s="180" t="s">
        <v>2330</v>
      </c>
      <c r="C1131" s="178" t="s">
        <v>6382</v>
      </c>
      <c r="D1131" s="173" t="s">
        <v>3633</v>
      </c>
      <c r="E1131" s="173" t="s">
        <v>6383</v>
      </c>
      <c r="F1131" s="20"/>
      <c r="G1131" s="175"/>
      <c r="H1131" s="20"/>
      <c r="I1131" s="20"/>
      <c r="J1131" s="20"/>
      <c r="K1131" s="20"/>
      <c r="L1131" s="20"/>
      <c r="M1131" s="20"/>
      <c r="N1131" s="20"/>
      <c r="O1131" s="20"/>
      <c r="P1131" s="20"/>
      <c r="Q1131" s="20"/>
      <c r="R1131" s="20"/>
      <c r="S1131" s="20"/>
      <c r="T1131" s="20"/>
      <c r="U1131" s="20"/>
      <c r="V1131" s="20"/>
      <c r="W1131" s="20"/>
    </row>
    <row r="1132" spans="1:23" x14ac:dyDescent="0.25">
      <c r="A1132" s="171" t="s">
        <v>6384</v>
      </c>
      <c r="B1132" s="180" t="s">
        <v>2323</v>
      </c>
      <c r="C1132" s="178" t="s">
        <v>6385</v>
      </c>
      <c r="D1132" s="173" t="s">
        <v>3633</v>
      </c>
      <c r="E1132" s="173" t="s">
        <v>6386</v>
      </c>
      <c r="F1132" s="20"/>
      <c r="G1132" s="175"/>
      <c r="H1132" s="20"/>
      <c r="I1132" s="20"/>
      <c r="J1132" s="20"/>
      <c r="K1132" s="20"/>
      <c r="L1132" s="20"/>
      <c r="M1132" s="20"/>
      <c r="N1132" s="20"/>
      <c r="O1132" s="20"/>
      <c r="P1132" s="20"/>
      <c r="Q1132" s="20"/>
      <c r="R1132" s="20"/>
      <c r="S1132" s="20"/>
      <c r="T1132" s="20"/>
      <c r="U1132" s="20"/>
      <c r="V1132" s="20"/>
      <c r="W1132" s="20"/>
    </row>
    <row r="1133" spans="1:23" x14ac:dyDescent="0.25">
      <c r="A1133" s="171" t="s">
        <v>6387</v>
      </c>
      <c r="B1133" s="180" t="s">
        <v>2326</v>
      </c>
      <c r="C1133" s="178" t="s">
        <v>4718</v>
      </c>
      <c r="D1133" s="173" t="s">
        <v>3633</v>
      </c>
      <c r="E1133" s="173" t="s">
        <v>6388</v>
      </c>
      <c r="F1133" s="20"/>
      <c r="G1133" s="175"/>
      <c r="H1133" s="20"/>
      <c r="I1133" s="20"/>
      <c r="J1133" s="20"/>
      <c r="K1133" s="20"/>
      <c r="L1133" s="20"/>
      <c r="M1133" s="20"/>
      <c r="N1133" s="20"/>
      <c r="O1133" s="20"/>
      <c r="P1133" s="20"/>
      <c r="Q1133" s="20"/>
      <c r="R1133" s="20"/>
      <c r="S1133" s="20"/>
      <c r="T1133" s="20"/>
      <c r="U1133" s="20"/>
      <c r="V1133" s="20"/>
      <c r="W1133" s="20"/>
    </row>
    <row r="1134" spans="1:23" x14ac:dyDescent="0.25">
      <c r="A1134" s="171" t="s">
        <v>6389</v>
      </c>
      <c r="B1134" s="180" t="s">
        <v>2319</v>
      </c>
      <c r="C1134" s="178" t="s">
        <v>6390</v>
      </c>
      <c r="D1134" s="173" t="s">
        <v>3633</v>
      </c>
      <c r="E1134" s="173" t="s">
        <v>6391</v>
      </c>
      <c r="F1134" s="20"/>
      <c r="G1134" s="175"/>
      <c r="H1134" s="20"/>
      <c r="I1134" s="20"/>
      <c r="J1134" s="20"/>
      <c r="K1134" s="20"/>
      <c r="L1134" s="20"/>
      <c r="M1134" s="20"/>
      <c r="N1134" s="20"/>
      <c r="O1134" s="20"/>
      <c r="P1134" s="20"/>
      <c r="Q1134" s="20"/>
      <c r="R1134" s="20"/>
      <c r="S1134" s="20"/>
      <c r="T1134" s="20"/>
      <c r="U1134" s="20"/>
      <c r="V1134" s="20"/>
      <c r="W1134" s="20"/>
    </row>
    <row r="1135" spans="1:23" x14ac:dyDescent="0.25">
      <c r="A1135" s="171" t="s">
        <v>6392</v>
      </c>
      <c r="B1135" s="180" t="s">
        <v>6393</v>
      </c>
      <c r="C1135" s="16"/>
      <c r="D1135" s="20"/>
      <c r="E1135" s="20"/>
      <c r="F1135" s="20"/>
      <c r="G1135" s="175"/>
      <c r="H1135" s="20"/>
      <c r="I1135" s="20"/>
      <c r="J1135" s="20"/>
      <c r="K1135" s="20"/>
      <c r="L1135" s="20"/>
      <c r="M1135" s="20"/>
      <c r="N1135" s="20"/>
      <c r="O1135" s="20"/>
      <c r="P1135" s="20"/>
      <c r="Q1135" s="20"/>
      <c r="R1135" s="20"/>
      <c r="S1135" s="20"/>
      <c r="T1135" s="20"/>
      <c r="U1135" s="20"/>
      <c r="V1135" s="20"/>
      <c r="W1135" s="20"/>
    </row>
    <row r="1136" spans="1:7" x14ac:dyDescent="0.25">
      <c r="A1136" t="s">
        <v>2366</v>
      </c>
      <c r="B1136" t="s">
        <v>62</v>
      </c>
      <c r="C1136" t="s">
        <v>2364</v>
      </c>
      <c r="D1136" t="s">
        <v>731</v>
      </c>
      <c r="E1136" t="s">
        <v>6394</v>
      </c>
      <c r="F1136">
        <v>45</v>
      </c>
      <c r="G1136">
        <v>15</v>
      </c>
    </row>
    <row r="1137" spans="1:7" x14ac:dyDescent="0.25">
      <c r="A1137" t="s">
        <v>2369</v>
      </c>
      <c r="B1137" t="s">
        <v>683</v>
      </c>
      <c r="C1137" t="s">
        <v>2367</v>
      </c>
      <c r="D1137" t="s">
        <v>780</v>
      </c>
      <c r="E1137" t="s">
        <v>6395</v>
      </c>
      <c r="F1137">
        <v>120</v>
      </c>
      <c r="G1137">
        <v>10</v>
      </c>
    </row>
    <row r="1138" spans="1:7" x14ac:dyDescent="0.25">
      <c r="A1138" t="s">
        <v>2372</v>
      </c>
      <c r="B1138" t="s">
        <v>685</v>
      </c>
      <c r="C1138" t="s">
        <v>2370</v>
      </c>
      <c r="D1138" t="s">
        <v>745</v>
      </c>
      <c r="E1138" t="s">
        <v>6396</v>
      </c>
      <c r="F1138">
        <v>18</v>
      </c>
      <c r="G1138">
        <v>0</v>
      </c>
    </row>
    <row r="1139" spans="1:7" x14ac:dyDescent="0.25">
      <c r="A1139" t="s">
        <v>2375</v>
      </c>
      <c r="B1139" t="s">
        <v>63</v>
      </c>
      <c r="C1139" t="s">
        <v>2373</v>
      </c>
      <c r="D1139" t="s">
        <v>731</v>
      </c>
      <c r="E1139" t="s">
        <v>6397</v>
      </c>
      <c r="F1139">
        <v>32</v>
      </c>
      <c r="G1139">
        <v>15</v>
      </c>
    </row>
    <row r="1140" spans="1:7" x14ac:dyDescent="0.25">
      <c r="A1140" t="s">
        <v>2378</v>
      </c>
      <c r="B1140" t="s">
        <v>688</v>
      </c>
      <c r="C1140" t="s">
        <v>2376</v>
      </c>
      <c r="D1140" t="s">
        <v>784</v>
      </c>
      <c r="E1140" t="s">
        <v>6398</v>
      </c>
      <c r="F1140">
        <v>0</v>
      </c>
      <c r="G1140">
        <v>20</v>
      </c>
    </row>
  </sheetData>
  <dataValidations count="5">
    <dataValidation type="list" allowBlank="1" showErrorMessage="1" sqref="D10:D360">
      <formula1>"เคมี,ไฟฟ้า,เบ็ดเตล็ด,สีย้อม"</formula1>
    </dataValidation>
    <dataValidation type="list" allowBlank="1" showErrorMessage="1" sqref="D1000:D1135">
      <formula1>"เคมี,ไฟฟ้า,เบ็ดเตล็ด,สีย้อม"</formula1>
    </dataValidation>
    <dataValidation type="list" allowBlank="1" showErrorMessage="1" sqref="D2:D360">
      <formula1>"เคมี,ไฟฟ้า,เบ็ดเตล็ด,สีย้อม"</formula1>
    </dataValidation>
    <dataValidation type="list" allowBlank="1" showErrorMessage="1" sqref="D362:D665">
      <formula1>"เคมี,ไฟฟ้า,เบ็ดเตล็ด,สีย้อม"</formula1>
    </dataValidation>
    <dataValidation type="list" allowBlank="1" showErrorMessage="1" sqref="D672:D1135">
      <formula1>"เคมี,ไฟฟ้า,เบ็ดเตล็ด,สีย้อม"</formula1>
    </dataValidation>
  </dataValidation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4"/>
  <sheetViews>
    <sheetView workbookViewId="0" zoomScale="100" zoomScaleNormal="100"/>
  </sheetViews>
  <sheetFormatPr defaultRowHeight="15.75" outlineLevelRow="0" outlineLevelCol="0" x14ac:dyDescent="0" defaultColWidth="12.63" customHeight="1"/>
  <sheetData>
    <row r="1" spans="1:2" x14ac:dyDescent="0.25">
      <c r="A1" s="181" t="s">
        <v>2</v>
      </c>
      <c r="B1" s="182" t="s">
        <v>240</v>
      </c>
    </row>
    <row r="2" spans="1:2" x14ac:dyDescent="0.25">
      <c r="A2" s="183" t="s">
        <v>788</v>
      </c>
      <c r="B2" s="184">
        <v>10</v>
      </c>
    </row>
    <row r="3" spans="1:2" x14ac:dyDescent="0.25">
      <c r="A3" s="183" t="s">
        <v>215</v>
      </c>
      <c r="B3" s="184">
        <v>15</v>
      </c>
    </row>
    <row r="4" spans="1:2" x14ac:dyDescent="0.25">
      <c r="A4" s="183" t="s">
        <v>796</v>
      </c>
      <c r="B4" s="184">
        <v>5</v>
      </c>
    </row>
    <row r="5" spans="1:2" x14ac:dyDescent="0.25">
      <c r="A5" s="183" t="s">
        <v>291</v>
      </c>
      <c r="B5" s="184">
        <v>15</v>
      </c>
    </row>
    <row r="6" spans="1:2" x14ac:dyDescent="0.25">
      <c r="A6" s="183" t="s">
        <v>210</v>
      </c>
      <c r="B6" s="184">
        <v>15</v>
      </c>
    </row>
    <row r="7" spans="1:2" x14ac:dyDescent="0.25">
      <c r="A7" s="183" t="s">
        <v>1194</v>
      </c>
      <c r="B7" s="184">
        <v>5</v>
      </c>
    </row>
    <row r="8" spans="1:2" x14ac:dyDescent="0.25">
      <c r="A8" s="183" t="s">
        <v>123</v>
      </c>
      <c r="B8" s="184">
        <v>20</v>
      </c>
    </row>
    <row r="9" spans="1:2" x14ac:dyDescent="0.25">
      <c r="A9" s="183" t="s">
        <v>117</v>
      </c>
      <c r="B9" s="184">
        <v>20</v>
      </c>
    </row>
    <row r="10" spans="1:2" x14ac:dyDescent="0.25">
      <c r="A10" s="183" t="s">
        <v>129</v>
      </c>
      <c r="B10" s="184">
        <v>20</v>
      </c>
    </row>
    <row r="11" spans="1:2" x14ac:dyDescent="0.25">
      <c r="A11" s="183" t="s">
        <v>202</v>
      </c>
      <c r="B11" s="184">
        <v>10</v>
      </c>
    </row>
    <row r="12" spans="1:2" x14ac:dyDescent="0.25">
      <c r="A12" s="183" t="s">
        <v>290</v>
      </c>
      <c r="B12" s="184">
        <v>15</v>
      </c>
    </row>
    <row r="13" spans="1:2" x14ac:dyDescent="0.25">
      <c r="A13" s="183" t="s">
        <v>187</v>
      </c>
      <c r="B13" s="184">
        <v>20</v>
      </c>
    </row>
    <row r="14" spans="1:2" x14ac:dyDescent="0.25">
      <c r="A14" s="183" t="s">
        <v>171</v>
      </c>
      <c r="B14" s="184">
        <v>20</v>
      </c>
    </row>
    <row r="15" spans="1:2" x14ac:dyDescent="0.25">
      <c r="A15" s="183" t="s">
        <v>10</v>
      </c>
      <c r="B15" s="184">
        <v>10</v>
      </c>
    </row>
    <row r="16" spans="1:2" x14ac:dyDescent="0.25">
      <c r="A16" s="183" t="s">
        <v>11</v>
      </c>
      <c r="B16" s="184">
        <v>15</v>
      </c>
    </row>
    <row r="17" spans="1:2" x14ac:dyDescent="0.25">
      <c r="A17" s="183" t="s">
        <v>810</v>
      </c>
      <c r="B17" s="184">
        <v>5</v>
      </c>
    </row>
    <row r="18" spans="1:2" x14ac:dyDescent="0.25">
      <c r="A18" s="183" t="s">
        <v>12</v>
      </c>
      <c r="B18" s="184">
        <v>10</v>
      </c>
    </row>
    <row r="19" spans="1:2" x14ac:dyDescent="0.25">
      <c r="A19" s="183" t="s">
        <v>8</v>
      </c>
      <c r="B19" s="184">
        <v>10</v>
      </c>
    </row>
    <row r="20" spans="1:2" x14ac:dyDescent="0.25">
      <c r="A20" s="183" t="s">
        <v>14</v>
      </c>
      <c r="B20" s="184">
        <v>5</v>
      </c>
    </row>
    <row r="21" spans="1:2" x14ac:dyDescent="0.25">
      <c r="A21" s="183" t="s">
        <v>13</v>
      </c>
      <c r="B21" s="184">
        <v>10</v>
      </c>
    </row>
    <row r="22" spans="1:2" x14ac:dyDescent="0.25">
      <c r="A22" s="183" t="s">
        <v>18</v>
      </c>
      <c r="B22" s="184">
        <v>10</v>
      </c>
    </row>
    <row r="23" spans="1:2" x14ac:dyDescent="0.25">
      <c r="A23" s="183" t="s">
        <v>26</v>
      </c>
      <c r="B23" s="184">
        <v>20</v>
      </c>
    </row>
    <row r="24" spans="1:2" x14ac:dyDescent="0.25">
      <c r="A24" s="183" t="s">
        <v>24</v>
      </c>
      <c r="B24" s="184">
        <v>50</v>
      </c>
    </row>
    <row r="25" spans="1:2" x14ac:dyDescent="0.25">
      <c r="A25" s="183" t="s">
        <v>25</v>
      </c>
      <c r="B25" s="184">
        <v>50</v>
      </c>
    </row>
    <row r="26" spans="1:2" x14ac:dyDescent="0.25">
      <c r="A26" s="183" t="s">
        <v>22</v>
      </c>
      <c r="B26" s="184">
        <v>80</v>
      </c>
    </row>
    <row r="27" spans="1:2" x14ac:dyDescent="0.25">
      <c r="A27" s="183" t="s">
        <v>23</v>
      </c>
      <c r="B27" s="184">
        <v>80</v>
      </c>
    </row>
    <row r="28" spans="1:2" x14ac:dyDescent="0.25">
      <c r="A28" s="183" t="s">
        <v>315</v>
      </c>
      <c r="B28" s="184">
        <v>40</v>
      </c>
    </row>
    <row r="29" spans="1:2" x14ac:dyDescent="0.25">
      <c r="A29" s="183" t="s">
        <v>313</v>
      </c>
      <c r="B29" s="184">
        <v>50</v>
      </c>
    </row>
    <row r="30" spans="1:2" x14ac:dyDescent="0.25">
      <c r="A30" s="183" t="s">
        <v>1209</v>
      </c>
      <c r="B30" s="184">
        <v>50</v>
      </c>
    </row>
    <row r="31" spans="1:2" x14ac:dyDescent="0.25">
      <c r="A31" s="183" t="s">
        <v>6399</v>
      </c>
      <c r="B31" s="184">
        <v>50</v>
      </c>
    </row>
    <row r="32" spans="1:2" x14ac:dyDescent="0.25">
      <c r="A32" s="183" t="s">
        <v>6400</v>
      </c>
      <c r="B32" s="184">
        <v>50</v>
      </c>
    </row>
    <row r="33" spans="1:2" x14ac:dyDescent="0.25">
      <c r="A33" s="183" t="s">
        <v>311</v>
      </c>
      <c r="B33" s="184">
        <v>50</v>
      </c>
    </row>
    <row r="34" spans="1:2" x14ac:dyDescent="0.25">
      <c r="A34" s="183" t="s">
        <v>312</v>
      </c>
      <c r="B34" s="184">
        <v>50</v>
      </c>
    </row>
    <row r="35" spans="1:2" x14ac:dyDescent="0.25">
      <c r="A35" s="183" t="s">
        <v>302</v>
      </c>
      <c r="B35" s="184">
        <v>20</v>
      </c>
    </row>
    <row r="36" spans="1:2" x14ac:dyDescent="0.25">
      <c r="A36" s="183" t="s">
        <v>303</v>
      </c>
      <c r="B36" s="184">
        <v>50</v>
      </c>
    </row>
    <row r="37" spans="1:2" x14ac:dyDescent="0.25">
      <c r="A37" s="183" t="s">
        <v>300</v>
      </c>
      <c r="B37" s="184">
        <v>50</v>
      </c>
    </row>
    <row r="38" spans="1:2" x14ac:dyDescent="0.25">
      <c r="A38" s="183" t="s">
        <v>296</v>
      </c>
      <c r="B38" s="184">
        <v>50</v>
      </c>
    </row>
    <row r="39" spans="1:2" x14ac:dyDescent="0.25">
      <c r="A39" s="183" t="s">
        <v>329</v>
      </c>
      <c r="B39" s="184">
        <v>50</v>
      </c>
    </row>
    <row r="40" spans="1:2" x14ac:dyDescent="0.25">
      <c r="A40" s="183" t="s">
        <v>6401</v>
      </c>
      <c r="B40" s="184">
        <v>10</v>
      </c>
    </row>
    <row r="41" spans="1:2" x14ac:dyDescent="0.25">
      <c r="A41" s="183" t="s">
        <v>6332</v>
      </c>
      <c r="B41" s="184">
        <v>5</v>
      </c>
    </row>
    <row r="42" spans="1:2" x14ac:dyDescent="0.25">
      <c r="A42" s="183" t="s">
        <v>6334</v>
      </c>
      <c r="B42" s="184">
        <v>5</v>
      </c>
    </row>
    <row r="43" spans="1:2" x14ac:dyDescent="0.25">
      <c r="A43" s="183" t="s">
        <v>6336</v>
      </c>
      <c r="B43" s="184">
        <v>5</v>
      </c>
    </row>
    <row r="44" spans="1:2" x14ac:dyDescent="0.25">
      <c r="A44" s="183" t="s">
        <v>6338</v>
      </c>
      <c r="B44" s="184">
        <v>5</v>
      </c>
    </row>
    <row r="45" spans="1:2" x14ac:dyDescent="0.25">
      <c r="A45" s="16"/>
      <c r="B45" s="16"/>
    </row>
    <row r="46" spans="1:2" x14ac:dyDescent="0.25">
      <c r="A46" s="16"/>
      <c r="B46" s="16"/>
    </row>
    <row r="47" spans="1:2" x14ac:dyDescent="0.25">
      <c r="A47" s="16"/>
      <c r="B47" s="16"/>
    </row>
    <row r="48" spans="1:2" x14ac:dyDescent="0.25">
      <c r="A48" s="16"/>
      <c r="B48" s="16"/>
    </row>
    <row r="49" spans="1:2" x14ac:dyDescent="0.25">
      <c r="A49" s="16"/>
      <c r="B49" s="16"/>
    </row>
    <row r="50" spans="1:2" x14ac:dyDescent="0.25">
      <c r="A50" s="16"/>
      <c r="B50" s="16"/>
    </row>
    <row r="51" spans="1:2" x14ac:dyDescent="0.25">
      <c r="A51" s="16"/>
      <c r="B51" s="16"/>
    </row>
    <row r="52" spans="1:2" x14ac:dyDescent="0.25">
      <c r="A52" s="16"/>
      <c r="B52" s="16"/>
    </row>
    <row r="53" spans="1:2" x14ac:dyDescent="0.25">
      <c r="A53" s="16"/>
      <c r="B53" s="16"/>
    </row>
    <row r="54" spans="1:2" x14ac:dyDescent="0.25">
      <c r="A54" s="16"/>
      <c r="B54" s="16"/>
    </row>
    <row r="55" spans="1:2" x14ac:dyDescent="0.25">
      <c r="A55" s="16"/>
      <c r="B55" s="16"/>
    </row>
    <row r="56" spans="1:2" x14ac:dyDescent="0.25">
      <c r="A56" s="16"/>
      <c r="B56" s="16"/>
    </row>
    <row r="57" spans="1:2" x14ac:dyDescent="0.25">
      <c r="A57" s="16"/>
      <c r="B57" s="16"/>
    </row>
    <row r="58" spans="1:2" x14ac:dyDescent="0.25">
      <c r="A58" s="16"/>
      <c r="B58" s="16"/>
    </row>
    <row r="59" spans="1:2" x14ac:dyDescent="0.25">
      <c r="A59" s="16"/>
      <c r="B59" s="16"/>
    </row>
    <row r="60" spans="1:2" x14ac:dyDescent="0.25">
      <c r="A60" s="16"/>
      <c r="B60" s="16"/>
    </row>
    <row r="61" spans="1:2" x14ac:dyDescent="0.25">
      <c r="A61" s="16"/>
      <c r="B61" s="16"/>
    </row>
    <row r="62" spans="1:2" x14ac:dyDescent="0.25">
      <c r="A62" s="16"/>
      <c r="B62" s="16"/>
    </row>
    <row r="63" spans="1:2" x14ac:dyDescent="0.25">
      <c r="A63" s="16"/>
      <c r="B63" s="16"/>
    </row>
    <row r="64" spans="1:2" x14ac:dyDescent="0.25">
      <c r="A64" s="16"/>
      <c r="B64" s="16"/>
    </row>
    <row r="65" spans="1:2" x14ac:dyDescent="0.25">
      <c r="A65" s="16"/>
      <c r="B65" s="16"/>
    </row>
    <row r="66" spans="1:2" x14ac:dyDescent="0.25">
      <c r="A66" s="16"/>
      <c r="B66" s="16"/>
    </row>
    <row r="67" spans="1:2" x14ac:dyDescent="0.25">
      <c r="A67" s="16"/>
      <c r="B67" s="16"/>
    </row>
    <row r="68" spans="1:2" x14ac:dyDescent="0.25">
      <c r="A68" s="16"/>
      <c r="B68" s="16"/>
    </row>
    <row r="69" spans="1:2" x14ac:dyDescent="0.25">
      <c r="A69" s="16"/>
      <c r="B69" s="16"/>
    </row>
    <row r="70" spans="1:2" x14ac:dyDescent="0.25">
      <c r="A70" s="16"/>
      <c r="B70" s="16"/>
    </row>
    <row r="71" spans="1:2" x14ac:dyDescent="0.25">
      <c r="A71" s="16"/>
      <c r="B71" s="16"/>
    </row>
    <row r="72" spans="1:2" x14ac:dyDescent="0.25">
      <c r="A72" s="16"/>
      <c r="B72" s="16"/>
    </row>
    <row r="73" spans="1:2" x14ac:dyDescent="0.25">
      <c r="A73" s="16"/>
      <c r="B73" s="16"/>
    </row>
    <row r="74" spans="1:2" x14ac:dyDescent="0.25">
      <c r="A74" s="16"/>
      <c r="B74" s="16"/>
    </row>
    <row r="75" spans="1:2" x14ac:dyDescent="0.25">
      <c r="A75" s="16"/>
      <c r="B75" s="16"/>
    </row>
    <row r="76" spans="1:2" x14ac:dyDescent="0.25">
      <c r="A76" s="16"/>
      <c r="B76" s="16"/>
    </row>
    <row r="77" spans="1:2" x14ac:dyDescent="0.25">
      <c r="A77" s="16"/>
      <c r="B77" s="16"/>
    </row>
    <row r="78" spans="1:2" x14ac:dyDescent="0.25">
      <c r="A78" s="16"/>
      <c r="B78" s="16"/>
    </row>
    <row r="79" spans="1:2" x14ac:dyDescent="0.25">
      <c r="A79" s="16"/>
      <c r="B79" s="16"/>
    </row>
    <row r="80" spans="1:2" x14ac:dyDescent="0.25">
      <c r="A80" s="16"/>
      <c r="B80" s="16"/>
    </row>
    <row r="81" spans="1:2" x14ac:dyDescent="0.25">
      <c r="A81" s="16"/>
      <c r="B81" s="16"/>
    </row>
    <row r="82" spans="1:2" x14ac:dyDescent="0.25">
      <c r="A82" s="16"/>
      <c r="B82" s="16"/>
    </row>
    <row r="83" spans="1:2" x14ac:dyDescent="0.25">
      <c r="A83" s="16"/>
      <c r="B83" s="16"/>
    </row>
    <row r="84" spans="1:2" x14ac:dyDescent="0.25">
      <c r="A84" s="16"/>
      <c r="B84" s="16"/>
    </row>
    <row r="85" spans="1:2" x14ac:dyDescent="0.25">
      <c r="A85" s="16"/>
      <c r="B85" s="16"/>
    </row>
    <row r="86" spans="1:2" x14ac:dyDescent="0.25">
      <c r="A86" s="16"/>
      <c r="B86" s="16"/>
    </row>
    <row r="87" spans="1:2" x14ac:dyDescent="0.25">
      <c r="A87" s="16"/>
      <c r="B87" s="16"/>
    </row>
    <row r="88" spans="1:2" x14ac:dyDescent="0.25">
      <c r="A88" s="16"/>
      <c r="B88" s="16"/>
    </row>
    <row r="89" spans="1:2" x14ac:dyDescent="0.25">
      <c r="A89" s="16"/>
      <c r="B89" s="16"/>
    </row>
    <row r="90" spans="1:2" x14ac:dyDescent="0.25">
      <c r="A90" s="16"/>
      <c r="B90" s="16"/>
    </row>
    <row r="91" spans="1:2" x14ac:dyDescent="0.25">
      <c r="A91" s="16"/>
      <c r="B91" s="16"/>
    </row>
    <row r="92" spans="1:2" x14ac:dyDescent="0.25">
      <c r="A92" s="16"/>
      <c r="B92" s="16"/>
    </row>
    <row r="93" spans="1:2" x14ac:dyDescent="0.25">
      <c r="A93" s="16"/>
      <c r="B93" s="16"/>
    </row>
    <row r="94" spans="1:2" x14ac:dyDescent="0.25">
      <c r="A94" s="16"/>
      <c r="B94" s="16"/>
    </row>
    <row r="95" spans="1:2" x14ac:dyDescent="0.25">
      <c r="A95" s="16"/>
      <c r="B95" s="16"/>
    </row>
    <row r="96" spans="1:2" x14ac:dyDescent="0.25">
      <c r="A96" s="16"/>
      <c r="B96" s="16"/>
    </row>
    <row r="97" spans="1:2" x14ac:dyDescent="0.25">
      <c r="A97" s="16"/>
      <c r="B97" s="16"/>
    </row>
    <row r="98" spans="1:2" x14ac:dyDescent="0.25">
      <c r="A98" s="16"/>
      <c r="B98" s="16"/>
    </row>
    <row r="99" spans="1:2" x14ac:dyDescent="0.25">
      <c r="A99" s="16"/>
      <c r="B99" s="16"/>
    </row>
    <row r="100" spans="1:2" x14ac:dyDescent="0.25">
      <c r="A100" s="16"/>
      <c r="B100" s="16"/>
    </row>
    <row r="101" spans="1:2" x14ac:dyDescent="0.25">
      <c r="A101" s="16"/>
      <c r="B101" s="16"/>
    </row>
    <row r="102" spans="1:2" x14ac:dyDescent="0.25">
      <c r="A102" s="16"/>
      <c r="B102" s="16"/>
    </row>
    <row r="103" spans="1:2" x14ac:dyDescent="0.25">
      <c r="A103" s="16"/>
      <c r="B103" s="16"/>
    </row>
    <row r="104" spans="1:2" x14ac:dyDescent="0.25">
      <c r="A104" s="16"/>
      <c r="B104" s="16"/>
    </row>
    <row r="105" spans="1:2" x14ac:dyDescent="0.25">
      <c r="A105" s="16"/>
      <c r="B105" s="16"/>
    </row>
    <row r="106" spans="1:2" x14ac:dyDescent="0.25">
      <c r="A106" s="16"/>
      <c r="B106" s="16"/>
    </row>
    <row r="107" spans="1:2" x14ac:dyDescent="0.25">
      <c r="A107" s="16"/>
      <c r="B107" s="16"/>
    </row>
    <row r="108" spans="1:2" x14ac:dyDescent="0.25">
      <c r="A108" s="16"/>
      <c r="B108" s="16"/>
    </row>
    <row r="109" spans="1:2" x14ac:dyDescent="0.25">
      <c r="A109" s="16"/>
      <c r="B109" s="16"/>
    </row>
    <row r="110" spans="1:2" x14ac:dyDescent="0.25">
      <c r="A110" s="16"/>
      <c r="B110" s="16"/>
    </row>
    <row r="111" spans="1:2" x14ac:dyDescent="0.25">
      <c r="A111" s="16"/>
      <c r="B111" s="16"/>
    </row>
    <row r="112" spans="1:2" x14ac:dyDescent="0.25">
      <c r="A112" s="16"/>
      <c r="B112" s="16"/>
    </row>
    <row r="113" spans="1:2" x14ac:dyDescent="0.25">
      <c r="A113" s="16"/>
      <c r="B113" s="16"/>
    </row>
    <row r="114" spans="1:2" x14ac:dyDescent="0.25">
      <c r="A114" s="16"/>
      <c r="B114" s="16"/>
    </row>
    <row r="115" spans="1:2" x14ac:dyDescent="0.25">
      <c r="A115" s="16"/>
      <c r="B115" s="16"/>
    </row>
    <row r="116" spans="1:2" x14ac:dyDescent="0.25">
      <c r="A116" s="16"/>
      <c r="B116" s="16"/>
    </row>
    <row r="117" spans="1:2" x14ac:dyDescent="0.25">
      <c r="A117" s="16"/>
      <c r="B117" s="16"/>
    </row>
    <row r="118" spans="1:2" x14ac:dyDescent="0.25">
      <c r="A118" s="16"/>
      <c r="B118" s="16"/>
    </row>
    <row r="119" spans="1:2" x14ac:dyDescent="0.25">
      <c r="A119" s="16"/>
      <c r="B119" s="16"/>
    </row>
    <row r="120" spans="1:2" x14ac:dyDescent="0.25">
      <c r="A120" s="16"/>
      <c r="B120" s="16"/>
    </row>
    <row r="121" spans="1:2" x14ac:dyDescent="0.25">
      <c r="A121" s="16"/>
      <c r="B121" s="16"/>
    </row>
    <row r="122" spans="1:2" x14ac:dyDescent="0.25">
      <c r="A122" s="16"/>
      <c r="B122" s="16"/>
    </row>
    <row r="123" spans="1:2" x14ac:dyDescent="0.25">
      <c r="A123" s="16"/>
      <c r="B123" s="16"/>
    </row>
    <row r="124" spans="1:2" x14ac:dyDescent="0.25">
      <c r="A124" s="16"/>
      <c r="B124" s="16"/>
    </row>
    <row r="125" spans="1:2" x14ac:dyDescent="0.25">
      <c r="A125" s="16"/>
      <c r="B125" s="16"/>
    </row>
    <row r="126" spans="1:2" x14ac:dyDescent="0.25">
      <c r="A126" s="16"/>
      <c r="B126" s="16"/>
    </row>
    <row r="127" spans="1:2" x14ac:dyDescent="0.25">
      <c r="A127" s="16"/>
      <c r="B127" s="16"/>
    </row>
    <row r="128" spans="1:2" x14ac:dyDescent="0.25">
      <c r="A128" s="16"/>
      <c r="B128" s="16"/>
    </row>
    <row r="129" spans="1:2" x14ac:dyDescent="0.25">
      <c r="A129" s="16"/>
      <c r="B129" s="16"/>
    </row>
    <row r="130" spans="1:2" x14ac:dyDescent="0.25">
      <c r="A130" s="16"/>
      <c r="B130" s="16"/>
    </row>
    <row r="131" spans="1:2" x14ac:dyDescent="0.25">
      <c r="A131" s="16"/>
      <c r="B131" s="16"/>
    </row>
    <row r="132" spans="1:2" x14ac:dyDescent="0.25">
      <c r="A132" s="16"/>
      <c r="B132" s="16"/>
    </row>
    <row r="133" spans="1:2" x14ac:dyDescent="0.25">
      <c r="A133" s="16"/>
      <c r="B133" s="16"/>
    </row>
    <row r="134" spans="1:2" x14ac:dyDescent="0.25">
      <c r="A134" s="16"/>
      <c r="B134" s="16"/>
    </row>
    <row r="135" spans="1:2" x14ac:dyDescent="0.25">
      <c r="A135" s="16"/>
      <c r="B135" s="16"/>
    </row>
    <row r="136" spans="1:2" x14ac:dyDescent="0.25">
      <c r="A136" s="16"/>
      <c r="B136" s="16"/>
    </row>
    <row r="137" spans="1:2" x14ac:dyDescent="0.25">
      <c r="A137" s="16"/>
      <c r="B137" s="16"/>
    </row>
    <row r="138" spans="1:2" x14ac:dyDescent="0.25">
      <c r="A138" s="16"/>
      <c r="B138" s="16"/>
    </row>
    <row r="139" spans="1:2" x14ac:dyDescent="0.25">
      <c r="A139" s="16"/>
      <c r="B139" s="16"/>
    </row>
    <row r="140" spans="1:2" x14ac:dyDescent="0.25">
      <c r="A140" s="16"/>
      <c r="B140" s="16"/>
    </row>
    <row r="141" spans="1:2" x14ac:dyDescent="0.25">
      <c r="A141" s="16"/>
      <c r="B141" s="16"/>
    </row>
    <row r="142" spans="1:2" x14ac:dyDescent="0.25">
      <c r="A142" s="16"/>
      <c r="B142" s="16"/>
    </row>
    <row r="143" spans="1:2" x14ac:dyDescent="0.25">
      <c r="A143" s="16"/>
      <c r="B143" s="16"/>
    </row>
    <row r="144" spans="1:2" x14ac:dyDescent="0.25">
      <c r="A144" s="16"/>
      <c r="B144" s="16"/>
    </row>
    <row r="145" spans="1:2" x14ac:dyDescent="0.25">
      <c r="A145" s="16"/>
      <c r="B145" s="16"/>
    </row>
    <row r="146" spans="1:2" x14ac:dyDescent="0.25">
      <c r="A146" s="16"/>
      <c r="B146" s="16"/>
    </row>
    <row r="147" spans="1:2" x14ac:dyDescent="0.25">
      <c r="A147" s="16"/>
      <c r="B147" s="16"/>
    </row>
    <row r="148" spans="1:2" x14ac:dyDescent="0.25">
      <c r="A148" s="16"/>
      <c r="B148" s="16"/>
    </row>
    <row r="149" spans="1:2" x14ac:dyDescent="0.25">
      <c r="A149" s="16"/>
      <c r="B149" s="16"/>
    </row>
    <row r="150" spans="1:2" x14ac:dyDescent="0.25">
      <c r="A150" s="16"/>
      <c r="B150" s="16"/>
    </row>
    <row r="151" spans="1:2" x14ac:dyDescent="0.25">
      <c r="A151" s="16"/>
      <c r="B151" s="16"/>
    </row>
    <row r="152" spans="1:2" x14ac:dyDescent="0.25">
      <c r="A152" s="16"/>
      <c r="B152" s="16"/>
    </row>
    <row r="153" spans="1:2" x14ac:dyDescent="0.25">
      <c r="A153" s="16"/>
      <c r="B153" s="16"/>
    </row>
    <row r="154" spans="1:2" x14ac:dyDescent="0.25">
      <c r="A154" s="16"/>
      <c r="B154" s="16"/>
    </row>
    <row r="155" spans="1:2" x14ac:dyDescent="0.25">
      <c r="A155" s="16"/>
      <c r="B155" s="16"/>
    </row>
    <row r="156" spans="1:2" x14ac:dyDescent="0.25">
      <c r="A156" s="16"/>
      <c r="B156" s="16"/>
    </row>
    <row r="157" spans="1:2" x14ac:dyDescent="0.25">
      <c r="A157" s="16"/>
      <c r="B157" s="16"/>
    </row>
    <row r="158" spans="1:2" x14ac:dyDescent="0.25">
      <c r="A158" s="16"/>
      <c r="B158" s="16"/>
    </row>
    <row r="159" spans="1:2" x14ac:dyDescent="0.25">
      <c r="A159" s="16"/>
      <c r="B159" s="16"/>
    </row>
    <row r="160" spans="1:2" x14ac:dyDescent="0.25">
      <c r="A160" s="16"/>
      <c r="B160" s="16"/>
    </row>
    <row r="161" spans="1:2" x14ac:dyDescent="0.25">
      <c r="A161" s="16"/>
      <c r="B161" s="16"/>
    </row>
    <row r="162" spans="1:2" x14ac:dyDescent="0.25">
      <c r="A162" s="16"/>
      <c r="B162" s="16"/>
    </row>
    <row r="163" spans="1:2" x14ac:dyDescent="0.25">
      <c r="A163" s="16"/>
      <c r="B163" s="16"/>
    </row>
    <row r="164" spans="1:2" x14ac:dyDescent="0.25">
      <c r="A164" s="16"/>
      <c r="B164" s="16"/>
    </row>
    <row r="165" spans="1:2" x14ac:dyDescent="0.25">
      <c r="A165" s="16"/>
      <c r="B165" s="16"/>
    </row>
    <row r="166" spans="1:2" x14ac:dyDescent="0.25">
      <c r="A166" s="16"/>
      <c r="B166" s="16"/>
    </row>
    <row r="167" spans="1:2" x14ac:dyDescent="0.25">
      <c r="A167" s="16"/>
      <c r="B167" s="16"/>
    </row>
    <row r="168" spans="1:2" x14ac:dyDescent="0.25">
      <c r="A168" s="16"/>
      <c r="B168" s="16"/>
    </row>
    <row r="169" spans="1:2" x14ac:dyDescent="0.25">
      <c r="A169" s="16"/>
      <c r="B169" s="16"/>
    </row>
    <row r="170" spans="1:2" x14ac:dyDescent="0.25">
      <c r="A170" s="16"/>
      <c r="B170" s="16"/>
    </row>
    <row r="171" spans="1:2" x14ac:dyDescent="0.25">
      <c r="A171" s="16"/>
      <c r="B171" s="16"/>
    </row>
    <row r="172" spans="1:2" x14ac:dyDescent="0.25">
      <c r="A172" s="16"/>
      <c r="B172" s="16"/>
    </row>
    <row r="173" spans="1:2" x14ac:dyDescent="0.25">
      <c r="A173" s="16"/>
      <c r="B173" s="16"/>
    </row>
    <row r="174" spans="1:2" x14ac:dyDescent="0.25">
      <c r="A174" s="16"/>
      <c r="B174" s="16"/>
    </row>
    <row r="175" spans="1:2" x14ac:dyDescent="0.25">
      <c r="A175" s="16"/>
      <c r="B175" s="16"/>
    </row>
    <row r="176" spans="1:2" x14ac:dyDescent="0.25">
      <c r="A176" s="16"/>
      <c r="B176" s="16"/>
    </row>
    <row r="177" spans="1:2" x14ac:dyDescent="0.25">
      <c r="A177" s="16"/>
      <c r="B177" s="16"/>
    </row>
    <row r="178" spans="1:2" x14ac:dyDescent="0.25">
      <c r="A178" s="16"/>
      <c r="B178" s="16"/>
    </row>
    <row r="179" spans="1:2" x14ac:dyDescent="0.25">
      <c r="A179" s="16"/>
      <c r="B179" s="16"/>
    </row>
    <row r="180" spans="1:2" x14ac:dyDescent="0.25">
      <c r="A180" s="16"/>
      <c r="B180" s="16"/>
    </row>
    <row r="181" spans="1:2" x14ac:dyDescent="0.25">
      <c r="A181" s="16"/>
      <c r="B181" s="16"/>
    </row>
    <row r="182" spans="1:2" x14ac:dyDescent="0.25">
      <c r="A182" s="16"/>
      <c r="B182" s="16"/>
    </row>
    <row r="183" spans="1:2" x14ac:dyDescent="0.25">
      <c r="A183" s="16"/>
      <c r="B183" s="16"/>
    </row>
    <row r="184" spans="1:2" x14ac:dyDescent="0.25">
      <c r="A184" s="16"/>
      <c r="B184" s="16"/>
    </row>
    <row r="185" spans="1:2" x14ac:dyDescent="0.25">
      <c r="A185" s="16"/>
      <c r="B185" s="16"/>
    </row>
    <row r="186" spans="1:2" x14ac:dyDescent="0.25">
      <c r="A186" s="16"/>
      <c r="B186" s="16"/>
    </row>
    <row r="187" spans="1:2" x14ac:dyDescent="0.25">
      <c r="A187" s="16"/>
      <c r="B187" s="16"/>
    </row>
    <row r="188" spans="1:2" x14ac:dyDescent="0.25">
      <c r="A188" s="16"/>
      <c r="B188" s="16"/>
    </row>
    <row r="189" spans="1:2" x14ac:dyDescent="0.25">
      <c r="A189" s="16"/>
      <c r="B189" s="16"/>
    </row>
    <row r="190" spans="1:2" x14ac:dyDescent="0.25">
      <c r="A190" s="16"/>
      <c r="B190" s="16"/>
    </row>
    <row r="191" spans="1:2" x14ac:dyDescent="0.25">
      <c r="A191" s="16"/>
      <c r="B191" s="16"/>
    </row>
    <row r="192" spans="1:2" x14ac:dyDescent="0.25">
      <c r="A192" s="16"/>
      <c r="B192" s="16"/>
    </row>
    <row r="193" spans="1:2" x14ac:dyDescent="0.25">
      <c r="A193" s="16"/>
      <c r="B193" s="16"/>
    </row>
    <row r="194" spans="1:2" x14ac:dyDescent="0.25">
      <c r="A194" s="16"/>
      <c r="B194" s="16"/>
    </row>
    <row r="195" spans="1:2" x14ac:dyDescent="0.25">
      <c r="A195" s="16"/>
      <c r="B195" s="16"/>
    </row>
    <row r="196" spans="1:2" x14ac:dyDescent="0.25">
      <c r="A196" s="16"/>
      <c r="B196" s="16"/>
    </row>
    <row r="197" spans="1:2" x14ac:dyDescent="0.25">
      <c r="A197" s="16"/>
      <c r="B197" s="16"/>
    </row>
    <row r="198" spans="1:2" x14ac:dyDescent="0.25">
      <c r="A198" s="16"/>
      <c r="B198" s="16"/>
    </row>
    <row r="199" spans="1:2" x14ac:dyDescent="0.25">
      <c r="A199" s="16"/>
      <c r="B199" s="16"/>
    </row>
    <row r="200" spans="1:2" x14ac:dyDescent="0.25">
      <c r="A200" s="16"/>
      <c r="B200" s="16"/>
    </row>
    <row r="201" spans="1:2" x14ac:dyDescent="0.25">
      <c r="A201" s="16"/>
      <c r="B201" s="16"/>
    </row>
    <row r="202" spans="1:2" x14ac:dyDescent="0.25">
      <c r="A202" s="16"/>
      <c r="B202" s="16"/>
    </row>
    <row r="203" spans="1:2" x14ac:dyDescent="0.25">
      <c r="A203" s="16"/>
      <c r="B203" s="16"/>
    </row>
    <row r="204" spans="1:2" x14ac:dyDescent="0.25">
      <c r="A204" s="16"/>
      <c r="B204" s="16"/>
    </row>
    <row r="205" spans="1:2" x14ac:dyDescent="0.25">
      <c r="A205" s="16"/>
      <c r="B205" s="16"/>
    </row>
    <row r="206" spans="1:2" x14ac:dyDescent="0.25">
      <c r="A206" s="16"/>
      <c r="B206" s="16"/>
    </row>
    <row r="207" spans="1:2" x14ac:dyDescent="0.25">
      <c r="A207" s="16"/>
      <c r="B207" s="16"/>
    </row>
    <row r="208" spans="1:2" x14ac:dyDescent="0.25">
      <c r="A208" s="16"/>
      <c r="B208" s="16"/>
    </row>
    <row r="209" spans="1:2" x14ac:dyDescent="0.25">
      <c r="A209" s="16"/>
      <c r="B209" s="16"/>
    </row>
    <row r="210" spans="1:2" x14ac:dyDescent="0.25">
      <c r="A210" s="16"/>
      <c r="B210" s="16"/>
    </row>
    <row r="211" spans="1:2" x14ac:dyDescent="0.25">
      <c r="A211" s="16"/>
      <c r="B211" s="16"/>
    </row>
    <row r="212" spans="1:2" x14ac:dyDescent="0.25">
      <c r="A212" s="16"/>
      <c r="B212" s="16"/>
    </row>
    <row r="213" spans="1:2" x14ac:dyDescent="0.25">
      <c r="A213" s="16"/>
      <c r="B213" s="16"/>
    </row>
    <row r="214" spans="1:2" x14ac:dyDescent="0.25">
      <c r="A214" s="16"/>
      <c r="B214" s="16"/>
    </row>
    <row r="215" spans="1:2" x14ac:dyDescent="0.25">
      <c r="A215" s="16"/>
      <c r="B215" s="16"/>
    </row>
    <row r="216" spans="1:2" x14ac:dyDescent="0.25">
      <c r="A216" s="16"/>
      <c r="B216" s="16"/>
    </row>
    <row r="217" spans="1:2" x14ac:dyDescent="0.25">
      <c r="A217" s="16"/>
      <c r="B217" s="16"/>
    </row>
    <row r="218" spans="1:2" x14ac:dyDescent="0.25">
      <c r="A218" s="16"/>
      <c r="B218" s="16"/>
    </row>
    <row r="219" spans="1:2" x14ac:dyDescent="0.25">
      <c r="A219" s="16"/>
      <c r="B219" s="16"/>
    </row>
    <row r="220" spans="1:2" x14ac:dyDescent="0.25">
      <c r="A220" s="16"/>
      <c r="B220" s="16"/>
    </row>
    <row r="221" spans="1:2" x14ac:dyDescent="0.25">
      <c r="A221" s="16"/>
      <c r="B221" s="16"/>
    </row>
    <row r="222" spans="1:2" x14ac:dyDescent="0.25">
      <c r="A222" s="16"/>
      <c r="B222" s="16"/>
    </row>
    <row r="223" spans="1:2" x14ac:dyDescent="0.25">
      <c r="A223" s="16"/>
      <c r="B223" s="16"/>
    </row>
    <row r="224" spans="1:2" x14ac:dyDescent="0.25">
      <c r="A224" s="16"/>
      <c r="B224" s="16"/>
    </row>
    <row r="225" spans="1:2" x14ac:dyDescent="0.25">
      <c r="A225" s="16"/>
      <c r="B225" s="16"/>
    </row>
    <row r="226" spans="1:2" x14ac:dyDescent="0.25">
      <c r="A226" s="16"/>
      <c r="B226" s="16"/>
    </row>
    <row r="227" spans="1:2" x14ac:dyDescent="0.25">
      <c r="A227" s="16"/>
      <c r="B227" s="16"/>
    </row>
    <row r="228" spans="1:2" x14ac:dyDescent="0.25">
      <c r="A228" s="16"/>
      <c r="B228" s="16"/>
    </row>
    <row r="229" spans="1:2" x14ac:dyDescent="0.25">
      <c r="A229" s="16"/>
      <c r="B229" s="16"/>
    </row>
    <row r="230" spans="1:2" x14ac:dyDescent="0.25">
      <c r="A230" s="16"/>
      <c r="B230" s="16"/>
    </row>
    <row r="231" spans="1:2" x14ac:dyDescent="0.25">
      <c r="A231" s="16"/>
      <c r="B231" s="16"/>
    </row>
    <row r="232" spans="1:2" x14ac:dyDescent="0.25">
      <c r="A232" s="16"/>
      <c r="B232" s="16"/>
    </row>
    <row r="233" spans="1:2" x14ac:dyDescent="0.25">
      <c r="A233" s="16"/>
      <c r="B233" s="16"/>
    </row>
    <row r="234" spans="1:2" x14ac:dyDescent="0.25">
      <c r="A234" s="16"/>
      <c r="B234" s="16"/>
    </row>
    <row r="235" spans="1:2" x14ac:dyDescent="0.25">
      <c r="A235" s="16"/>
      <c r="B235" s="16"/>
    </row>
    <row r="236" spans="1:2" x14ac:dyDescent="0.25">
      <c r="A236" s="16"/>
      <c r="B236" s="16"/>
    </row>
    <row r="237" spans="1:2" x14ac:dyDescent="0.25">
      <c r="A237" s="16"/>
      <c r="B237" s="16"/>
    </row>
    <row r="238" spans="1:2" x14ac:dyDescent="0.25">
      <c r="A238" s="16"/>
      <c r="B238" s="16"/>
    </row>
    <row r="239" spans="1:2" x14ac:dyDescent="0.25">
      <c r="A239" s="16"/>
      <c r="B239" s="16"/>
    </row>
    <row r="240" spans="1:2" x14ac:dyDescent="0.25">
      <c r="A240" s="16"/>
      <c r="B240" s="16"/>
    </row>
    <row r="241" spans="1:2" x14ac:dyDescent="0.25">
      <c r="A241" s="16"/>
      <c r="B241" s="16"/>
    </row>
    <row r="242" spans="1:2" x14ac:dyDescent="0.25">
      <c r="A242" s="16"/>
      <c r="B242" s="16"/>
    </row>
    <row r="243" spans="1:2" x14ac:dyDescent="0.25">
      <c r="A243" s="16"/>
      <c r="B243" s="16"/>
    </row>
    <row r="244" spans="1:2" x14ac:dyDescent="0.25">
      <c r="A244" s="16"/>
      <c r="B244" s="16"/>
    </row>
    <row r="245" spans="1:2" x14ac:dyDescent="0.25">
      <c r="A245" s="16"/>
      <c r="B245" s="16"/>
    </row>
    <row r="246" spans="1:2" x14ac:dyDescent="0.25">
      <c r="A246" s="16"/>
      <c r="B246" s="16"/>
    </row>
    <row r="247" spans="1:2" x14ac:dyDescent="0.25">
      <c r="A247" s="16"/>
      <c r="B247" s="16"/>
    </row>
    <row r="248" spans="1:2" x14ac:dyDescent="0.25">
      <c r="A248" s="16"/>
      <c r="B248" s="16"/>
    </row>
    <row r="249" spans="1:2" x14ac:dyDescent="0.25">
      <c r="A249" s="16"/>
      <c r="B249" s="16"/>
    </row>
    <row r="250" spans="1:2" x14ac:dyDescent="0.25">
      <c r="A250" s="16"/>
      <c r="B250" s="16"/>
    </row>
    <row r="251" spans="1:2" x14ac:dyDescent="0.25">
      <c r="A251" s="16"/>
      <c r="B251" s="16"/>
    </row>
    <row r="252" spans="1:2" x14ac:dyDescent="0.25">
      <c r="A252" s="16"/>
      <c r="B252" s="16"/>
    </row>
    <row r="253" spans="1:2" x14ac:dyDescent="0.25">
      <c r="A253" s="16"/>
      <c r="B253" s="16"/>
    </row>
    <row r="254" spans="1:2" x14ac:dyDescent="0.25">
      <c r="A254" s="16"/>
      <c r="B254" s="16"/>
    </row>
    <row r="255" spans="1:2" x14ac:dyDescent="0.25">
      <c r="A255" s="16"/>
      <c r="B255" s="16"/>
    </row>
    <row r="256" spans="1:2" x14ac:dyDescent="0.25">
      <c r="A256" s="16"/>
      <c r="B256" s="16"/>
    </row>
    <row r="257" spans="1:2" x14ac:dyDescent="0.25">
      <c r="A257" s="16"/>
      <c r="B257" s="16"/>
    </row>
    <row r="258" spans="1:2" x14ac:dyDescent="0.25">
      <c r="A258" s="16"/>
      <c r="B258" s="16"/>
    </row>
    <row r="259" spans="1:2" x14ac:dyDescent="0.25">
      <c r="A259" s="16"/>
      <c r="B259" s="16"/>
    </row>
    <row r="260" spans="1:2" x14ac:dyDescent="0.25">
      <c r="A260" s="16"/>
      <c r="B260" s="16"/>
    </row>
    <row r="261" spans="1:2" x14ac:dyDescent="0.25">
      <c r="A261" s="16"/>
      <c r="B261" s="16"/>
    </row>
    <row r="262" spans="1:2" x14ac:dyDescent="0.25">
      <c r="A262" s="16"/>
      <c r="B262" s="16"/>
    </row>
    <row r="263" spans="1:2" x14ac:dyDescent="0.25">
      <c r="A263" s="16"/>
      <c r="B263" s="16"/>
    </row>
    <row r="264" spans="1:2" x14ac:dyDescent="0.25">
      <c r="A264" s="16"/>
      <c r="B264" s="16"/>
    </row>
    <row r="265" spans="1:2" x14ac:dyDescent="0.25">
      <c r="A265" s="16"/>
      <c r="B265" s="16"/>
    </row>
    <row r="266" spans="1:2" x14ac:dyDescent="0.25">
      <c r="A266" s="16"/>
      <c r="B266" s="16"/>
    </row>
    <row r="267" spans="1:2" x14ac:dyDescent="0.25">
      <c r="A267" s="16"/>
      <c r="B267" s="16"/>
    </row>
    <row r="268" spans="1:2" x14ac:dyDescent="0.25">
      <c r="A268" s="16"/>
      <c r="B268" s="16"/>
    </row>
    <row r="269" spans="1:2" x14ac:dyDescent="0.25">
      <c r="A269" s="16"/>
      <c r="B269" s="16"/>
    </row>
    <row r="270" spans="1:2" x14ac:dyDescent="0.25">
      <c r="A270" s="16"/>
      <c r="B270" s="16"/>
    </row>
    <row r="271" spans="1:2" x14ac:dyDescent="0.25">
      <c r="A271" s="16"/>
      <c r="B271" s="16"/>
    </row>
    <row r="272" spans="1:2" x14ac:dyDescent="0.25">
      <c r="A272" s="16"/>
      <c r="B272" s="16"/>
    </row>
    <row r="273" spans="1:2" x14ac:dyDescent="0.25">
      <c r="A273" s="16"/>
      <c r="B273" s="16"/>
    </row>
    <row r="274" spans="1:2" x14ac:dyDescent="0.25">
      <c r="A274" s="16"/>
      <c r="B274" s="16"/>
    </row>
    <row r="275" spans="1:2" x14ac:dyDescent="0.25">
      <c r="A275" s="16"/>
      <c r="B275" s="16"/>
    </row>
    <row r="276" spans="1:2" x14ac:dyDescent="0.25">
      <c r="A276" s="16"/>
      <c r="B276" s="16"/>
    </row>
    <row r="277" spans="1:2" x14ac:dyDescent="0.25">
      <c r="A277" s="16"/>
      <c r="B277" s="16"/>
    </row>
    <row r="278" spans="1:2" x14ac:dyDescent="0.25">
      <c r="A278" s="16"/>
      <c r="B278" s="16"/>
    </row>
    <row r="279" spans="1:2" x14ac:dyDescent="0.25">
      <c r="A279" s="16"/>
      <c r="B279" s="16"/>
    </row>
    <row r="280" spans="1:2" x14ac:dyDescent="0.25">
      <c r="A280" s="16"/>
      <c r="B280" s="16"/>
    </row>
    <row r="281" spans="1:2" x14ac:dyDescent="0.25">
      <c r="A281" s="16"/>
      <c r="B281" s="16"/>
    </row>
    <row r="282" spans="1:2" x14ac:dyDescent="0.25">
      <c r="A282" s="16"/>
      <c r="B282" s="16"/>
    </row>
    <row r="283" spans="1:2" x14ac:dyDescent="0.25">
      <c r="A283" s="16"/>
      <c r="B283" s="16"/>
    </row>
    <row r="284" spans="1:2" x14ac:dyDescent="0.25">
      <c r="A284" s="16"/>
      <c r="B284" s="16"/>
    </row>
    <row r="285" spans="1:2" x14ac:dyDescent="0.25">
      <c r="A285" s="16"/>
      <c r="B285" s="16"/>
    </row>
    <row r="286" spans="1:2" x14ac:dyDescent="0.25">
      <c r="A286" s="16"/>
      <c r="B286" s="16"/>
    </row>
    <row r="287" spans="1:2" x14ac:dyDescent="0.25">
      <c r="A287" s="16"/>
      <c r="B287" s="16"/>
    </row>
    <row r="288" spans="1:2" x14ac:dyDescent="0.25">
      <c r="A288" s="16"/>
      <c r="B288" s="16"/>
    </row>
    <row r="289" spans="1:2" x14ac:dyDescent="0.25">
      <c r="A289" s="16"/>
      <c r="B289" s="16"/>
    </row>
    <row r="290" spans="1:2" x14ac:dyDescent="0.25">
      <c r="A290" s="16"/>
      <c r="B290" s="16"/>
    </row>
    <row r="291" spans="1:2" x14ac:dyDescent="0.25">
      <c r="A291" s="16"/>
      <c r="B291" s="16"/>
    </row>
    <row r="292" spans="1:2" x14ac:dyDescent="0.25">
      <c r="A292" s="16"/>
      <c r="B292" s="16"/>
    </row>
    <row r="293" spans="1:2" x14ac:dyDescent="0.25">
      <c r="A293" s="16"/>
      <c r="B293" s="16"/>
    </row>
    <row r="294" spans="1:2" x14ac:dyDescent="0.25">
      <c r="A294" s="16"/>
      <c r="B294" s="16"/>
    </row>
    <row r="295" spans="1:2" x14ac:dyDescent="0.25">
      <c r="A295" s="16"/>
      <c r="B295" s="16"/>
    </row>
    <row r="296" spans="1:2" x14ac:dyDescent="0.25">
      <c r="A296" s="16"/>
      <c r="B296" s="16"/>
    </row>
    <row r="297" spans="1:2" x14ac:dyDescent="0.25">
      <c r="A297" s="16"/>
      <c r="B297" s="16"/>
    </row>
    <row r="298" spans="1:2" x14ac:dyDescent="0.25">
      <c r="A298" s="16"/>
      <c r="B298" s="16"/>
    </row>
    <row r="299" spans="1:2" x14ac:dyDescent="0.25">
      <c r="A299" s="16"/>
      <c r="B299" s="16"/>
    </row>
    <row r="300" spans="1:2" x14ac:dyDescent="0.25">
      <c r="A300" s="16"/>
      <c r="B300" s="16"/>
    </row>
    <row r="301" spans="1:2" x14ac:dyDescent="0.25">
      <c r="A301" s="16"/>
      <c r="B301" s="16"/>
    </row>
    <row r="302" spans="1:2" x14ac:dyDescent="0.25">
      <c r="A302" s="16"/>
      <c r="B302" s="16"/>
    </row>
    <row r="303" spans="1:2" x14ac:dyDescent="0.25">
      <c r="A303" s="16"/>
      <c r="B303" s="16"/>
    </row>
    <row r="304" spans="1:2" x14ac:dyDescent="0.25">
      <c r="A304" s="16"/>
      <c r="B304" s="16"/>
    </row>
    <row r="305" spans="1:2" x14ac:dyDescent="0.25">
      <c r="A305" s="16"/>
      <c r="B305" s="16"/>
    </row>
    <row r="306" spans="1:2" x14ac:dyDescent="0.25">
      <c r="A306" s="16"/>
      <c r="B306" s="16"/>
    </row>
    <row r="307" spans="1:2" x14ac:dyDescent="0.25">
      <c r="A307" s="16"/>
      <c r="B307" s="16"/>
    </row>
    <row r="308" spans="1:2" x14ac:dyDescent="0.25">
      <c r="A308" s="16"/>
      <c r="B308" s="16"/>
    </row>
    <row r="309" spans="1:2" x14ac:dyDescent="0.25">
      <c r="A309" s="16"/>
      <c r="B309" s="16"/>
    </row>
    <row r="310" spans="1:2" x14ac:dyDescent="0.25">
      <c r="A310" s="16"/>
      <c r="B310" s="16"/>
    </row>
    <row r="311" spans="1:2" x14ac:dyDescent="0.25">
      <c r="A311" s="16"/>
      <c r="B311" s="16"/>
    </row>
    <row r="312" spans="1:2" x14ac:dyDescent="0.25">
      <c r="A312" s="16"/>
      <c r="B312" s="16"/>
    </row>
    <row r="313" spans="1:2" x14ac:dyDescent="0.25">
      <c r="A313" s="16"/>
      <c r="B313" s="16"/>
    </row>
    <row r="314" spans="1:2" x14ac:dyDescent="0.25">
      <c r="A314" s="16"/>
      <c r="B314" s="16"/>
    </row>
    <row r="315" spans="1:2" x14ac:dyDescent="0.25">
      <c r="A315" s="16"/>
      <c r="B315" s="16"/>
    </row>
    <row r="316" spans="1:2" x14ac:dyDescent="0.25">
      <c r="A316" s="16"/>
      <c r="B316" s="16"/>
    </row>
    <row r="317" spans="1:2" x14ac:dyDescent="0.25">
      <c r="A317" s="16"/>
      <c r="B317" s="16"/>
    </row>
    <row r="318" spans="1:2" x14ac:dyDescent="0.25">
      <c r="A318" s="16"/>
      <c r="B318" s="16"/>
    </row>
    <row r="319" spans="1:2" x14ac:dyDescent="0.25">
      <c r="A319" s="16"/>
      <c r="B319" s="16"/>
    </row>
    <row r="320" spans="1:2" x14ac:dyDescent="0.25">
      <c r="A320" s="16"/>
      <c r="B320" s="16"/>
    </row>
    <row r="321" spans="1:2" x14ac:dyDescent="0.25">
      <c r="A321" s="16"/>
      <c r="B321" s="16"/>
    </row>
    <row r="322" spans="1:2" x14ac:dyDescent="0.25">
      <c r="A322" s="16"/>
      <c r="B322" s="16"/>
    </row>
    <row r="323" spans="1:2" x14ac:dyDescent="0.25">
      <c r="A323" s="16"/>
      <c r="B323" s="16"/>
    </row>
    <row r="324" spans="1:2" x14ac:dyDescent="0.25">
      <c r="A324" s="16"/>
      <c r="B324" s="16"/>
    </row>
    <row r="325" spans="1:2" x14ac:dyDescent="0.25">
      <c r="A325" s="16"/>
      <c r="B325" s="16"/>
    </row>
    <row r="326" spans="1:2" x14ac:dyDescent="0.25">
      <c r="A326" s="16"/>
      <c r="B326" s="16"/>
    </row>
    <row r="327" spans="1:2" x14ac:dyDescent="0.25">
      <c r="A327" s="16"/>
      <c r="B327" s="16"/>
    </row>
    <row r="328" spans="1:2" x14ac:dyDescent="0.25">
      <c r="A328" s="16"/>
      <c r="B328" s="16"/>
    </row>
    <row r="329" spans="1:2" x14ac:dyDescent="0.25">
      <c r="A329" s="16"/>
      <c r="B329" s="16"/>
    </row>
    <row r="330" spans="1:2" x14ac:dyDescent="0.25">
      <c r="A330" s="16"/>
      <c r="B330" s="16"/>
    </row>
    <row r="331" spans="1:2" x14ac:dyDescent="0.25">
      <c r="A331" s="16"/>
      <c r="B331" s="16"/>
    </row>
    <row r="332" spans="1:2" x14ac:dyDescent="0.25">
      <c r="A332" s="16"/>
      <c r="B332" s="16"/>
    </row>
    <row r="333" spans="1:2" x14ac:dyDescent="0.25">
      <c r="A333" s="16"/>
      <c r="B333" s="16"/>
    </row>
    <row r="334" spans="1:2" x14ac:dyDescent="0.25">
      <c r="A334" s="16"/>
      <c r="B334" s="16"/>
    </row>
    <row r="335" spans="1:2" x14ac:dyDescent="0.25">
      <c r="A335" s="16"/>
      <c r="B335" s="16"/>
    </row>
    <row r="336" spans="1:2" x14ac:dyDescent="0.25">
      <c r="A336" s="16"/>
      <c r="B336" s="16"/>
    </row>
    <row r="337" spans="1:2" x14ac:dyDescent="0.25">
      <c r="A337" s="16"/>
      <c r="B337" s="16"/>
    </row>
    <row r="338" spans="1:2" x14ac:dyDescent="0.25">
      <c r="A338" s="16"/>
      <c r="B338" s="16"/>
    </row>
    <row r="339" spans="1:2" x14ac:dyDescent="0.25">
      <c r="A339" s="16"/>
      <c r="B339" s="16"/>
    </row>
    <row r="340" spans="1:2" x14ac:dyDescent="0.25">
      <c r="A340" s="16"/>
      <c r="B340" s="16"/>
    </row>
    <row r="341" spans="1:2" x14ac:dyDescent="0.25">
      <c r="A341" s="16"/>
      <c r="B341" s="16"/>
    </row>
    <row r="342" spans="1:2" x14ac:dyDescent="0.25">
      <c r="A342" s="16"/>
      <c r="B342" s="16"/>
    </row>
    <row r="343" spans="1:2" x14ac:dyDescent="0.25">
      <c r="A343" s="16"/>
      <c r="B343" s="16"/>
    </row>
    <row r="344" spans="1:2" x14ac:dyDescent="0.25">
      <c r="A344" s="16"/>
      <c r="B344" s="16"/>
    </row>
    <row r="345" spans="1:2" x14ac:dyDescent="0.25">
      <c r="A345" s="16"/>
      <c r="B345" s="16"/>
    </row>
    <row r="346" spans="1:2" x14ac:dyDescent="0.25">
      <c r="A346" s="16"/>
      <c r="B346" s="16"/>
    </row>
    <row r="347" spans="1:2" x14ac:dyDescent="0.25">
      <c r="A347" s="16"/>
      <c r="B347" s="16"/>
    </row>
    <row r="348" spans="1:2" x14ac:dyDescent="0.25">
      <c r="A348" s="16"/>
      <c r="B348" s="16"/>
    </row>
    <row r="349" spans="1:2" x14ac:dyDescent="0.25">
      <c r="A349" s="16"/>
      <c r="B349" s="16"/>
    </row>
    <row r="350" spans="1:2" x14ac:dyDescent="0.25">
      <c r="A350" s="16"/>
      <c r="B350" s="16"/>
    </row>
    <row r="351" spans="1:2" x14ac:dyDescent="0.25">
      <c r="A351" s="16"/>
      <c r="B351" s="16"/>
    </row>
    <row r="352" spans="1:2" x14ac:dyDescent="0.25">
      <c r="A352" s="16"/>
      <c r="B352" s="16"/>
    </row>
    <row r="353" spans="1:2" x14ac:dyDescent="0.25">
      <c r="A353" s="16"/>
      <c r="B353" s="16"/>
    </row>
    <row r="354" spans="1:2" x14ac:dyDescent="0.25">
      <c r="A354" s="16"/>
      <c r="B354" s="16"/>
    </row>
    <row r="355" spans="1:2" x14ac:dyDescent="0.25">
      <c r="A355" s="16"/>
      <c r="B355" s="16"/>
    </row>
    <row r="356" spans="1:2" x14ac:dyDescent="0.25">
      <c r="A356" s="16"/>
      <c r="B356" s="16"/>
    </row>
    <row r="357" spans="1:2" x14ac:dyDescent="0.25">
      <c r="A357" s="16"/>
      <c r="B357" s="16"/>
    </row>
    <row r="358" spans="1:2" x14ac:dyDescent="0.25">
      <c r="A358" s="16"/>
      <c r="B358" s="16"/>
    </row>
    <row r="359" spans="1:2" x14ac:dyDescent="0.25">
      <c r="A359" s="16"/>
      <c r="B359" s="16"/>
    </row>
    <row r="360" spans="1:2" x14ac:dyDescent="0.25">
      <c r="A360" s="16"/>
      <c r="B360" s="16"/>
    </row>
    <row r="361" spans="1:2" x14ac:dyDescent="0.25">
      <c r="A361" s="16"/>
      <c r="B361" s="16"/>
    </row>
    <row r="362" spans="1:2" x14ac:dyDescent="0.25">
      <c r="A362" s="16"/>
      <c r="B362" s="16"/>
    </row>
    <row r="363" spans="1:2" x14ac:dyDescent="0.25">
      <c r="A363" s="16"/>
      <c r="B363" s="16"/>
    </row>
    <row r="364" spans="1:2" x14ac:dyDescent="0.25">
      <c r="A364" s="16"/>
      <c r="B364" s="16"/>
    </row>
    <row r="365" spans="1:2" x14ac:dyDescent="0.25">
      <c r="A365" s="16"/>
      <c r="B365" s="16"/>
    </row>
    <row r="366" spans="1:2" x14ac:dyDescent="0.25">
      <c r="A366" s="16"/>
      <c r="B366" s="16"/>
    </row>
    <row r="367" spans="1:2" x14ac:dyDescent="0.25">
      <c r="A367" s="16"/>
      <c r="B367" s="16"/>
    </row>
    <row r="368" spans="1:2" x14ac:dyDescent="0.25">
      <c r="A368" s="16"/>
      <c r="B368" s="16"/>
    </row>
    <row r="369" spans="1:2" x14ac:dyDescent="0.25">
      <c r="A369" s="16"/>
      <c r="B369" s="16"/>
    </row>
    <row r="370" spans="1:2" x14ac:dyDescent="0.25">
      <c r="A370" s="16"/>
      <c r="B370" s="16"/>
    </row>
    <row r="371" spans="1:2" x14ac:dyDescent="0.25">
      <c r="A371" s="16"/>
      <c r="B371" s="16"/>
    </row>
    <row r="372" spans="1:2" x14ac:dyDescent="0.25">
      <c r="A372" s="16"/>
      <c r="B372" s="16"/>
    </row>
    <row r="373" spans="1:2" x14ac:dyDescent="0.25">
      <c r="A373" s="16"/>
      <c r="B373" s="16"/>
    </row>
    <row r="374" spans="1:2" x14ac:dyDescent="0.25">
      <c r="A374" s="16"/>
      <c r="B374" s="16"/>
    </row>
    <row r="375" spans="1:2" x14ac:dyDescent="0.25">
      <c r="A375" s="16"/>
      <c r="B375" s="16"/>
    </row>
    <row r="376" spans="1:2" x14ac:dyDescent="0.25">
      <c r="A376" s="16"/>
      <c r="B376" s="16"/>
    </row>
    <row r="377" spans="1:2" x14ac:dyDescent="0.25">
      <c r="A377" s="16"/>
      <c r="B377" s="16"/>
    </row>
    <row r="378" spans="1:2" x14ac:dyDescent="0.25">
      <c r="A378" s="16"/>
      <c r="B378" s="16"/>
    </row>
    <row r="379" spans="1:2" x14ac:dyDescent="0.25">
      <c r="A379" s="16"/>
      <c r="B379" s="16"/>
    </row>
    <row r="380" spans="1:2" x14ac:dyDescent="0.25">
      <c r="A380" s="16"/>
      <c r="B380" s="16"/>
    </row>
    <row r="381" spans="1:2" x14ac:dyDescent="0.25">
      <c r="A381" s="16"/>
      <c r="B381" s="16"/>
    </row>
    <row r="382" spans="1:2" x14ac:dyDescent="0.25">
      <c r="A382" s="16"/>
      <c r="B382" s="16"/>
    </row>
    <row r="383" spans="1:2" x14ac:dyDescent="0.25">
      <c r="A383" s="16"/>
      <c r="B383" s="16"/>
    </row>
    <row r="384" spans="1:2" x14ac:dyDescent="0.25">
      <c r="A384" s="16"/>
      <c r="B384" s="16"/>
    </row>
    <row r="385" spans="1:2" x14ac:dyDescent="0.25">
      <c r="A385" s="16"/>
      <c r="B385" s="16"/>
    </row>
    <row r="386" spans="1:2" x14ac:dyDescent="0.25">
      <c r="A386" s="16"/>
      <c r="B386" s="16"/>
    </row>
    <row r="387" spans="1:2" x14ac:dyDescent="0.25">
      <c r="A387" s="16"/>
      <c r="B387" s="16"/>
    </row>
    <row r="388" spans="1:2" x14ac:dyDescent="0.25">
      <c r="A388" s="16"/>
      <c r="B388" s="16"/>
    </row>
    <row r="389" spans="1:2" x14ac:dyDescent="0.25">
      <c r="A389" s="16"/>
      <c r="B389" s="16"/>
    </row>
    <row r="390" spans="1:2" x14ac:dyDescent="0.25">
      <c r="A390" s="16"/>
      <c r="B390" s="16"/>
    </row>
    <row r="391" spans="1:2" x14ac:dyDescent="0.25">
      <c r="A391" s="16"/>
      <c r="B391" s="16"/>
    </row>
    <row r="392" spans="1:2" x14ac:dyDescent="0.25">
      <c r="A392" s="16"/>
      <c r="B392" s="16"/>
    </row>
    <row r="393" spans="1:2" x14ac:dyDescent="0.25">
      <c r="A393" s="16"/>
      <c r="B393" s="16"/>
    </row>
    <row r="394" spans="1:2" x14ac:dyDescent="0.25">
      <c r="A394" s="16"/>
      <c r="B394" s="16"/>
    </row>
    <row r="395" spans="1:2" x14ac:dyDescent="0.25">
      <c r="A395" s="16"/>
      <c r="B395" s="16"/>
    </row>
    <row r="396" spans="1:2" x14ac:dyDescent="0.25">
      <c r="A396" s="16"/>
      <c r="B396" s="16"/>
    </row>
    <row r="397" spans="1:2" x14ac:dyDescent="0.25">
      <c r="A397" s="16"/>
      <c r="B397" s="16"/>
    </row>
    <row r="398" spans="1:2" x14ac:dyDescent="0.25">
      <c r="A398" s="16"/>
      <c r="B398" s="16"/>
    </row>
    <row r="399" spans="1:2" x14ac:dyDescent="0.25">
      <c r="A399" s="16"/>
      <c r="B399" s="16"/>
    </row>
    <row r="400" spans="1:2" x14ac:dyDescent="0.25">
      <c r="A400" s="16"/>
      <c r="B400" s="16"/>
    </row>
    <row r="401" spans="1:2" x14ac:dyDescent="0.25">
      <c r="A401" s="16"/>
      <c r="B401" s="16"/>
    </row>
    <row r="402" spans="1:2" x14ac:dyDescent="0.25">
      <c r="A402" s="16"/>
      <c r="B402" s="16"/>
    </row>
    <row r="403" spans="1:2" x14ac:dyDescent="0.25">
      <c r="A403" s="16"/>
      <c r="B403" s="16"/>
    </row>
    <row r="404" spans="1:2" x14ac:dyDescent="0.25">
      <c r="A404" s="16"/>
      <c r="B404" s="16"/>
    </row>
    <row r="405" spans="1:2" x14ac:dyDescent="0.25">
      <c r="A405" s="16"/>
      <c r="B405" s="16"/>
    </row>
    <row r="406" spans="1:2" x14ac:dyDescent="0.25">
      <c r="A406" s="16"/>
      <c r="B406" s="16"/>
    </row>
    <row r="407" spans="1:2" x14ac:dyDescent="0.25">
      <c r="A407" s="16"/>
      <c r="B407" s="16"/>
    </row>
    <row r="408" spans="1:2" x14ac:dyDescent="0.25">
      <c r="A408" s="16"/>
      <c r="B408" s="16"/>
    </row>
    <row r="409" spans="1:2" x14ac:dyDescent="0.25">
      <c r="A409" s="16"/>
      <c r="B409" s="16"/>
    </row>
    <row r="410" spans="1:2" x14ac:dyDescent="0.25">
      <c r="A410" s="16"/>
      <c r="B410" s="16"/>
    </row>
    <row r="411" spans="1:2" x14ac:dyDescent="0.25">
      <c r="A411" s="16"/>
      <c r="B411" s="16"/>
    </row>
    <row r="412" spans="1:2" x14ac:dyDescent="0.25">
      <c r="A412" s="16"/>
      <c r="B412" s="16"/>
    </row>
    <row r="413" spans="1:2" x14ac:dyDescent="0.25">
      <c r="A413" s="16"/>
      <c r="B413" s="16"/>
    </row>
    <row r="414" spans="1:2" x14ac:dyDescent="0.25">
      <c r="A414" s="16"/>
      <c r="B414" s="16"/>
    </row>
    <row r="415" spans="1:2" x14ac:dyDescent="0.25">
      <c r="A415" s="16"/>
      <c r="B415" s="16"/>
    </row>
    <row r="416" spans="1:2" x14ac:dyDescent="0.25">
      <c r="A416" s="16"/>
      <c r="B416" s="16"/>
    </row>
    <row r="417" spans="1:2" x14ac:dyDescent="0.25">
      <c r="A417" s="16"/>
      <c r="B417" s="16"/>
    </row>
    <row r="418" spans="1:2" x14ac:dyDescent="0.25">
      <c r="A418" s="16"/>
      <c r="B418" s="16"/>
    </row>
    <row r="419" spans="1:2" x14ac:dyDescent="0.25">
      <c r="A419" s="16"/>
      <c r="B419" s="16"/>
    </row>
    <row r="420" spans="1:2" x14ac:dyDescent="0.25">
      <c r="A420" s="16"/>
      <c r="B420" s="16"/>
    </row>
    <row r="421" spans="1:2" x14ac:dyDescent="0.25">
      <c r="A421" s="16"/>
      <c r="B421" s="16"/>
    </row>
    <row r="422" spans="1:2" x14ac:dyDescent="0.25">
      <c r="A422" s="16"/>
      <c r="B422" s="16"/>
    </row>
    <row r="423" spans="1:2" x14ac:dyDescent="0.25">
      <c r="A423" s="16"/>
      <c r="B423" s="16"/>
    </row>
    <row r="424" spans="1:2" x14ac:dyDescent="0.25">
      <c r="A424" s="16"/>
      <c r="B424" s="16"/>
    </row>
    <row r="425" spans="1:2" x14ac:dyDescent="0.25">
      <c r="A425" s="16"/>
      <c r="B425" s="16"/>
    </row>
    <row r="426" spans="1:2" x14ac:dyDescent="0.25">
      <c r="A426" s="16"/>
      <c r="B426" s="16"/>
    </row>
    <row r="427" spans="1:2" x14ac:dyDescent="0.25">
      <c r="A427" s="16"/>
      <c r="B427" s="16"/>
    </row>
    <row r="428" spans="1:2" x14ac:dyDescent="0.25">
      <c r="A428" s="16"/>
      <c r="B428" s="16"/>
    </row>
    <row r="429" spans="1:2" x14ac:dyDescent="0.25">
      <c r="A429" s="16"/>
      <c r="B429" s="16"/>
    </row>
    <row r="430" spans="1:2" x14ac:dyDescent="0.25">
      <c r="A430" s="16"/>
      <c r="B430" s="16"/>
    </row>
    <row r="431" spans="1:2" x14ac:dyDescent="0.25">
      <c r="A431" s="16"/>
      <c r="B431" s="16"/>
    </row>
    <row r="432" spans="1:2" x14ac:dyDescent="0.25">
      <c r="A432" s="16"/>
      <c r="B432" s="16"/>
    </row>
    <row r="433" spans="1:2" x14ac:dyDescent="0.25">
      <c r="A433" s="16"/>
      <c r="B433" s="16"/>
    </row>
    <row r="434" spans="1:2" x14ac:dyDescent="0.25">
      <c r="A434" s="16"/>
      <c r="B434" s="16"/>
    </row>
    <row r="435" spans="1:2" x14ac:dyDescent="0.25">
      <c r="A435" s="16"/>
      <c r="B435" s="16"/>
    </row>
    <row r="436" spans="1:2" x14ac:dyDescent="0.25">
      <c r="A436" s="16"/>
      <c r="B436" s="16"/>
    </row>
    <row r="437" spans="1:2" x14ac:dyDescent="0.25">
      <c r="A437" s="16"/>
      <c r="B437" s="16"/>
    </row>
    <row r="438" spans="1:2" x14ac:dyDescent="0.25">
      <c r="A438" s="16"/>
      <c r="B438" s="16"/>
    </row>
    <row r="439" spans="1:2" x14ac:dyDescent="0.25">
      <c r="A439" s="16"/>
      <c r="B439" s="16"/>
    </row>
    <row r="440" spans="1:2" x14ac:dyDescent="0.25">
      <c r="A440" s="16"/>
      <c r="B440" s="16"/>
    </row>
    <row r="441" spans="1:2" x14ac:dyDescent="0.25">
      <c r="A441" s="16"/>
      <c r="B441" s="16"/>
    </row>
    <row r="442" spans="1:2" x14ac:dyDescent="0.25">
      <c r="A442" s="16"/>
      <c r="B442" s="16"/>
    </row>
    <row r="443" spans="1:2" x14ac:dyDescent="0.25">
      <c r="A443" s="16"/>
      <c r="B443" s="16"/>
    </row>
    <row r="444" spans="1:2" x14ac:dyDescent="0.25">
      <c r="A444" s="16"/>
      <c r="B444" s="16"/>
    </row>
    <row r="445" spans="1:2" x14ac:dyDescent="0.25">
      <c r="A445" s="16"/>
      <c r="B445" s="16"/>
    </row>
    <row r="446" spans="1:2" x14ac:dyDescent="0.25">
      <c r="A446" s="16"/>
      <c r="B446" s="16"/>
    </row>
    <row r="447" spans="1:2" x14ac:dyDescent="0.25">
      <c r="A447" s="16"/>
      <c r="B447" s="16"/>
    </row>
    <row r="448" spans="1:2" x14ac:dyDescent="0.25">
      <c r="A448" s="16"/>
      <c r="B448" s="16"/>
    </row>
    <row r="449" spans="1:2" x14ac:dyDescent="0.25">
      <c r="A449" s="16"/>
      <c r="B449" s="16"/>
    </row>
    <row r="450" spans="1:2" x14ac:dyDescent="0.25">
      <c r="A450" s="16"/>
      <c r="B450" s="16"/>
    </row>
    <row r="451" spans="1:2" x14ac:dyDescent="0.25">
      <c r="A451" s="16"/>
      <c r="B451" s="16"/>
    </row>
    <row r="452" spans="1:2" x14ac:dyDescent="0.25">
      <c r="A452" s="16"/>
      <c r="B452" s="16"/>
    </row>
    <row r="453" spans="1:2" x14ac:dyDescent="0.25">
      <c r="A453" s="16"/>
      <c r="B453" s="16"/>
    </row>
    <row r="454" spans="1:2" x14ac:dyDescent="0.25">
      <c r="A454" s="16"/>
      <c r="B454" s="16"/>
    </row>
    <row r="455" spans="1:2" x14ac:dyDescent="0.25">
      <c r="A455" s="16"/>
      <c r="B455" s="16"/>
    </row>
    <row r="456" spans="1:2" x14ac:dyDescent="0.25">
      <c r="A456" s="16"/>
      <c r="B456" s="16"/>
    </row>
    <row r="457" spans="1:2" x14ac:dyDescent="0.25">
      <c r="A457" s="16"/>
      <c r="B457" s="16"/>
    </row>
    <row r="458" spans="1:2" x14ac:dyDescent="0.25">
      <c r="A458" s="16"/>
      <c r="B458" s="16"/>
    </row>
    <row r="459" spans="1:2" x14ac:dyDescent="0.25">
      <c r="A459" s="16"/>
      <c r="B459" s="16"/>
    </row>
    <row r="460" spans="1:2" x14ac:dyDescent="0.25">
      <c r="A460" s="16"/>
      <c r="B460" s="16"/>
    </row>
    <row r="461" spans="1:2" x14ac:dyDescent="0.25">
      <c r="A461" s="16"/>
      <c r="B461" s="16"/>
    </row>
    <row r="462" spans="1:2" x14ac:dyDescent="0.25">
      <c r="A462" s="16"/>
      <c r="B462" s="16"/>
    </row>
    <row r="463" spans="1:2" x14ac:dyDescent="0.25">
      <c r="A463" s="16"/>
      <c r="B463" s="16"/>
    </row>
    <row r="464" spans="1:2" x14ac:dyDescent="0.25">
      <c r="A464" s="16"/>
      <c r="B464" s="16"/>
    </row>
    <row r="465" spans="1:2" x14ac:dyDescent="0.25">
      <c r="A465" s="16"/>
      <c r="B465" s="16"/>
    </row>
    <row r="466" spans="1:2" x14ac:dyDescent="0.25">
      <c r="A466" s="16"/>
      <c r="B466" s="16"/>
    </row>
    <row r="467" spans="1:2" x14ac:dyDescent="0.25">
      <c r="A467" s="16"/>
      <c r="B467" s="16"/>
    </row>
    <row r="468" spans="1:2" x14ac:dyDescent="0.25">
      <c r="A468" s="16"/>
      <c r="B468" s="16"/>
    </row>
    <row r="469" spans="1:2" x14ac:dyDescent="0.25">
      <c r="A469" s="16"/>
      <c r="B469" s="16"/>
    </row>
    <row r="470" spans="1:2" x14ac:dyDescent="0.25">
      <c r="A470" s="16"/>
      <c r="B470" s="16"/>
    </row>
    <row r="471" spans="1:2" x14ac:dyDescent="0.25">
      <c r="A471" s="16"/>
      <c r="B471" s="16"/>
    </row>
    <row r="472" spans="1:2" x14ac:dyDescent="0.25">
      <c r="A472" s="16"/>
      <c r="B472" s="16"/>
    </row>
    <row r="473" spans="1:2" x14ac:dyDescent="0.25">
      <c r="A473" s="16"/>
      <c r="B473" s="16"/>
    </row>
    <row r="474" spans="1:2" x14ac:dyDescent="0.25">
      <c r="A474" s="16"/>
      <c r="B474" s="16"/>
    </row>
    <row r="475" spans="1:2" x14ac:dyDescent="0.25">
      <c r="A475" s="16"/>
      <c r="B475" s="16"/>
    </row>
    <row r="476" spans="1:2" x14ac:dyDescent="0.25">
      <c r="A476" s="16"/>
      <c r="B476" s="16"/>
    </row>
    <row r="477" spans="1:2" x14ac:dyDescent="0.25">
      <c r="A477" s="16"/>
      <c r="B477" s="16"/>
    </row>
    <row r="478" spans="1:2" x14ac:dyDescent="0.25">
      <c r="A478" s="16"/>
      <c r="B478" s="16"/>
    </row>
    <row r="479" spans="1:2" x14ac:dyDescent="0.25">
      <c r="A479" s="16"/>
      <c r="B479" s="16"/>
    </row>
    <row r="480" spans="1:2" x14ac:dyDescent="0.25">
      <c r="A480" s="16"/>
      <c r="B480" s="16"/>
    </row>
    <row r="481" spans="1:2" x14ac:dyDescent="0.25">
      <c r="A481" s="16"/>
      <c r="B481" s="16"/>
    </row>
    <row r="482" spans="1:2" x14ac:dyDescent="0.25">
      <c r="A482" s="16"/>
      <c r="B482" s="16"/>
    </row>
    <row r="483" spans="1:2" x14ac:dyDescent="0.25">
      <c r="A483" s="16"/>
      <c r="B483" s="16"/>
    </row>
    <row r="484" spans="1:2" x14ac:dyDescent="0.25">
      <c r="A484" s="16"/>
      <c r="B484" s="16"/>
    </row>
    <row r="485" spans="1:2" x14ac:dyDescent="0.25">
      <c r="A485" s="16"/>
      <c r="B485" s="16"/>
    </row>
    <row r="486" spans="1:2" x14ac:dyDescent="0.25">
      <c r="A486" s="16"/>
      <c r="B486" s="16"/>
    </row>
    <row r="487" spans="1:2" x14ac:dyDescent="0.25">
      <c r="A487" s="16"/>
      <c r="B487" s="16"/>
    </row>
    <row r="488" spans="1:2" x14ac:dyDescent="0.25">
      <c r="A488" s="16"/>
      <c r="B488" s="16"/>
    </row>
    <row r="489" spans="1:2" x14ac:dyDescent="0.25">
      <c r="A489" s="16"/>
      <c r="B489" s="16"/>
    </row>
    <row r="490" spans="1:2" x14ac:dyDescent="0.25">
      <c r="A490" s="16"/>
      <c r="B490" s="16"/>
    </row>
    <row r="491" spans="1:2" x14ac:dyDescent="0.25">
      <c r="A491" s="16"/>
      <c r="B491" s="16"/>
    </row>
    <row r="492" spans="1:2" x14ac:dyDescent="0.25">
      <c r="A492" s="16"/>
      <c r="B492" s="16"/>
    </row>
    <row r="493" spans="1:2" x14ac:dyDescent="0.25">
      <c r="A493" s="16"/>
      <c r="B493" s="16"/>
    </row>
    <row r="494" spans="1:2" x14ac:dyDescent="0.25">
      <c r="A494" s="16"/>
      <c r="B494" s="16"/>
    </row>
    <row r="495" spans="1:2" x14ac:dyDescent="0.25">
      <c r="A495" s="16"/>
      <c r="B495" s="16"/>
    </row>
    <row r="496" spans="1:2" x14ac:dyDescent="0.25">
      <c r="A496" s="16"/>
      <c r="B496" s="16"/>
    </row>
    <row r="497" spans="1:2" x14ac:dyDescent="0.25">
      <c r="A497" s="16"/>
      <c r="B497" s="16"/>
    </row>
    <row r="498" spans="1:2" x14ac:dyDescent="0.25">
      <c r="A498" s="16"/>
      <c r="B498" s="16"/>
    </row>
    <row r="499" spans="1:2" x14ac:dyDescent="0.25">
      <c r="A499" s="16"/>
      <c r="B499" s="16"/>
    </row>
    <row r="500" spans="1:2" x14ac:dyDescent="0.25">
      <c r="A500" s="16"/>
      <c r="B500" s="16"/>
    </row>
    <row r="501" spans="1:2" x14ac:dyDescent="0.25">
      <c r="A501" s="16"/>
      <c r="B501" s="16"/>
    </row>
    <row r="502" spans="1:2" x14ac:dyDescent="0.25">
      <c r="A502" s="16"/>
      <c r="B502" s="16"/>
    </row>
    <row r="503" spans="1:2" x14ac:dyDescent="0.25">
      <c r="A503" s="16"/>
      <c r="B503" s="16"/>
    </row>
    <row r="504" spans="1:2" x14ac:dyDescent="0.25">
      <c r="A504" s="16"/>
      <c r="B504" s="16"/>
    </row>
    <row r="505" spans="1:2" x14ac:dyDescent="0.25">
      <c r="A505" s="16"/>
      <c r="B505" s="16"/>
    </row>
    <row r="506" spans="1:2" x14ac:dyDescent="0.25">
      <c r="A506" s="16"/>
      <c r="B506" s="16"/>
    </row>
    <row r="507" spans="1:2" x14ac:dyDescent="0.25">
      <c r="A507" s="16"/>
      <c r="B507" s="16"/>
    </row>
    <row r="508" spans="1:2" x14ac:dyDescent="0.25">
      <c r="A508" s="16"/>
      <c r="B508" s="16"/>
    </row>
    <row r="509" spans="1:2" x14ac:dyDescent="0.25">
      <c r="A509" s="16"/>
      <c r="B509" s="16"/>
    </row>
    <row r="510" spans="1:2" x14ac:dyDescent="0.25">
      <c r="A510" s="16"/>
      <c r="B510" s="16"/>
    </row>
    <row r="511" spans="1:2" x14ac:dyDescent="0.25">
      <c r="A511" s="16"/>
      <c r="B511" s="16"/>
    </row>
    <row r="512" spans="1:2" x14ac:dyDescent="0.25">
      <c r="A512" s="16"/>
      <c r="B512" s="16"/>
    </row>
    <row r="513" spans="1:2" x14ac:dyDescent="0.25">
      <c r="A513" s="16"/>
      <c r="B513" s="16"/>
    </row>
    <row r="514" spans="1:2" x14ac:dyDescent="0.25">
      <c r="A514" s="16"/>
      <c r="B514" s="16"/>
    </row>
    <row r="515" spans="1:2" x14ac:dyDescent="0.25">
      <c r="A515" s="16"/>
      <c r="B515" s="16"/>
    </row>
    <row r="516" spans="1:2" x14ac:dyDescent="0.25">
      <c r="A516" s="16"/>
      <c r="B516" s="16"/>
    </row>
    <row r="517" spans="1:2" x14ac:dyDescent="0.25">
      <c r="A517" s="16"/>
      <c r="B517" s="16"/>
    </row>
    <row r="518" spans="1:2" x14ac:dyDescent="0.25">
      <c r="A518" s="16"/>
      <c r="B518" s="16"/>
    </row>
    <row r="519" spans="1:2" x14ac:dyDescent="0.25">
      <c r="A519" s="16"/>
      <c r="B519" s="16"/>
    </row>
    <row r="520" spans="1:2" x14ac:dyDescent="0.25">
      <c r="A520" s="16"/>
      <c r="B520" s="16"/>
    </row>
    <row r="521" spans="1:2" x14ac:dyDescent="0.25">
      <c r="A521" s="16"/>
      <c r="B521" s="16"/>
    </row>
    <row r="522" spans="1:2" x14ac:dyDescent="0.25">
      <c r="A522" s="16"/>
      <c r="B522" s="16"/>
    </row>
    <row r="523" spans="1:2" x14ac:dyDescent="0.25">
      <c r="A523" s="16"/>
      <c r="B523" s="16"/>
    </row>
    <row r="524" spans="1:2" x14ac:dyDescent="0.25">
      <c r="A524" s="16"/>
      <c r="B524" s="16"/>
    </row>
    <row r="525" spans="1:2" x14ac:dyDescent="0.25">
      <c r="A525" s="16"/>
      <c r="B525" s="16"/>
    </row>
    <row r="526" spans="1:2" x14ac:dyDescent="0.25">
      <c r="A526" s="16"/>
      <c r="B526" s="16"/>
    </row>
    <row r="527" spans="1:2" x14ac:dyDescent="0.25">
      <c r="A527" s="16"/>
      <c r="B527" s="16"/>
    </row>
    <row r="528" spans="1:2" x14ac:dyDescent="0.25">
      <c r="A528" s="16"/>
      <c r="B528" s="16"/>
    </row>
    <row r="529" spans="1:2" x14ac:dyDescent="0.25">
      <c r="A529" s="16"/>
      <c r="B529" s="16"/>
    </row>
    <row r="530" spans="1:2" x14ac:dyDescent="0.25">
      <c r="A530" s="16"/>
      <c r="B530" s="16"/>
    </row>
    <row r="531" spans="1:2" x14ac:dyDescent="0.25">
      <c r="A531" s="16"/>
      <c r="B531" s="16"/>
    </row>
    <row r="532" spans="1:2" x14ac:dyDescent="0.25">
      <c r="A532" s="16"/>
      <c r="B532" s="16"/>
    </row>
    <row r="533" spans="1:2" x14ac:dyDescent="0.25">
      <c r="A533" s="16"/>
      <c r="B533" s="16"/>
    </row>
    <row r="534" spans="1:2" x14ac:dyDescent="0.25">
      <c r="A534" s="16"/>
      <c r="B534" s="16"/>
    </row>
    <row r="535" spans="1:2" x14ac:dyDescent="0.25">
      <c r="A535" s="16"/>
      <c r="B535" s="16"/>
    </row>
    <row r="536" spans="1:2" x14ac:dyDescent="0.25">
      <c r="A536" s="16"/>
      <c r="B536" s="16"/>
    </row>
    <row r="537" spans="1:2" x14ac:dyDescent="0.25">
      <c r="A537" s="16"/>
      <c r="B537" s="16"/>
    </row>
    <row r="538" spans="1:2" x14ac:dyDescent="0.25">
      <c r="A538" s="16"/>
      <c r="B538" s="16"/>
    </row>
    <row r="539" spans="1:2" x14ac:dyDescent="0.25">
      <c r="A539" s="16"/>
      <c r="B539" s="16"/>
    </row>
    <row r="540" spans="1:2" x14ac:dyDescent="0.25">
      <c r="A540" s="16"/>
      <c r="B540" s="16"/>
    </row>
    <row r="541" spans="1:2" x14ac:dyDescent="0.25">
      <c r="A541" s="16"/>
      <c r="B541" s="16"/>
    </row>
    <row r="542" spans="1:2" x14ac:dyDescent="0.25">
      <c r="A542" s="16"/>
      <c r="B542" s="16"/>
    </row>
    <row r="543" spans="1:2" x14ac:dyDescent="0.25">
      <c r="A543" s="16"/>
      <c r="B543" s="16"/>
    </row>
    <row r="544" spans="1:2" x14ac:dyDescent="0.25">
      <c r="A544" s="16"/>
      <c r="B544" s="16"/>
    </row>
    <row r="545" spans="1:2" x14ac:dyDescent="0.25">
      <c r="A545" s="16"/>
      <c r="B545" s="16"/>
    </row>
    <row r="546" spans="1:2" x14ac:dyDescent="0.25">
      <c r="A546" s="16"/>
      <c r="B546" s="16"/>
    </row>
    <row r="547" spans="1:2" x14ac:dyDescent="0.25">
      <c r="A547" s="16"/>
      <c r="B547" s="16"/>
    </row>
    <row r="548" spans="1:2" x14ac:dyDescent="0.25">
      <c r="A548" s="16"/>
      <c r="B548" s="16"/>
    </row>
    <row r="549" spans="1:2" x14ac:dyDescent="0.25">
      <c r="A549" s="16"/>
      <c r="B549" s="16"/>
    </row>
    <row r="550" spans="1:2" x14ac:dyDescent="0.25">
      <c r="A550" s="16"/>
      <c r="B550" s="16"/>
    </row>
    <row r="551" spans="1:2" x14ac:dyDescent="0.25">
      <c r="A551" s="16"/>
      <c r="B551" s="16"/>
    </row>
    <row r="552" spans="1:2" x14ac:dyDescent="0.25">
      <c r="A552" s="16"/>
      <c r="B552" s="16"/>
    </row>
    <row r="553" spans="1:2" x14ac:dyDescent="0.25">
      <c r="A553" s="16"/>
      <c r="B553" s="16"/>
    </row>
    <row r="554" spans="1:2" x14ac:dyDescent="0.25">
      <c r="A554" s="16"/>
      <c r="B554" s="16"/>
    </row>
    <row r="555" spans="1:2" x14ac:dyDescent="0.25">
      <c r="A555" s="16"/>
      <c r="B555" s="16"/>
    </row>
    <row r="556" spans="1:2" x14ac:dyDescent="0.25">
      <c r="A556" s="16"/>
      <c r="B556" s="16"/>
    </row>
    <row r="557" spans="1:2" x14ac:dyDescent="0.25">
      <c r="A557" s="16"/>
      <c r="B557" s="16"/>
    </row>
    <row r="558" spans="1:2" x14ac:dyDescent="0.25">
      <c r="A558" s="16"/>
      <c r="B558" s="16"/>
    </row>
    <row r="559" spans="1:2" x14ac:dyDescent="0.25">
      <c r="A559" s="16"/>
      <c r="B559" s="16"/>
    </row>
    <row r="560" spans="1:2" x14ac:dyDescent="0.25">
      <c r="A560" s="16"/>
      <c r="B560" s="16"/>
    </row>
    <row r="561" spans="1:2" x14ac:dyDescent="0.25">
      <c r="A561" s="16"/>
      <c r="B561" s="16"/>
    </row>
    <row r="562" spans="1:2" x14ac:dyDescent="0.25">
      <c r="A562" s="16"/>
      <c r="B562" s="16"/>
    </row>
    <row r="563" spans="1:2" x14ac:dyDescent="0.25">
      <c r="A563" s="16"/>
      <c r="B563" s="16"/>
    </row>
    <row r="564" spans="1:2" x14ac:dyDescent="0.25">
      <c r="A564" s="16"/>
      <c r="B564" s="16"/>
    </row>
    <row r="565" spans="1:2" x14ac:dyDescent="0.25">
      <c r="A565" s="16"/>
      <c r="B565" s="16"/>
    </row>
    <row r="566" spans="1:2" x14ac:dyDescent="0.25">
      <c r="A566" s="16"/>
      <c r="B566" s="16"/>
    </row>
    <row r="567" spans="1:2" x14ac:dyDescent="0.25">
      <c r="A567" s="16"/>
      <c r="B567" s="16"/>
    </row>
    <row r="568" spans="1:2" x14ac:dyDescent="0.25">
      <c r="A568" s="16"/>
      <c r="B568" s="16"/>
    </row>
    <row r="569" spans="1:2" x14ac:dyDescent="0.25">
      <c r="A569" s="16"/>
      <c r="B569" s="16"/>
    </row>
    <row r="570" spans="1:2" x14ac:dyDescent="0.25">
      <c r="A570" s="16"/>
      <c r="B570" s="16"/>
    </row>
    <row r="571" spans="1:2" x14ac:dyDescent="0.25">
      <c r="A571" s="16"/>
      <c r="B571" s="16"/>
    </row>
    <row r="572" spans="1:2" x14ac:dyDescent="0.25">
      <c r="A572" s="16"/>
      <c r="B572" s="16"/>
    </row>
    <row r="573" spans="1:2" x14ac:dyDescent="0.25">
      <c r="A573" s="16"/>
      <c r="B573" s="16"/>
    </row>
    <row r="574" spans="1:2" x14ac:dyDescent="0.25">
      <c r="A574" s="16"/>
      <c r="B574" s="16"/>
    </row>
    <row r="575" spans="1:2" x14ac:dyDescent="0.25">
      <c r="A575" s="16"/>
      <c r="B575" s="16"/>
    </row>
    <row r="576" spans="1:2" x14ac:dyDescent="0.25">
      <c r="A576" s="16"/>
      <c r="B576" s="16"/>
    </row>
    <row r="577" spans="1:2" x14ac:dyDescent="0.25">
      <c r="A577" s="16"/>
      <c r="B577" s="16"/>
    </row>
    <row r="578" spans="1:2" x14ac:dyDescent="0.25">
      <c r="A578" s="16"/>
      <c r="B578" s="16"/>
    </row>
    <row r="579" spans="1:2" x14ac:dyDescent="0.25">
      <c r="A579" s="16"/>
      <c r="B579" s="16"/>
    </row>
    <row r="580" spans="1:2" x14ac:dyDescent="0.25">
      <c r="A580" s="16"/>
      <c r="B580" s="16"/>
    </row>
    <row r="581" spans="1:2" x14ac:dyDescent="0.25">
      <c r="A581" s="16"/>
      <c r="B581" s="16"/>
    </row>
    <row r="582" spans="1:2" x14ac:dyDescent="0.25">
      <c r="A582" s="16"/>
      <c r="B582" s="16"/>
    </row>
    <row r="583" spans="1:2" x14ac:dyDescent="0.25">
      <c r="A583" s="16"/>
      <c r="B583" s="16"/>
    </row>
    <row r="584" spans="1:2" x14ac:dyDescent="0.25">
      <c r="A584" s="16"/>
      <c r="B584" s="16"/>
    </row>
    <row r="585" spans="1:2" x14ac:dyDescent="0.25">
      <c r="A585" s="16"/>
      <c r="B585" s="16"/>
    </row>
    <row r="586" spans="1:2" x14ac:dyDescent="0.25">
      <c r="A586" s="16"/>
      <c r="B586" s="16"/>
    </row>
    <row r="587" spans="1:2" x14ac:dyDescent="0.25">
      <c r="A587" s="16"/>
      <c r="B587" s="16"/>
    </row>
    <row r="588" spans="1:2" x14ac:dyDescent="0.25">
      <c r="A588" s="16"/>
      <c r="B588" s="16"/>
    </row>
    <row r="589" spans="1:2" x14ac:dyDescent="0.25">
      <c r="A589" s="16"/>
      <c r="B589" s="16"/>
    </row>
    <row r="590" spans="1:2" x14ac:dyDescent="0.25">
      <c r="A590" s="16"/>
      <c r="B590" s="16"/>
    </row>
    <row r="591" spans="1:2" x14ac:dyDescent="0.25">
      <c r="A591" s="16"/>
      <c r="B591" s="16"/>
    </row>
    <row r="592" spans="1:2" x14ac:dyDescent="0.25">
      <c r="A592" s="16"/>
      <c r="B592" s="16"/>
    </row>
    <row r="593" spans="1:2" x14ac:dyDescent="0.25">
      <c r="A593" s="16"/>
      <c r="B593" s="16"/>
    </row>
    <row r="594" spans="1:2" x14ac:dyDescent="0.25">
      <c r="A594" s="16"/>
      <c r="B594" s="16"/>
    </row>
    <row r="595" spans="1:2" x14ac:dyDescent="0.25">
      <c r="A595" s="16"/>
      <c r="B595" s="16"/>
    </row>
    <row r="596" spans="1:2" x14ac:dyDescent="0.25">
      <c r="A596" s="16"/>
      <c r="B596" s="16"/>
    </row>
    <row r="597" spans="1:2" x14ac:dyDescent="0.25">
      <c r="A597" s="16"/>
      <c r="B597" s="16"/>
    </row>
    <row r="598" spans="1:2" x14ac:dyDescent="0.25">
      <c r="A598" s="16"/>
      <c r="B598" s="16"/>
    </row>
    <row r="599" spans="1:2" x14ac:dyDescent="0.25">
      <c r="A599" s="16"/>
      <c r="B599" s="16"/>
    </row>
    <row r="600" spans="1:2" x14ac:dyDescent="0.25">
      <c r="A600" s="16"/>
      <c r="B600" s="16"/>
    </row>
    <row r="601" spans="1:2" x14ac:dyDescent="0.25">
      <c r="A601" s="16"/>
      <c r="B601" s="16"/>
    </row>
    <row r="602" spans="1:2" x14ac:dyDescent="0.25">
      <c r="A602" s="16"/>
      <c r="B602" s="16"/>
    </row>
    <row r="603" spans="1:2" x14ac:dyDescent="0.25">
      <c r="A603" s="16"/>
      <c r="B603" s="16"/>
    </row>
    <row r="604" spans="1:2" x14ac:dyDescent="0.25">
      <c r="A604" s="16"/>
      <c r="B604" s="16"/>
    </row>
    <row r="605" spans="1:2" x14ac:dyDescent="0.25">
      <c r="A605" s="16"/>
      <c r="B605" s="16"/>
    </row>
    <row r="606" spans="1:2" x14ac:dyDescent="0.25">
      <c r="A606" s="16"/>
      <c r="B606" s="16"/>
    </row>
    <row r="607" spans="1:2" x14ac:dyDescent="0.25">
      <c r="A607" s="16"/>
      <c r="B607" s="16"/>
    </row>
    <row r="608" spans="1:2" x14ac:dyDescent="0.25">
      <c r="A608" s="16"/>
      <c r="B608" s="16"/>
    </row>
    <row r="609" spans="1:2" x14ac:dyDescent="0.25">
      <c r="A609" s="16"/>
      <c r="B609" s="16"/>
    </row>
    <row r="610" spans="1:2" x14ac:dyDescent="0.25">
      <c r="A610" s="16"/>
      <c r="B610" s="16"/>
    </row>
    <row r="611" spans="1:2" x14ac:dyDescent="0.25">
      <c r="A611" s="16"/>
      <c r="B611" s="16"/>
    </row>
    <row r="612" spans="1:2" x14ac:dyDescent="0.25">
      <c r="A612" s="16"/>
      <c r="B612" s="16"/>
    </row>
    <row r="613" spans="1:2" x14ac:dyDescent="0.25">
      <c r="A613" s="16"/>
      <c r="B613" s="16"/>
    </row>
    <row r="614" spans="1:2" x14ac:dyDescent="0.25">
      <c r="A614" s="16"/>
      <c r="B614" s="16"/>
    </row>
    <row r="615" spans="1:2" x14ac:dyDescent="0.25">
      <c r="A615" s="16"/>
      <c r="B615" s="16"/>
    </row>
    <row r="616" spans="1:2" x14ac:dyDescent="0.25">
      <c r="A616" s="16"/>
      <c r="B616" s="16"/>
    </row>
    <row r="617" spans="1:2" x14ac:dyDescent="0.25">
      <c r="A617" s="16"/>
      <c r="B617" s="16"/>
    </row>
    <row r="618" spans="1:2" x14ac:dyDescent="0.25">
      <c r="A618" s="16"/>
      <c r="B618" s="16"/>
    </row>
    <row r="619" spans="1:2" x14ac:dyDescent="0.25">
      <c r="A619" s="16"/>
      <c r="B619" s="16"/>
    </row>
    <row r="620" spans="1:2" x14ac:dyDescent="0.25">
      <c r="A620" s="16"/>
      <c r="B620" s="16"/>
    </row>
    <row r="621" spans="1:2" x14ac:dyDescent="0.25">
      <c r="A621" s="16"/>
      <c r="B621" s="16"/>
    </row>
    <row r="622" spans="1:2" x14ac:dyDescent="0.25">
      <c r="A622" s="16"/>
      <c r="B622" s="16"/>
    </row>
    <row r="623" spans="1:2" x14ac:dyDescent="0.25">
      <c r="A623" s="16"/>
      <c r="B623" s="16"/>
    </row>
    <row r="624" spans="1:2" x14ac:dyDescent="0.25">
      <c r="A624" s="16"/>
      <c r="B624" s="16"/>
    </row>
    <row r="625" spans="1:2" x14ac:dyDescent="0.25">
      <c r="A625" s="16"/>
      <c r="B625" s="16"/>
    </row>
    <row r="626" spans="1:2" x14ac:dyDescent="0.25">
      <c r="A626" s="16"/>
      <c r="B626" s="16"/>
    </row>
    <row r="627" spans="1:2" x14ac:dyDescent="0.25">
      <c r="A627" s="16"/>
      <c r="B627" s="16"/>
    </row>
    <row r="628" spans="1:2" x14ac:dyDescent="0.25">
      <c r="A628" s="16"/>
      <c r="B628" s="16"/>
    </row>
    <row r="629" spans="1:2" x14ac:dyDescent="0.25">
      <c r="A629" s="16"/>
      <c r="B629" s="16"/>
    </row>
    <row r="630" spans="1:2" x14ac:dyDescent="0.25">
      <c r="A630" s="16"/>
      <c r="B630" s="16"/>
    </row>
    <row r="631" spans="1:2" x14ac:dyDescent="0.25">
      <c r="A631" s="16"/>
      <c r="B631" s="16"/>
    </row>
    <row r="632" spans="1:2" x14ac:dyDescent="0.25">
      <c r="A632" s="16"/>
      <c r="B632" s="16"/>
    </row>
    <row r="633" spans="1:2" x14ac:dyDescent="0.25">
      <c r="A633" s="16"/>
      <c r="B633" s="16"/>
    </row>
    <row r="634" spans="1:2" x14ac:dyDescent="0.25">
      <c r="A634" s="16"/>
      <c r="B634" s="16"/>
    </row>
    <row r="635" spans="1:2" x14ac:dyDescent="0.25">
      <c r="A635" s="16"/>
      <c r="B635" s="16"/>
    </row>
    <row r="636" spans="1:2" x14ac:dyDescent="0.25">
      <c r="A636" s="16"/>
      <c r="B636" s="16"/>
    </row>
    <row r="637" spans="1:2" x14ac:dyDescent="0.25">
      <c r="A637" s="16"/>
      <c r="B637" s="16"/>
    </row>
    <row r="638" spans="1:2" x14ac:dyDescent="0.25">
      <c r="A638" s="16"/>
      <c r="B638" s="16"/>
    </row>
    <row r="639" spans="1:2" x14ac:dyDescent="0.25">
      <c r="A639" s="16"/>
      <c r="B639" s="16"/>
    </row>
    <row r="640" spans="1:2" x14ac:dyDescent="0.25">
      <c r="A640" s="16"/>
      <c r="B640" s="16"/>
    </row>
    <row r="641" spans="1:2" x14ac:dyDescent="0.25">
      <c r="A641" s="16"/>
      <c r="B641" s="16"/>
    </row>
    <row r="642" spans="1:2" x14ac:dyDescent="0.25">
      <c r="A642" s="16"/>
      <c r="B642" s="16"/>
    </row>
    <row r="643" spans="1:2" x14ac:dyDescent="0.25">
      <c r="A643" s="16"/>
      <c r="B643" s="16"/>
    </row>
    <row r="644" spans="1:2" x14ac:dyDescent="0.25">
      <c r="A644" s="16"/>
      <c r="B644" s="16"/>
    </row>
    <row r="645" spans="1:2" x14ac:dyDescent="0.25">
      <c r="A645" s="16"/>
      <c r="B645" s="16"/>
    </row>
    <row r="646" spans="1:2" x14ac:dyDescent="0.25">
      <c r="A646" s="16"/>
      <c r="B646" s="16"/>
    </row>
    <row r="647" spans="1:2" x14ac:dyDescent="0.25">
      <c r="A647" s="16"/>
      <c r="B647" s="16"/>
    </row>
    <row r="648" spans="1:2" x14ac:dyDescent="0.25">
      <c r="A648" s="16"/>
      <c r="B648" s="16"/>
    </row>
    <row r="649" spans="1:2" x14ac:dyDescent="0.25">
      <c r="A649" s="16"/>
      <c r="B649" s="16"/>
    </row>
    <row r="650" spans="1:2" x14ac:dyDescent="0.25">
      <c r="A650" s="16"/>
      <c r="B650" s="16"/>
    </row>
    <row r="651" spans="1:2" x14ac:dyDescent="0.25">
      <c r="A651" s="16"/>
      <c r="B651" s="16"/>
    </row>
    <row r="652" spans="1:2" x14ac:dyDescent="0.25">
      <c r="A652" s="16"/>
      <c r="B652" s="16"/>
    </row>
    <row r="653" spans="1:2" x14ac:dyDescent="0.25">
      <c r="A653" s="16"/>
      <c r="B653" s="16"/>
    </row>
    <row r="654" spans="1:2" x14ac:dyDescent="0.25">
      <c r="A654" s="16"/>
      <c r="B654" s="16"/>
    </row>
    <row r="655" spans="1:2" x14ac:dyDescent="0.25">
      <c r="A655" s="16"/>
      <c r="B655" s="16"/>
    </row>
    <row r="656" spans="1:2" x14ac:dyDescent="0.25">
      <c r="A656" s="16"/>
      <c r="B656" s="16"/>
    </row>
    <row r="657" spans="1:2" x14ac:dyDescent="0.25">
      <c r="A657" s="16"/>
      <c r="B657" s="16"/>
    </row>
    <row r="658" spans="1:2" x14ac:dyDescent="0.25">
      <c r="A658" s="16"/>
      <c r="B658" s="16"/>
    </row>
    <row r="659" spans="1:2" x14ac:dyDescent="0.25">
      <c r="A659" s="16"/>
      <c r="B659" s="16"/>
    </row>
    <row r="660" spans="1:2" x14ac:dyDescent="0.25">
      <c r="A660" s="16"/>
      <c r="B660" s="16"/>
    </row>
    <row r="661" spans="1:2" x14ac:dyDescent="0.25">
      <c r="A661" s="16"/>
      <c r="B661" s="16"/>
    </row>
    <row r="662" spans="1:2" x14ac:dyDescent="0.25">
      <c r="A662" s="16"/>
      <c r="B662" s="16"/>
    </row>
    <row r="663" spans="1:2" x14ac:dyDescent="0.25">
      <c r="A663" s="16"/>
      <c r="B663" s="16"/>
    </row>
    <row r="664" spans="1:2" x14ac:dyDescent="0.25">
      <c r="A664" s="16"/>
      <c r="B664" s="16"/>
    </row>
    <row r="665" spans="1:2" x14ac:dyDescent="0.25">
      <c r="A665" s="16"/>
      <c r="B665" s="16"/>
    </row>
    <row r="666" spans="1:2" x14ac:dyDescent="0.25">
      <c r="A666" s="16"/>
      <c r="B666" s="16"/>
    </row>
    <row r="667" spans="1:2" x14ac:dyDescent="0.25">
      <c r="A667" s="16"/>
      <c r="B667" s="16"/>
    </row>
    <row r="668" spans="1:2" x14ac:dyDescent="0.25">
      <c r="A668" s="16"/>
      <c r="B668" s="16"/>
    </row>
    <row r="669" spans="1:2" x14ac:dyDescent="0.25">
      <c r="A669" s="16"/>
      <c r="B669" s="16"/>
    </row>
    <row r="670" spans="1:2" x14ac:dyDescent="0.25">
      <c r="A670" s="16"/>
      <c r="B670" s="16"/>
    </row>
    <row r="671" spans="1:2" x14ac:dyDescent="0.25">
      <c r="A671" s="16"/>
      <c r="B671" s="16"/>
    </row>
    <row r="672" spans="1:2" x14ac:dyDescent="0.25">
      <c r="A672" s="16"/>
      <c r="B672" s="16"/>
    </row>
    <row r="673" spans="1:2" x14ac:dyDescent="0.25">
      <c r="A673" s="16"/>
      <c r="B673" s="16"/>
    </row>
    <row r="674" spans="1:2" x14ac:dyDescent="0.25">
      <c r="A674" s="16"/>
      <c r="B674" s="16"/>
    </row>
    <row r="675" spans="1:2" x14ac:dyDescent="0.25">
      <c r="A675" s="16"/>
      <c r="B675" s="16"/>
    </row>
    <row r="676" spans="1:2" x14ac:dyDescent="0.25">
      <c r="A676" s="16"/>
      <c r="B676" s="16"/>
    </row>
    <row r="677" spans="1:2" x14ac:dyDescent="0.25">
      <c r="A677" s="16"/>
      <c r="B677" s="16"/>
    </row>
    <row r="678" spans="1:2" x14ac:dyDescent="0.25">
      <c r="A678" s="16"/>
      <c r="B678" s="16"/>
    </row>
    <row r="679" spans="1:2" x14ac:dyDescent="0.25">
      <c r="A679" s="16"/>
      <c r="B679" s="16"/>
    </row>
    <row r="680" spans="1:2" x14ac:dyDescent="0.25">
      <c r="A680" s="16"/>
      <c r="B680" s="16"/>
    </row>
    <row r="681" spans="1:2" x14ac:dyDescent="0.25">
      <c r="A681" s="16"/>
      <c r="B681" s="16"/>
    </row>
    <row r="682" spans="1:2" x14ac:dyDescent="0.25">
      <c r="A682" s="16"/>
      <c r="B682" s="16"/>
    </row>
    <row r="683" spans="1:2" x14ac:dyDescent="0.25">
      <c r="A683" s="16"/>
      <c r="B683" s="16"/>
    </row>
    <row r="684" spans="1:2" x14ac:dyDescent="0.25">
      <c r="A684" s="16"/>
      <c r="B684" s="16"/>
    </row>
    <row r="685" spans="1:2" x14ac:dyDescent="0.25">
      <c r="A685" s="16"/>
      <c r="B685" s="16"/>
    </row>
    <row r="686" spans="1:2" x14ac:dyDescent="0.25">
      <c r="A686" s="16"/>
      <c r="B686" s="16"/>
    </row>
    <row r="687" spans="1:2" x14ac:dyDescent="0.25">
      <c r="A687" s="16"/>
      <c r="B687" s="16"/>
    </row>
    <row r="688" spans="1:2" x14ac:dyDescent="0.25">
      <c r="A688" s="16"/>
      <c r="B688" s="16"/>
    </row>
    <row r="689" spans="1:2" x14ac:dyDescent="0.25">
      <c r="A689" s="16"/>
      <c r="B689" s="16"/>
    </row>
    <row r="690" spans="1:2" x14ac:dyDescent="0.25">
      <c r="A690" s="16"/>
      <c r="B690" s="16"/>
    </row>
    <row r="691" spans="1:2" x14ac:dyDescent="0.25">
      <c r="A691" s="16"/>
      <c r="B691" s="16"/>
    </row>
    <row r="692" spans="1:2" x14ac:dyDescent="0.25">
      <c r="A692" s="16"/>
      <c r="B692" s="16"/>
    </row>
    <row r="693" spans="1:2" x14ac:dyDescent="0.25">
      <c r="A693" s="16"/>
      <c r="B693" s="16"/>
    </row>
    <row r="694" spans="1:2" x14ac:dyDescent="0.25">
      <c r="A694" s="16"/>
      <c r="B694" s="16"/>
    </row>
    <row r="695" spans="1:2" x14ac:dyDescent="0.25">
      <c r="A695" s="16"/>
      <c r="B695" s="16"/>
    </row>
    <row r="696" spans="1:2" x14ac:dyDescent="0.25">
      <c r="A696" s="16"/>
      <c r="B696" s="16"/>
    </row>
    <row r="697" spans="1:2" x14ac:dyDescent="0.25">
      <c r="A697" s="16"/>
      <c r="B697" s="16"/>
    </row>
    <row r="698" spans="1:2" x14ac:dyDescent="0.25">
      <c r="A698" s="16"/>
      <c r="B698" s="16"/>
    </row>
    <row r="699" spans="1:2" x14ac:dyDescent="0.25">
      <c r="A699" s="16"/>
      <c r="B699" s="16"/>
    </row>
    <row r="700" spans="1:2" x14ac:dyDescent="0.25">
      <c r="A700" s="16"/>
      <c r="B700" s="16"/>
    </row>
    <row r="701" spans="1:2" x14ac:dyDescent="0.25">
      <c r="A701" s="16"/>
      <c r="B701" s="16"/>
    </row>
    <row r="702" spans="1:2" x14ac:dyDescent="0.25">
      <c r="A702" s="16"/>
      <c r="B702" s="16"/>
    </row>
    <row r="703" spans="1:2" x14ac:dyDescent="0.25">
      <c r="A703" s="16"/>
      <c r="B703" s="16"/>
    </row>
    <row r="704" spans="1:2" x14ac:dyDescent="0.25">
      <c r="A704" s="16"/>
      <c r="B704" s="16"/>
    </row>
    <row r="705" spans="1:2" x14ac:dyDescent="0.25">
      <c r="A705" s="16"/>
      <c r="B705" s="16"/>
    </row>
    <row r="706" spans="1:2" x14ac:dyDescent="0.25">
      <c r="A706" s="16"/>
      <c r="B706" s="16"/>
    </row>
    <row r="707" spans="1:2" x14ac:dyDescent="0.25">
      <c r="A707" s="16"/>
      <c r="B707" s="16"/>
    </row>
    <row r="708" spans="1:2" x14ac:dyDescent="0.25">
      <c r="A708" s="16"/>
      <c r="B708" s="16"/>
    </row>
    <row r="709" spans="1:2" x14ac:dyDescent="0.25">
      <c r="A709" s="16"/>
      <c r="B709" s="16"/>
    </row>
    <row r="710" spans="1:2" x14ac:dyDescent="0.25">
      <c r="A710" s="16"/>
      <c r="B710" s="16"/>
    </row>
    <row r="711" spans="1:2" x14ac:dyDescent="0.25">
      <c r="A711" s="16"/>
      <c r="B711" s="16"/>
    </row>
    <row r="712" spans="1:2" x14ac:dyDescent="0.25">
      <c r="A712" s="16"/>
      <c r="B712" s="16"/>
    </row>
    <row r="713" spans="1:2" x14ac:dyDescent="0.25">
      <c r="A713" s="16"/>
      <c r="B713" s="16"/>
    </row>
    <row r="714" spans="1:2" x14ac:dyDescent="0.25">
      <c r="A714" s="16"/>
      <c r="B714" s="16"/>
    </row>
    <row r="715" spans="1:2" x14ac:dyDescent="0.25">
      <c r="A715" s="16"/>
      <c r="B715" s="16"/>
    </row>
    <row r="716" spans="1:2" x14ac:dyDescent="0.25">
      <c r="A716" s="16"/>
      <c r="B716" s="16"/>
    </row>
    <row r="717" spans="1:2" x14ac:dyDescent="0.25">
      <c r="A717" s="16"/>
      <c r="B717" s="16"/>
    </row>
    <row r="718" spans="1:2" x14ac:dyDescent="0.25">
      <c r="A718" s="16"/>
      <c r="B718" s="16"/>
    </row>
    <row r="719" spans="1:2" x14ac:dyDescent="0.25">
      <c r="A719" s="16"/>
      <c r="B719" s="16"/>
    </row>
    <row r="720" spans="1:2" x14ac:dyDescent="0.25">
      <c r="A720" s="16"/>
      <c r="B720" s="16"/>
    </row>
    <row r="721" spans="1:2" x14ac:dyDescent="0.25">
      <c r="A721" s="16"/>
      <c r="B721" s="16"/>
    </row>
    <row r="722" spans="1:2" x14ac:dyDescent="0.25">
      <c r="A722" s="16"/>
      <c r="B722" s="16"/>
    </row>
    <row r="723" spans="1:2" x14ac:dyDescent="0.25">
      <c r="A723" s="16"/>
      <c r="B723" s="16"/>
    </row>
    <row r="724" spans="1:2" x14ac:dyDescent="0.25">
      <c r="A724" s="16"/>
      <c r="B724" s="16"/>
    </row>
    <row r="725" spans="1:2" x14ac:dyDescent="0.25">
      <c r="A725" s="16"/>
      <c r="B725" s="16"/>
    </row>
    <row r="726" spans="1:2" x14ac:dyDescent="0.25">
      <c r="A726" s="16"/>
      <c r="B726" s="16"/>
    </row>
    <row r="727" spans="1:2" x14ac:dyDescent="0.25">
      <c r="A727" s="16"/>
      <c r="B727" s="16"/>
    </row>
    <row r="728" spans="1:2" x14ac:dyDescent="0.25">
      <c r="A728" s="16"/>
      <c r="B728" s="16"/>
    </row>
    <row r="729" spans="1:2" x14ac:dyDescent="0.25">
      <c r="A729" s="16"/>
      <c r="B729" s="16"/>
    </row>
    <row r="730" spans="1:2" x14ac:dyDescent="0.25">
      <c r="A730" s="16"/>
      <c r="B730" s="16"/>
    </row>
    <row r="731" spans="1:2" x14ac:dyDescent="0.25">
      <c r="A731" s="16"/>
      <c r="B731" s="16"/>
    </row>
    <row r="732" spans="1:2" x14ac:dyDescent="0.25">
      <c r="A732" s="16"/>
      <c r="B732" s="16"/>
    </row>
    <row r="733" spans="1:2" x14ac:dyDescent="0.25">
      <c r="A733" s="16"/>
      <c r="B733" s="16"/>
    </row>
    <row r="734" spans="1:2" x14ac:dyDescent="0.25">
      <c r="A734" s="16"/>
      <c r="B734" s="16"/>
    </row>
    <row r="735" spans="1:2" x14ac:dyDescent="0.25">
      <c r="A735" s="16"/>
      <c r="B735" s="16"/>
    </row>
    <row r="736" spans="1:2" x14ac:dyDescent="0.25">
      <c r="A736" s="16"/>
      <c r="B736" s="16"/>
    </row>
    <row r="737" spans="1:2" x14ac:dyDescent="0.25">
      <c r="A737" s="16"/>
      <c r="B737" s="16"/>
    </row>
    <row r="738" spans="1:2" x14ac:dyDescent="0.25">
      <c r="A738" s="16"/>
      <c r="B738" s="16"/>
    </row>
    <row r="739" spans="1:2" x14ac:dyDescent="0.25">
      <c r="A739" s="16"/>
      <c r="B739" s="16"/>
    </row>
    <row r="740" spans="1:2" x14ac:dyDescent="0.25">
      <c r="A740" s="16"/>
      <c r="B740" s="16"/>
    </row>
    <row r="741" spans="1:2" x14ac:dyDescent="0.25">
      <c r="A741" s="16"/>
      <c r="B741" s="16"/>
    </row>
    <row r="742" spans="1:2" x14ac:dyDescent="0.25">
      <c r="A742" s="16"/>
      <c r="B742" s="16"/>
    </row>
    <row r="743" spans="1:2" x14ac:dyDescent="0.25">
      <c r="A743" s="16"/>
      <c r="B743" s="16"/>
    </row>
    <row r="744" spans="1:2" x14ac:dyDescent="0.25">
      <c r="A744" s="16"/>
      <c r="B744" s="16"/>
    </row>
    <row r="745" spans="1:2" x14ac:dyDescent="0.25">
      <c r="A745" s="16"/>
      <c r="B745" s="16"/>
    </row>
    <row r="746" spans="1:2" x14ac:dyDescent="0.25">
      <c r="A746" s="16"/>
      <c r="B746" s="16"/>
    </row>
    <row r="747" spans="1:2" x14ac:dyDescent="0.25">
      <c r="A747" s="16"/>
      <c r="B747" s="16"/>
    </row>
    <row r="748" spans="1:2" x14ac:dyDescent="0.25">
      <c r="A748" s="16"/>
      <c r="B748" s="16"/>
    </row>
    <row r="749" spans="1:2" x14ac:dyDescent="0.25">
      <c r="A749" s="16"/>
      <c r="B749" s="16"/>
    </row>
    <row r="750" spans="1:2" x14ac:dyDescent="0.25">
      <c r="A750" s="16"/>
      <c r="B750" s="16"/>
    </row>
    <row r="751" spans="1:2" x14ac:dyDescent="0.25">
      <c r="A751" s="16"/>
      <c r="B751" s="16"/>
    </row>
    <row r="752" spans="1:2" x14ac:dyDescent="0.25">
      <c r="A752" s="16"/>
      <c r="B752" s="16"/>
    </row>
    <row r="753" spans="1:2" x14ac:dyDescent="0.25">
      <c r="A753" s="16"/>
      <c r="B753" s="16"/>
    </row>
    <row r="754" spans="1:2" x14ac:dyDescent="0.25">
      <c r="A754" s="16"/>
      <c r="B754" s="16"/>
    </row>
    <row r="755" spans="1:2" x14ac:dyDescent="0.25">
      <c r="A755" s="16"/>
      <c r="B755" s="16"/>
    </row>
    <row r="756" spans="1:2" x14ac:dyDescent="0.25">
      <c r="A756" s="16"/>
      <c r="B756" s="16"/>
    </row>
    <row r="757" spans="1:2" x14ac:dyDescent="0.25">
      <c r="A757" s="16"/>
      <c r="B757" s="16"/>
    </row>
    <row r="758" spans="1:2" x14ac:dyDescent="0.25">
      <c r="A758" s="16"/>
      <c r="B758" s="16"/>
    </row>
    <row r="759" spans="1:2" x14ac:dyDescent="0.25">
      <c r="A759" s="16"/>
      <c r="B759" s="16"/>
    </row>
    <row r="760" spans="1:2" x14ac:dyDescent="0.25">
      <c r="A760" s="16"/>
      <c r="B760" s="16"/>
    </row>
    <row r="761" spans="1:2" x14ac:dyDescent="0.25">
      <c r="A761" s="16"/>
      <c r="B761" s="16"/>
    </row>
    <row r="762" spans="1:2" x14ac:dyDescent="0.25">
      <c r="A762" s="16"/>
      <c r="B762" s="16"/>
    </row>
    <row r="763" spans="1:2" x14ac:dyDescent="0.25">
      <c r="A763" s="16"/>
      <c r="B763" s="16"/>
    </row>
    <row r="764" spans="1:2" x14ac:dyDescent="0.25">
      <c r="A764" s="16"/>
      <c r="B764" s="16"/>
    </row>
    <row r="765" spans="1:2" x14ac:dyDescent="0.25">
      <c r="A765" s="16"/>
      <c r="B765" s="16"/>
    </row>
    <row r="766" spans="1:2" x14ac:dyDescent="0.25">
      <c r="A766" s="16"/>
      <c r="B766" s="16"/>
    </row>
    <row r="767" spans="1:2" x14ac:dyDescent="0.25">
      <c r="A767" s="16"/>
      <c r="B767" s="16"/>
    </row>
    <row r="768" spans="1:2" x14ac:dyDescent="0.25">
      <c r="A768" s="16"/>
      <c r="B768" s="16"/>
    </row>
    <row r="769" spans="1:2" x14ac:dyDescent="0.25">
      <c r="A769" s="16"/>
      <c r="B769" s="16"/>
    </row>
    <row r="770" spans="1:2" x14ac:dyDescent="0.25">
      <c r="A770" s="16"/>
      <c r="B770" s="16"/>
    </row>
    <row r="771" spans="1:2" x14ac:dyDescent="0.25">
      <c r="A771" s="16"/>
      <c r="B771" s="16"/>
    </row>
    <row r="772" spans="1:2" x14ac:dyDescent="0.25">
      <c r="A772" s="16"/>
      <c r="B772" s="16"/>
    </row>
    <row r="773" spans="1:2" x14ac:dyDescent="0.25">
      <c r="A773" s="16"/>
      <c r="B773" s="16"/>
    </row>
    <row r="774" spans="1:2" x14ac:dyDescent="0.25">
      <c r="A774" s="16"/>
      <c r="B774" s="16"/>
    </row>
    <row r="775" spans="1:2" x14ac:dyDescent="0.25">
      <c r="A775" s="16"/>
      <c r="B775" s="16"/>
    </row>
    <row r="776" spans="1:2" x14ac:dyDescent="0.25">
      <c r="A776" s="16"/>
      <c r="B776" s="16"/>
    </row>
    <row r="777" spans="1:2" x14ac:dyDescent="0.25">
      <c r="A777" s="16"/>
      <c r="B777" s="16"/>
    </row>
    <row r="778" spans="1:2" x14ac:dyDescent="0.25">
      <c r="A778" s="16"/>
      <c r="B778" s="16"/>
    </row>
    <row r="779" spans="1:2" x14ac:dyDescent="0.25">
      <c r="A779" s="16"/>
      <c r="B779" s="16"/>
    </row>
    <row r="780" spans="1:2" x14ac:dyDescent="0.25">
      <c r="A780" s="16"/>
      <c r="B780" s="16"/>
    </row>
    <row r="781" spans="1:2" x14ac:dyDescent="0.25">
      <c r="A781" s="16"/>
      <c r="B781" s="16"/>
    </row>
    <row r="782" spans="1:2" x14ac:dyDescent="0.25">
      <c r="A782" s="16"/>
      <c r="B782" s="16"/>
    </row>
    <row r="783" spans="1:2" x14ac:dyDescent="0.25">
      <c r="A783" s="16"/>
      <c r="B783" s="16"/>
    </row>
    <row r="784" spans="1:2" x14ac:dyDescent="0.25">
      <c r="A784" s="16"/>
      <c r="B784" s="16"/>
    </row>
    <row r="785" spans="1:2" x14ac:dyDescent="0.25">
      <c r="A785" s="16"/>
      <c r="B785" s="16"/>
    </row>
    <row r="786" spans="1:2" x14ac:dyDescent="0.25">
      <c r="A786" s="16"/>
      <c r="B786" s="16"/>
    </row>
    <row r="787" spans="1:2" x14ac:dyDescent="0.25">
      <c r="A787" s="16"/>
      <c r="B787" s="16"/>
    </row>
    <row r="788" spans="1:2" x14ac:dyDescent="0.25">
      <c r="A788" s="16"/>
      <c r="B788" s="16"/>
    </row>
    <row r="789" spans="1:2" x14ac:dyDescent="0.25">
      <c r="A789" s="16"/>
      <c r="B789" s="16"/>
    </row>
    <row r="790" spans="1:2" x14ac:dyDescent="0.25">
      <c r="A790" s="16"/>
      <c r="B790" s="16"/>
    </row>
    <row r="791" spans="1:2" x14ac:dyDescent="0.25">
      <c r="A791" s="16"/>
      <c r="B791" s="16"/>
    </row>
    <row r="792" spans="1:2" x14ac:dyDescent="0.25">
      <c r="A792" s="16"/>
      <c r="B792" s="16"/>
    </row>
    <row r="793" spans="1:2" x14ac:dyDescent="0.25">
      <c r="A793" s="16"/>
      <c r="B793" s="16"/>
    </row>
    <row r="794" spans="1:2" x14ac:dyDescent="0.25">
      <c r="A794" s="16"/>
      <c r="B794" s="16"/>
    </row>
    <row r="795" spans="1:2" x14ac:dyDescent="0.25">
      <c r="A795" s="16"/>
      <c r="B795" s="16"/>
    </row>
    <row r="796" spans="1:2" x14ac:dyDescent="0.25">
      <c r="A796" s="16"/>
      <c r="B796" s="16"/>
    </row>
    <row r="797" spans="1:2" x14ac:dyDescent="0.25">
      <c r="A797" s="16"/>
      <c r="B797" s="16"/>
    </row>
    <row r="798" spans="1:2" x14ac:dyDescent="0.25">
      <c r="A798" s="16"/>
      <c r="B798" s="16"/>
    </row>
    <row r="799" spans="1:2" x14ac:dyDescent="0.25">
      <c r="A799" s="16"/>
      <c r="B799" s="16"/>
    </row>
    <row r="800" spans="1:2" x14ac:dyDescent="0.25">
      <c r="A800" s="16"/>
      <c r="B800" s="16"/>
    </row>
    <row r="801" spans="1:2" x14ac:dyDescent="0.25">
      <c r="A801" s="16"/>
      <c r="B801" s="16"/>
    </row>
    <row r="802" spans="1:2" x14ac:dyDescent="0.25">
      <c r="A802" s="16"/>
      <c r="B802" s="16"/>
    </row>
    <row r="803" spans="1:2" x14ac:dyDescent="0.25">
      <c r="A803" s="16"/>
      <c r="B803" s="16"/>
    </row>
    <row r="804" spans="1:2" x14ac:dyDescent="0.25">
      <c r="A804" s="16"/>
      <c r="B804" s="16"/>
    </row>
    <row r="805" spans="1:2" x14ac:dyDescent="0.25">
      <c r="A805" s="16"/>
      <c r="B805" s="16"/>
    </row>
    <row r="806" spans="1:2" x14ac:dyDescent="0.25">
      <c r="A806" s="16"/>
      <c r="B806" s="16"/>
    </row>
    <row r="807" spans="1:2" x14ac:dyDescent="0.25">
      <c r="A807" s="16"/>
      <c r="B807" s="16"/>
    </row>
    <row r="808" spans="1:2" x14ac:dyDescent="0.25">
      <c r="A808" s="16"/>
      <c r="B808" s="16"/>
    </row>
    <row r="809" spans="1:2" x14ac:dyDescent="0.25">
      <c r="A809" s="16"/>
      <c r="B809" s="16"/>
    </row>
    <row r="810" spans="1:2" x14ac:dyDescent="0.25">
      <c r="A810" s="16"/>
      <c r="B810" s="16"/>
    </row>
    <row r="811" spans="1:2" x14ac:dyDescent="0.25">
      <c r="A811" s="16"/>
      <c r="B811" s="16"/>
    </row>
    <row r="812" spans="1:2" x14ac:dyDescent="0.25">
      <c r="A812" s="16"/>
      <c r="B812" s="16"/>
    </row>
    <row r="813" spans="1:2" x14ac:dyDescent="0.25">
      <c r="A813" s="16"/>
      <c r="B813" s="16"/>
    </row>
    <row r="814" spans="1:2" x14ac:dyDescent="0.25">
      <c r="A814" s="16"/>
      <c r="B814" s="16"/>
    </row>
    <row r="815" spans="1:2" x14ac:dyDescent="0.25">
      <c r="A815" s="16"/>
      <c r="B815" s="16"/>
    </row>
    <row r="816" spans="1:2" x14ac:dyDescent="0.25">
      <c r="A816" s="16"/>
      <c r="B816" s="16"/>
    </row>
    <row r="817" spans="1:2" x14ac:dyDescent="0.25">
      <c r="A817" s="16"/>
      <c r="B817" s="16"/>
    </row>
    <row r="818" spans="1:2" x14ac:dyDescent="0.25">
      <c r="A818" s="16"/>
      <c r="B818" s="16"/>
    </row>
    <row r="819" spans="1:2" x14ac:dyDescent="0.25">
      <c r="A819" s="16"/>
      <c r="B819" s="16"/>
    </row>
    <row r="820" spans="1:2" x14ac:dyDescent="0.25">
      <c r="A820" s="16"/>
      <c r="B820" s="16"/>
    </row>
    <row r="821" spans="1:2" x14ac:dyDescent="0.25">
      <c r="A821" s="16"/>
      <c r="B821" s="16"/>
    </row>
    <row r="822" spans="1:2" x14ac:dyDescent="0.25">
      <c r="A822" s="16"/>
      <c r="B822" s="16"/>
    </row>
    <row r="823" spans="1:2" x14ac:dyDescent="0.25">
      <c r="A823" s="16"/>
      <c r="B823" s="16"/>
    </row>
    <row r="824" spans="1:2" x14ac:dyDescent="0.25">
      <c r="A824" s="16"/>
      <c r="B824" s="16"/>
    </row>
    <row r="825" spans="1:2" x14ac:dyDescent="0.25">
      <c r="A825" s="16"/>
      <c r="B825" s="16"/>
    </row>
    <row r="826" spans="1:2" x14ac:dyDescent="0.25">
      <c r="A826" s="16"/>
      <c r="B826" s="16"/>
    </row>
    <row r="827" spans="1:2" x14ac:dyDescent="0.25">
      <c r="A827" s="16"/>
      <c r="B827" s="16"/>
    </row>
    <row r="828" spans="1:2" x14ac:dyDescent="0.25">
      <c r="A828" s="16"/>
      <c r="B828" s="16"/>
    </row>
    <row r="829" spans="1:2" x14ac:dyDescent="0.25">
      <c r="A829" s="16"/>
      <c r="B829" s="16"/>
    </row>
    <row r="830" spans="1:2" x14ac:dyDescent="0.25">
      <c r="A830" s="16"/>
      <c r="B830" s="16"/>
    </row>
    <row r="831" spans="1:2" x14ac:dyDescent="0.25">
      <c r="A831" s="16"/>
      <c r="B831" s="16"/>
    </row>
    <row r="832" spans="1:2" x14ac:dyDescent="0.25">
      <c r="A832" s="16"/>
      <c r="B832" s="16"/>
    </row>
    <row r="833" spans="1:2" x14ac:dyDescent="0.25">
      <c r="A833" s="16"/>
      <c r="B833" s="16"/>
    </row>
    <row r="834" spans="1:2" x14ac:dyDescent="0.25">
      <c r="A834" s="16"/>
      <c r="B834" s="16"/>
    </row>
    <row r="835" spans="1:2" x14ac:dyDescent="0.25">
      <c r="A835" s="16"/>
      <c r="B835" s="16"/>
    </row>
    <row r="836" spans="1:2" x14ac:dyDescent="0.25">
      <c r="A836" s="16"/>
      <c r="B836" s="16"/>
    </row>
    <row r="837" spans="1:2" x14ac:dyDescent="0.25">
      <c r="A837" s="16"/>
      <c r="B837" s="16"/>
    </row>
    <row r="838" spans="1:2" x14ac:dyDescent="0.25">
      <c r="A838" s="16"/>
      <c r="B838" s="16"/>
    </row>
    <row r="839" spans="1:2" x14ac:dyDescent="0.25">
      <c r="A839" s="16"/>
      <c r="B839" s="16"/>
    </row>
    <row r="840" spans="1:2" x14ac:dyDescent="0.25">
      <c r="A840" s="16"/>
      <c r="B840" s="16"/>
    </row>
    <row r="841" spans="1:2" x14ac:dyDescent="0.25">
      <c r="A841" s="16"/>
      <c r="B841" s="16"/>
    </row>
    <row r="842" spans="1:2" x14ac:dyDescent="0.25">
      <c r="A842" s="16"/>
      <c r="B842" s="16"/>
    </row>
    <row r="843" spans="1:2" x14ac:dyDescent="0.25">
      <c r="A843" s="16"/>
      <c r="B843" s="16"/>
    </row>
    <row r="844" spans="1:2" x14ac:dyDescent="0.25">
      <c r="A844" s="16"/>
      <c r="B844" s="16"/>
    </row>
    <row r="845" spans="1:2" x14ac:dyDescent="0.25">
      <c r="A845" s="16"/>
      <c r="B845" s="16"/>
    </row>
    <row r="846" spans="1:2" x14ac:dyDescent="0.25">
      <c r="A846" s="16"/>
      <c r="B846" s="16"/>
    </row>
    <row r="847" spans="1:2" x14ac:dyDescent="0.25">
      <c r="A847" s="16"/>
      <c r="B847" s="16"/>
    </row>
    <row r="848" spans="1:2" x14ac:dyDescent="0.25">
      <c r="A848" s="16"/>
      <c r="B848" s="16"/>
    </row>
    <row r="849" spans="1:2" x14ac:dyDescent="0.25">
      <c r="A849" s="16"/>
      <c r="B849" s="16"/>
    </row>
    <row r="850" spans="1:2" x14ac:dyDescent="0.25">
      <c r="A850" s="16"/>
      <c r="B850" s="16"/>
    </row>
    <row r="851" spans="1:2" x14ac:dyDescent="0.25">
      <c r="A851" s="16"/>
      <c r="B851" s="16"/>
    </row>
    <row r="852" spans="1:2" x14ac:dyDescent="0.25">
      <c r="A852" s="16"/>
      <c r="B852" s="16"/>
    </row>
    <row r="853" spans="1:2" x14ac:dyDescent="0.25">
      <c r="A853" s="16"/>
      <c r="B853" s="16"/>
    </row>
    <row r="854" spans="1:2" x14ac:dyDescent="0.25">
      <c r="A854" s="16"/>
      <c r="B854" s="16"/>
    </row>
    <row r="855" spans="1:2" x14ac:dyDescent="0.25">
      <c r="A855" s="16"/>
      <c r="B855" s="16"/>
    </row>
    <row r="856" spans="1:2" x14ac:dyDescent="0.25">
      <c r="A856" s="16"/>
      <c r="B856" s="16"/>
    </row>
    <row r="857" spans="1:2" x14ac:dyDescent="0.25">
      <c r="A857" s="16"/>
      <c r="B857" s="16"/>
    </row>
    <row r="858" spans="1:2" x14ac:dyDescent="0.25">
      <c r="A858" s="16"/>
      <c r="B858" s="16"/>
    </row>
    <row r="859" spans="1:2" x14ac:dyDescent="0.25">
      <c r="A859" s="16"/>
      <c r="B859" s="16"/>
    </row>
    <row r="860" spans="1:2" x14ac:dyDescent="0.25">
      <c r="A860" s="16"/>
      <c r="B860" s="16"/>
    </row>
    <row r="861" spans="1:2" x14ac:dyDescent="0.25">
      <c r="A861" s="16"/>
      <c r="B861" s="16"/>
    </row>
    <row r="862" spans="1:2" x14ac:dyDescent="0.25">
      <c r="A862" s="16"/>
      <c r="B862" s="16"/>
    </row>
    <row r="863" spans="1:2" x14ac:dyDescent="0.25">
      <c r="A863" s="16"/>
      <c r="B863" s="16"/>
    </row>
    <row r="864" spans="1:2" x14ac:dyDescent="0.25">
      <c r="A864" s="16"/>
      <c r="B864" s="16"/>
    </row>
    <row r="865" spans="1:2" x14ac:dyDescent="0.25">
      <c r="A865" s="16"/>
      <c r="B865" s="16"/>
    </row>
    <row r="866" spans="1:2" x14ac:dyDescent="0.25">
      <c r="A866" s="16"/>
      <c r="B866" s="16"/>
    </row>
    <row r="867" spans="1:2" x14ac:dyDescent="0.25">
      <c r="A867" s="16"/>
      <c r="B867" s="16"/>
    </row>
    <row r="868" spans="1:2" x14ac:dyDescent="0.25">
      <c r="A868" s="16"/>
      <c r="B868" s="16"/>
    </row>
    <row r="869" spans="1:2" x14ac:dyDescent="0.25">
      <c r="A869" s="16"/>
      <c r="B869" s="16"/>
    </row>
    <row r="870" spans="1:2" x14ac:dyDescent="0.25">
      <c r="A870" s="16"/>
      <c r="B870" s="16"/>
    </row>
    <row r="871" spans="1:2" x14ac:dyDescent="0.25">
      <c r="A871" s="16"/>
      <c r="B871" s="16"/>
    </row>
    <row r="872" spans="1:2" x14ac:dyDescent="0.25">
      <c r="A872" s="16"/>
      <c r="B872" s="16"/>
    </row>
    <row r="873" spans="1:2" x14ac:dyDescent="0.25">
      <c r="A873" s="16"/>
      <c r="B873" s="16"/>
    </row>
    <row r="874" spans="1:2" x14ac:dyDescent="0.25">
      <c r="A874" s="16"/>
      <c r="B874" s="16"/>
    </row>
    <row r="875" spans="1:2" x14ac:dyDescent="0.25">
      <c r="A875" s="16"/>
      <c r="B875" s="16"/>
    </row>
    <row r="876" spans="1:2" x14ac:dyDescent="0.25">
      <c r="A876" s="16"/>
      <c r="B876" s="16"/>
    </row>
    <row r="877" spans="1:2" x14ac:dyDescent="0.25">
      <c r="A877" s="16"/>
      <c r="B877" s="16"/>
    </row>
    <row r="878" spans="1:2" x14ac:dyDescent="0.25">
      <c r="A878" s="16"/>
      <c r="B878" s="16"/>
    </row>
    <row r="879" spans="1:2" x14ac:dyDescent="0.25">
      <c r="A879" s="16"/>
      <c r="B879" s="16"/>
    </row>
    <row r="880" spans="1:2" x14ac:dyDescent="0.25">
      <c r="A880" s="16"/>
      <c r="B880" s="16"/>
    </row>
    <row r="881" spans="1:2" x14ac:dyDescent="0.25">
      <c r="A881" s="16"/>
      <c r="B881" s="16"/>
    </row>
    <row r="882" spans="1:2" x14ac:dyDescent="0.25">
      <c r="A882" s="16"/>
      <c r="B882" s="16"/>
    </row>
    <row r="883" spans="1:2" x14ac:dyDescent="0.25">
      <c r="A883" s="16"/>
      <c r="B883" s="16"/>
    </row>
    <row r="884" spans="1:2" x14ac:dyDescent="0.25">
      <c r="A884" s="16"/>
      <c r="B884" s="16"/>
    </row>
    <row r="885" spans="1:2" x14ac:dyDescent="0.25">
      <c r="A885" s="16"/>
      <c r="B885" s="16"/>
    </row>
    <row r="886" spans="1:2" x14ac:dyDescent="0.25">
      <c r="A886" s="16"/>
      <c r="B886" s="16"/>
    </row>
    <row r="887" spans="1:2" x14ac:dyDescent="0.25">
      <c r="A887" s="16"/>
      <c r="B887" s="16"/>
    </row>
    <row r="888" spans="1:2" x14ac:dyDescent="0.25">
      <c r="A888" s="16"/>
      <c r="B888" s="16"/>
    </row>
    <row r="889" spans="1:2" x14ac:dyDescent="0.25">
      <c r="A889" s="16"/>
      <c r="B889" s="16"/>
    </row>
    <row r="890" spans="1:2" x14ac:dyDescent="0.25">
      <c r="A890" s="16"/>
      <c r="B890" s="16"/>
    </row>
    <row r="891" spans="1:2" x14ac:dyDescent="0.25">
      <c r="A891" s="16"/>
      <c r="B891" s="16"/>
    </row>
    <row r="892" spans="1:2" x14ac:dyDescent="0.25">
      <c r="A892" s="16"/>
      <c r="B892" s="16"/>
    </row>
    <row r="893" spans="1:2" x14ac:dyDescent="0.25">
      <c r="A893" s="16"/>
      <c r="B893" s="16"/>
    </row>
    <row r="894" spans="1:2" x14ac:dyDescent="0.25">
      <c r="A894" s="16"/>
      <c r="B894" s="16"/>
    </row>
    <row r="895" spans="1:2" x14ac:dyDescent="0.25">
      <c r="A895" s="16"/>
      <c r="B895" s="16"/>
    </row>
    <row r="896" spans="1:2" x14ac:dyDescent="0.25">
      <c r="A896" s="16"/>
      <c r="B896" s="16"/>
    </row>
    <row r="897" spans="1:2" x14ac:dyDescent="0.25">
      <c r="A897" s="16"/>
      <c r="B897" s="16"/>
    </row>
    <row r="898" spans="1:2" x14ac:dyDescent="0.25">
      <c r="A898" s="16"/>
      <c r="B898" s="16"/>
    </row>
    <row r="899" spans="1:2" x14ac:dyDescent="0.25">
      <c r="A899" s="16"/>
      <c r="B899" s="16"/>
    </row>
    <row r="900" spans="1:2" x14ac:dyDescent="0.25">
      <c r="A900" s="16"/>
      <c r="B900" s="16"/>
    </row>
    <row r="901" spans="1:2" x14ac:dyDescent="0.25">
      <c r="A901" s="16"/>
      <c r="B901" s="16"/>
    </row>
    <row r="902" spans="1:2" x14ac:dyDescent="0.25">
      <c r="A902" s="16"/>
      <c r="B902" s="16"/>
    </row>
    <row r="903" spans="1:2" x14ac:dyDescent="0.25">
      <c r="A903" s="16"/>
      <c r="B903" s="16"/>
    </row>
    <row r="904" spans="1:2" x14ac:dyDescent="0.25">
      <c r="A904" s="16"/>
      <c r="B904" s="16"/>
    </row>
    <row r="905" spans="1:2" x14ac:dyDescent="0.25">
      <c r="A905" s="16"/>
      <c r="B905" s="16"/>
    </row>
    <row r="906" spans="1:2" x14ac:dyDescent="0.25">
      <c r="A906" s="16"/>
      <c r="B906" s="16"/>
    </row>
    <row r="907" spans="1:2" x14ac:dyDescent="0.25">
      <c r="A907" s="16"/>
      <c r="B907" s="16"/>
    </row>
    <row r="908" spans="1:2" x14ac:dyDescent="0.25">
      <c r="A908" s="16"/>
      <c r="B908" s="16"/>
    </row>
    <row r="909" spans="1:2" x14ac:dyDescent="0.25">
      <c r="A909" s="16"/>
      <c r="B909" s="16"/>
    </row>
    <row r="910" spans="1:2" x14ac:dyDescent="0.25">
      <c r="A910" s="16"/>
      <c r="B910" s="16"/>
    </row>
    <row r="911" spans="1:2" x14ac:dyDescent="0.25">
      <c r="A911" s="16"/>
      <c r="B911" s="16"/>
    </row>
    <row r="912" spans="1:2" x14ac:dyDescent="0.25">
      <c r="A912" s="16"/>
      <c r="B912" s="16"/>
    </row>
    <row r="913" spans="1:2" x14ac:dyDescent="0.25">
      <c r="A913" s="16"/>
      <c r="B913" s="16"/>
    </row>
    <row r="914" spans="1:2" x14ac:dyDescent="0.25">
      <c r="A914" s="16"/>
      <c r="B914" s="16"/>
    </row>
    <row r="915" spans="1:2" x14ac:dyDescent="0.25">
      <c r="A915" s="16"/>
      <c r="B915" s="16"/>
    </row>
    <row r="916" spans="1:2" x14ac:dyDescent="0.25">
      <c r="A916" s="16"/>
      <c r="B916" s="16"/>
    </row>
    <row r="917" spans="1:2" x14ac:dyDescent="0.25">
      <c r="A917" s="16"/>
      <c r="B917" s="16"/>
    </row>
    <row r="918" spans="1:2" x14ac:dyDescent="0.25">
      <c r="A918" s="16"/>
      <c r="B918" s="16"/>
    </row>
    <row r="919" spans="1:2" x14ac:dyDescent="0.25">
      <c r="A919" s="16"/>
      <c r="B919" s="16"/>
    </row>
    <row r="920" spans="1:2" x14ac:dyDescent="0.25">
      <c r="A920" s="16"/>
      <c r="B920" s="16"/>
    </row>
    <row r="921" spans="1:2" x14ac:dyDescent="0.25">
      <c r="A921" s="16"/>
      <c r="B921" s="16"/>
    </row>
    <row r="922" spans="1:2" x14ac:dyDescent="0.25">
      <c r="A922" s="16"/>
      <c r="B922" s="16"/>
    </row>
    <row r="923" spans="1:2" x14ac:dyDescent="0.25">
      <c r="A923" s="16"/>
      <c r="B923" s="16"/>
    </row>
    <row r="924" spans="1:2" x14ac:dyDescent="0.25">
      <c r="A924" s="16"/>
      <c r="B924" s="16"/>
    </row>
    <row r="925" spans="1:2" x14ac:dyDescent="0.25">
      <c r="A925" s="16"/>
      <c r="B925" s="16"/>
    </row>
    <row r="926" spans="1:2" x14ac:dyDescent="0.25">
      <c r="A926" s="16"/>
      <c r="B926" s="16"/>
    </row>
    <row r="927" spans="1:2" x14ac:dyDescent="0.25">
      <c r="A927" s="16"/>
      <c r="B927" s="16"/>
    </row>
    <row r="928" spans="1:2" x14ac:dyDescent="0.25">
      <c r="A928" s="16"/>
      <c r="B928" s="16"/>
    </row>
    <row r="929" spans="1:2" x14ac:dyDescent="0.25">
      <c r="A929" s="16"/>
      <c r="B929" s="16"/>
    </row>
    <row r="930" spans="1:2" x14ac:dyDescent="0.25">
      <c r="A930" s="16"/>
      <c r="B930" s="16"/>
    </row>
    <row r="931" spans="1:2" x14ac:dyDescent="0.25">
      <c r="A931" s="16"/>
      <c r="B931" s="16"/>
    </row>
    <row r="932" spans="1:2" x14ac:dyDescent="0.25">
      <c r="A932" s="16"/>
      <c r="B932" s="16"/>
    </row>
    <row r="933" spans="1:2" x14ac:dyDescent="0.25">
      <c r="A933" s="16"/>
      <c r="B933" s="16"/>
    </row>
    <row r="934" spans="1:2" x14ac:dyDescent="0.25">
      <c r="A934" s="16"/>
      <c r="B934" s="16"/>
    </row>
    <row r="935" spans="1:2" x14ac:dyDescent="0.25">
      <c r="A935" s="16"/>
      <c r="B935" s="16"/>
    </row>
    <row r="936" spans="1:2" x14ac:dyDescent="0.25">
      <c r="A936" s="16"/>
      <c r="B936" s="16"/>
    </row>
    <row r="937" spans="1:2" x14ac:dyDescent="0.25">
      <c r="A937" s="16"/>
      <c r="B937" s="16"/>
    </row>
    <row r="938" spans="1:2" x14ac:dyDescent="0.25">
      <c r="A938" s="16"/>
      <c r="B938" s="16"/>
    </row>
    <row r="939" spans="1:2" x14ac:dyDescent="0.25">
      <c r="A939" s="16"/>
      <c r="B939" s="16"/>
    </row>
    <row r="940" spans="1:2" x14ac:dyDescent="0.25">
      <c r="A940" s="16"/>
      <c r="B940" s="16"/>
    </row>
    <row r="941" spans="1:2" x14ac:dyDescent="0.25">
      <c r="A941" s="16"/>
      <c r="B941" s="16"/>
    </row>
    <row r="942" spans="1:2" x14ac:dyDescent="0.25">
      <c r="A942" s="16"/>
      <c r="B942" s="16"/>
    </row>
    <row r="943" spans="1:2" x14ac:dyDescent="0.25">
      <c r="A943" s="16"/>
      <c r="B943" s="16"/>
    </row>
    <row r="944" spans="1:2" x14ac:dyDescent="0.25">
      <c r="A944" s="16"/>
      <c r="B944" s="16"/>
    </row>
    <row r="945" spans="1:2" x14ac:dyDescent="0.25">
      <c r="A945" s="16"/>
      <c r="B945" s="16"/>
    </row>
    <row r="946" spans="1:2" x14ac:dyDescent="0.25">
      <c r="A946" s="16"/>
      <c r="B946" s="16"/>
    </row>
    <row r="947" spans="1:2" x14ac:dyDescent="0.25">
      <c r="A947" s="16"/>
      <c r="B947" s="16"/>
    </row>
    <row r="948" spans="1:2" x14ac:dyDescent="0.25">
      <c r="A948" s="16"/>
      <c r="B948" s="16"/>
    </row>
    <row r="949" spans="1:2" x14ac:dyDescent="0.25">
      <c r="A949" s="16"/>
      <c r="B949" s="16"/>
    </row>
    <row r="950" spans="1:2" x14ac:dyDescent="0.25">
      <c r="A950" s="16"/>
      <c r="B950" s="16"/>
    </row>
    <row r="951" spans="1:2" x14ac:dyDescent="0.25">
      <c r="A951" s="16"/>
      <c r="B951" s="16"/>
    </row>
    <row r="952" spans="1:2" x14ac:dyDescent="0.25">
      <c r="A952" s="16"/>
      <c r="B952" s="16"/>
    </row>
    <row r="953" spans="1:2" x14ac:dyDescent="0.25">
      <c r="A953" s="16"/>
      <c r="B953" s="16"/>
    </row>
    <row r="954" spans="1:2" x14ac:dyDescent="0.25">
      <c r="A954" s="16"/>
      <c r="B954" s="16"/>
    </row>
    <row r="955" spans="1:2" x14ac:dyDescent="0.25">
      <c r="A955" s="16"/>
      <c r="B955" s="16"/>
    </row>
    <row r="956" spans="1:2" x14ac:dyDescent="0.25">
      <c r="A956" s="16"/>
      <c r="B956" s="16"/>
    </row>
    <row r="957" spans="1:2" x14ac:dyDescent="0.25">
      <c r="A957" s="16"/>
      <c r="B957" s="16"/>
    </row>
    <row r="958" spans="1:2" x14ac:dyDescent="0.25">
      <c r="A958" s="16"/>
      <c r="B958" s="16"/>
    </row>
    <row r="959" spans="1:2" x14ac:dyDescent="0.25">
      <c r="A959" s="16"/>
      <c r="B959" s="16"/>
    </row>
    <row r="960" spans="1:2" x14ac:dyDescent="0.25">
      <c r="A960" s="16"/>
      <c r="B960" s="16"/>
    </row>
    <row r="961" spans="1:2" x14ac:dyDescent="0.25">
      <c r="A961" s="16"/>
      <c r="B961" s="16"/>
    </row>
    <row r="962" spans="1:2" x14ac:dyDescent="0.25">
      <c r="A962" s="16"/>
      <c r="B962" s="16"/>
    </row>
    <row r="963" spans="1:2" x14ac:dyDescent="0.25">
      <c r="A963" s="16"/>
      <c r="B963" s="16"/>
    </row>
    <row r="964" spans="1:2" x14ac:dyDescent="0.25">
      <c r="A964" s="16"/>
      <c r="B964" s="16"/>
    </row>
    <row r="965" spans="1:2" x14ac:dyDescent="0.25">
      <c r="A965" s="16"/>
      <c r="B965" s="16"/>
    </row>
    <row r="966" spans="1:2" x14ac:dyDescent="0.25">
      <c r="A966" s="16"/>
      <c r="B966" s="16"/>
    </row>
    <row r="967" spans="1:2" x14ac:dyDescent="0.25">
      <c r="A967" s="16"/>
      <c r="B967" s="16"/>
    </row>
    <row r="968" spans="1:2" x14ac:dyDescent="0.25">
      <c r="A968" s="16"/>
      <c r="B968" s="16"/>
    </row>
    <row r="969" spans="1:2" x14ac:dyDescent="0.25">
      <c r="A969" s="16"/>
      <c r="B969" s="16"/>
    </row>
    <row r="970" spans="1:2" x14ac:dyDescent="0.25">
      <c r="A970" s="16"/>
      <c r="B970" s="16"/>
    </row>
    <row r="971" spans="1:2" x14ac:dyDescent="0.25">
      <c r="A971" s="16"/>
      <c r="B971" s="16"/>
    </row>
    <row r="972" spans="1:2" x14ac:dyDescent="0.25">
      <c r="A972" s="16"/>
      <c r="B972" s="16"/>
    </row>
    <row r="973" spans="1:2" x14ac:dyDescent="0.25">
      <c r="A973" s="16"/>
      <c r="B973" s="16"/>
    </row>
    <row r="974" spans="1:2" x14ac:dyDescent="0.25">
      <c r="A974" s="16"/>
      <c r="B974" s="16"/>
    </row>
    <row r="975" spans="1:2" x14ac:dyDescent="0.25">
      <c r="A975" s="16"/>
      <c r="B975" s="16"/>
    </row>
    <row r="976" spans="1:2" x14ac:dyDescent="0.25">
      <c r="A976" s="16"/>
      <c r="B976" s="16"/>
    </row>
    <row r="977" spans="1:2" x14ac:dyDescent="0.25">
      <c r="A977" s="16"/>
      <c r="B977" s="16"/>
    </row>
    <row r="978" spans="1:2" x14ac:dyDescent="0.25">
      <c r="A978" s="16"/>
      <c r="B978" s="16"/>
    </row>
    <row r="979" spans="1:2" x14ac:dyDescent="0.25">
      <c r="A979" s="16"/>
      <c r="B979" s="16"/>
    </row>
    <row r="980" spans="1:2" x14ac:dyDescent="0.25">
      <c r="A980" s="16"/>
      <c r="B980" s="16"/>
    </row>
    <row r="981" spans="1:2" x14ac:dyDescent="0.25">
      <c r="A981" s="16"/>
      <c r="B981" s="16"/>
    </row>
    <row r="982" spans="1:2" x14ac:dyDescent="0.25">
      <c r="A982" s="16"/>
      <c r="B982" s="16"/>
    </row>
    <row r="983" spans="1:2" x14ac:dyDescent="0.25">
      <c r="A983" s="16"/>
      <c r="B983" s="16"/>
    </row>
    <row r="984" spans="1:2" x14ac:dyDescent="0.25">
      <c r="A984" s="16"/>
      <c r="B984" s="16"/>
    </row>
    <row r="985" spans="1:2" x14ac:dyDescent="0.25">
      <c r="A985" s="16"/>
      <c r="B985" s="16"/>
    </row>
    <row r="986" spans="1:2" x14ac:dyDescent="0.25">
      <c r="A986" s="16"/>
      <c r="B986" s="16"/>
    </row>
    <row r="987" spans="1:2" x14ac:dyDescent="0.25">
      <c r="A987" s="16"/>
      <c r="B987" s="16"/>
    </row>
    <row r="988" spans="1:2" x14ac:dyDescent="0.25">
      <c r="A988" s="16"/>
      <c r="B988" s="16"/>
    </row>
    <row r="989" spans="1:2" x14ac:dyDescent="0.25">
      <c r="A989" s="16"/>
      <c r="B989" s="16"/>
    </row>
    <row r="990" spans="1:2" x14ac:dyDescent="0.25">
      <c r="A990" s="16"/>
      <c r="B990" s="16"/>
    </row>
    <row r="991" spans="1:2" x14ac:dyDescent="0.25">
      <c r="A991" s="16"/>
      <c r="B991" s="16"/>
    </row>
    <row r="992" spans="1:2" x14ac:dyDescent="0.25">
      <c r="A992" s="16"/>
      <c r="B992" s="16"/>
    </row>
    <row r="993" spans="1:2" x14ac:dyDescent="0.25">
      <c r="A993" s="16"/>
      <c r="B993" s="16"/>
    </row>
    <row r="994" spans="1:2" x14ac:dyDescent="0.25">
      <c r="A994" s="16"/>
      <c r="B994" s="16"/>
    </row>
    <row r="995" spans="1:2" x14ac:dyDescent="0.25">
      <c r="A995" s="16"/>
      <c r="B995" s="16"/>
    </row>
    <row r="996" spans="1:2" x14ac:dyDescent="0.25">
      <c r="A996" s="16"/>
      <c r="B996" s="16"/>
    </row>
    <row r="997" spans="1:2" x14ac:dyDescent="0.25">
      <c r="A997" s="16"/>
      <c r="B997" s="16"/>
    </row>
    <row r="998" spans="1:2" x14ac:dyDescent="0.25">
      <c r="A998" s="16"/>
      <c r="B998" s="16"/>
    </row>
    <row r="999" spans="1:2" x14ac:dyDescent="0.25">
      <c r="A999" s="16"/>
      <c r="B999" s="16"/>
    </row>
    <row r="1000" spans="1:2" x14ac:dyDescent="0.25">
      <c r="A1000" s="16"/>
      <c r="B1000" s="16"/>
    </row>
    <row r="1001" spans="1:2" x14ac:dyDescent="0.25">
      <c r="A1001" t="s">
        <v>62</v>
      </c>
      <c r="B1001">
        <v>15</v>
      </c>
    </row>
    <row r="1002" spans="1:2" x14ac:dyDescent="0.25">
      <c r="A1002" t="s">
        <v>683</v>
      </c>
      <c r="B1002">
        <v>10</v>
      </c>
    </row>
    <row r="1003" spans="1:2" x14ac:dyDescent="0.25">
      <c r="A1003" t="s">
        <v>63</v>
      </c>
      <c r="B1003">
        <v>15</v>
      </c>
    </row>
    <row r="1004" spans="1:2" x14ac:dyDescent="0.25">
      <c r="A1004" t="s">
        <v>688</v>
      </c>
      <c r="B1004">
        <v>20</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สินค้าBB</vt:lpstr>
      <vt:lpstr>Checklist-Tech</vt:lpstr>
      <vt:lpstr>PD-Master</vt:lpstr>
      <vt:lpstr>recheck</vt:lpstr>
      <vt:lpstr>สินค้าL</vt:lpstr>
      <vt:lpstr>สินค้าV</vt:lpstr>
      <vt:lpstr>data</vt:lpstr>
      <vt:lpstr>dataนน</vt:lpstr>
      <vt:lpstr>data-ค่าฝา</vt:lpstr>
      <vt:lpstr>ค่าฝา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2026-06-26T06:34:48Z</dcterms:created>
  <dcterms:modified xsi:type="dcterms:W3CDTF">2026-06-26T06:34:48Z</dcterms:modified>
</cp:coreProperties>
</file>